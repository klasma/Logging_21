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8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45344</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45344</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45344</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45344</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45344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45344</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45344</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45344</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45344</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45344</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45344</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45344</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45344</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45344</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45344</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45344</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45344</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45344</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45344</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45344</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45344</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45344</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45344</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45344</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45344</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45344</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45344</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45344</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45344</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45344</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45344</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45344</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45344</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45344</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45344</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45344</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45344</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45344</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45344</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45344</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45344</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45344</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45344</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45344</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45344</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45344</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45344</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45344</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45344</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45344</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45344</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45344</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45344</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45344</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45344</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45344</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45344</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45344</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45344</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45344</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45344</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45344</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45344</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45344</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45344</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45344</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45344</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45344</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45344</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45344</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45344</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45344</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45344</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45344</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45344</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45344</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45344</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45344</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45344</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45344</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45344</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45344</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45344</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45344</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45344</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45344</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45344</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45344</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45344</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45344</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45344</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45344</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45344</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45344</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25585-2023</t>
        </is>
      </c>
      <c r="B96" s="1" t="n">
        <v>45089</v>
      </c>
      <c r="C96" s="1" t="n">
        <v>45344</v>
      </c>
      <c r="D96" t="inlineStr">
        <is>
          <t>GÄVLEBORGS LÄN</t>
        </is>
      </c>
      <c r="E96" t="inlineStr">
        <is>
          <t>LJUSDAL</t>
        </is>
      </c>
      <c r="G96" t="n">
        <v>6</v>
      </c>
      <c r="H96" t="n">
        <v>3</v>
      </c>
      <c r="I96" t="n">
        <v>0</v>
      </c>
      <c r="J96" t="n">
        <v>4</v>
      </c>
      <c r="K96" t="n">
        <v>1</v>
      </c>
      <c r="L96" t="n">
        <v>0</v>
      </c>
      <c r="M96" t="n">
        <v>0</v>
      </c>
      <c r="N96" t="n">
        <v>0</v>
      </c>
      <c r="O96" t="n">
        <v>5</v>
      </c>
      <c r="P96" t="n">
        <v>1</v>
      </c>
      <c r="Q96" t="n">
        <v>5</v>
      </c>
      <c r="R96" s="2" t="inlineStr">
        <is>
          <t>Knärot
Granticka
Skogshare
Spillkråka
Tretåig hackspett</t>
        </is>
      </c>
      <c r="S96">
        <f>HYPERLINK("https://klasma.github.io/Logging_2161/artfynd/A 25585-2023 artfynd.xlsx", "A 25585-2023")</f>
        <v/>
      </c>
      <c r="T96">
        <f>HYPERLINK("https://klasma.github.io/Logging_2161/kartor/A 25585-2023 karta.png", "A 25585-2023")</f>
        <v/>
      </c>
      <c r="U96">
        <f>HYPERLINK("https://klasma.github.io/Logging_2161/knärot/A 25585-2023 karta knärot.png", "A 25585-2023")</f>
        <v/>
      </c>
      <c r="V96">
        <f>HYPERLINK("https://klasma.github.io/Logging_2161/klagomål/A 25585-2023 FSC-klagomål.docx", "A 25585-2023")</f>
        <v/>
      </c>
      <c r="W96">
        <f>HYPERLINK("https://klasma.github.io/Logging_2161/klagomålsmail/A 25585-2023 FSC-klagomål mail.docx", "A 25585-2023")</f>
        <v/>
      </c>
      <c r="X96">
        <f>HYPERLINK("https://klasma.github.io/Logging_2161/tillsyn/A 25585-2023 tillsynsbegäran.docx", "A 25585-2023")</f>
        <v/>
      </c>
      <c r="Y96">
        <f>HYPERLINK("https://klasma.github.io/Logging_2161/tillsynsmail/A 25585-2023 tillsynsbegäran mail.docx", "A 25585-2023")</f>
        <v/>
      </c>
      <c r="Z96">
        <f>HYPERLINK("https://klasma.github.io/Logging_2161/fåglar/A 25585-2023 prioriterade fågelarter.docx", "A 25585-2023")</f>
        <v/>
      </c>
    </row>
    <row r="97" ht="15" customHeight="1">
      <c r="A97" t="inlineStr">
        <is>
          <t>A 25953-2023</t>
        </is>
      </c>
      <c r="B97" s="1" t="n">
        <v>45090</v>
      </c>
      <c r="C97" s="1" t="n">
        <v>45344</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47142-2023</t>
        </is>
      </c>
      <c r="B98" s="1" t="n">
        <v>45201</v>
      </c>
      <c r="C98" s="1" t="n">
        <v>45344</v>
      </c>
      <c r="D98" t="inlineStr">
        <is>
          <t>GÄVLEBORGS LÄN</t>
        </is>
      </c>
      <c r="E98" t="inlineStr">
        <is>
          <t>LJUSDAL</t>
        </is>
      </c>
      <c r="F98" t="inlineStr">
        <is>
          <t>Sveaskog</t>
        </is>
      </c>
      <c r="G98" t="n">
        <v>2.8</v>
      </c>
      <c r="H98" t="n">
        <v>1</v>
      </c>
      <c r="I98" t="n">
        <v>2</v>
      </c>
      <c r="J98" t="n">
        <v>3</v>
      </c>
      <c r="K98" t="n">
        <v>0</v>
      </c>
      <c r="L98" t="n">
        <v>0</v>
      </c>
      <c r="M98" t="n">
        <v>0</v>
      </c>
      <c r="N98" t="n">
        <v>0</v>
      </c>
      <c r="O98" t="n">
        <v>3</v>
      </c>
      <c r="P98" t="n">
        <v>0</v>
      </c>
      <c r="Q98" t="n">
        <v>5</v>
      </c>
      <c r="R98" s="2" t="inlineStr">
        <is>
          <t>Garnlav
Kolflarnlav
Lunglav
Gullgröppa
Plattlummer</t>
        </is>
      </c>
      <c r="S98">
        <f>HYPERLINK("https://klasma.github.io/Logging_2161/artfynd/A 47142-2023 artfynd.xlsx", "A 47142-2023")</f>
        <v/>
      </c>
      <c r="T98">
        <f>HYPERLINK("https://klasma.github.io/Logging_2161/kartor/A 47142-2023 karta.png", "A 47142-2023")</f>
        <v/>
      </c>
      <c r="V98">
        <f>HYPERLINK("https://klasma.github.io/Logging_2161/klagomål/A 47142-2023 FSC-klagomål.docx", "A 47142-2023")</f>
        <v/>
      </c>
      <c r="W98">
        <f>HYPERLINK("https://klasma.github.io/Logging_2161/klagomålsmail/A 47142-2023 FSC-klagomål mail.docx", "A 47142-2023")</f>
        <v/>
      </c>
      <c r="X98">
        <f>HYPERLINK("https://klasma.github.io/Logging_2161/tillsyn/A 47142-2023 tillsynsbegäran.docx", "A 47142-2023")</f>
        <v/>
      </c>
      <c r="Y98">
        <f>HYPERLINK("https://klasma.github.io/Logging_2161/tillsynsmail/A 47142-2023 tillsynsbegäran mail.docx", "A 47142-2023")</f>
        <v/>
      </c>
    </row>
    <row r="99" ht="15" customHeight="1">
      <c r="A99" t="inlineStr">
        <is>
          <t>A 49799-2023</t>
        </is>
      </c>
      <c r="B99" s="1" t="n">
        <v>45212</v>
      </c>
      <c r="C99" s="1" t="n">
        <v>45344</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51955-2023</t>
        </is>
      </c>
      <c r="B100" s="1" t="n">
        <v>45223</v>
      </c>
      <c r="C100" s="1" t="n">
        <v>45344</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1101-2024</t>
        </is>
      </c>
      <c r="B101" s="1" t="n">
        <v>45302</v>
      </c>
      <c r="C101" s="1" t="n">
        <v>45344</v>
      </c>
      <c r="D101" t="inlineStr">
        <is>
          <t>GÄVLEBORGS LÄN</t>
        </is>
      </c>
      <c r="E101" t="inlineStr">
        <is>
          <t>GÄVLE</t>
        </is>
      </c>
      <c r="F101" t="inlineStr">
        <is>
          <t>Bergvik skog väst AB</t>
        </is>
      </c>
      <c r="G101" t="n">
        <v>6.5</v>
      </c>
      <c r="H101" t="n">
        <v>0</v>
      </c>
      <c r="I101" t="n">
        <v>1</v>
      </c>
      <c r="J101" t="n">
        <v>4</v>
      </c>
      <c r="K101" t="n">
        <v>0</v>
      </c>
      <c r="L101" t="n">
        <v>0</v>
      </c>
      <c r="M101" t="n">
        <v>0</v>
      </c>
      <c r="N101" t="n">
        <v>0</v>
      </c>
      <c r="O101" t="n">
        <v>4</v>
      </c>
      <c r="P101" t="n">
        <v>0</v>
      </c>
      <c r="Q101" t="n">
        <v>5</v>
      </c>
      <c r="R101" s="2" t="inlineStr">
        <is>
          <t>Blanksvart spiklav
Svartvit taggsvamp
Vedskivlav
Vedtrappmossa
Dropptaggsvamp</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6077-2024</t>
        </is>
      </c>
      <c r="B102" s="1" t="n">
        <v>45336</v>
      </c>
      <c r="C102" s="1" t="n">
        <v>45344</v>
      </c>
      <c r="D102" t="inlineStr">
        <is>
          <t>GÄVLEBORGS LÄN</t>
        </is>
      </c>
      <c r="E102" t="inlineStr">
        <is>
          <t>LJUSDAL</t>
        </is>
      </c>
      <c r="G102" t="n">
        <v>11.6</v>
      </c>
      <c r="H102" t="n">
        <v>0</v>
      </c>
      <c r="I102" t="n">
        <v>2</v>
      </c>
      <c r="J102" t="n">
        <v>3</v>
      </c>
      <c r="K102" t="n">
        <v>0</v>
      </c>
      <c r="L102" t="n">
        <v>0</v>
      </c>
      <c r="M102" t="n">
        <v>0</v>
      </c>
      <c r="N102" t="n">
        <v>0</v>
      </c>
      <c r="O102" t="n">
        <v>3</v>
      </c>
      <c r="P102" t="n">
        <v>0</v>
      </c>
      <c r="Q102" t="n">
        <v>5</v>
      </c>
      <c r="R102" s="2" t="inlineStr">
        <is>
          <t>Gränsticka
Rosenticka
Ullticka
Skinnlav
Stuplav</t>
        </is>
      </c>
      <c r="S102">
        <f>HYPERLINK("https://klasma.github.io/Logging_2161/artfynd/A 6077-2024 artfynd.xlsx", "A 6077-2024")</f>
        <v/>
      </c>
      <c r="T102">
        <f>HYPERLINK("https://klasma.github.io/Logging_2161/kartor/A 6077-2024 karta.png", "A 6077-2024")</f>
        <v/>
      </c>
      <c r="V102">
        <f>HYPERLINK("https://klasma.github.io/Logging_2161/klagomål/A 6077-2024 FSC-klagomål.docx", "A 6077-2024")</f>
        <v/>
      </c>
      <c r="W102">
        <f>HYPERLINK("https://klasma.github.io/Logging_2161/klagomålsmail/A 6077-2024 FSC-klagomål mail.docx", "A 6077-2024")</f>
        <v/>
      </c>
      <c r="X102">
        <f>HYPERLINK("https://klasma.github.io/Logging_2161/tillsyn/A 6077-2024 tillsynsbegäran.docx", "A 6077-2024")</f>
        <v/>
      </c>
      <c r="Y102">
        <f>HYPERLINK("https://klasma.github.io/Logging_2161/tillsynsmail/A 6077-2024 tillsynsbegäran mail.docx", "A 6077-2024")</f>
        <v/>
      </c>
    </row>
    <row r="103" ht="15" customHeight="1">
      <c r="A103" t="inlineStr">
        <is>
          <t>A 46239-2018</t>
        </is>
      </c>
      <c r="B103" s="1" t="n">
        <v>43367</v>
      </c>
      <c r="C103" s="1" t="n">
        <v>45344</v>
      </c>
      <c r="D103" t="inlineStr">
        <is>
          <t>GÄVLEBORGS LÄN</t>
        </is>
      </c>
      <c r="E103" t="inlineStr">
        <is>
          <t>LJUSDAL</t>
        </is>
      </c>
      <c r="G103" t="n">
        <v>113.5</v>
      </c>
      <c r="H103" t="n">
        <v>3</v>
      </c>
      <c r="I103" t="n">
        <v>0</v>
      </c>
      <c r="J103" t="n">
        <v>2</v>
      </c>
      <c r="K103" t="n">
        <v>0</v>
      </c>
      <c r="L103" t="n">
        <v>0</v>
      </c>
      <c r="M103" t="n">
        <v>1</v>
      </c>
      <c r="N103" t="n">
        <v>0</v>
      </c>
      <c r="O103" t="n">
        <v>3</v>
      </c>
      <c r="P103" t="n">
        <v>1</v>
      </c>
      <c r="Q103" t="n">
        <v>4</v>
      </c>
      <c r="R103" s="2" t="inlineStr">
        <is>
          <t>Ortolansparv
Buskskvätta
Slåtterfibbla
Nattviol</t>
        </is>
      </c>
      <c r="S103">
        <f>HYPERLINK("https://klasma.github.io/Logging_2161/artfynd/A 46239-2018 artfynd.xlsx", "A 46239-2018")</f>
        <v/>
      </c>
      <c r="T103">
        <f>HYPERLINK("https://klasma.github.io/Logging_2161/kartor/A 46239-2018 karta.png", "A 46239-2018")</f>
        <v/>
      </c>
      <c r="V103">
        <f>HYPERLINK("https://klasma.github.io/Logging_2161/klagomål/A 46239-2018 FSC-klagomål.docx", "A 46239-2018")</f>
        <v/>
      </c>
      <c r="W103">
        <f>HYPERLINK("https://klasma.github.io/Logging_2161/klagomålsmail/A 46239-2018 FSC-klagomål mail.docx", "A 46239-2018")</f>
        <v/>
      </c>
      <c r="X103">
        <f>HYPERLINK("https://klasma.github.io/Logging_2161/tillsyn/A 46239-2018 tillsynsbegäran.docx", "A 46239-2018")</f>
        <v/>
      </c>
      <c r="Y103">
        <f>HYPERLINK("https://klasma.github.io/Logging_2161/tillsynsmail/A 46239-2018 tillsynsbegäran mail.docx", "A 46239-2018")</f>
        <v/>
      </c>
      <c r="Z103">
        <f>HYPERLINK("https://klasma.github.io/Logging_2161/fåglar/A 46239-2018 prioriterade fågelarter.docx", "A 46239-2018")</f>
        <v/>
      </c>
    </row>
    <row r="104" ht="15" customHeight="1">
      <c r="A104" t="inlineStr">
        <is>
          <t>A 57120-2018</t>
        </is>
      </c>
      <c r="B104" s="1" t="n">
        <v>43403</v>
      </c>
      <c r="C104" s="1" t="n">
        <v>45344</v>
      </c>
      <c r="D104" t="inlineStr">
        <is>
          <t>GÄVLEBORGS LÄN</t>
        </is>
      </c>
      <c r="E104" t="inlineStr">
        <is>
          <t>HUDIKSVALL</t>
        </is>
      </c>
      <c r="F104" t="inlineStr">
        <is>
          <t>Holmen skog AB</t>
        </is>
      </c>
      <c r="G104" t="n">
        <v>6.8</v>
      </c>
      <c r="H104" t="n">
        <v>1</v>
      </c>
      <c r="I104" t="n">
        <v>0</v>
      </c>
      <c r="J104" t="n">
        <v>4</v>
      </c>
      <c r="K104" t="n">
        <v>0</v>
      </c>
      <c r="L104" t="n">
        <v>0</v>
      </c>
      <c r="M104" t="n">
        <v>0</v>
      </c>
      <c r="N104" t="n">
        <v>0</v>
      </c>
      <c r="O104" t="n">
        <v>4</v>
      </c>
      <c r="P104" t="n">
        <v>0</v>
      </c>
      <c r="Q104" t="n">
        <v>4</v>
      </c>
      <c r="R104" s="2" t="inlineStr">
        <is>
          <t>Kortskaftad ärgspik
Tallticka
Tretåig hackspett
Ullticka</t>
        </is>
      </c>
      <c r="S104">
        <f>HYPERLINK("https://klasma.github.io/Logging_2184/artfynd/A 57120-2018 artfynd.xlsx", "A 57120-2018")</f>
        <v/>
      </c>
      <c r="T104">
        <f>HYPERLINK("https://klasma.github.io/Logging_2184/kartor/A 57120-2018 karta.png", "A 57120-2018")</f>
        <v/>
      </c>
      <c r="V104">
        <f>HYPERLINK("https://klasma.github.io/Logging_2184/klagomål/A 57120-2018 FSC-klagomål.docx", "A 57120-2018")</f>
        <v/>
      </c>
      <c r="W104">
        <f>HYPERLINK("https://klasma.github.io/Logging_2184/klagomålsmail/A 57120-2018 FSC-klagomål mail.docx", "A 57120-2018")</f>
        <v/>
      </c>
      <c r="X104">
        <f>HYPERLINK("https://klasma.github.io/Logging_2184/tillsyn/A 57120-2018 tillsynsbegäran.docx", "A 57120-2018")</f>
        <v/>
      </c>
      <c r="Y104">
        <f>HYPERLINK("https://klasma.github.io/Logging_2184/tillsynsmail/A 57120-2018 tillsynsbegäran mail.docx", "A 57120-2018")</f>
        <v/>
      </c>
      <c r="Z104">
        <f>HYPERLINK("https://klasma.github.io/Logging_2184/fåglar/A 57120-2018 prioriterade fågelarter.docx", "A 57120-2018")</f>
        <v/>
      </c>
    </row>
    <row r="105" ht="15" customHeight="1">
      <c r="A105" t="inlineStr">
        <is>
          <t>A 67528-2018</t>
        </is>
      </c>
      <c r="B105" s="1" t="n">
        <v>43432</v>
      </c>
      <c r="C105" s="1" t="n">
        <v>45344</v>
      </c>
      <c r="D105" t="inlineStr">
        <is>
          <t>GÄVLEBORGS LÄN</t>
        </is>
      </c>
      <c r="E105" t="inlineStr">
        <is>
          <t>LJUSDAL</t>
        </is>
      </c>
      <c r="F105" t="inlineStr">
        <is>
          <t>Sveaskog</t>
        </is>
      </c>
      <c r="G105" t="n">
        <v>509.1</v>
      </c>
      <c r="H105" t="n">
        <v>1</v>
      </c>
      <c r="I105" t="n">
        <v>1</v>
      </c>
      <c r="J105" t="n">
        <v>2</v>
      </c>
      <c r="K105" t="n">
        <v>0</v>
      </c>
      <c r="L105" t="n">
        <v>0</v>
      </c>
      <c r="M105" t="n">
        <v>1</v>
      </c>
      <c r="N105" t="n">
        <v>0</v>
      </c>
      <c r="O105" t="n">
        <v>3</v>
      </c>
      <c r="P105" t="n">
        <v>1</v>
      </c>
      <c r="Q105" t="n">
        <v>4</v>
      </c>
      <c r="R105" s="2" t="inlineStr">
        <is>
          <t>Ortolansparv
Brunag
Svedjenäva
Tibast</t>
        </is>
      </c>
      <c r="S105">
        <f>HYPERLINK("https://klasma.github.io/Logging_2161/artfynd/A 67528-2018 artfynd.xlsx", "A 67528-2018")</f>
        <v/>
      </c>
      <c r="T105">
        <f>HYPERLINK("https://klasma.github.io/Logging_2161/kartor/A 67528-2018 karta.png", "A 67528-2018")</f>
        <v/>
      </c>
      <c r="V105">
        <f>HYPERLINK("https://klasma.github.io/Logging_2161/klagomål/A 67528-2018 FSC-klagomål.docx", "A 67528-2018")</f>
        <v/>
      </c>
      <c r="W105">
        <f>HYPERLINK("https://klasma.github.io/Logging_2161/klagomålsmail/A 67528-2018 FSC-klagomål mail.docx", "A 67528-2018")</f>
        <v/>
      </c>
      <c r="X105">
        <f>HYPERLINK("https://klasma.github.io/Logging_2161/tillsyn/A 67528-2018 tillsynsbegäran.docx", "A 67528-2018")</f>
        <v/>
      </c>
      <c r="Y105">
        <f>HYPERLINK("https://klasma.github.io/Logging_2161/tillsynsmail/A 67528-2018 tillsynsbegäran mail.docx", "A 67528-2018")</f>
        <v/>
      </c>
      <c r="Z105">
        <f>HYPERLINK("https://klasma.github.io/Logging_2161/fåglar/A 67528-2018 prioriterade fågelarter.docx", "A 67528-2018")</f>
        <v/>
      </c>
    </row>
    <row r="106" ht="15" customHeight="1">
      <c r="A106" t="inlineStr">
        <is>
          <t>A 47377-2019</t>
        </is>
      </c>
      <c r="B106" s="1" t="n">
        <v>43721</v>
      </c>
      <c r="C106" s="1" t="n">
        <v>45344</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45344</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45344</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45344</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45344</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64590-2020</t>
        </is>
      </c>
      <c r="B111" s="1" t="n">
        <v>44169</v>
      </c>
      <c r="C111" s="1" t="n">
        <v>45344</v>
      </c>
      <c r="D111" t="inlineStr">
        <is>
          <t>GÄVLEBORGS LÄN</t>
        </is>
      </c>
      <c r="E111" t="inlineStr">
        <is>
          <t>OCKELBO</t>
        </is>
      </c>
      <c r="F111" t="inlineStr">
        <is>
          <t>Bergvik skog väst AB</t>
        </is>
      </c>
      <c r="G111" t="n">
        <v>2.8</v>
      </c>
      <c r="H111" t="n">
        <v>1</v>
      </c>
      <c r="I111" t="n">
        <v>0</v>
      </c>
      <c r="J111" t="n">
        <v>3</v>
      </c>
      <c r="K111" t="n">
        <v>0</v>
      </c>
      <c r="L111" t="n">
        <v>0</v>
      </c>
      <c r="M111" t="n">
        <v>0</v>
      </c>
      <c r="N111" t="n">
        <v>0</v>
      </c>
      <c r="O111" t="n">
        <v>3</v>
      </c>
      <c r="P111" t="n">
        <v>0</v>
      </c>
      <c r="Q111" t="n">
        <v>4</v>
      </c>
      <c r="R111" s="2" t="inlineStr">
        <is>
          <t>Garnlav
Motaggsvamp
Vedskivlav
Revlummer</t>
        </is>
      </c>
      <c r="S111">
        <f>HYPERLINK("https://klasma.github.io/Logging_2101/artfynd/A 64590-2020 artfynd.xlsx", "A 64590-2020")</f>
        <v/>
      </c>
      <c r="T111">
        <f>HYPERLINK("https://klasma.github.io/Logging_2101/kartor/A 64590-2020 karta.png", "A 64590-2020")</f>
        <v/>
      </c>
      <c r="V111">
        <f>HYPERLINK("https://klasma.github.io/Logging_2101/klagomål/A 64590-2020 FSC-klagomål.docx", "A 64590-2020")</f>
        <v/>
      </c>
      <c r="W111">
        <f>HYPERLINK("https://klasma.github.io/Logging_2101/klagomålsmail/A 64590-2020 FSC-klagomål mail.docx", "A 64590-2020")</f>
        <v/>
      </c>
      <c r="X111">
        <f>HYPERLINK("https://klasma.github.io/Logging_2101/tillsyn/A 64590-2020 tillsynsbegäran.docx", "A 64590-2020")</f>
        <v/>
      </c>
      <c r="Y111">
        <f>HYPERLINK("https://klasma.github.io/Logging_2101/tillsynsmail/A 64590-2020 tillsynsbegäran mail.docx", "A 64590-2020")</f>
        <v/>
      </c>
    </row>
    <row r="112" ht="15" customHeight="1">
      <c r="A112" t="inlineStr">
        <is>
          <t>A 48181-2021</t>
        </is>
      </c>
      <c r="B112" s="1" t="n">
        <v>44449</v>
      </c>
      <c r="C112" s="1" t="n">
        <v>45344</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10969-2022</t>
        </is>
      </c>
      <c r="B113" s="1" t="n">
        <v>44628</v>
      </c>
      <c r="C113" s="1" t="n">
        <v>45344</v>
      </c>
      <c r="D113" t="inlineStr">
        <is>
          <t>GÄVLEBORGS LÄN</t>
        </is>
      </c>
      <c r="E113" t="inlineStr">
        <is>
          <t>HUDIKSVALL</t>
        </is>
      </c>
      <c r="F113" t="inlineStr">
        <is>
          <t>Holmen skog AB</t>
        </is>
      </c>
      <c r="G113" t="n">
        <v>5.7</v>
      </c>
      <c r="H113" t="n">
        <v>1</v>
      </c>
      <c r="I113" t="n">
        <v>1</v>
      </c>
      <c r="J113" t="n">
        <v>2</v>
      </c>
      <c r="K113" t="n">
        <v>0</v>
      </c>
      <c r="L113" t="n">
        <v>0</v>
      </c>
      <c r="M113" t="n">
        <v>0</v>
      </c>
      <c r="N113" t="n">
        <v>0</v>
      </c>
      <c r="O113" t="n">
        <v>2</v>
      </c>
      <c r="P113" t="n">
        <v>0</v>
      </c>
      <c r="Q113" t="n">
        <v>4</v>
      </c>
      <c r="R113" s="2" t="inlineStr">
        <is>
          <t>Garnlav
Lunglav
Bollvitmossa
Revlummer</t>
        </is>
      </c>
      <c r="S113">
        <f>HYPERLINK("https://klasma.github.io/Logging_2184/artfynd/A 10969-2022 artfynd.xlsx", "A 10969-2022")</f>
        <v/>
      </c>
      <c r="T113">
        <f>HYPERLINK("https://klasma.github.io/Logging_2184/kartor/A 10969-2022 karta.png", "A 10969-2022")</f>
        <v/>
      </c>
      <c r="V113">
        <f>HYPERLINK("https://klasma.github.io/Logging_2184/klagomål/A 10969-2022 FSC-klagomål.docx", "A 10969-2022")</f>
        <v/>
      </c>
      <c r="W113">
        <f>HYPERLINK("https://klasma.github.io/Logging_2184/klagomålsmail/A 10969-2022 FSC-klagomål mail.docx", "A 10969-2022")</f>
        <v/>
      </c>
      <c r="X113">
        <f>HYPERLINK("https://klasma.github.io/Logging_2184/tillsyn/A 10969-2022 tillsynsbegäran.docx", "A 10969-2022")</f>
        <v/>
      </c>
      <c r="Y113">
        <f>HYPERLINK("https://klasma.github.io/Logging_2184/tillsynsmail/A 10969-2022 tillsynsbegäran mail.docx", "A 10969-2022")</f>
        <v/>
      </c>
    </row>
    <row r="114" ht="15" customHeight="1">
      <c r="A114" t="inlineStr">
        <is>
          <t>A 18543-2022</t>
        </is>
      </c>
      <c r="B114" s="1" t="n">
        <v>44686</v>
      </c>
      <c r="C114" s="1" t="n">
        <v>45344</v>
      </c>
      <c r="D114" t="inlineStr">
        <is>
          <t>GÄVLEBORGS LÄN</t>
        </is>
      </c>
      <c r="E114" t="inlineStr">
        <is>
          <t>LJUSDAL</t>
        </is>
      </c>
      <c r="G114" t="n">
        <v>3.6</v>
      </c>
      <c r="H114" t="n">
        <v>1</v>
      </c>
      <c r="I114" t="n">
        <v>2</v>
      </c>
      <c r="J114" t="n">
        <v>1</v>
      </c>
      <c r="K114" t="n">
        <v>1</v>
      </c>
      <c r="L114" t="n">
        <v>0</v>
      </c>
      <c r="M114" t="n">
        <v>0</v>
      </c>
      <c r="N114" t="n">
        <v>0</v>
      </c>
      <c r="O114" t="n">
        <v>2</v>
      </c>
      <c r="P114" t="n">
        <v>1</v>
      </c>
      <c r="Q114" t="n">
        <v>4</v>
      </c>
      <c r="R114" s="2" t="inlineStr">
        <is>
          <t>Knärot
Vedtrappmossa
Bårdlav
Stuplav</t>
        </is>
      </c>
      <c r="S114">
        <f>HYPERLINK("https://klasma.github.io/Logging_2161/artfynd/A 18543-2022 artfynd.xlsx", "A 18543-2022")</f>
        <v/>
      </c>
      <c r="T114">
        <f>HYPERLINK("https://klasma.github.io/Logging_2161/kartor/A 18543-2022 karta.png", "A 18543-2022")</f>
        <v/>
      </c>
      <c r="U114">
        <f>HYPERLINK("https://klasma.github.io/Logging_2161/knärot/A 18543-2022 karta knärot.png", "A 18543-2022")</f>
        <v/>
      </c>
      <c r="V114">
        <f>HYPERLINK("https://klasma.github.io/Logging_2161/klagomål/A 18543-2022 FSC-klagomål.docx", "A 18543-2022")</f>
        <v/>
      </c>
      <c r="W114">
        <f>HYPERLINK("https://klasma.github.io/Logging_2161/klagomålsmail/A 18543-2022 FSC-klagomål mail.docx", "A 18543-2022")</f>
        <v/>
      </c>
      <c r="X114">
        <f>HYPERLINK("https://klasma.github.io/Logging_2161/tillsyn/A 18543-2022 tillsynsbegäran.docx", "A 18543-2022")</f>
        <v/>
      </c>
      <c r="Y114">
        <f>HYPERLINK("https://klasma.github.io/Logging_2161/tillsynsmail/A 18543-2022 tillsynsbegäran mail.docx", "A 18543-2022")</f>
        <v/>
      </c>
    </row>
    <row r="115" ht="15" customHeight="1">
      <c r="A115" t="inlineStr">
        <is>
          <t>A 18883-2022</t>
        </is>
      </c>
      <c r="B115" s="1" t="n">
        <v>44690</v>
      </c>
      <c r="C115" s="1" t="n">
        <v>45344</v>
      </c>
      <c r="D115" t="inlineStr">
        <is>
          <t>GÄVLEBORGS LÄN</t>
        </is>
      </c>
      <c r="E115" t="inlineStr">
        <is>
          <t>HUDIKSVALL</t>
        </is>
      </c>
      <c r="F115" t="inlineStr">
        <is>
          <t>Holmen skog AB</t>
        </is>
      </c>
      <c r="G115" t="n">
        <v>10.4</v>
      </c>
      <c r="H115" t="n">
        <v>2</v>
      </c>
      <c r="I115" t="n">
        <v>1</v>
      </c>
      <c r="J115" t="n">
        <v>1</v>
      </c>
      <c r="K115" t="n">
        <v>0</v>
      </c>
      <c r="L115" t="n">
        <v>0</v>
      </c>
      <c r="M115" t="n">
        <v>0</v>
      </c>
      <c r="N115" t="n">
        <v>0</v>
      </c>
      <c r="O115" t="n">
        <v>1</v>
      </c>
      <c r="P115" t="n">
        <v>0</v>
      </c>
      <c r="Q115" t="n">
        <v>4</v>
      </c>
      <c r="R115" s="2" t="inlineStr">
        <is>
          <t>Backruta
Ögonpyrola
Fläcknycklar
Gullviva</t>
        </is>
      </c>
      <c r="S115">
        <f>HYPERLINK("https://klasma.github.io/Logging_2184/artfynd/A 18883-2022 artfynd.xlsx", "A 18883-2022")</f>
        <v/>
      </c>
      <c r="T115">
        <f>HYPERLINK("https://klasma.github.io/Logging_2184/kartor/A 18883-2022 karta.png", "A 18883-2022")</f>
        <v/>
      </c>
      <c r="V115">
        <f>HYPERLINK("https://klasma.github.io/Logging_2184/klagomål/A 18883-2022 FSC-klagomål.docx", "A 18883-2022")</f>
        <v/>
      </c>
      <c r="W115">
        <f>HYPERLINK("https://klasma.github.io/Logging_2184/klagomålsmail/A 18883-2022 FSC-klagomål mail.docx", "A 18883-2022")</f>
        <v/>
      </c>
      <c r="X115">
        <f>HYPERLINK("https://klasma.github.io/Logging_2184/tillsyn/A 18883-2022 tillsynsbegäran.docx", "A 18883-2022")</f>
        <v/>
      </c>
      <c r="Y115">
        <f>HYPERLINK("https://klasma.github.io/Logging_2184/tillsynsmail/A 18883-2022 tillsynsbegäran mail.docx", "A 18883-2022")</f>
        <v/>
      </c>
    </row>
    <row r="116" ht="15" customHeight="1">
      <c r="A116" t="inlineStr">
        <is>
          <t>A 30311-2022</t>
        </is>
      </c>
      <c r="B116" s="1" t="n">
        <v>44760</v>
      </c>
      <c r="C116" s="1" t="n">
        <v>45344</v>
      </c>
      <c r="D116" t="inlineStr">
        <is>
          <t>GÄVLEBORGS LÄN</t>
        </is>
      </c>
      <c r="E116" t="inlineStr">
        <is>
          <t>LJUSDAL</t>
        </is>
      </c>
      <c r="F116" t="inlineStr">
        <is>
          <t>Bergvik skog väst AB</t>
        </is>
      </c>
      <c r="G116" t="n">
        <v>18.3</v>
      </c>
      <c r="H116" t="n">
        <v>0</v>
      </c>
      <c r="I116" t="n">
        <v>0</v>
      </c>
      <c r="J116" t="n">
        <v>4</v>
      </c>
      <c r="K116" t="n">
        <v>0</v>
      </c>
      <c r="L116" t="n">
        <v>0</v>
      </c>
      <c r="M116" t="n">
        <v>0</v>
      </c>
      <c r="N116" t="n">
        <v>0</v>
      </c>
      <c r="O116" t="n">
        <v>4</v>
      </c>
      <c r="P116" t="n">
        <v>0</v>
      </c>
      <c r="Q116" t="n">
        <v>4</v>
      </c>
      <c r="R116" s="2" t="inlineStr">
        <is>
          <t>Dvärgbägarlav
Mörk kolflarnlav
Vedflamlav
Vedskivlav</t>
        </is>
      </c>
      <c r="S116">
        <f>HYPERLINK("https://klasma.github.io/Logging_2161/artfynd/A 30311-2022 artfynd.xlsx", "A 30311-2022")</f>
        <v/>
      </c>
      <c r="T116">
        <f>HYPERLINK("https://klasma.github.io/Logging_2161/kartor/A 30311-2022 karta.png", "A 30311-2022")</f>
        <v/>
      </c>
      <c r="V116">
        <f>HYPERLINK("https://klasma.github.io/Logging_2161/klagomål/A 30311-2022 FSC-klagomål.docx", "A 30311-2022")</f>
        <v/>
      </c>
      <c r="W116">
        <f>HYPERLINK("https://klasma.github.io/Logging_2161/klagomålsmail/A 30311-2022 FSC-klagomål mail.docx", "A 30311-2022")</f>
        <v/>
      </c>
      <c r="X116">
        <f>HYPERLINK("https://klasma.github.io/Logging_2161/tillsyn/A 30311-2022 tillsynsbegäran.docx", "A 30311-2022")</f>
        <v/>
      </c>
      <c r="Y116">
        <f>HYPERLINK("https://klasma.github.io/Logging_2161/tillsynsmail/A 30311-2022 tillsynsbegäran mail.docx", "A 30311-2022")</f>
        <v/>
      </c>
    </row>
    <row r="117" ht="15" customHeight="1">
      <c r="A117" t="inlineStr">
        <is>
          <t>A 44589-2022</t>
        </is>
      </c>
      <c r="B117" s="1" t="n">
        <v>44840</v>
      </c>
      <c r="C117" s="1" t="n">
        <v>45344</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45344</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45344</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45344</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45344</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45344</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45344</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45196-2023</t>
        </is>
      </c>
      <c r="B124" s="1" t="n">
        <v>45191</v>
      </c>
      <c r="C124" s="1" t="n">
        <v>45344</v>
      </c>
      <c r="D124" t="inlineStr">
        <is>
          <t>GÄVLEBORGS LÄN</t>
        </is>
      </c>
      <c r="E124" t="inlineStr">
        <is>
          <t>LJUSDAL</t>
        </is>
      </c>
      <c r="F124" t="inlineStr">
        <is>
          <t>Sveaskog</t>
        </is>
      </c>
      <c r="G124" t="n">
        <v>1.8</v>
      </c>
      <c r="H124" t="n">
        <v>1</v>
      </c>
      <c r="I124" t="n">
        <v>1</v>
      </c>
      <c r="J124" t="n">
        <v>3</v>
      </c>
      <c r="K124" t="n">
        <v>0</v>
      </c>
      <c r="L124" t="n">
        <v>0</v>
      </c>
      <c r="M124" t="n">
        <v>0</v>
      </c>
      <c r="N124" t="n">
        <v>0</v>
      </c>
      <c r="O124" t="n">
        <v>3</v>
      </c>
      <c r="P124" t="n">
        <v>0</v>
      </c>
      <c r="Q124" t="n">
        <v>4</v>
      </c>
      <c r="R124" s="2" t="inlineStr">
        <is>
          <t>Kolflarnlav
Lunglav
Mörk kolflarnlav
Plattlummer</t>
        </is>
      </c>
      <c r="S124">
        <f>HYPERLINK("https://klasma.github.io/Logging_2161/artfynd/A 45196-2023 artfynd.xlsx", "A 45196-2023")</f>
        <v/>
      </c>
      <c r="T124">
        <f>HYPERLINK("https://klasma.github.io/Logging_2161/kartor/A 45196-2023 karta.png", "A 45196-2023")</f>
        <v/>
      </c>
      <c r="V124">
        <f>HYPERLINK("https://klasma.github.io/Logging_2161/klagomål/A 45196-2023 FSC-klagomål.docx", "A 45196-2023")</f>
        <v/>
      </c>
      <c r="W124">
        <f>HYPERLINK("https://klasma.github.io/Logging_2161/klagomålsmail/A 45196-2023 FSC-klagomål mail.docx", "A 45196-2023")</f>
        <v/>
      </c>
      <c r="X124">
        <f>HYPERLINK("https://klasma.github.io/Logging_2161/tillsyn/A 45196-2023 tillsynsbegäran.docx", "A 45196-2023")</f>
        <v/>
      </c>
      <c r="Y124">
        <f>HYPERLINK("https://klasma.github.io/Logging_2161/tillsynsmail/A 45196-2023 tillsynsbegäran mail.docx", "A 45196-2023")</f>
        <v/>
      </c>
    </row>
    <row r="125" ht="15" customHeight="1">
      <c r="A125" t="inlineStr">
        <is>
          <t>A 50924-2023</t>
        </is>
      </c>
      <c r="B125" s="1" t="n">
        <v>45218</v>
      </c>
      <c r="C125" s="1" t="n">
        <v>45344</v>
      </c>
      <c r="D125" t="inlineStr">
        <is>
          <t>GÄVLEBORGS LÄN</t>
        </is>
      </c>
      <c r="E125" t="inlineStr">
        <is>
          <t>HUDIKSVALL</t>
        </is>
      </c>
      <c r="G125" t="n">
        <v>6.4</v>
      </c>
      <c r="H125" t="n">
        <v>1</v>
      </c>
      <c r="I125" t="n">
        <v>1</v>
      </c>
      <c r="J125" t="n">
        <v>2</v>
      </c>
      <c r="K125" t="n">
        <v>0</v>
      </c>
      <c r="L125" t="n">
        <v>0</v>
      </c>
      <c r="M125" t="n">
        <v>0</v>
      </c>
      <c r="N125" t="n">
        <v>0</v>
      </c>
      <c r="O125" t="n">
        <v>2</v>
      </c>
      <c r="P125" t="n">
        <v>0</v>
      </c>
      <c r="Q125" t="n">
        <v>4</v>
      </c>
      <c r="R125" s="2" t="inlineStr">
        <is>
          <t>Motaggsvamp
Skogshare
Nästlav
Fläcknycklar</t>
        </is>
      </c>
      <c r="S125">
        <f>HYPERLINK("https://klasma.github.io/Logging_2184/artfynd/A 50924-2023 artfynd.xlsx", "A 50924-2023")</f>
        <v/>
      </c>
      <c r="T125">
        <f>HYPERLINK("https://klasma.github.io/Logging_2184/kartor/A 50924-2023 karta.png", "A 50924-2023")</f>
        <v/>
      </c>
      <c r="V125">
        <f>HYPERLINK("https://klasma.github.io/Logging_2184/klagomål/A 50924-2023 FSC-klagomål.docx", "A 50924-2023")</f>
        <v/>
      </c>
      <c r="W125">
        <f>HYPERLINK("https://klasma.github.io/Logging_2184/klagomålsmail/A 50924-2023 FSC-klagomål mail.docx", "A 50924-2023")</f>
        <v/>
      </c>
      <c r="X125">
        <f>HYPERLINK("https://klasma.github.io/Logging_2184/tillsyn/A 50924-2023 tillsynsbegäran.docx", "A 50924-2023")</f>
        <v/>
      </c>
      <c r="Y125">
        <f>HYPERLINK("https://klasma.github.io/Logging_2184/tillsynsmail/A 50924-2023 tillsynsbegäran mail.docx", "A 50924-2023")</f>
        <v/>
      </c>
    </row>
    <row r="126" ht="15" customHeight="1">
      <c r="A126" t="inlineStr">
        <is>
          <t>A 51415-2023</t>
        </is>
      </c>
      <c r="B126" s="1" t="n">
        <v>45219</v>
      </c>
      <c r="C126" s="1" t="n">
        <v>45344</v>
      </c>
      <c r="D126" t="inlineStr">
        <is>
          <t>GÄVLEBORGS LÄN</t>
        </is>
      </c>
      <c r="E126" t="inlineStr">
        <is>
          <t>LJUSDAL</t>
        </is>
      </c>
      <c r="F126" t="inlineStr">
        <is>
          <t>Sveaskog</t>
        </is>
      </c>
      <c r="G126" t="n">
        <v>11.9</v>
      </c>
      <c r="H126" t="n">
        <v>0</v>
      </c>
      <c r="I126" t="n">
        <v>0</v>
      </c>
      <c r="J126" t="n">
        <v>4</v>
      </c>
      <c r="K126" t="n">
        <v>0</v>
      </c>
      <c r="L126" t="n">
        <v>0</v>
      </c>
      <c r="M126" t="n">
        <v>0</v>
      </c>
      <c r="N126" t="n">
        <v>0</v>
      </c>
      <c r="O126" t="n">
        <v>4</v>
      </c>
      <c r="P126" t="n">
        <v>0</v>
      </c>
      <c r="Q126" t="n">
        <v>4</v>
      </c>
      <c r="R126" s="2" t="inlineStr">
        <is>
          <t>Kolflarnlav
Motaggsvamp
Skrovlig taggsvamp
Vedflamlav</t>
        </is>
      </c>
      <c r="S126">
        <f>HYPERLINK("https://klasma.github.io/Logging_2161/artfynd/A 51415-2023 artfynd.xlsx", "A 51415-2023")</f>
        <v/>
      </c>
      <c r="T126">
        <f>HYPERLINK("https://klasma.github.io/Logging_2161/kartor/A 51415-2023 karta.png", "A 51415-2023")</f>
        <v/>
      </c>
      <c r="V126">
        <f>HYPERLINK("https://klasma.github.io/Logging_2161/klagomål/A 51415-2023 FSC-klagomål.docx", "A 51415-2023")</f>
        <v/>
      </c>
      <c r="W126">
        <f>HYPERLINK("https://klasma.github.io/Logging_2161/klagomålsmail/A 51415-2023 FSC-klagomål mail.docx", "A 51415-2023")</f>
        <v/>
      </c>
      <c r="X126">
        <f>HYPERLINK("https://klasma.github.io/Logging_2161/tillsyn/A 51415-2023 tillsynsbegäran.docx", "A 51415-2023")</f>
        <v/>
      </c>
      <c r="Y126">
        <f>HYPERLINK("https://klasma.github.io/Logging_2161/tillsynsmail/A 51415-2023 tillsynsbegäran mail.docx", "A 51415-2023")</f>
        <v/>
      </c>
    </row>
    <row r="127" ht="15" customHeight="1">
      <c r="A127" t="inlineStr">
        <is>
          <t>A 52131-2023</t>
        </is>
      </c>
      <c r="B127" s="1" t="n">
        <v>45223</v>
      </c>
      <c r="C127" s="1" t="n">
        <v>45344</v>
      </c>
      <c r="D127" t="inlineStr">
        <is>
          <t>GÄVLEBORGS LÄN</t>
        </is>
      </c>
      <c r="E127" t="inlineStr">
        <is>
          <t>LJUSDAL</t>
        </is>
      </c>
      <c r="F127" t="inlineStr">
        <is>
          <t>SCA</t>
        </is>
      </c>
      <c r="G127" t="n">
        <v>3.9</v>
      </c>
      <c r="H127" t="n">
        <v>4</v>
      </c>
      <c r="I127" t="n">
        <v>1</v>
      </c>
      <c r="J127" t="n">
        <v>1</v>
      </c>
      <c r="K127" t="n">
        <v>0</v>
      </c>
      <c r="L127" t="n">
        <v>0</v>
      </c>
      <c r="M127" t="n">
        <v>0</v>
      </c>
      <c r="N127" t="n">
        <v>0</v>
      </c>
      <c r="O127" t="n">
        <v>1</v>
      </c>
      <c r="P127" t="n">
        <v>0</v>
      </c>
      <c r="Q127" t="n">
        <v>4</v>
      </c>
      <c r="R127" s="2" t="inlineStr">
        <is>
          <t>Järpe
Korallrot
Fläcknycklar
Revlummer</t>
        </is>
      </c>
      <c r="S127">
        <f>HYPERLINK("https://klasma.github.io/Logging_2161/artfynd/A 52131-2023 artfynd.xlsx", "A 52131-2023")</f>
        <v/>
      </c>
      <c r="T127">
        <f>HYPERLINK("https://klasma.github.io/Logging_2161/kartor/A 52131-2023 karta.png", "A 52131-2023")</f>
        <v/>
      </c>
      <c r="V127">
        <f>HYPERLINK("https://klasma.github.io/Logging_2161/klagomål/A 52131-2023 FSC-klagomål.docx", "A 52131-2023")</f>
        <v/>
      </c>
      <c r="W127">
        <f>HYPERLINK("https://klasma.github.io/Logging_2161/klagomålsmail/A 52131-2023 FSC-klagomål mail.docx", "A 52131-2023")</f>
        <v/>
      </c>
      <c r="X127">
        <f>HYPERLINK("https://klasma.github.io/Logging_2161/tillsyn/A 52131-2023 tillsynsbegäran.docx", "A 52131-2023")</f>
        <v/>
      </c>
      <c r="Y127">
        <f>HYPERLINK("https://klasma.github.io/Logging_2161/tillsynsmail/A 52131-2023 tillsynsbegäran mail.docx", "A 52131-2023")</f>
        <v/>
      </c>
      <c r="Z127">
        <f>HYPERLINK("https://klasma.github.io/Logging_2161/fåglar/A 52131-2023 prioriterade fågelarter.docx", "A 52131-2023")</f>
        <v/>
      </c>
    </row>
    <row r="128" ht="15" customHeight="1">
      <c r="A128" t="inlineStr">
        <is>
          <t>A 53249-2023</t>
        </is>
      </c>
      <c r="B128" s="1" t="n">
        <v>45229</v>
      </c>
      <c r="C128" s="1" t="n">
        <v>45344</v>
      </c>
      <c r="D128" t="inlineStr">
        <is>
          <t>GÄVLEBORGS LÄN</t>
        </is>
      </c>
      <c r="E128" t="inlineStr">
        <is>
          <t>LJUSDAL</t>
        </is>
      </c>
      <c r="F128" t="inlineStr">
        <is>
          <t>Sveaskog</t>
        </is>
      </c>
      <c r="G128" t="n">
        <v>3.2</v>
      </c>
      <c r="H128" t="n">
        <v>0</v>
      </c>
      <c r="I128" t="n">
        <v>0</v>
      </c>
      <c r="J128" t="n">
        <v>4</v>
      </c>
      <c r="K128" t="n">
        <v>0</v>
      </c>
      <c r="L128" t="n">
        <v>0</v>
      </c>
      <c r="M128" t="n">
        <v>0</v>
      </c>
      <c r="N128" t="n">
        <v>0</v>
      </c>
      <c r="O128" t="n">
        <v>4</v>
      </c>
      <c r="P128" t="n">
        <v>0</v>
      </c>
      <c r="Q128" t="n">
        <v>4</v>
      </c>
      <c r="R128" s="2" t="inlineStr">
        <is>
          <t>Kolflarnlav
Motaggsvamp
Orange taggsvamp
Vedflamlav</t>
        </is>
      </c>
      <c r="S128">
        <f>HYPERLINK("https://klasma.github.io/Logging_2161/artfynd/A 53249-2023 artfynd.xlsx", "A 53249-2023")</f>
        <v/>
      </c>
      <c r="T128">
        <f>HYPERLINK("https://klasma.github.io/Logging_2161/kartor/A 53249-2023 karta.png", "A 53249-2023")</f>
        <v/>
      </c>
      <c r="V128">
        <f>HYPERLINK("https://klasma.github.io/Logging_2161/klagomål/A 53249-2023 FSC-klagomål.docx", "A 53249-2023")</f>
        <v/>
      </c>
      <c r="W128">
        <f>HYPERLINK("https://klasma.github.io/Logging_2161/klagomålsmail/A 53249-2023 FSC-klagomål mail.docx", "A 53249-2023")</f>
        <v/>
      </c>
      <c r="X128">
        <f>HYPERLINK("https://klasma.github.io/Logging_2161/tillsyn/A 53249-2023 tillsynsbegäran.docx", "A 53249-2023")</f>
        <v/>
      </c>
      <c r="Y128">
        <f>HYPERLINK("https://klasma.github.io/Logging_2161/tillsynsmail/A 53249-2023 tillsynsbegäran mail.docx", "A 53249-2023")</f>
        <v/>
      </c>
    </row>
    <row r="129" ht="15" customHeight="1">
      <c r="A129" t="inlineStr">
        <is>
          <t>A 56774-2023</t>
        </is>
      </c>
      <c r="B129" s="1" t="n">
        <v>45244</v>
      </c>
      <c r="C129" s="1" t="n">
        <v>45344</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56787-2023</t>
        </is>
      </c>
      <c r="B130" s="1" t="n">
        <v>45244</v>
      </c>
      <c r="C130" s="1" t="n">
        <v>45344</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56787-2023 artfynd.xlsx", "A 56787-2023")</f>
        <v/>
      </c>
      <c r="T130">
        <f>HYPERLINK("https://klasma.github.io/Logging_2161/kartor/A 56787-2023 karta.png", "A 56787-2023")</f>
        <v/>
      </c>
      <c r="V130">
        <f>HYPERLINK("https://klasma.github.io/Logging_2161/klagomål/A 56787-2023 FSC-klagomål.docx", "A 56787-2023")</f>
        <v/>
      </c>
      <c r="W130">
        <f>HYPERLINK("https://klasma.github.io/Logging_2161/klagomålsmail/A 56787-2023 FSC-klagomål mail.docx", "A 56787-2023")</f>
        <v/>
      </c>
      <c r="X130">
        <f>HYPERLINK("https://klasma.github.io/Logging_2161/tillsyn/A 56787-2023 tillsynsbegäran.docx", "A 56787-2023")</f>
        <v/>
      </c>
      <c r="Y130">
        <f>HYPERLINK("https://klasma.github.io/Logging_2161/tillsynsmail/A 56787-2023 tillsynsbegäran mail.docx", "A 56787-2023")</f>
        <v/>
      </c>
    </row>
    <row r="131" ht="15" customHeight="1">
      <c r="A131" t="inlineStr">
        <is>
          <t>A 56800-2023</t>
        </is>
      </c>
      <c r="B131" s="1" t="n">
        <v>45244</v>
      </c>
      <c r="C131" s="1" t="n">
        <v>45344</v>
      </c>
      <c r="D131" t="inlineStr">
        <is>
          <t>GÄVLEBORGS LÄN</t>
        </is>
      </c>
      <c r="E131" t="inlineStr">
        <is>
          <t>LJUSDAL</t>
        </is>
      </c>
      <c r="F131" t="inlineStr">
        <is>
          <t>Sveaskog</t>
        </is>
      </c>
      <c r="G131" t="n">
        <v>7.3</v>
      </c>
      <c r="H131" t="n">
        <v>0</v>
      </c>
      <c r="I131" t="n">
        <v>1</v>
      </c>
      <c r="J131" t="n">
        <v>2</v>
      </c>
      <c r="K131" t="n">
        <v>1</v>
      </c>
      <c r="L131" t="n">
        <v>0</v>
      </c>
      <c r="M131" t="n">
        <v>0</v>
      </c>
      <c r="N131" t="n">
        <v>0</v>
      </c>
      <c r="O131" t="n">
        <v>3</v>
      </c>
      <c r="P131" t="n">
        <v>1</v>
      </c>
      <c r="Q131" t="n">
        <v>4</v>
      </c>
      <c r="R131" s="2" t="inlineStr">
        <is>
          <t>Gräddporing
Gränsticka
Lunglav
Trådticka</t>
        </is>
      </c>
      <c r="S131">
        <f>HYPERLINK("https://klasma.github.io/Logging_2161/artfynd/A 56800-2023 artfynd.xlsx", "A 56800-2023")</f>
        <v/>
      </c>
      <c r="T131">
        <f>HYPERLINK("https://klasma.github.io/Logging_2161/kartor/A 56800-2023 karta.png", "A 56800-2023")</f>
        <v/>
      </c>
      <c r="V131">
        <f>HYPERLINK("https://klasma.github.io/Logging_2161/klagomål/A 56800-2023 FSC-klagomål.docx", "A 56800-2023")</f>
        <v/>
      </c>
      <c r="W131">
        <f>HYPERLINK("https://klasma.github.io/Logging_2161/klagomålsmail/A 56800-2023 FSC-klagomål mail.docx", "A 56800-2023")</f>
        <v/>
      </c>
      <c r="X131">
        <f>HYPERLINK("https://klasma.github.io/Logging_2161/tillsyn/A 56800-2023 tillsynsbegäran.docx", "A 56800-2023")</f>
        <v/>
      </c>
      <c r="Y131">
        <f>HYPERLINK("https://klasma.github.io/Logging_2161/tillsynsmail/A 56800-2023 tillsynsbegäran mail.docx", "A 56800-2023")</f>
        <v/>
      </c>
    </row>
    <row r="132" ht="15" customHeight="1">
      <c r="A132" t="inlineStr">
        <is>
          <t>A 59800-2023</t>
        </is>
      </c>
      <c r="B132" s="1" t="n">
        <v>45257</v>
      </c>
      <c r="C132" s="1" t="n">
        <v>45344</v>
      </c>
      <c r="D132" t="inlineStr">
        <is>
          <t>GÄVLEBORGS LÄN</t>
        </is>
      </c>
      <c r="E132" t="inlineStr">
        <is>
          <t>GÄVLE</t>
        </is>
      </c>
      <c r="G132" t="n">
        <v>6.3</v>
      </c>
      <c r="H132" t="n">
        <v>0</v>
      </c>
      <c r="I132" t="n">
        <v>2</v>
      </c>
      <c r="J132" t="n">
        <v>2</v>
      </c>
      <c r="K132" t="n">
        <v>0</v>
      </c>
      <c r="L132" t="n">
        <v>0</v>
      </c>
      <c r="M132" t="n">
        <v>0</v>
      </c>
      <c r="N132" t="n">
        <v>0</v>
      </c>
      <c r="O132" t="n">
        <v>2</v>
      </c>
      <c r="P132" t="n">
        <v>0</v>
      </c>
      <c r="Q132" t="n">
        <v>4</v>
      </c>
      <c r="R132" s="2" t="inlineStr">
        <is>
          <t>Motaggsvamp
Ullticka
Dropptaggsvamp
Skarp dropptaggsvamp</t>
        </is>
      </c>
      <c r="S132">
        <f>HYPERLINK("https://klasma.github.io/Logging_2180/artfynd/A 59800-2023 artfynd.xlsx", "A 59800-2023")</f>
        <v/>
      </c>
      <c r="T132">
        <f>HYPERLINK("https://klasma.github.io/Logging_2180/kartor/A 59800-2023 karta.png", "A 59800-2023")</f>
        <v/>
      </c>
      <c r="V132">
        <f>HYPERLINK("https://klasma.github.io/Logging_2180/klagomål/A 59800-2023 FSC-klagomål.docx", "A 59800-2023")</f>
        <v/>
      </c>
      <c r="W132">
        <f>HYPERLINK("https://klasma.github.io/Logging_2180/klagomålsmail/A 59800-2023 FSC-klagomål mail.docx", "A 59800-2023")</f>
        <v/>
      </c>
      <c r="X132">
        <f>HYPERLINK("https://klasma.github.io/Logging_2180/tillsyn/A 59800-2023 tillsynsbegäran.docx", "A 59800-2023")</f>
        <v/>
      </c>
      <c r="Y132">
        <f>HYPERLINK("https://klasma.github.io/Logging_2180/tillsynsmail/A 59800-2023 tillsynsbegäran mail.docx", "A 59800-2023")</f>
        <v/>
      </c>
    </row>
    <row r="133" ht="15" customHeight="1">
      <c r="A133" t="inlineStr">
        <is>
          <t>A 60906-2023</t>
        </is>
      </c>
      <c r="B133" s="1" t="n">
        <v>45261</v>
      </c>
      <c r="C133" s="1" t="n">
        <v>45344</v>
      </c>
      <c r="D133" t="inlineStr">
        <is>
          <t>GÄVLEBORGS LÄN</t>
        </is>
      </c>
      <c r="E133" t="inlineStr">
        <is>
          <t>NORDANSTIG</t>
        </is>
      </c>
      <c r="F133" t="inlineStr">
        <is>
          <t>Holmen skog AB</t>
        </is>
      </c>
      <c r="G133" t="n">
        <v>1.4</v>
      </c>
      <c r="H133" t="n">
        <v>0</v>
      </c>
      <c r="I133" t="n">
        <v>4</v>
      </c>
      <c r="J133" t="n">
        <v>0</v>
      </c>
      <c r="K133" t="n">
        <v>0</v>
      </c>
      <c r="L133" t="n">
        <v>0</v>
      </c>
      <c r="M133" t="n">
        <v>0</v>
      </c>
      <c r="N133" t="n">
        <v>0</v>
      </c>
      <c r="O133" t="n">
        <v>0</v>
      </c>
      <c r="P133" t="n">
        <v>0</v>
      </c>
      <c r="Q133" t="n">
        <v>4</v>
      </c>
      <c r="R133" s="2" t="inlineStr">
        <is>
          <t>Gulnål
Skogshakmossa
Strutbräken
Stubbspretmossa</t>
        </is>
      </c>
      <c r="S133">
        <f>HYPERLINK("https://klasma.github.io/Logging_2132/artfynd/A 60906-2023 artfynd.xlsx", "A 60906-2023")</f>
        <v/>
      </c>
      <c r="T133">
        <f>HYPERLINK("https://klasma.github.io/Logging_2132/kartor/A 60906-2023 karta.png", "A 60906-2023")</f>
        <v/>
      </c>
      <c r="V133">
        <f>HYPERLINK("https://klasma.github.io/Logging_2132/klagomål/A 60906-2023 FSC-klagomål.docx", "A 60906-2023")</f>
        <v/>
      </c>
      <c r="W133">
        <f>HYPERLINK("https://klasma.github.io/Logging_2132/klagomålsmail/A 60906-2023 FSC-klagomål mail.docx", "A 60906-2023")</f>
        <v/>
      </c>
      <c r="X133">
        <f>HYPERLINK("https://klasma.github.io/Logging_2132/tillsyn/A 60906-2023 tillsynsbegäran.docx", "A 60906-2023")</f>
        <v/>
      </c>
      <c r="Y133">
        <f>HYPERLINK("https://klasma.github.io/Logging_2132/tillsynsmail/A 60906-2023 tillsynsbegäran mail.docx", "A 60906-2023")</f>
        <v/>
      </c>
    </row>
    <row r="134" ht="15" customHeight="1">
      <c r="A134" t="inlineStr">
        <is>
          <t>A 1100-2024</t>
        </is>
      </c>
      <c r="B134" s="1" t="n">
        <v>45302</v>
      </c>
      <c r="C134" s="1" t="n">
        <v>45344</v>
      </c>
      <c r="D134" t="inlineStr">
        <is>
          <t>GÄVLEBORGS LÄN</t>
        </is>
      </c>
      <c r="E134" t="inlineStr">
        <is>
          <t>GÄVLE</t>
        </is>
      </c>
      <c r="F134" t="inlineStr">
        <is>
          <t>Bergvik skog väst AB</t>
        </is>
      </c>
      <c r="G134" t="n">
        <v>3.9</v>
      </c>
      <c r="H134" t="n">
        <v>0</v>
      </c>
      <c r="I134" t="n">
        <v>2</v>
      </c>
      <c r="J134" t="n">
        <v>2</v>
      </c>
      <c r="K134" t="n">
        <v>0</v>
      </c>
      <c r="L134" t="n">
        <v>0</v>
      </c>
      <c r="M134" t="n">
        <v>0</v>
      </c>
      <c r="N134" t="n">
        <v>0</v>
      </c>
      <c r="O134" t="n">
        <v>2</v>
      </c>
      <c r="P134" t="n">
        <v>0</v>
      </c>
      <c r="Q134" t="n">
        <v>4</v>
      </c>
      <c r="R134" s="2" t="inlineStr">
        <is>
          <t>Svart taggsvamp
Vedskivlav
Dropptaggsvamp
Vågbandad barkbock</t>
        </is>
      </c>
      <c r="S134">
        <f>HYPERLINK("https://klasma.github.io/Logging_2180/artfynd/A 1100-2024 artfynd.xlsx", "A 1100-2024")</f>
        <v/>
      </c>
      <c r="T134">
        <f>HYPERLINK("https://klasma.github.io/Logging_2180/kartor/A 1100-2024 karta.png", "A 1100-2024")</f>
        <v/>
      </c>
      <c r="V134">
        <f>HYPERLINK("https://klasma.github.io/Logging_2180/klagomål/A 1100-2024 FSC-klagomål.docx", "A 1100-2024")</f>
        <v/>
      </c>
      <c r="W134">
        <f>HYPERLINK("https://klasma.github.io/Logging_2180/klagomålsmail/A 1100-2024 FSC-klagomål mail.docx", "A 1100-2024")</f>
        <v/>
      </c>
      <c r="X134">
        <f>HYPERLINK("https://klasma.github.io/Logging_2180/tillsyn/A 1100-2024 tillsynsbegäran.docx", "A 1100-2024")</f>
        <v/>
      </c>
      <c r="Y134">
        <f>HYPERLINK("https://klasma.github.io/Logging_2180/tillsynsmail/A 1100-2024 tillsynsbegäran mail.docx", "A 1100-2024")</f>
        <v/>
      </c>
    </row>
    <row r="135" ht="15" customHeight="1">
      <c r="A135" t="inlineStr">
        <is>
          <t>A 43562-2018</t>
        </is>
      </c>
      <c r="B135" s="1" t="n">
        <v>43357</v>
      </c>
      <c r="C135" s="1" t="n">
        <v>45344</v>
      </c>
      <c r="D135" t="inlineStr">
        <is>
          <t>GÄVLEBORGS LÄN</t>
        </is>
      </c>
      <c r="E135" t="inlineStr">
        <is>
          <t>LJUSDAL</t>
        </is>
      </c>
      <c r="G135" t="n">
        <v>64.59999999999999</v>
      </c>
      <c r="H135" t="n">
        <v>3</v>
      </c>
      <c r="I135" t="n">
        <v>0</v>
      </c>
      <c r="J135" t="n">
        <v>3</v>
      </c>
      <c r="K135" t="n">
        <v>0</v>
      </c>
      <c r="L135" t="n">
        <v>0</v>
      </c>
      <c r="M135" t="n">
        <v>0</v>
      </c>
      <c r="N135" t="n">
        <v>0</v>
      </c>
      <c r="O135" t="n">
        <v>3</v>
      </c>
      <c r="P135" t="n">
        <v>0</v>
      </c>
      <c r="Q135" t="n">
        <v>3</v>
      </c>
      <c r="R135" s="2" t="inlineStr">
        <is>
          <t>Björktrast
Rödvingetrast
Tretåig hackspett</t>
        </is>
      </c>
      <c r="S135">
        <f>HYPERLINK("https://klasma.github.io/Logging_2161/artfynd/A 43562-2018 artfynd.xlsx", "A 43562-2018")</f>
        <v/>
      </c>
      <c r="T135">
        <f>HYPERLINK("https://klasma.github.io/Logging_2161/kartor/A 43562-2018 karta.png", "A 43562-2018")</f>
        <v/>
      </c>
      <c r="V135">
        <f>HYPERLINK("https://klasma.github.io/Logging_2161/klagomål/A 43562-2018 FSC-klagomål.docx", "A 43562-2018")</f>
        <v/>
      </c>
      <c r="W135">
        <f>HYPERLINK("https://klasma.github.io/Logging_2161/klagomålsmail/A 43562-2018 FSC-klagomål mail.docx", "A 43562-2018")</f>
        <v/>
      </c>
      <c r="X135">
        <f>HYPERLINK("https://klasma.github.io/Logging_2161/tillsyn/A 43562-2018 tillsynsbegäran.docx", "A 43562-2018")</f>
        <v/>
      </c>
      <c r="Y135">
        <f>HYPERLINK("https://klasma.github.io/Logging_2161/tillsynsmail/A 43562-2018 tillsynsbegäran mail.docx", "A 43562-2018")</f>
        <v/>
      </c>
      <c r="Z135">
        <f>HYPERLINK("https://klasma.github.io/Logging_2161/fåglar/A 43562-2018 prioriterade fågelarter.docx", "A 43562-2018")</f>
        <v/>
      </c>
    </row>
    <row r="136" ht="15" customHeight="1">
      <c r="A136" t="inlineStr">
        <is>
          <t>A 21895-2019</t>
        </is>
      </c>
      <c r="B136" s="1" t="n">
        <v>43584</v>
      </c>
      <c r="C136" s="1" t="n">
        <v>45344</v>
      </c>
      <c r="D136" t="inlineStr">
        <is>
          <t>GÄVLEBORGS LÄN</t>
        </is>
      </c>
      <c r="E136" t="inlineStr">
        <is>
          <t>HUDIKSVALL</t>
        </is>
      </c>
      <c r="F136" t="inlineStr">
        <is>
          <t>Holmen skog AB</t>
        </is>
      </c>
      <c r="G136" t="n">
        <v>5.6</v>
      </c>
      <c r="H136" t="n">
        <v>1</v>
      </c>
      <c r="I136" t="n">
        <v>1</v>
      </c>
      <c r="J136" t="n">
        <v>0</v>
      </c>
      <c r="K136" t="n">
        <v>2</v>
      </c>
      <c r="L136" t="n">
        <v>0</v>
      </c>
      <c r="M136" t="n">
        <v>0</v>
      </c>
      <c r="N136" t="n">
        <v>0</v>
      </c>
      <c r="O136" t="n">
        <v>2</v>
      </c>
      <c r="P136" t="n">
        <v>2</v>
      </c>
      <c r="Q136" t="n">
        <v>3</v>
      </c>
      <c r="R136" s="2" t="inlineStr">
        <is>
          <t>Blackticka
Knärot
Bågpraktmossa</t>
        </is>
      </c>
      <c r="S136">
        <f>HYPERLINK("https://klasma.github.io/Logging_2184/artfynd/A 21895-2019 artfynd.xlsx", "A 21895-2019")</f>
        <v/>
      </c>
      <c r="T136">
        <f>HYPERLINK("https://klasma.github.io/Logging_2184/kartor/A 21895-2019 karta.png", "A 21895-2019")</f>
        <v/>
      </c>
      <c r="U136">
        <f>HYPERLINK("https://klasma.github.io/Logging_2184/knärot/A 21895-2019 karta knärot.png", "A 21895-2019")</f>
        <v/>
      </c>
      <c r="V136">
        <f>HYPERLINK("https://klasma.github.io/Logging_2184/klagomål/A 21895-2019 FSC-klagomål.docx", "A 21895-2019")</f>
        <v/>
      </c>
      <c r="W136">
        <f>HYPERLINK("https://klasma.github.io/Logging_2184/klagomålsmail/A 21895-2019 FSC-klagomål mail.docx", "A 21895-2019")</f>
        <v/>
      </c>
      <c r="X136">
        <f>HYPERLINK("https://klasma.github.io/Logging_2184/tillsyn/A 21895-2019 tillsynsbegäran.docx", "A 21895-2019")</f>
        <v/>
      </c>
      <c r="Y136">
        <f>HYPERLINK("https://klasma.github.io/Logging_2184/tillsynsmail/A 21895-2019 tillsynsbegäran mail.docx", "A 21895-2019")</f>
        <v/>
      </c>
    </row>
    <row r="137" ht="15" customHeight="1">
      <c r="A137" t="inlineStr">
        <is>
          <t>A 27404-2019</t>
        </is>
      </c>
      <c r="B137" s="1" t="n">
        <v>43616</v>
      </c>
      <c r="C137" s="1" t="n">
        <v>45344</v>
      </c>
      <c r="D137" t="inlineStr">
        <is>
          <t>GÄVLEBORGS LÄN</t>
        </is>
      </c>
      <c r="E137" t="inlineStr">
        <is>
          <t>OVANÅKER</t>
        </is>
      </c>
      <c r="F137" t="inlineStr">
        <is>
          <t>Bergvik skog väst AB</t>
        </is>
      </c>
      <c r="G137" t="n">
        <v>1.3</v>
      </c>
      <c r="H137" t="n">
        <v>0</v>
      </c>
      <c r="I137" t="n">
        <v>1</v>
      </c>
      <c r="J137" t="n">
        <v>2</v>
      </c>
      <c r="K137" t="n">
        <v>0</v>
      </c>
      <c r="L137" t="n">
        <v>0</v>
      </c>
      <c r="M137" t="n">
        <v>0</v>
      </c>
      <c r="N137" t="n">
        <v>0</v>
      </c>
      <c r="O137" t="n">
        <v>2</v>
      </c>
      <c r="P137" t="n">
        <v>0</v>
      </c>
      <c r="Q137" t="n">
        <v>3</v>
      </c>
      <c r="R137" s="2" t="inlineStr">
        <is>
          <t>Tallticka
Vedskivlav
Mindre märgborre</t>
        </is>
      </c>
      <c r="S137">
        <f>HYPERLINK("https://klasma.github.io/Logging_2121/artfynd/A 27404-2019 artfynd.xlsx", "A 27404-2019")</f>
        <v/>
      </c>
      <c r="T137">
        <f>HYPERLINK("https://klasma.github.io/Logging_2121/kartor/A 27404-2019 karta.png", "A 27404-2019")</f>
        <v/>
      </c>
      <c r="V137">
        <f>HYPERLINK("https://klasma.github.io/Logging_2121/klagomål/A 27404-2019 FSC-klagomål.docx", "A 27404-2019")</f>
        <v/>
      </c>
      <c r="W137">
        <f>HYPERLINK("https://klasma.github.io/Logging_2121/klagomålsmail/A 27404-2019 FSC-klagomål mail.docx", "A 27404-2019")</f>
        <v/>
      </c>
      <c r="X137">
        <f>HYPERLINK("https://klasma.github.io/Logging_2121/tillsyn/A 27404-2019 tillsynsbegäran.docx", "A 27404-2019")</f>
        <v/>
      </c>
      <c r="Y137">
        <f>HYPERLINK("https://klasma.github.io/Logging_2121/tillsynsmail/A 27404-2019 tillsynsbegäran mail.docx", "A 27404-2019")</f>
        <v/>
      </c>
    </row>
    <row r="138" ht="15" customHeight="1">
      <c r="A138" t="inlineStr">
        <is>
          <t>A 29664-2019</t>
        </is>
      </c>
      <c r="B138" s="1" t="n">
        <v>43628</v>
      </c>
      <c r="C138" s="1" t="n">
        <v>45344</v>
      </c>
      <c r="D138" t="inlineStr">
        <is>
          <t>GÄVLEBORGS LÄN</t>
        </is>
      </c>
      <c r="E138" t="inlineStr">
        <is>
          <t>LJUSDAL</t>
        </is>
      </c>
      <c r="F138" t="inlineStr">
        <is>
          <t>Holmen skog AB</t>
        </is>
      </c>
      <c r="G138" t="n">
        <v>3.1</v>
      </c>
      <c r="H138" t="n">
        <v>1</v>
      </c>
      <c r="I138" t="n">
        <v>1</v>
      </c>
      <c r="J138" t="n">
        <v>1</v>
      </c>
      <c r="K138" t="n">
        <v>1</v>
      </c>
      <c r="L138" t="n">
        <v>0</v>
      </c>
      <c r="M138" t="n">
        <v>0</v>
      </c>
      <c r="N138" t="n">
        <v>0</v>
      </c>
      <c r="O138" t="n">
        <v>2</v>
      </c>
      <c r="P138" t="n">
        <v>1</v>
      </c>
      <c r="Q138" t="n">
        <v>3</v>
      </c>
      <c r="R138" s="2" t="inlineStr">
        <is>
          <t>Knärot
Ullticka
Dropptaggsvamp</t>
        </is>
      </c>
      <c r="S138">
        <f>HYPERLINK("https://klasma.github.io/Logging_2161/artfynd/A 29664-2019 artfynd.xlsx", "A 29664-2019")</f>
        <v/>
      </c>
      <c r="T138">
        <f>HYPERLINK("https://klasma.github.io/Logging_2161/kartor/A 29664-2019 karta.png", "A 29664-2019")</f>
        <v/>
      </c>
      <c r="U138">
        <f>HYPERLINK("https://klasma.github.io/Logging_2161/knärot/A 29664-2019 karta knärot.png", "A 29664-2019")</f>
        <v/>
      </c>
      <c r="V138">
        <f>HYPERLINK("https://klasma.github.io/Logging_2161/klagomål/A 29664-2019 FSC-klagomål.docx", "A 29664-2019")</f>
        <v/>
      </c>
      <c r="W138">
        <f>HYPERLINK("https://klasma.github.io/Logging_2161/klagomålsmail/A 29664-2019 FSC-klagomål mail.docx", "A 29664-2019")</f>
        <v/>
      </c>
      <c r="X138">
        <f>HYPERLINK("https://klasma.github.io/Logging_2161/tillsyn/A 29664-2019 tillsynsbegäran.docx", "A 29664-2019")</f>
        <v/>
      </c>
      <c r="Y138">
        <f>HYPERLINK("https://klasma.github.io/Logging_2161/tillsynsmail/A 29664-2019 tillsynsbegäran mail.docx", "A 29664-2019")</f>
        <v/>
      </c>
    </row>
    <row r="139" ht="15" customHeight="1">
      <c r="A139" t="inlineStr">
        <is>
          <t>A 30590-2019</t>
        </is>
      </c>
      <c r="B139" s="1" t="n">
        <v>43635</v>
      </c>
      <c r="C139" s="1" t="n">
        <v>45344</v>
      </c>
      <c r="D139" t="inlineStr">
        <is>
          <t>GÄVLEBORGS LÄN</t>
        </is>
      </c>
      <c r="E139" t="inlineStr">
        <is>
          <t>HOFORS</t>
        </is>
      </c>
      <c r="F139" t="inlineStr">
        <is>
          <t>Sveaskog</t>
        </is>
      </c>
      <c r="G139" t="n">
        <v>7.2</v>
      </c>
      <c r="H139" t="n">
        <v>2</v>
      </c>
      <c r="I139" t="n">
        <v>1</v>
      </c>
      <c r="J139" t="n">
        <v>1</v>
      </c>
      <c r="K139" t="n">
        <v>1</v>
      </c>
      <c r="L139" t="n">
        <v>0</v>
      </c>
      <c r="M139" t="n">
        <v>0</v>
      </c>
      <c r="N139" t="n">
        <v>0</v>
      </c>
      <c r="O139" t="n">
        <v>2</v>
      </c>
      <c r="P139" t="n">
        <v>1</v>
      </c>
      <c r="Q139" t="n">
        <v>3</v>
      </c>
      <c r="R139" s="2" t="inlineStr">
        <is>
          <t>Knärot
Kortskaftad ärgspik
Plattlummer</t>
        </is>
      </c>
      <c r="S139">
        <f>HYPERLINK("https://klasma.github.io/Logging_2104/artfynd/A 30590-2019 artfynd.xlsx", "A 30590-2019")</f>
        <v/>
      </c>
      <c r="T139">
        <f>HYPERLINK("https://klasma.github.io/Logging_2104/kartor/A 30590-2019 karta.png", "A 30590-2019")</f>
        <v/>
      </c>
      <c r="U139">
        <f>HYPERLINK("https://klasma.github.io/Logging_2104/knärot/A 30590-2019 karta knärot.png", "A 30590-2019")</f>
        <v/>
      </c>
      <c r="V139">
        <f>HYPERLINK("https://klasma.github.io/Logging_2104/klagomål/A 30590-2019 FSC-klagomål.docx", "A 30590-2019")</f>
        <v/>
      </c>
      <c r="W139">
        <f>HYPERLINK("https://klasma.github.io/Logging_2104/klagomålsmail/A 30590-2019 FSC-klagomål mail.docx", "A 30590-2019")</f>
        <v/>
      </c>
      <c r="X139">
        <f>HYPERLINK("https://klasma.github.io/Logging_2104/tillsyn/A 30590-2019 tillsynsbegäran.docx", "A 30590-2019")</f>
        <v/>
      </c>
      <c r="Y139">
        <f>HYPERLINK("https://klasma.github.io/Logging_2104/tillsynsmail/A 30590-2019 tillsynsbegäran mail.docx", "A 30590-2019")</f>
        <v/>
      </c>
    </row>
    <row r="140" ht="15" customHeight="1">
      <c r="A140" t="inlineStr">
        <is>
          <t>A 67390-2019</t>
        </is>
      </c>
      <c r="B140" s="1" t="n">
        <v>43812</v>
      </c>
      <c r="C140" s="1" t="n">
        <v>45344</v>
      </c>
      <c r="D140" t="inlineStr">
        <is>
          <t>GÄVLEBORGS LÄN</t>
        </is>
      </c>
      <c r="E140" t="inlineStr">
        <is>
          <t>GÄVLE</t>
        </is>
      </c>
      <c r="F140" t="inlineStr">
        <is>
          <t>Kommuner</t>
        </is>
      </c>
      <c r="G140" t="n">
        <v>7.8</v>
      </c>
      <c r="H140" t="n">
        <v>1</v>
      </c>
      <c r="I140" t="n">
        <v>3</v>
      </c>
      <c r="J140" t="n">
        <v>0</v>
      </c>
      <c r="K140" t="n">
        <v>0</v>
      </c>
      <c r="L140" t="n">
        <v>0</v>
      </c>
      <c r="M140" t="n">
        <v>0</v>
      </c>
      <c r="N140" t="n">
        <v>0</v>
      </c>
      <c r="O140" t="n">
        <v>0</v>
      </c>
      <c r="P140" t="n">
        <v>0</v>
      </c>
      <c r="Q140" t="n">
        <v>3</v>
      </c>
      <c r="R140" s="2" t="inlineStr">
        <is>
          <t>Grön sköldmossa
Mörk husmossa
Skogshakmossa</t>
        </is>
      </c>
      <c r="S140">
        <f>HYPERLINK("https://klasma.github.io/Logging_2180/artfynd/A 67390-2019 artfynd.xlsx", "A 67390-2019")</f>
        <v/>
      </c>
      <c r="T140">
        <f>HYPERLINK("https://klasma.github.io/Logging_2180/kartor/A 67390-2019 karta.png", "A 67390-2019")</f>
        <v/>
      </c>
      <c r="V140">
        <f>HYPERLINK("https://klasma.github.io/Logging_2180/klagomål/A 67390-2019 FSC-klagomål.docx", "A 67390-2019")</f>
        <v/>
      </c>
      <c r="W140">
        <f>HYPERLINK("https://klasma.github.io/Logging_2180/klagomålsmail/A 67390-2019 FSC-klagomål mail.docx", "A 67390-2019")</f>
        <v/>
      </c>
      <c r="X140">
        <f>HYPERLINK("https://klasma.github.io/Logging_2180/tillsyn/A 67390-2019 tillsynsbegäran.docx", "A 67390-2019")</f>
        <v/>
      </c>
      <c r="Y140">
        <f>HYPERLINK("https://klasma.github.io/Logging_2180/tillsynsmail/A 67390-2019 tillsynsbegäran mail.docx", "A 67390-2019")</f>
        <v/>
      </c>
    </row>
    <row r="141" ht="15" customHeight="1">
      <c r="A141" t="inlineStr">
        <is>
          <t>A 3258-2020</t>
        </is>
      </c>
      <c r="B141" s="1" t="n">
        <v>43852</v>
      </c>
      <c r="C141" s="1" t="n">
        <v>45344</v>
      </c>
      <c r="D141" t="inlineStr">
        <is>
          <t>GÄVLEBORGS LÄN</t>
        </is>
      </c>
      <c r="E141" t="inlineStr">
        <is>
          <t>LJUSDAL</t>
        </is>
      </c>
      <c r="F141" t="inlineStr">
        <is>
          <t>Sveaskog</t>
        </is>
      </c>
      <c r="G141" t="n">
        <v>4.3</v>
      </c>
      <c r="H141" t="n">
        <v>1</v>
      </c>
      <c r="I141" t="n">
        <v>1</v>
      </c>
      <c r="J141" t="n">
        <v>1</v>
      </c>
      <c r="K141" t="n">
        <v>1</v>
      </c>
      <c r="L141" t="n">
        <v>0</v>
      </c>
      <c r="M141" t="n">
        <v>0</v>
      </c>
      <c r="N141" t="n">
        <v>0</v>
      </c>
      <c r="O141" t="n">
        <v>2</v>
      </c>
      <c r="P141" t="n">
        <v>1</v>
      </c>
      <c r="Q141" t="n">
        <v>3</v>
      </c>
      <c r="R141" s="2" t="inlineStr">
        <is>
          <t>Knärot
Tallticka
Dropptaggsvamp</t>
        </is>
      </c>
      <c r="S141">
        <f>HYPERLINK("https://klasma.github.io/Logging_2161/artfynd/A 3258-2020 artfynd.xlsx", "A 3258-2020")</f>
        <v/>
      </c>
      <c r="T141">
        <f>HYPERLINK("https://klasma.github.io/Logging_2161/kartor/A 3258-2020 karta.png", "A 3258-2020")</f>
        <v/>
      </c>
      <c r="U141">
        <f>HYPERLINK("https://klasma.github.io/Logging_2161/knärot/A 3258-2020 karta knärot.png", "A 3258-2020")</f>
        <v/>
      </c>
      <c r="V141">
        <f>HYPERLINK("https://klasma.github.io/Logging_2161/klagomål/A 3258-2020 FSC-klagomål.docx", "A 3258-2020")</f>
        <v/>
      </c>
      <c r="W141">
        <f>HYPERLINK("https://klasma.github.io/Logging_2161/klagomålsmail/A 3258-2020 FSC-klagomål mail.docx", "A 3258-2020")</f>
        <v/>
      </c>
      <c r="X141">
        <f>HYPERLINK("https://klasma.github.io/Logging_2161/tillsyn/A 3258-2020 tillsynsbegäran.docx", "A 3258-2020")</f>
        <v/>
      </c>
      <c r="Y141">
        <f>HYPERLINK("https://klasma.github.io/Logging_2161/tillsynsmail/A 3258-2020 tillsynsbegäran mail.docx", "A 3258-2020")</f>
        <v/>
      </c>
    </row>
    <row r="142" ht="15" customHeight="1">
      <c r="A142" t="inlineStr">
        <is>
          <t>A 7558-2020</t>
        </is>
      </c>
      <c r="B142" s="1" t="n">
        <v>43872</v>
      </c>
      <c r="C142" s="1" t="n">
        <v>45344</v>
      </c>
      <c r="D142" t="inlineStr">
        <is>
          <t>GÄVLEBORGS LÄN</t>
        </is>
      </c>
      <c r="E142" t="inlineStr">
        <is>
          <t>LJUSDAL</t>
        </is>
      </c>
      <c r="G142" t="n">
        <v>2.9</v>
      </c>
      <c r="H142" t="n">
        <v>0</v>
      </c>
      <c r="I142" t="n">
        <v>1</v>
      </c>
      <c r="J142" t="n">
        <v>2</v>
      </c>
      <c r="K142" t="n">
        <v>0</v>
      </c>
      <c r="L142" t="n">
        <v>0</v>
      </c>
      <c r="M142" t="n">
        <v>0</v>
      </c>
      <c r="N142" t="n">
        <v>0</v>
      </c>
      <c r="O142" t="n">
        <v>2</v>
      </c>
      <c r="P142" t="n">
        <v>0</v>
      </c>
      <c r="Q142" t="n">
        <v>3</v>
      </c>
      <c r="R142" s="2" t="inlineStr">
        <is>
          <t>Dvärgbägarlav
Vedskivlav
Dropptaggsvamp</t>
        </is>
      </c>
      <c r="S142">
        <f>HYPERLINK("https://klasma.github.io/Logging_2161/artfynd/A 7558-2020 artfynd.xlsx", "A 7558-2020")</f>
        <v/>
      </c>
      <c r="T142">
        <f>HYPERLINK("https://klasma.github.io/Logging_2161/kartor/A 7558-2020 karta.png", "A 7558-2020")</f>
        <v/>
      </c>
      <c r="V142">
        <f>HYPERLINK("https://klasma.github.io/Logging_2161/klagomål/A 7558-2020 FSC-klagomål.docx", "A 7558-2020")</f>
        <v/>
      </c>
      <c r="W142">
        <f>HYPERLINK("https://klasma.github.io/Logging_2161/klagomålsmail/A 7558-2020 FSC-klagomål mail.docx", "A 7558-2020")</f>
        <v/>
      </c>
      <c r="X142">
        <f>HYPERLINK("https://klasma.github.io/Logging_2161/tillsyn/A 7558-2020 tillsynsbegäran.docx", "A 7558-2020")</f>
        <v/>
      </c>
      <c r="Y142">
        <f>HYPERLINK("https://klasma.github.io/Logging_2161/tillsynsmail/A 7558-2020 tillsynsbegäran mail.docx", "A 7558-2020")</f>
        <v/>
      </c>
    </row>
    <row r="143" ht="15" customHeight="1">
      <c r="A143" t="inlineStr">
        <is>
          <t>A 24470-2020</t>
        </is>
      </c>
      <c r="B143" s="1" t="n">
        <v>43977</v>
      </c>
      <c r="C143" s="1" t="n">
        <v>45344</v>
      </c>
      <c r="D143" t="inlineStr">
        <is>
          <t>GÄVLEBORGS LÄN</t>
        </is>
      </c>
      <c r="E143" t="inlineStr">
        <is>
          <t>LJUSDAL</t>
        </is>
      </c>
      <c r="F143" t="inlineStr">
        <is>
          <t>Naturvårdsverket</t>
        </is>
      </c>
      <c r="G143" t="n">
        <v>2.5</v>
      </c>
      <c r="H143" t="n">
        <v>1</v>
      </c>
      <c r="I143" t="n">
        <v>0</v>
      </c>
      <c r="J143" t="n">
        <v>2</v>
      </c>
      <c r="K143" t="n">
        <v>0</v>
      </c>
      <c r="L143" t="n">
        <v>0</v>
      </c>
      <c r="M143" t="n">
        <v>0</v>
      </c>
      <c r="N143" t="n">
        <v>0</v>
      </c>
      <c r="O143" t="n">
        <v>2</v>
      </c>
      <c r="P143" t="n">
        <v>0</v>
      </c>
      <c r="Q143" t="n">
        <v>3</v>
      </c>
      <c r="R143" s="2" t="inlineStr">
        <is>
          <t>Garnlav
Mörk kolflarnlav
Nattviol</t>
        </is>
      </c>
      <c r="S143">
        <f>HYPERLINK("https://klasma.github.io/Logging_2161/artfynd/A 24470-2020 artfynd.xlsx", "A 24470-2020")</f>
        <v/>
      </c>
      <c r="T143">
        <f>HYPERLINK("https://klasma.github.io/Logging_2161/kartor/A 24470-2020 karta.png", "A 24470-2020")</f>
        <v/>
      </c>
      <c r="V143">
        <f>HYPERLINK("https://klasma.github.io/Logging_2161/klagomål/A 24470-2020 FSC-klagomål.docx", "A 24470-2020")</f>
        <v/>
      </c>
      <c r="W143">
        <f>HYPERLINK("https://klasma.github.io/Logging_2161/klagomålsmail/A 24470-2020 FSC-klagomål mail.docx", "A 24470-2020")</f>
        <v/>
      </c>
      <c r="X143">
        <f>HYPERLINK("https://klasma.github.io/Logging_2161/tillsyn/A 24470-2020 tillsynsbegäran.docx", "A 24470-2020")</f>
        <v/>
      </c>
      <c r="Y143">
        <f>HYPERLINK("https://klasma.github.io/Logging_2161/tillsynsmail/A 24470-2020 tillsynsbegäran mail.docx", "A 24470-2020")</f>
        <v/>
      </c>
    </row>
    <row r="144" ht="15" customHeight="1">
      <c r="A144" t="inlineStr">
        <is>
          <t>A 33767-2020</t>
        </is>
      </c>
      <c r="B144" s="1" t="n">
        <v>44026</v>
      </c>
      <c r="C144" s="1" t="n">
        <v>45344</v>
      </c>
      <c r="D144" t="inlineStr">
        <is>
          <t>GÄVLEBORGS LÄN</t>
        </is>
      </c>
      <c r="E144" t="inlineStr">
        <is>
          <t>SÖDERHAMN</t>
        </is>
      </c>
      <c r="G144" t="n">
        <v>5.3</v>
      </c>
      <c r="H144" t="n">
        <v>2</v>
      </c>
      <c r="I144" t="n">
        <v>1</v>
      </c>
      <c r="J144" t="n">
        <v>0</v>
      </c>
      <c r="K144" t="n">
        <v>1</v>
      </c>
      <c r="L144" t="n">
        <v>0</v>
      </c>
      <c r="M144" t="n">
        <v>0</v>
      </c>
      <c r="N144" t="n">
        <v>0</v>
      </c>
      <c r="O144" t="n">
        <v>1</v>
      </c>
      <c r="P144" t="n">
        <v>1</v>
      </c>
      <c r="Q144" t="n">
        <v>3</v>
      </c>
      <c r="R144" s="2" t="inlineStr">
        <is>
          <t>Knärot
Bollvitmossa
Revlummer</t>
        </is>
      </c>
      <c r="S144">
        <f>HYPERLINK("https://klasma.github.io/Logging_2182/artfynd/A 33767-2020 artfynd.xlsx", "A 33767-2020")</f>
        <v/>
      </c>
      <c r="T144">
        <f>HYPERLINK("https://klasma.github.io/Logging_2182/kartor/A 33767-2020 karta.png", "A 33767-2020")</f>
        <v/>
      </c>
      <c r="U144">
        <f>HYPERLINK("https://klasma.github.io/Logging_2182/knärot/A 33767-2020 karta knärot.png", "A 33767-2020")</f>
        <v/>
      </c>
      <c r="V144">
        <f>HYPERLINK("https://klasma.github.io/Logging_2182/klagomål/A 33767-2020 FSC-klagomål.docx", "A 33767-2020")</f>
        <v/>
      </c>
      <c r="W144">
        <f>HYPERLINK("https://klasma.github.io/Logging_2182/klagomålsmail/A 33767-2020 FSC-klagomål mail.docx", "A 33767-2020")</f>
        <v/>
      </c>
      <c r="X144">
        <f>HYPERLINK("https://klasma.github.io/Logging_2182/tillsyn/A 33767-2020 tillsynsbegäran.docx", "A 33767-2020")</f>
        <v/>
      </c>
      <c r="Y144">
        <f>HYPERLINK("https://klasma.github.io/Logging_2182/tillsynsmail/A 33767-2020 tillsynsbegäran mail.docx", "A 33767-2020")</f>
        <v/>
      </c>
    </row>
    <row r="145" ht="15" customHeight="1">
      <c r="A145" t="inlineStr">
        <is>
          <t>A 56429-2020</t>
        </is>
      </c>
      <c r="B145" s="1" t="n">
        <v>44137</v>
      </c>
      <c r="C145" s="1" t="n">
        <v>45344</v>
      </c>
      <c r="D145" t="inlineStr">
        <is>
          <t>GÄVLEBORGS LÄN</t>
        </is>
      </c>
      <c r="E145" t="inlineStr">
        <is>
          <t>HUDIKSVALL</t>
        </is>
      </c>
      <c r="F145" t="inlineStr">
        <is>
          <t>Holmen skog AB</t>
        </is>
      </c>
      <c r="G145" t="n">
        <v>11.1</v>
      </c>
      <c r="H145" t="n">
        <v>0</v>
      </c>
      <c r="I145" t="n">
        <v>2</v>
      </c>
      <c r="J145" t="n">
        <v>1</v>
      </c>
      <c r="K145" t="n">
        <v>0</v>
      </c>
      <c r="L145" t="n">
        <v>0</v>
      </c>
      <c r="M145" t="n">
        <v>0</v>
      </c>
      <c r="N145" t="n">
        <v>0</v>
      </c>
      <c r="O145" t="n">
        <v>1</v>
      </c>
      <c r="P145" t="n">
        <v>0</v>
      </c>
      <c r="Q145" t="n">
        <v>3</v>
      </c>
      <c r="R145" s="2" t="inlineStr">
        <is>
          <t>Garnlav
Bollvitmossa
Nästlav</t>
        </is>
      </c>
      <c r="S145">
        <f>HYPERLINK("https://klasma.github.io/Logging_2184/artfynd/A 56429-2020 artfynd.xlsx", "A 56429-2020")</f>
        <v/>
      </c>
      <c r="T145">
        <f>HYPERLINK("https://klasma.github.io/Logging_2184/kartor/A 56429-2020 karta.png", "A 56429-2020")</f>
        <v/>
      </c>
      <c r="V145">
        <f>HYPERLINK("https://klasma.github.io/Logging_2184/klagomål/A 56429-2020 FSC-klagomål.docx", "A 56429-2020")</f>
        <v/>
      </c>
      <c r="W145">
        <f>HYPERLINK("https://klasma.github.io/Logging_2184/klagomålsmail/A 56429-2020 FSC-klagomål mail.docx", "A 56429-2020")</f>
        <v/>
      </c>
      <c r="X145">
        <f>HYPERLINK("https://klasma.github.io/Logging_2184/tillsyn/A 56429-2020 tillsynsbegäran.docx", "A 56429-2020")</f>
        <v/>
      </c>
      <c r="Y145">
        <f>HYPERLINK("https://klasma.github.io/Logging_2184/tillsynsmail/A 56429-2020 tillsynsbegäran mail.docx", "A 56429-2020")</f>
        <v/>
      </c>
    </row>
    <row r="146" ht="15" customHeight="1">
      <c r="A146" t="inlineStr">
        <is>
          <t>A 56674-2020</t>
        </is>
      </c>
      <c r="B146" s="1" t="n">
        <v>44137</v>
      </c>
      <c r="C146" s="1" t="n">
        <v>45344</v>
      </c>
      <c r="D146" t="inlineStr">
        <is>
          <t>GÄVLEBORGS LÄN</t>
        </is>
      </c>
      <c r="E146" t="inlineStr">
        <is>
          <t>LJUSDAL</t>
        </is>
      </c>
      <c r="G146" t="n">
        <v>11</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56674-2020 artfynd.xlsx", "A 56674-2020")</f>
        <v/>
      </c>
      <c r="T146">
        <f>HYPERLINK("https://klasma.github.io/Logging_2161/kartor/A 56674-2020 karta.png", "A 56674-2020")</f>
        <v/>
      </c>
      <c r="U146">
        <f>HYPERLINK("https://klasma.github.io/Logging_2161/knärot/A 56674-2020 karta knärot.png", "A 56674-2020")</f>
        <v/>
      </c>
      <c r="V146">
        <f>HYPERLINK("https://klasma.github.io/Logging_2161/klagomål/A 56674-2020 FSC-klagomål.docx", "A 56674-2020")</f>
        <v/>
      </c>
      <c r="W146">
        <f>HYPERLINK("https://klasma.github.io/Logging_2161/klagomålsmail/A 56674-2020 FSC-klagomål mail.docx", "A 56674-2020")</f>
        <v/>
      </c>
      <c r="X146">
        <f>HYPERLINK("https://klasma.github.io/Logging_2161/tillsyn/A 56674-2020 tillsynsbegäran.docx", "A 56674-2020")</f>
        <v/>
      </c>
      <c r="Y146">
        <f>HYPERLINK("https://klasma.github.io/Logging_2161/tillsynsmail/A 56674-2020 tillsynsbegäran mail.docx", "A 56674-2020")</f>
        <v/>
      </c>
    </row>
    <row r="147" ht="15" customHeight="1">
      <c r="A147" t="inlineStr">
        <is>
          <t>A 60162-2020</t>
        </is>
      </c>
      <c r="B147" s="1" t="n">
        <v>44152</v>
      </c>
      <c r="C147" s="1" t="n">
        <v>45344</v>
      </c>
      <c r="D147" t="inlineStr">
        <is>
          <t>GÄVLEBORGS LÄN</t>
        </is>
      </c>
      <c r="E147" t="inlineStr">
        <is>
          <t>LJUSDAL</t>
        </is>
      </c>
      <c r="F147" t="inlineStr">
        <is>
          <t>Sveaskog</t>
        </is>
      </c>
      <c r="G147" t="n">
        <v>8.4</v>
      </c>
      <c r="H147" t="n">
        <v>0</v>
      </c>
      <c r="I147" t="n">
        <v>0</v>
      </c>
      <c r="J147" t="n">
        <v>3</v>
      </c>
      <c r="K147" t="n">
        <v>0</v>
      </c>
      <c r="L147" t="n">
        <v>0</v>
      </c>
      <c r="M147" t="n">
        <v>0</v>
      </c>
      <c r="N147" t="n">
        <v>0</v>
      </c>
      <c r="O147" t="n">
        <v>3</v>
      </c>
      <c r="P147" t="n">
        <v>0</v>
      </c>
      <c r="Q147" t="n">
        <v>3</v>
      </c>
      <c r="R147" s="2" t="inlineStr">
        <is>
          <t>Kolflarnlav
Lunglav
Skrovellav</t>
        </is>
      </c>
      <c r="S147">
        <f>HYPERLINK("https://klasma.github.io/Logging_2161/artfynd/A 60162-2020 artfynd.xlsx", "A 60162-2020")</f>
        <v/>
      </c>
      <c r="T147">
        <f>HYPERLINK("https://klasma.github.io/Logging_2161/kartor/A 60162-2020 karta.png", "A 60162-2020")</f>
        <v/>
      </c>
      <c r="V147">
        <f>HYPERLINK("https://klasma.github.io/Logging_2161/klagomål/A 60162-2020 FSC-klagomål.docx", "A 60162-2020")</f>
        <v/>
      </c>
      <c r="W147">
        <f>HYPERLINK("https://klasma.github.io/Logging_2161/klagomålsmail/A 60162-2020 FSC-klagomål mail.docx", "A 60162-2020")</f>
        <v/>
      </c>
      <c r="X147">
        <f>HYPERLINK("https://klasma.github.io/Logging_2161/tillsyn/A 60162-2020 tillsynsbegäran.docx", "A 60162-2020")</f>
        <v/>
      </c>
      <c r="Y147">
        <f>HYPERLINK("https://klasma.github.io/Logging_2161/tillsynsmail/A 60162-2020 tillsynsbegäran mail.docx", "A 60162-2020")</f>
        <v/>
      </c>
    </row>
    <row r="148" ht="15" customHeight="1">
      <c r="A148" t="inlineStr">
        <is>
          <t>A 64591-2020</t>
        </is>
      </c>
      <c r="B148" s="1" t="n">
        <v>44169</v>
      </c>
      <c r="C148" s="1" t="n">
        <v>45344</v>
      </c>
      <c r="D148" t="inlineStr">
        <is>
          <t>GÄVLEBORGS LÄN</t>
        </is>
      </c>
      <c r="E148" t="inlineStr">
        <is>
          <t>LJUSDAL</t>
        </is>
      </c>
      <c r="F148" t="inlineStr">
        <is>
          <t>Bergvik skog väst AB</t>
        </is>
      </c>
      <c r="G148" t="n">
        <v>3.5</v>
      </c>
      <c r="H148" t="n">
        <v>0</v>
      </c>
      <c r="I148" t="n">
        <v>2</v>
      </c>
      <c r="J148" t="n">
        <v>1</v>
      </c>
      <c r="K148" t="n">
        <v>0</v>
      </c>
      <c r="L148" t="n">
        <v>0</v>
      </c>
      <c r="M148" t="n">
        <v>0</v>
      </c>
      <c r="N148" t="n">
        <v>0</v>
      </c>
      <c r="O148" t="n">
        <v>1</v>
      </c>
      <c r="P148" t="n">
        <v>0</v>
      </c>
      <c r="Q148" t="n">
        <v>3</v>
      </c>
      <c r="R148" s="2" t="inlineStr">
        <is>
          <t>Kandelabersvamp
Aspvedgnagare
Skinnlav</t>
        </is>
      </c>
      <c r="S148">
        <f>HYPERLINK("https://klasma.github.io/Logging_2161/artfynd/A 64591-2020 artfynd.xlsx", "A 64591-2020")</f>
        <v/>
      </c>
      <c r="T148">
        <f>HYPERLINK("https://klasma.github.io/Logging_2161/kartor/A 64591-2020 karta.png", "A 64591-2020")</f>
        <v/>
      </c>
      <c r="V148">
        <f>HYPERLINK("https://klasma.github.io/Logging_2161/klagomål/A 64591-2020 FSC-klagomål.docx", "A 64591-2020")</f>
        <v/>
      </c>
      <c r="W148">
        <f>HYPERLINK("https://klasma.github.io/Logging_2161/klagomålsmail/A 64591-2020 FSC-klagomål mail.docx", "A 64591-2020")</f>
        <v/>
      </c>
      <c r="X148">
        <f>HYPERLINK("https://klasma.github.io/Logging_2161/tillsyn/A 64591-2020 tillsynsbegäran.docx", "A 64591-2020")</f>
        <v/>
      </c>
      <c r="Y148">
        <f>HYPERLINK("https://klasma.github.io/Logging_2161/tillsynsmail/A 64591-2020 tillsynsbegäran mail.docx", "A 64591-2020")</f>
        <v/>
      </c>
    </row>
    <row r="149" ht="15" customHeight="1">
      <c r="A149" t="inlineStr">
        <is>
          <t>A 21238-2021</t>
        </is>
      </c>
      <c r="B149" s="1" t="n">
        <v>44320</v>
      </c>
      <c r="C149" s="1" t="n">
        <v>45344</v>
      </c>
      <c r="D149" t="inlineStr">
        <is>
          <t>GÄVLEBORGS LÄN</t>
        </is>
      </c>
      <c r="E149" t="inlineStr">
        <is>
          <t>OVANÅKER</t>
        </is>
      </c>
      <c r="F149" t="inlineStr">
        <is>
          <t>Sveaskog</t>
        </is>
      </c>
      <c r="G149" t="n">
        <v>1.7</v>
      </c>
      <c r="H149" t="n">
        <v>0</v>
      </c>
      <c r="I149" t="n">
        <v>0</v>
      </c>
      <c r="J149" t="n">
        <v>3</v>
      </c>
      <c r="K149" t="n">
        <v>0</v>
      </c>
      <c r="L149" t="n">
        <v>0</v>
      </c>
      <c r="M149" t="n">
        <v>0</v>
      </c>
      <c r="N149" t="n">
        <v>0</v>
      </c>
      <c r="O149" t="n">
        <v>3</v>
      </c>
      <c r="P149" t="n">
        <v>0</v>
      </c>
      <c r="Q149" t="n">
        <v>3</v>
      </c>
      <c r="R149" s="2" t="inlineStr">
        <is>
          <t>Dvärgbägarlav
Gammelgransskål
Kolflarnlav</t>
        </is>
      </c>
      <c r="S149">
        <f>HYPERLINK("https://klasma.github.io/Logging_2121/artfynd/A 21238-2021 artfynd.xlsx", "A 21238-2021")</f>
        <v/>
      </c>
      <c r="T149">
        <f>HYPERLINK("https://klasma.github.io/Logging_2121/kartor/A 21238-2021 karta.png", "A 21238-2021")</f>
        <v/>
      </c>
      <c r="V149">
        <f>HYPERLINK("https://klasma.github.io/Logging_2121/klagomål/A 21238-2021 FSC-klagomål.docx", "A 21238-2021")</f>
        <v/>
      </c>
      <c r="W149">
        <f>HYPERLINK("https://klasma.github.io/Logging_2121/klagomålsmail/A 21238-2021 FSC-klagomål mail.docx", "A 21238-2021")</f>
        <v/>
      </c>
      <c r="X149">
        <f>HYPERLINK("https://klasma.github.io/Logging_2121/tillsyn/A 21238-2021 tillsynsbegäran.docx", "A 21238-2021")</f>
        <v/>
      </c>
      <c r="Y149">
        <f>HYPERLINK("https://klasma.github.io/Logging_2121/tillsynsmail/A 21238-2021 tillsynsbegäran mail.docx", "A 21238-2021")</f>
        <v/>
      </c>
    </row>
    <row r="150" ht="15" customHeight="1">
      <c r="A150" t="inlineStr">
        <is>
          <t>A 22461-2021</t>
        </is>
      </c>
      <c r="B150" s="1" t="n">
        <v>44326</v>
      </c>
      <c r="C150" s="1" t="n">
        <v>45344</v>
      </c>
      <c r="D150" t="inlineStr">
        <is>
          <t>GÄVLEBORGS LÄN</t>
        </is>
      </c>
      <c r="E150" t="inlineStr">
        <is>
          <t>LJUSDAL</t>
        </is>
      </c>
      <c r="F150" t="inlineStr">
        <is>
          <t>Sveaskog</t>
        </is>
      </c>
      <c r="G150" t="n">
        <v>7.1</v>
      </c>
      <c r="H150" t="n">
        <v>1</v>
      </c>
      <c r="I150" t="n">
        <v>1</v>
      </c>
      <c r="J150" t="n">
        <v>1</v>
      </c>
      <c r="K150" t="n">
        <v>0</v>
      </c>
      <c r="L150" t="n">
        <v>0</v>
      </c>
      <c r="M150" t="n">
        <v>0</v>
      </c>
      <c r="N150" t="n">
        <v>0</v>
      </c>
      <c r="O150" t="n">
        <v>1</v>
      </c>
      <c r="P150" t="n">
        <v>0</v>
      </c>
      <c r="Q150" t="n">
        <v>3</v>
      </c>
      <c r="R150" s="2" t="inlineStr">
        <is>
          <t>Lunglav
Stuplav
Revlummer</t>
        </is>
      </c>
      <c r="S150">
        <f>HYPERLINK("https://klasma.github.io/Logging_2161/artfynd/A 22461-2021 artfynd.xlsx", "A 22461-2021")</f>
        <v/>
      </c>
      <c r="T150">
        <f>HYPERLINK("https://klasma.github.io/Logging_2161/kartor/A 22461-2021 karta.png", "A 22461-2021")</f>
        <v/>
      </c>
      <c r="V150">
        <f>HYPERLINK("https://klasma.github.io/Logging_2161/klagomål/A 22461-2021 FSC-klagomål.docx", "A 22461-2021")</f>
        <v/>
      </c>
      <c r="W150">
        <f>HYPERLINK("https://klasma.github.io/Logging_2161/klagomålsmail/A 22461-2021 FSC-klagomål mail.docx", "A 22461-2021")</f>
        <v/>
      </c>
      <c r="X150">
        <f>HYPERLINK("https://klasma.github.io/Logging_2161/tillsyn/A 22461-2021 tillsynsbegäran.docx", "A 22461-2021")</f>
        <v/>
      </c>
      <c r="Y150">
        <f>HYPERLINK("https://klasma.github.io/Logging_2161/tillsynsmail/A 22461-2021 tillsynsbegäran mail.docx", "A 22461-2021")</f>
        <v/>
      </c>
    </row>
    <row r="151" ht="15" customHeight="1">
      <c r="A151" t="inlineStr">
        <is>
          <t>A 34590-2021</t>
        </is>
      </c>
      <c r="B151" s="1" t="n">
        <v>44382</v>
      </c>
      <c r="C151" s="1" t="n">
        <v>45344</v>
      </c>
      <c r="D151" t="inlineStr">
        <is>
          <t>GÄVLEBORGS LÄN</t>
        </is>
      </c>
      <c r="E151" t="inlineStr">
        <is>
          <t>BOLLNÄS</t>
        </is>
      </c>
      <c r="F151" t="inlineStr">
        <is>
          <t>Bergvik skog väst AB</t>
        </is>
      </c>
      <c r="G151" t="n">
        <v>5.6</v>
      </c>
      <c r="H151" t="n">
        <v>2</v>
      </c>
      <c r="I151" t="n">
        <v>1</v>
      </c>
      <c r="J151" t="n">
        <v>0</v>
      </c>
      <c r="K151" t="n">
        <v>0</v>
      </c>
      <c r="L151" t="n">
        <v>0</v>
      </c>
      <c r="M151" t="n">
        <v>0</v>
      </c>
      <c r="N151" t="n">
        <v>0</v>
      </c>
      <c r="O151" t="n">
        <v>0</v>
      </c>
      <c r="P151" t="n">
        <v>0</v>
      </c>
      <c r="Q151" t="n">
        <v>3</v>
      </c>
      <c r="R151" s="2" t="inlineStr">
        <is>
          <t>Tibast
Brudsporre
Fläcknycklar</t>
        </is>
      </c>
      <c r="S151">
        <f>HYPERLINK("https://klasma.github.io/Logging_2183/artfynd/A 34590-2021 artfynd.xlsx", "A 34590-2021")</f>
        <v/>
      </c>
      <c r="T151">
        <f>HYPERLINK("https://klasma.github.io/Logging_2183/kartor/A 34590-2021 karta.png", "A 34590-2021")</f>
        <v/>
      </c>
      <c r="V151">
        <f>HYPERLINK("https://klasma.github.io/Logging_2183/klagomål/A 34590-2021 FSC-klagomål.docx", "A 34590-2021")</f>
        <v/>
      </c>
      <c r="W151">
        <f>HYPERLINK("https://klasma.github.io/Logging_2183/klagomålsmail/A 34590-2021 FSC-klagomål mail.docx", "A 34590-2021")</f>
        <v/>
      </c>
      <c r="X151">
        <f>HYPERLINK("https://klasma.github.io/Logging_2183/tillsyn/A 34590-2021 tillsynsbegäran.docx", "A 34590-2021")</f>
        <v/>
      </c>
      <c r="Y151">
        <f>HYPERLINK("https://klasma.github.io/Logging_2183/tillsynsmail/A 34590-2021 tillsynsbegäran mail.docx", "A 34590-2021")</f>
        <v/>
      </c>
    </row>
    <row r="152" ht="15" customHeight="1">
      <c r="A152" t="inlineStr">
        <is>
          <t>A 49922-2021</t>
        </is>
      </c>
      <c r="B152" s="1" t="n">
        <v>44455</v>
      </c>
      <c r="C152" s="1" t="n">
        <v>45344</v>
      </c>
      <c r="D152" t="inlineStr">
        <is>
          <t>GÄVLEBORGS LÄN</t>
        </is>
      </c>
      <c r="E152" t="inlineStr">
        <is>
          <t>HUDIKSVALL</t>
        </is>
      </c>
      <c r="G152" t="n">
        <v>4.5</v>
      </c>
      <c r="H152" t="n">
        <v>0</v>
      </c>
      <c r="I152" t="n">
        <v>3</v>
      </c>
      <c r="J152" t="n">
        <v>0</v>
      </c>
      <c r="K152" t="n">
        <v>0</v>
      </c>
      <c r="L152" t="n">
        <v>0</v>
      </c>
      <c r="M152" t="n">
        <v>0</v>
      </c>
      <c r="N152" t="n">
        <v>0</v>
      </c>
      <c r="O152" t="n">
        <v>0</v>
      </c>
      <c r="P152" t="n">
        <v>0</v>
      </c>
      <c r="Q152" t="n">
        <v>3</v>
      </c>
      <c r="R152" s="2" t="inlineStr">
        <is>
          <t>Kattfotslav
Korallblylav
Skinnlav</t>
        </is>
      </c>
      <c r="S152">
        <f>HYPERLINK("https://klasma.github.io/Logging_2184/artfynd/A 49922-2021 artfynd.xlsx", "A 49922-2021")</f>
        <v/>
      </c>
      <c r="T152">
        <f>HYPERLINK("https://klasma.github.io/Logging_2184/kartor/A 49922-2021 karta.png", "A 49922-2021")</f>
        <v/>
      </c>
      <c r="V152">
        <f>HYPERLINK("https://klasma.github.io/Logging_2184/klagomål/A 49922-2021 FSC-klagomål.docx", "A 49922-2021")</f>
        <v/>
      </c>
      <c r="W152">
        <f>HYPERLINK("https://klasma.github.io/Logging_2184/klagomålsmail/A 49922-2021 FSC-klagomål mail.docx", "A 49922-2021")</f>
        <v/>
      </c>
      <c r="X152">
        <f>HYPERLINK("https://klasma.github.io/Logging_2184/tillsyn/A 49922-2021 tillsynsbegäran.docx", "A 49922-2021")</f>
        <v/>
      </c>
      <c r="Y152">
        <f>HYPERLINK("https://klasma.github.io/Logging_2184/tillsynsmail/A 49922-2021 tillsynsbegäran mail.docx", "A 49922-2021")</f>
        <v/>
      </c>
    </row>
    <row r="153" ht="15" customHeight="1">
      <c r="A153" t="inlineStr">
        <is>
          <t>A 8446-2022</t>
        </is>
      </c>
      <c r="B153" s="1" t="n">
        <v>44612</v>
      </c>
      <c r="C153" s="1" t="n">
        <v>45344</v>
      </c>
      <c r="D153" t="inlineStr">
        <is>
          <t>GÄVLEBORGS LÄN</t>
        </is>
      </c>
      <c r="E153" t="inlineStr">
        <is>
          <t>HUDIKSVALL</t>
        </is>
      </c>
      <c r="G153" t="n">
        <v>5.4</v>
      </c>
      <c r="H153" t="n">
        <v>3</v>
      </c>
      <c r="I153" t="n">
        <v>0</v>
      </c>
      <c r="J153" t="n">
        <v>0</v>
      </c>
      <c r="K153" t="n">
        <v>0</v>
      </c>
      <c r="L153" t="n">
        <v>0</v>
      </c>
      <c r="M153" t="n">
        <v>0</v>
      </c>
      <c r="N153" t="n">
        <v>0</v>
      </c>
      <c r="O153" t="n">
        <v>0</v>
      </c>
      <c r="P153" t="n">
        <v>0</v>
      </c>
      <c r="Q153" t="n">
        <v>3</v>
      </c>
      <c r="R153" s="2" t="inlineStr">
        <is>
          <t>Fläcknycklar
Nattviol
Blåsippa</t>
        </is>
      </c>
      <c r="S153">
        <f>HYPERLINK("https://klasma.github.io/Logging_2184/artfynd/A 8446-2022 artfynd.xlsx", "A 8446-2022")</f>
        <v/>
      </c>
      <c r="T153">
        <f>HYPERLINK("https://klasma.github.io/Logging_2184/kartor/A 8446-2022 karta.png", "A 8446-2022")</f>
        <v/>
      </c>
      <c r="V153">
        <f>HYPERLINK("https://klasma.github.io/Logging_2184/klagomål/A 8446-2022 FSC-klagomål.docx", "A 8446-2022")</f>
        <v/>
      </c>
      <c r="W153">
        <f>HYPERLINK("https://klasma.github.io/Logging_2184/klagomålsmail/A 8446-2022 FSC-klagomål mail.docx", "A 8446-2022")</f>
        <v/>
      </c>
      <c r="X153">
        <f>HYPERLINK("https://klasma.github.io/Logging_2184/tillsyn/A 8446-2022 tillsynsbegäran.docx", "A 8446-2022")</f>
        <v/>
      </c>
      <c r="Y153">
        <f>HYPERLINK("https://klasma.github.io/Logging_2184/tillsynsmail/A 8446-2022 tillsynsbegäran mail.docx", "A 8446-2022")</f>
        <v/>
      </c>
    </row>
    <row r="154" ht="15" customHeight="1">
      <c r="A154" t="inlineStr">
        <is>
          <t>A 10436-2022</t>
        </is>
      </c>
      <c r="B154" s="1" t="n">
        <v>44623</v>
      </c>
      <c r="C154" s="1" t="n">
        <v>45344</v>
      </c>
      <c r="D154" t="inlineStr">
        <is>
          <t>GÄVLEBORGS LÄN</t>
        </is>
      </c>
      <c r="E154" t="inlineStr">
        <is>
          <t>HOFORS</t>
        </is>
      </c>
      <c r="G154" t="n">
        <v>6.3</v>
      </c>
      <c r="H154" t="n">
        <v>1</v>
      </c>
      <c r="I154" t="n">
        <v>2</v>
      </c>
      <c r="J154" t="n">
        <v>0</v>
      </c>
      <c r="K154" t="n">
        <v>1</v>
      </c>
      <c r="L154" t="n">
        <v>0</v>
      </c>
      <c r="M154" t="n">
        <v>0</v>
      </c>
      <c r="N154" t="n">
        <v>0</v>
      </c>
      <c r="O154" t="n">
        <v>1</v>
      </c>
      <c r="P154" t="n">
        <v>1</v>
      </c>
      <c r="Q154" t="n">
        <v>3</v>
      </c>
      <c r="R154" s="2" t="inlineStr">
        <is>
          <t>Knärot
Björksplintborre
Vedticka</t>
        </is>
      </c>
      <c r="S154">
        <f>HYPERLINK("https://klasma.github.io/Logging_2104/artfynd/A 10436-2022 artfynd.xlsx", "A 10436-2022")</f>
        <v/>
      </c>
      <c r="T154">
        <f>HYPERLINK("https://klasma.github.io/Logging_2104/kartor/A 10436-2022 karta.png", "A 10436-2022")</f>
        <v/>
      </c>
      <c r="U154">
        <f>HYPERLINK("https://klasma.github.io/Logging_2104/knärot/A 10436-2022 karta knärot.png", "A 10436-2022")</f>
        <v/>
      </c>
      <c r="V154">
        <f>HYPERLINK("https://klasma.github.io/Logging_2104/klagomål/A 10436-2022 FSC-klagomål.docx", "A 10436-2022")</f>
        <v/>
      </c>
      <c r="W154">
        <f>HYPERLINK("https://klasma.github.io/Logging_2104/klagomålsmail/A 10436-2022 FSC-klagomål mail.docx", "A 10436-2022")</f>
        <v/>
      </c>
      <c r="X154">
        <f>HYPERLINK("https://klasma.github.io/Logging_2104/tillsyn/A 10436-2022 tillsynsbegäran.docx", "A 10436-2022")</f>
        <v/>
      </c>
      <c r="Y154">
        <f>HYPERLINK("https://klasma.github.io/Logging_2104/tillsynsmail/A 10436-2022 tillsynsbegäran mail.docx", "A 10436-2022")</f>
        <v/>
      </c>
    </row>
    <row r="155" ht="15" customHeight="1">
      <c r="A155" t="inlineStr">
        <is>
          <t>A 21538-2022</t>
        </is>
      </c>
      <c r="B155" s="1" t="n">
        <v>44706</v>
      </c>
      <c r="C155" s="1" t="n">
        <v>45344</v>
      </c>
      <c r="D155" t="inlineStr">
        <is>
          <t>GÄVLEBORGS LÄN</t>
        </is>
      </c>
      <c r="E155" t="inlineStr">
        <is>
          <t>LJUSDAL</t>
        </is>
      </c>
      <c r="F155" t="inlineStr">
        <is>
          <t>Sveaskog</t>
        </is>
      </c>
      <c r="G155" t="n">
        <v>2.3</v>
      </c>
      <c r="H155" t="n">
        <v>0</v>
      </c>
      <c r="I155" t="n">
        <v>1</v>
      </c>
      <c r="J155" t="n">
        <v>2</v>
      </c>
      <c r="K155" t="n">
        <v>0</v>
      </c>
      <c r="L155" t="n">
        <v>0</v>
      </c>
      <c r="M155" t="n">
        <v>0</v>
      </c>
      <c r="N155" t="n">
        <v>0</v>
      </c>
      <c r="O155" t="n">
        <v>2</v>
      </c>
      <c r="P155" t="n">
        <v>0</v>
      </c>
      <c r="Q155" t="n">
        <v>3</v>
      </c>
      <c r="R155" s="2" t="inlineStr">
        <is>
          <t>Kolflarnlav
Mörk kolflarnlav
Dropptaggsvamp</t>
        </is>
      </c>
      <c r="S155">
        <f>HYPERLINK("https://klasma.github.io/Logging_2161/artfynd/A 21538-2022 artfynd.xlsx", "A 21538-2022")</f>
        <v/>
      </c>
      <c r="T155">
        <f>HYPERLINK("https://klasma.github.io/Logging_2161/kartor/A 21538-2022 karta.png", "A 21538-2022")</f>
        <v/>
      </c>
      <c r="V155">
        <f>HYPERLINK("https://klasma.github.io/Logging_2161/klagomål/A 21538-2022 FSC-klagomål.docx", "A 21538-2022")</f>
        <v/>
      </c>
      <c r="W155">
        <f>HYPERLINK("https://klasma.github.io/Logging_2161/klagomålsmail/A 21538-2022 FSC-klagomål mail.docx", "A 21538-2022")</f>
        <v/>
      </c>
      <c r="X155">
        <f>HYPERLINK("https://klasma.github.io/Logging_2161/tillsyn/A 21538-2022 tillsynsbegäran.docx", "A 21538-2022")</f>
        <v/>
      </c>
      <c r="Y155">
        <f>HYPERLINK("https://klasma.github.io/Logging_2161/tillsynsmail/A 21538-2022 tillsynsbegäran mail.docx", "A 21538-2022")</f>
        <v/>
      </c>
    </row>
    <row r="156" ht="15" customHeight="1">
      <c r="A156" t="inlineStr">
        <is>
          <t>A 21797-2022</t>
        </is>
      </c>
      <c r="B156" s="1" t="n">
        <v>44708</v>
      </c>
      <c r="C156" s="1" t="n">
        <v>45344</v>
      </c>
      <c r="D156" t="inlineStr">
        <is>
          <t>GÄVLEBORGS LÄN</t>
        </is>
      </c>
      <c r="E156" t="inlineStr">
        <is>
          <t>LJUSDAL</t>
        </is>
      </c>
      <c r="F156" t="inlineStr">
        <is>
          <t>Holmen skog AB</t>
        </is>
      </c>
      <c r="G156" t="n">
        <v>2.5</v>
      </c>
      <c r="H156" t="n">
        <v>0</v>
      </c>
      <c r="I156" t="n">
        <v>2</v>
      </c>
      <c r="J156" t="n">
        <v>1</v>
      </c>
      <c r="K156" t="n">
        <v>0</v>
      </c>
      <c r="L156" t="n">
        <v>0</v>
      </c>
      <c r="M156" t="n">
        <v>0</v>
      </c>
      <c r="N156" t="n">
        <v>0</v>
      </c>
      <c r="O156" t="n">
        <v>1</v>
      </c>
      <c r="P156" t="n">
        <v>0</v>
      </c>
      <c r="Q156" t="n">
        <v>3</v>
      </c>
      <c r="R156" s="2" t="inlineStr">
        <is>
          <t>Ullticka
Skinnlav
Vedticka</t>
        </is>
      </c>
      <c r="S156">
        <f>HYPERLINK("https://klasma.github.io/Logging_2161/artfynd/A 21797-2022 artfynd.xlsx", "A 21797-2022")</f>
        <v/>
      </c>
      <c r="T156">
        <f>HYPERLINK("https://klasma.github.io/Logging_2161/kartor/A 21797-2022 karta.png", "A 21797-2022")</f>
        <v/>
      </c>
      <c r="V156">
        <f>HYPERLINK("https://klasma.github.io/Logging_2161/klagomål/A 21797-2022 FSC-klagomål.docx", "A 21797-2022")</f>
        <v/>
      </c>
      <c r="W156">
        <f>HYPERLINK("https://klasma.github.io/Logging_2161/klagomålsmail/A 21797-2022 FSC-klagomål mail.docx", "A 21797-2022")</f>
        <v/>
      </c>
      <c r="X156">
        <f>HYPERLINK("https://klasma.github.io/Logging_2161/tillsyn/A 21797-2022 tillsynsbegäran.docx", "A 21797-2022")</f>
        <v/>
      </c>
      <c r="Y156">
        <f>HYPERLINK("https://klasma.github.io/Logging_2161/tillsynsmail/A 21797-2022 tillsynsbegäran mail.docx", "A 21797-2022")</f>
        <v/>
      </c>
    </row>
    <row r="157" ht="15" customHeight="1">
      <c r="A157" t="inlineStr">
        <is>
          <t>A 25129-2022</t>
        </is>
      </c>
      <c r="B157" s="1" t="n">
        <v>44729</v>
      </c>
      <c r="C157" s="1" t="n">
        <v>45344</v>
      </c>
      <c r="D157" t="inlineStr">
        <is>
          <t>GÄVLEBORGS LÄN</t>
        </is>
      </c>
      <c r="E157" t="inlineStr">
        <is>
          <t>BOLLNÄS</t>
        </is>
      </c>
      <c r="F157" t="inlineStr">
        <is>
          <t>Bergvik skog väst AB</t>
        </is>
      </c>
      <c r="G157" t="n">
        <v>27.4</v>
      </c>
      <c r="H157" t="n">
        <v>0</v>
      </c>
      <c r="I157" t="n">
        <v>1</v>
      </c>
      <c r="J157" t="n">
        <v>2</v>
      </c>
      <c r="K157" t="n">
        <v>0</v>
      </c>
      <c r="L157" t="n">
        <v>0</v>
      </c>
      <c r="M157" t="n">
        <v>0</v>
      </c>
      <c r="N157" t="n">
        <v>0</v>
      </c>
      <c r="O157" t="n">
        <v>2</v>
      </c>
      <c r="P157" t="n">
        <v>0</v>
      </c>
      <c r="Q157" t="n">
        <v>3</v>
      </c>
      <c r="R157" s="2" t="inlineStr">
        <is>
          <t>Garnlav
Kortskaftad ärgspik
Nästlav</t>
        </is>
      </c>
      <c r="S157">
        <f>HYPERLINK("https://klasma.github.io/Logging_2183/artfynd/A 25129-2022 artfynd.xlsx", "A 25129-2022")</f>
        <v/>
      </c>
      <c r="T157">
        <f>HYPERLINK("https://klasma.github.io/Logging_2183/kartor/A 25129-2022 karta.png", "A 25129-2022")</f>
        <v/>
      </c>
      <c r="V157">
        <f>HYPERLINK("https://klasma.github.io/Logging_2183/klagomål/A 25129-2022 FSC-klagomål.docx", "A 25129-2022")</f>
        <v/>
      </c>
      <c r="W157">
        <f>HYPERLINK("https://klasma.github.io/Logging_2183/klagomålsmail/A 25129-2022 FSC-klagomål mail.docx", "A 25129-2022")</f>
        <v/>
      </c>
      <c r="X157">
        <f>HYPERLINK("https://klasma.github.io/Logging_2183/tillsyn/A 25129-2022 tillsynsbegäran.docx", "A 25129-2022")</f>
        <v/>
      </c>
      <c r="Y157">
        <f>HYPERLINK("https://klasma.github.io/Logging_2183/tillsynsmail/A 25129-2022 tillsynsbegäran mail.docx", "A 25129-2022")</f>
        <v/>
      </c>
    </row>
    <row r="158" ht="15" customHeight="1">
      <c r="A158" t="inlineStr">
        <is>
          <t>A 26055-2022</t>
        </is>
      </c>
      <c r="B158" s="1" t="n">
        <v>44734</v>
      </c>
      <c r="C158" s="1" t="n">
        <v>45344</v>
      </c>
      <c r="D158" t="inlineStr">
        <is>
          <t>GÄVLEBORGS LÄN</t>
        </is>
      </c>
      <c r="E158" t="inlineStr">
        <is>
          <t>LJUSDAL</t>
        </is>
      </c>
      <c r="F158" t="inlineStr">
        <is>
          <t>Bergvik skog väst AB</t>
        </is>
      </c>
      <c r="G158" t="n">
        <v>23.3</v>
      </c>
      <c r="H158" t="n">
        <v>0</v>
      </c>
      <c r="I158" t="n">
        <v>0</v>
      </c>
      <c r="J158" t="n">
        <v>2</v>
      </c>
      <c r="K158" t="n">
        <v>1</v>
      </c>
      <c r="L158" t="n">
        <v>0</v>
      </c>
      <c r="M158" t="n">
        <v>0</v>
      </c>
      <c r="N158" t="n">
        <v>0</v>
      </c>
      <c r="O158" t="n">
        <v>3</v>
      </c>
      <c r="P158" t="n">
        <v>1</v>
      </c>
      <c r="Q158" t="n">
        <v>3</v>
      </c>
      <c r="R158" s="2" t="inlineStr">
        <is>
          <t>Aspfjädermossa
Stiftgelélav
Vedtrappmossa</t>
        </is>
      </c>
      <c r="S158">
        <f>HYPERLINK("https://klasma.github.io/Logging_2161/artfynd/A 26055-2022 artfynd.xlsx", "A 26055-2022")</f>
        <v/>
      </c>
      <c r="T158">
        <f>HYPERLINK("https://klasma.github.io/Logging_2161/kartor/A 26055-2022 karta.png", "A 26055-2022")</f>
        <v/>
      </c>
      <c r="V158">
        <f>HYPERLINK("https://klasma.github.io/Logging_2161/klagomål/A 26055-2022 FSC-klagomål.docx", "A 26055-2022")</f>
        <v/>
      </c>
      <c r="W158">
        <f>HYPERLINK("https://klasma.github.io/Logging_2161/klagomålsmail/A 26055-2022 FSC-klagomål mail.docx", "A 26055-2022")</f>
        <v/>
      </c>
      <c r="X158">
        <f>HYPERLINK("https://klasma.github.io/Logging_2161/tillsyn/A 26055-2022 tillsynsbegäran.docx", "A 26055-2022")</f>
        <v/>
      </c>
      <c r="Y158">
        <f>HYPERLINK("https://klasma.github.io/Logging_2161/tillsynsmail/A 26055-2022 tillsynsbegäran mail.docx", "A 26055-2022")</f>
        <v/>
      </c>
    </row>
    <row r="159" ht="15" customHeight="1">
      <c r="A159" t="inlineStr">
        <is>
          <t>A 40292-2022</t>
        </is>
      </c>
      <c r="B159" s="1" t="n">
        <v>44821</v>
      </c>
      <c r="C159" s="1" t="n">
        <v>45344</v>
      </c>
      <c r="D159" t="inlineStr">
        <is>
          <t>GÄVLEBORGS LÄN</t>
        </is>
      </c>
      <c r="E159" t="inlineStr">
        <is>
          <t>LJUSDAL</t>
        </is>
      </c>
      <c r="F159" t="inlineStr">
        <is>
          <t>Sveaskog</t>
        </is>
      </c>
      <c r="G159" t="n">
        <v>3.1</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40292-2022 artfynd.xlsx", "A 40292-2022")</f>
        <v/>
      </c>
      <c r="T159">
        <f>HYPERLINK("https://klasma.github.io/Logging_2161/kartor/A 40292-2022 karta.png", "A 40292-2022")</f>
        <v/>
      </c>
      <c r="V159">
        <f>HYPERLINK("https://klasma.github.io/Logging_2161/klagomål/A 40292-2022 FSC-klagomål.docx", "A 40292-2022")</f>
        <v/>
      </c>
      <c r="W159">
        <f>HYPERLINK("https://klasma.github.io/Logging_2161/klagomålsmail/A 40292-2022 FSC-klagomål mail.docx", "A 40292-2022")</f>
        <v/>
      </c>
      <c r="X159">
        <f>HYPERLINK("https://klasma.github.io/Logging_2161/tillsyn/A 40292-2022 tillsynsbegäran.docx", "A 40292-2022")</f>
        <v/>
      </c>
      <c r="Y159">
        <f>HYPERLINK("https://klasma.github.io/Logging_2161/tillsynsmail/A 40292-2022 tillsynsbegäran mail.docx", "A 40292-2022")</f>
        <v/>
      </c>
    </row>
    <row r="160" ht="15" customHeight="1">
      <c r="A160" t="inlineStr">
        <is>
          <t>A 52399-2022</t>
        </is>
      </c>
      <c r="B160" s="1" t="n">
        <v>44874</v>
      </c>
      <c r="C160" s="1" t="n">
        <v>45344</v>
      </c>
      <c r="D160" t="inlineStr">
        <is>
          <t>GÄVLEBORGS LÄN</t>
        </is>
      </c>
      <c r="E160" t="inlineStr">
        <is>
          <t>HUDIKSVALL</t>
        </is>
      </c>
      <c r="F160" t="inlineStr">
        <is>
          <t>Holmen skog AB</t>
        </is>
      </c>
      <c r="G160" t="n">
        <v>3.9</v>
      </c>
      <c r="H160" t="n">
        <v>0</v>
      </c>
      <c r="I160" t="n">
        <v>0</v>
      </c>
      <c r="J160" t="n">
        <v>3</v>
      </c>
      <c r="K160" t="n">
        <v>0</v>
      </c>
      <c r="L160" t="n">
        <v>0</v>
      </c>
      <c r="M160" t="n">
        <v>0</v>
      </c>
      <c r="N160" t="n">
        <v>0</v>
      </c>
      <c r="O160" t="n">
        <v>3</v>
      </c>
      <c r="P160" t="n">
        <v>0</v>
      </c>
      <c r="Q160" t="n">
        <v>3</v>
      </c>
      <c r="R160" s="2" t="inlineStr">
        <is>
          <t>Blanksvart spiklav
Gammelgransskål
Garnlav</t>
        </is>
      </c>
      <c r="S160">
        <f>HYPERLINK("https://klasma.github.io/Logging_2184/artfynd/A 52399-2022 artfynd.xlsx", "A 52399-2022")</f>
        <v/>
      </c>
      <c r="T160">
        <f>HYPERLINK("https://klasma.github.io/Logging_2184/kartor/A 52399-2022 karta.png", "A 52399-2022")</f>
        <v/>
      </c>
      <c r="V160">
        <f>HYPERLINK("https://klasma.github.io/Logging_2184/klagomål/A 52399-2022 FSC-klagomål.docx", "A 52399-2022")</f>
        <v/>
      </c>
      <c r="W160">
        <f>HYPERLINK("https://klasma.github.io/Logging_2184/klagomålsmail/A 52399-2022 FSC-klagomål mail.docx", "A 52399-2022")</f>
        <v/>
      </c>
      <c r="X160">
        <f>HYPERLINK("https://klasma.github.io/Logging_2184/tillsyn/A 52399-2022 tillsynsbegäran.docx", "A 52399-2022")</f>
        <v/>
      </c>
      <c r="Y160">
        <f>HYPERLINK("https://klasma.github.io/Logging_2184/tillsynsmail/A 52399-2022 tillsynsbegäran mail.docx", "A 52399-2022")</f>
        <v/>
      </c>
    </row>
    <row r="161" ht="15" customHeight="1">
      <c r="A161" t="inlineStr">
        <is>
          <t>A 54472-2022</t>
        </is>
      </c>
      <c r="B161" s="1" t="n">
        <v>44882</v>
      </c>
      <c r="C161" s="1" t="n">
        <v>45344</v>
      </c>
      <c r="D161" t="inlineStr">
        <is>
          <t>GÄVLEBORGS LÄN</t>
        </is>
      </c>
      <c r="E161" t="inlineStr">
        <is>
          <t>LJUSDAL</t>
        </is>
      </c>
      <c r="F161" t="inlineStr">
        <is>
          <t>Bergvik skog väst AB</t>
        </is>
      </c>
      <c r="G161" t="n">
        <v>3.1</v>
      </c>
      <c r="H161" t="n">
        <v>0</v>
      </c>
      <c r="I161" t="n">
        <v>1</v>
      </c>
      <c r="J161" t="n">
        <v>2</v>
      </c>
      <c r="K161" t="n">
        <v>0</v>
      </c>
      <c r="L161" t="n">
        <v>0</v>
      </c>
      <c r="M161" t="n">
        <v>0</v>
      </c>
      <c r="N161" t="n">
        <v>0</v>
      </c>
      <c r="O161" t="n">
        <v>2</v>
      </c>
      <c r="P161" t="n">
        <v>0</v>
      </c>
      <c r="Q161" t="n">
        <v>3</v>
      </c>
      <c r="R161" s="2" t="inlineStr">
        <is>
          <t>Lunglav
Skrovellav
Källmossa</t>
        </is>
      </c>
      <c r="S161">
        <f>HYPERLINK("https://klasma.github.io/Logging_2161/artfynd/A 54472-2022 artfynd.xlsx", "A 54472-2022")</f>
        <v/>
      </c>
      <c r="T161">
        <f>HYPERLINK("https://klasma.github.io/Logging_2161/kartor/A 54472-2022 karta.png", "A 54472-2022")</f>
        <v/>
      </c>
      <c r="U161">
        <f>HYPERLINK("https://klasma.github.io/Logging_2161/knärot/A 54472-2022 karta knärot.png", "A 54472-2022")</f>
        <v/>
      </c>
      <c r="V161">
        <f>HYPERLINK("https://klasma.github.io/Logging_2161/klagomål/A 54472-2022 FSC-klagomål.docx", "A 54472-2022")</f>
        <v/>
      </c>
      <c r="W161">
        <f>HYPERLINK("https://klasma.github.io/Logging_2161/klagomålsmail/A 54472-2022 FSC-klagomål mail.docx", "A 54472-2022")</f>
        <v/>
      </c>
      <c r="X161">
        <f>HYPERLINK("https://klasma.github.io/Logging_2161/tillsyn/A 54472-2022 tillsynsbegäran.docx", "A 54472-2022")</f>
        <v/>
      </c>
      <c r="Y161">
        <f>HYPERLINK("https://klasma.github.io/Logging_2161/tillsynsmail/A 54472-2022 tillsynsbegäran mail.docx", "A 54472-2022")</f>
        <v/>
      </c>
    </row>
    <row r="162" ht="15" customHeight="1">
      <c r="A162" t="inlineStr">
        <is>
          <t>A 12105-2023</t>
        </is>
      </c>
      <c r="B162" s="1" t="n">
        <v>44998</v>
      </c>
      <c r="C162" s="1" t="n">
        <v>45344</v>
      </c>
      <c r="D162" t="inlineStr">
        <is>
          <t>GÄVLEBORGS LÄN</t>
        </is>
      </c>
      <c r="E162" t="inlineStr">
        <is>
          <t>LJUSDAL</t>
        </is>
      </c>
      <c r="G162" t="n">
        <v>11.7</v>
      </c>
      <c r="H162" t="n">
        <v>1</v>
      </c>
      <c r="I162" t="n">
        <v>2</v>
      </c>
      <c r="J162" t="n">
        <v>0</v>
      </c>
      <c r="K162" t="n">
        <v>1</v>
      </c>
      <c r="L162" t="n">
        <v>0</v>
      </c>
      <c r="M162" t="n">
        <v>0</v>
      </c>
      <c r="N162" t="n">
        <v>0</v>
      </c>
      <c r="O162" t="n">
        <v>1</v>
      </c>
      <c r="P162" t="n">
        <v>1</v>
      </c>
      <c r="Q162" t="n">
        <v>3</v>
      </c>
      <c r="R162" s="2" t="inlineStr">
        <is>
          <t>Knärot
Korallblylav
Mörk husmossa</t>
        </is>
      </c>
      <c r="S162">
        <f>HYPERLINK("https://klasma.github.io/Logging_2161/artfynd/A 12105-2023 artfynd.xlsx", "A 12105-2023")</f>
        <v/>
      </c>
      <c r="T162">
        <f>HYPERLINK("https://klasma.github.io/Logging_2161/kartor/A 12105-2023 karta.png", "A 12105-2023")</f>
        <v/>
      </c>
      <c r="U162">
        <f>HYPERLINK("https://klasma.github.io/Logging_2161/knärot/A 12105-2023 karta knärot.png", "A 12105-2023")</f>
        <v/>
      </c>
      <c r="V162">
        <f>HYPERLINK("https://klasma.github.io/Logging_2161/klagomål/A 12105-2023 FSC-klagomål.docx", "A 12105-2023")</f>
        <v/>
      </c>
      <c r="W162">
        <f>HYPERLINK("https://klasma.github.io/Logging_2161/klagomålsmail/A 12105-2023 FSC-klagomål mail.docx", "A 12105-2023")</f>
        <v/>
      </c>
      <c r="X162">
        <f>HYPERLINK("https://klasma.github.io/Logging_2161/tillsyn/A 12105-2023 tillsynsbegäran.docx", "A 12105-2023")</f>
        <v/>
      </c>
      <c r="Y162">
        <f>HYPERLINK("https://klasma.github.io/Logging_2161/tillsynsmail/A 12105-2023 tillsynsbegäran mail.docx", "A 12105-2023")</f>
        <v/>
      </c>
    </row>
    <row r="163" ht="15" customHeight="1">
      <c r="A163" t="inlineStr">
        <is>
          <t>A 23246-2023</t>
        </is>
      </c>
      <c r="B163" s="1" t="n">
        <v>45075</v>
      </c>
      <c r="C163" s="1" t="n">
        <v>45344</v>
      </c>
      <c r="D163" t="inlineStr">
        <is>
          <t>GÄVLEBORGS LÄN</t>
        </is>
      </c>
      <c r="E163" t="inlineStr">
        <is>
          <t>HUDIKSVALL</t>
        </is>
      </c>
      <c r="F163" t="inlineStr">
        <is>
          <t>Sveaskog</t>
        </is>
      </c>
      <c r="G163" t="n">
        <v>7.2</v>
      </c>
      <c r="H163" t="n">
        <v>1</v>
      </c>
      <c r="I163" t="n">
        <v>0</v>
      </c>
      <c r="J163" t="n">
        <v>2</v>
      </c>
      <c r="K163" t="n">
        <v>0</v>
      </c>
      <c r="L163" t="n">
        <v>0</v>
      </c>
      <c r="M163" t="n">
        <v>0</v>
      </c>
      <c r="N163" t="n">
        <v>0</v>
      </c>
      <c r="O163" t="n">
        <v>2</v>
      </c>
      <c r="P163" t="n">
        <v>0</v>
      </c>
      <c r="Q163" t="n">
        <v>3</v>
      </c>
      <c r="R163" s="2" t="inlineStr">
        <is>
          <t>Kolflarnlav
Mörk kolflarnlav
Fläcknycklar</t>
        </is>
      </c>
      <c r="S163">
        <f>HYPERLINK("https://klasma.github.io/Logging_2184/artfynd/A 23246-2023 artfynd.xlsx", "A 23246-2023")</f>
        <v/>
      </c>
      <c r="T163">
        <f>HYPERLINK("https://klasma.github.io/Logging_2184/kartor/A 23246-2023 karta.png", "A 23246-2023")</f>
        <v/>
      </c>
      <c r="V163">
        <f>HYPERLINK("https://klasma.github.io/Logging_2184/klagomål/A 23246-2023 FSC-klagomål.docx", "A 23246-2023")</f>
        <v/>
      </c>
      <c r="W163">
        <f>HYPERLINK("https://klasma.github.io/Logging_2184/klagomålsmail/A 23246-2023 FSC-klagomål mail.docx", "A 23246-2023")</f>
        <v/>
      </c>
      <c r="X163">
        <f>HYPERLINK("https://klasma.github.io/Logging_2184/tillsyn/A 23246-2023 tillsynsbegäran.docx", "A 23246-2023")</f>
        <v/>
      </c>
      <c r="Y163">
        <f>HYPERLINK("https://klasma.github.io/Logging_2184/tillsynsmail/A 23246-2023 tillsynsbegäran mail.docx", "A 23246-2023")</f>
        <v/>
      </c>
    </row>
    <row r="164" ht="15" customHeight="1">
      <c r="A164" t="inlineStr">
        <is>
          <t>A 24519-2023</t>
        </is>
      </c>
      <c r="B164" s="1" t="n">
        <v>45082</v>
      </c>
      <c r="C164" s="1" t="n">
        <v>45344</v>
      </c>
      <c r="D164" t="inlineStr">
        <is>
          <t>GÄVLEBORGS LÄN</t>
        </is>
      </c>
      <c r="E164" t="inlineStr">
        <is>
          <t>LJUSDAL</t>
        </is>
      </c>
      <c r="F164" t="inlineStr">
        <is>
          <t>Sveaskog</t>
        </is>
      </c>
      <c r="G164" t="n">
        <v>8.199999999999999</v>
      </c>
      <c r="H164" t="n">
        <v>0</v>
      </c>
      <c r="I164" t="n">
        <v>0</v>
      </c>
      <c r="J164" t="n">
        <v>3</v>
      </c>
      <c r="K164" t="n">
        <v>0</v>
      </c>
      <c r="L164" t="n">
        <v>0</v>
      </c>
      <c r="M164" t="n">
        <v>0</v>
      </c>
      <c r="N164" t="n">
        <v>0</v>
      </c>
      <c r="O164" t="n">
        <v>3</v>
      </c>
      <c r="P164" t="n">
        <v>0</v>
      </c>
      <c r="Q164" t="n">
        <v>3</v>
      </c>
      <c r="R164" s="2" t="inlineStr">
        <is>
          <t>Dvärgbägarlav
Kolflarnlav
Lunglav</t>
        </is>
      </c>
      <c r="S164">
        <f>HYPERLINK("https://klasma.github.io/Logging_2161/artfynd/A 24519-2023 artfynd.xlsx", "A 24519-2023")</f>
        <v/>
      </c>
      <c r="T164">
        <f>HYPERLINK("https://klasma.github.io/Logging_2161/kartor/A 24519-2023 karta.png", "A 24519-2023")</f>
        <v/>
      </c>
      <c r="V164">
        <f>HYPERLINK("https://klasma.github.io/Logging_2161/klagomål/A 24519-2023 FSC-klagomål.docx", "A 24519-2023")</f>
        <v/>
      </c>
      <c r="W164">
        <f>HYPERLINK("https://klasma.github.io/Logging_2161/klagomålsmail/A 24519-2023 FSC-klagomål mail.docx", "A 24519-2023")</f>
        <v/>
      </c>
      <c r="X164">
        <f>HYPERLINK("https://klasma.github.io/Logging_2161/tillsyn/A 24519-2023 tillsynsbegäran.docx", "A 24519-2023")</f>
        <v/>
      </c>
      <c r="Y164">
        <f>HYPERLINK("https://klasma.github.io/Logging_2161/tillsynsmail/A 24519-2023 tillsynsbegäran mail.docx", "A 24519-2023")</f>
        <v/>
      </c>
    </row>
    <row r="165" ht="15" customHeight="1">
      <c r="A165" t="inlineStr">
        <is>
          <t>A 25182-2023</t>
        </is>
      </c>
      <c r="B165" s="1" t="n">
        <v>45086</v>
      </c>
      <c r="C165" s="1" t="n">
        <v>45344</v>
      </c>
      <c r="D165" t="inlineStr">
        <is>
          <t>GÄVLEBORGS LÄN</t>
        </is>
      </c>
      <c r="E165" t="inlineStr">
        <is>
          <t>LJUSDAL</t>
        </is>
      </c>
      <c r="F165" t="inlineStr">
        <is>
          <t>Holmen skog AB</t>
        </is>
      </c>
      <c r="G165" t="n">
        <v>16.6</v>
      </c>
      <c r="H165" t="n">
        <v>3</v>
      </c>
      <c r="I165" t="n">
        <v>0</v>
      </c>
      <c r="J165" t="n">
        <v>0</v>
      </c>
      <c r="K165" t="n">
        <v>0</v>
      </c>
      <c r="L165" t="n">
        <v>0</v>
      </c>
      <c r="M165" t="n">
        <v>0</v>
      </c>
      <c r="N165" t="n">
        <v>0</v>
      </c>
      <c r="O165" t="n">
        <v>0</v>
      </c>
      <c r="P165" t="n">
        <v>0</v>
      </c>
      <c r="Q165" t="n">
        <v>3</v>
      </c>
      <c r="R165" s="2" t="inlineStr">
        <is>
          <t>Fläcknycklar
Myggblomster
Revlummer</t>
        </is>
      </c>
      <c r="S165">
        <f>HYPERLINK("https://klasma.github.io/Logging_2161/artfynd/A 25182-2023 artfynd.xlsx", "A 25182-2023")</f>
        <v/>
      </c>
      <c r="T165">
        <f>HYPERLINK("https://klasma.github.io/Logging_2161/kartor/A 25182-2023 karta.png", "A 25182-2023")</f>
        <v/>
      </c>
      <c r="V165">
        <f>HYPERLINK("https://klasma.github.io/Logging_2161/klagomål/A 25182-2023 FSC-klagomål.docx", "A 25182-2023")</f>
        <v/>
      </c>
      <c r="W165">
        <f>HYPERLINK("https://klasma.github.io/Logging_2161/klagomålsmail/A 25182-2023 FSC-klagomål mail.docx", "A 25182-2023")</f>
        <v/>
      </c>
      <c r="X165">
        <f>HYPERLINK("https://klasma.github.io/Logging_2161/tillsyn/A 25182-2023 tillsynsbegäran.docx", "A 25182-2023")</f>
        <v/>
      </c>
      <c r="Y165">
        <f>HYPERLINK("https://klasma.github.io/Logging_2161/tillsynsmail/A 25182-2023 tillsynsbegäran mail.docx", "A 25182-2023")</f>
        <v/>
      </c>
    </row>
    <row r="166" ht="15" customHeight="1">
      <c r="A166" t="inlineStr">
        <is>
          <t>A 25643-2023</t>
        </is>
      </c>
      <c r="B166" s="1" t="n">
        <v>45089</v>
      </c>
      <c r="C166" s="1" t="n">
        <v>45344</v>
      </c>
      <c r="D166" t="inlineStr">
        <is>
          <t>GÄVLEBORGS LÄN</t>
        </is>
      </c>
      <c r="E166" t="inlineStr">
        <is>
          <t>NORDANSTIG</t>
        </is>
      </c>
      <c r="F166" t="inlineStr">
        <is>
          <t>Holmen skog AB</t>
        </is>
      </c>
      <c r="G166" t="n">
        <v>5.9</v>
      </c>
      <c r="H166" t="n">
        <v>1</v>
      </c>
      <c r="I166" t="n">
        <v>0</v>
      </c>
      <c r="J166" t="n">
        <v>2</v>
      </c>
      <c r="K166" t="n">
        <v>0</v>
      </c>
      <c r="L166" t="n">
        <v>0</v>
      </c>
      <c r="M166" t="n">
        <v>0</v>
      </c>
      <c r="N166" t="n">
        <v>0</v>
      </c>
      <c r="O166" t="n">
        <v>2</v>
      </c>
      <c r="P166" t="n">
        <v>0</v>
      </c>
      <c r="Q166" t="n">
        <v>3</v>
      </c>
      <c r="R166" s="2" t="inlineStr">
        <is>
          <t>Gammelgransskål
Garnlav
Fläcknycklar</t>
        </is>
      </c>
      <c r="S166">
        <f>HYPERLINK("https://klasma.github.io/Logging_2132/artfynd/A 25643-2023 artfynd.xlsx", "A 25643-2023")</f>
        <v/>
      </c>
      <c r="T166">
        <f>HYPERLINK("https://klasma.github.io/Logging_2132/kartor/A 25643-2023 karta.png", "A 25643-2023")</f>
        <v/>
      </c>
      <c r="V166">
        <f>HYPERLINK("https://klasma.github.io/Logging_2132/klagomål/A 25643-2023 FSC-klagomål.docx", "A 25643-2023")</f>
        <v/>
      </c>
      <c r="W166">
        <f>HYPERLINK("https://klasma.github.io/Logging_2132/klagomålsmail/A 25643-2023 FSC-klagomål mail.docx", "A 25643-2023")</f>
        <v/>
      </c>
      <c r="X166">
        <f>HYPERLINK("https://klasma.github.io/Logging_2132/tillsyn/A 25643-2023 tillsynsbegäran.docx", "A 25643-2023")</f>
        <v/>
      </c>
      <c r="Y166">
        <f>HYPERLINK("https://klasma.github.io/Logging_2132/tillsynsmail/A 25643-2023 tillsynsbegäran mail.docx", "A 25643-2023")</f>
        <v/>
      </c>
    </row>
    <row r="167" ht="15" customHeight="1">
      <c r="A167" t="inlineStr">
        <is>
          <t>A 31473-2023</t>
        </is>
      </c>
      <c r="B167" s="1" t="n">
        <v>45114</v>
      </c>
      <c r="C167" s="1" t="n">
        <v>45344</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32677-2023</t>
        </is>
      </c>
      <c r="B168" s="1" t="n">
        <v>45121</v>
      </c>
      <c r="C168" s="1" t="n">
        <v>45344</v>
      </c>
      <c r="D168" t="inlineStr">
        <is>
          <t>GÄVLEBORGS LÄN</t>
        </is>
      </c>
      <c r="E168" t="inlineStr">
        <is>
          <t>GÄVLE</t>
        </is>
      </c>
      <c r="G168" t="n">
        <v>20.7</v>
      </c>
      <c r="H168" t="n">
        <v>1</v>
      </c>
      <c r="I168" t="n">
        <v>1</v>
      </c>
      <c r="J168" t="n">
        <v>0</v>
      </c>
      <c r="K168" t="n">
        <v>1</v>
      </c>
      <c r="L168" t="n">
        <v>0</v>
      </c>
      <c r="M168" t="n">
        <v>0</v>
      </c>
      <c r="N168" t="n">
        <v>0</v>
      </c>
      <c r="O168" t="n">
        <v>1</v>
      </c>
      <c r="P168" t="n">
        <v>1</v>
      </c>
      <c r="Q168" t="n">
        <v>3</v>
      </c>
      <c r="R168" s="2" t="inlineStr">
        <is>
          <t>Glesgröe
Spädstarr
Blåsippa</t>
        </is>
      </c>
      <c r="S168">
        <f>HYPERLINK("https://klasma.github.io/Logging_2180/artfynd/A 32677-2023 artfynd.xlsx", "A 32677-2023")</f>
        <v/>
      </c>
      <c r="T168">
        <f>HYPERLINK("https://klasma.github.io/Logging_2180/kartor/A 32677-2023 karta.png", "A 32677-2023")</f>
        <v/>
      </c>
      <c r="V168">
        <f>HYPERLINK("https://klasma.github.io/Logging_2180/klagomål/A 32677-2023 FSC-klagomål.docx", "A 32677-2023")</f>
        <v/>
      </c>
      <c r="W168">
        <f>HYPERLINK("https://klasma.github.io/Logging_2180/klagomålsmail/A 32677-2023 FSC-klagomål mail.docx", "A 32677-2023")</f>
        <v/>
      </c>
      <c r="X168">
        <f>HYPERLINK("https://klasma.github.io/Logging_2180/tillsyn/A 32677-2023 tillsynsbegäran.docx", "A 32677-2023")</f>
        <v/>
      </c>
      <c r="Y168">
        <f>HYPERLINK("https://klasma.github.io/Logging_2180/tillsynsmail/A 32677-2023 tillsynsbegäran mail.docx", "A 32677-2023")</f>
        <v/>
      </c>
    </row>
    <row r="169" ht="15" customHeight="1">
      <c r="A169" t="inlineStr">
        <is>
          <t>A 33691-2023</t>
        </is>
      </c>
      <c r="B169" s="1" t="n">
        <v>45132</v>
      </c>
      <c r="C169" s="1" t="n">
        <v>45344</v>
      </c>
      <c r="D169" t="inlineStr">
        <is>
          <t>GÄVLEBORGS LÄN</t>
        </is>
      </c>
      <c r="E169" t="inlineStr">
        <is>
          <t>NORDANSTIG</t>
        </is>
      </c>
      <c r="F169" t="inlineStr">
        <is>
          <t>Holmen skog AB</t>
        </is>
      </c>
      <c r="G169" t="n">
        <v>2.7</v>
      </c>
      <c r="H169" t="n">
        <v>0</v>
      </c>
      <c r="I169" t="n">
        <v>2</v>
      </c>
      <c r="J169" t="n">
        <v>1</v>
      </c>
      <c r="K169" t="n">
        <v>0</v>
      </c>
      <c r="L169" t="n">
        <v>0</v>
      </c>
      <c r="M169" t="n">
        <v>0</v>
      </c>
      <c r="N169" t="n">
        <v>0</v>
      </c>
      <c r="O169" t="n">
        <v>1</v>
      </c>
      <c r="P169" t="n">
        <v>0</v>
      </c>
      <c r="Q169" t="n">
        <v>3</v>
      </c>
      <c r="R169" s="2" t="inlineStr">
        <is>
          <t>Ullticka
Skogshakmossa
Vågbandad barkbock</t>
        </is>
      </c>
      <c r="S169">
        <f>HYPERLINK("https://klasma.github.io/Logging_2132/artfynd/A 33691-2023 artfynd.xlsx", "A 33691-2023")</f>
        <v/>
      </c>
      <c r="T169">
        <f>HYPERLINK("https://klasma.github.io/Logging_2132/kartor/A 33691-2023 karta.png", "A 33691-2023")</f>
        <v/>
      </c>
      <c r="V169">
        <f>HYPERLINK("https://klasma.github.io/Logging_2132/klagomål/A 33691-2023 FSC-klagomål.docx", "A 33691-2023")</f>
        <v/>
      </c>
      <c r="W169">
        <f>HYPERLINK("https://klasma.github.io/Logging_2132/klagomålsmail/A 33691-2023 FSC-klagomål mail.docx", "A 33691-2023")</f>
        <v/>
      </c>
      <c r="X169">
        <f>HYPERLINK("https://klasma.github.io/Logging_2132/tillsyn/A 33691-2023 tillsynsbegäran.docx", "A 33691-2023")</f>
        <v/>
      </c>
      <c r="Y169">
        <f>HYPERLINK("https://klasma.github.io/Logging_2132/tillsynsmail/A 33691-2023 tillsynsbegäran mail.docx", "A 33691-2023")</f>
        <v/>
      </c>
    </row>
    <row r="170" ht="15" customHeight="1">
      <c r="A170" t="inlineStr">
        <is>
          <t>A 33783-2023</t>
        </is>
      </c>
      <c r="B170" s="1" t="n">
        <v>45133</v>
      </c>
      <c r="C170" s="1" t="n">
        <v>45344</v>
      </c>
      <c r="D170" t="inlineStr">
        <is>
          <t>GÄVLEBORGS LÄN</t>
        </is>
      </c>
      <c r="E170" t="inlineStr">
        <is>
          <t>HUDIKSVALL</t>
        </is>
      </c>
      <c r="F170" t="inlineStr">
        <is>
          <t>Holmen skog AB</t>
        </is>
      </c>
      <c r="G170" t="n">
        <v>2.6</v>
      </c>
      <c r="H170" t="n">
        <v>0</v>
      </c>
      <c r="I170" t="n">
        <v>1</v>
      </c>
      <c r="J170" t="n">
        <v>2</v>
      </c>
      <c r="K170" t="n">
        <v>0</v>
      </c>
      <c r="L170" t="n">
        <v>0</v>
      </c>
      <c r="M170" t="n">
        <v>0</v>
      </c>
      <c r="N170" t="n">
        <v>0</v>
      </c>
      <c r="O170" t="n">
        <v>2</v>
      </c>
      <c r="P170" t="n">
        <v>0</v>
      </c>
      <c r="Q170" t="n">
        <v>3</v>
      </c>
      <c r="R170" s="2" t="inlineStr">
        <is>
          <t>Garnlav
Lunglav
Stuplav</t>
        </is>
      </c>
      <c r="S170">
        <f>HYPERLINK("https://klasma.github.io/Logging_2184/artfynd/A 33783-2023 artfynd.xlsx", "A 33783-2023")</f>
        <v/>
      </c>
      <c r="T170">
        <f>HYPERLINK("https://klasma.github.io/Logging_2184/kartor/A 33783-2023 karta.png", "A 33783-2023")</f>
        <v/>
      </c>
      <c r="V170">
        <f>HYPERLINK("https://klasma.github.io/Logging_2184/klagomål/A 33783-2023 FSC-klagomål.docx", "A 33783-2023")</f>
        <v/>
      </c>
      <c r="W170">
        <f>HYPERLINK("https://klasma.github.io/Logging_2184/klagomålsmail/A 33783-2023 FSC-klagomål mail.docx", "A 33783-2023")</f>
        <v/>
      </c>
      <c r="X170">
        <f>HYPERLINK("https://klasma.github.io/Logging_2184/tillsyn/A 33783-2023 tillsynsbegäran.docx", "A 33783-2023")</f>
        <v/>
      </c>
      <c r="Y170">
        <f>HYPERLINK("https://klasma.github.io/Logging_2184/tillsynsmail/A 33783-2023 tillsynsbegäran mail.docx", "A 33783-2023")</f>
        <v/>
      </c>
    </row>
    <row r="171" ht="15" customHeight="1">
      <c r="A171" t="inlineStr">
        <is>
          <t>A 36196-2023</t>
        </is>
      </c>
      <c r="B171" s="1" t="n">
        <v>45149</v>
      </c>
      <c r="C171" s="1" t="n">
        <v>45344</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39885-2023</t>
        </is>
      </c>
      <c r="B172" s="1" t="n">
        <v>45168</v>
      </c>
      <c r="C172" s="1" t="n">
        <v>45344</v>
      </c>
      <c r="D172" t="inlineStr">
        <is>
          <t>GÄVLEBORGS LÄN</t>
        </is>
      </c>
      <c r="E172" t="inlineStr">
        <is>
          <t>SÖDERHAMN</t>
        </is>
      </c>
      <c r="G172" t="n">
        <v>2.9</v>
      </c>
      <c r="H172" t="n">
        <v>0</v>
      </c>
      <c r="I172" t="n">
        <v>2</v>
      </c>
      <c r="J172" t="n">
        <v>1</v>
      </c>
      <c r="K172" t="n">
        <v>0</v>
      </c>
      <c r="L172" t="n">
        <v>0</v>
      </c>
      <c r="M172" t="n">
        <v>0</v>
      </c>
      <c r="N172" t="n">
        <v>0</v>
      </c>
      <c r="O172" t="n">
        <v>1</v>
      </c>
      <c r="P172" t="n">
        <v>0</v>
      </c>
      <c r="Q172" t="n">
        <v>3</v>
      </c>
      <c r="R172" s="2" t="inlineStr">
        <is>
          <t>Hapalopilus aurantiacus
Blodticka
Sotriska</t>
        </is>
      </c>
      <c r="S172">
        <f>HYPERLINK("https://klasma.github.io/Logging_2182/artfynd/A 39885-2023 artfynd.xlsx", "A 39885-2023")</f>
        <v/>
      </c>
      <c r="T172">
        <f>HYPERLINK("https://klasma.github.io/Logging_2182/kartor/A 39885-2023 karta.png", "A 39885-2023")</f>
        <v/>
      </c>
      <c r="V172">
        <f>HYPERLINK("https://klasma.github.io/Logging_2182/klagomål/A 39885-2023 FSC-klagomål.docx", "A 39885-2023")</f>
        <v/>
      </c>
      <c r="W172">
        <f>HYPERLINK("https://klasma.github.io/Logging_2182/klagomålsmail/A 39885-2023 FSC-klagomål mail.docx", "A 39885-2023")</f>
        <v/>
      </c>
      <c r="X172">
        <f>HYPERLINK("https://klasma.github.io/Logging_2182/tillsyn/A 39885-2023 tillsynsbegäran.docx", "A 39885-2023")</f>
        <v/>
      </c>
      <c r="Y172">
        <f>HYPERLINK("https://klasma.github.io/Logging_2182/tillsynsmail/A 39885-2023 tillsynsbegäran mail.docx", "A 39885-2023")</f>
        <v/>
      </c>
    </row>
    <row r="173" ht="15" customHeight="1">
      <c r="A173" t="inlineStr">
        <is>
          <t>A 45306-2023</t>
        </is>
      </c>
      <c r="B173" s="1" t="n">
        <v>45191</v>
      </c>
      <c r="C173" s="1" t="n">
        <v>45344</v>
      </c>
      <c r="D173" t="inlineStr">
        <is>
          <t>GÄVLEBORGS LÄN</t>
        </is>
      </c>
      <c r="E173" t="inlineStr">
        <is>
          <t>HOFORS</t>
        </is>
      </c>
      <c r="F173" t="inlineStr">
        <is>
          <t>Sveaskog</t>
        </is>
      </c>
      <c r="G173" t="n">
        <v>2.9</v>
      </c>
      <c r="H173" t="n">
        <v>1</v>
      </c>
      <c r="I173" t="n">
        <v>1</v>
      </c>
      <c r="J173" t="n">
        <v>2</v>
      </c>
      <c r="K173" t="n">
        <v>0</v>
      </c>
      <c r="L173" t="n">
        <v>0</v>
      </c>
      <c r="M173" t="n">
        <v>0</v>
      </c>
      <c r="N173" t="n">
        <v>0</v>
      </c>
      <c r="O173" t="n">
        <v>2</v>
      </c>
      <c r="P173" t="n">
        <v>0</v>
      </c>
      <c r="Q173" t="n">
        <v>3</v>
      </c>
      <c r="R173" s="2" t="inlineStr">
        <is>
          <t>Motaggsvamp
Talltita
Mindre märgborre</t>
        </is>
      </c>
      <c r="S173">
        <f>HYPERLINK("https://klasma.github.io/Logging_2104/artfynd/A 45306-2023 artfynd.xlsx", "A 45306-2023")</f>
        <v/>
      </c>
      <c r="T173">
        <f>HYPERLINK("https://klasma.github.io/Logging_2104/kartor/A 45306-2023 karta.png", "A 45306-2023")</f>
        <v/>
      </c>
      <c r="V173">
        <f>HYPERLINK("https://klasma.github.io/Logging_2104/klagomål/A 45306-2023 FSC-klagomål.docx", "A 45306-2023")</f>
        <v/>
      </c>
      <c r="W173">
        <f>HYPERLINK("https://klasma.github.io/Logging_2104/klagomålsmail/A 45306-2023 FSC-klagomål mail.docx", "A 45306-2023")</f>
        <v/>
      </c>
      <c r="X173">
        <f>HYPERLINK("https://klasma.github.io/Logging_2104/tillsyn/A 45306-2023 tillsynsbegäran.docx", "A 45306-2023")</f>
        <v/>
      </c>
      <c r="Y173">
        <f>HYPERLINK("https://klasma.github.io/Logging_2104/tillsynsmail/A 45306-2023 tillsynsbegäran mail.docx", "A 45306-2023")</f>
        <v/>
      </c>
      <c r="Z173">
        <f>HYPERLINK("https://klasma.github.io/Logging_2104/fåglar/A 45306-2023 prioriterade fågelarter.docx", "A 45306-2023")</f>
        <v/>
      </c>
    </row>
    <row r="174" ht="15" customHeight="1">
      <c r="A174" t="inlineStr">
        <is>
          <t>A 50217-2023</t>
        </is>
      </c>
      <c r="B174" s="1" t="n">
        <v>45215</v>
      </c>
      <c r="C174" s="1" t="n">
        <v>45344</v>
      </c>
      <c r="D174" t="inlineStr">
        <is>
          <t>GÄVLEBORGS LÄN</t>
        </is>
      </c>
      <c r="E174" t="inlineStr">
        <is>
          <t>SÖDERHAMN</t>
        </is>
      </c>
      <c r="G174" t="n">
        <v>13.6</v>
      </c>
      <c r="H174" t="n">
        <v>0</v>
      </c>
      <c r="I174" t="n">
        <v>1</v>
      </c>
      <c r="J174" t="n">
        <v>2</v>
      </c>
      <c r="K174" t="n">
        <v>0</v>
      </c>
      <c r="L174" t="n">
        <v>0</v>
      </c>
      <c r="M174" t="n">
        <v>0</v>
      </c>
      <c r="N174" t="n">
        <v>0</v>
      </c>
      <c r="O174" t="n">
        <v>2</v>
      </c>
      <c r="P174" t="n">
        <v>0</v>
      </c>
      <c r="Q174" t="n">
        <v>3</v>
      </c>
      <c r="R174" s="2" t="inlineStr">
        <is>
          <t>Dofttaggsvamp
Gropticka
Dropptaggsvamp</t>
        </is>
      </c>
      <c r="S174">
        <f>HYPERLINK("https://klasma.github.io/Logging_2182/artfynd/A 50217-2023 artfynd.xlsx", "A 50217-2023")</f>
        <v/>
      </c>
      <c r="T174">
        <f>HYPERLINK("https://klasma.github.io/Logging_2182/kartor/A 50217-2023 karta.png", "A 50217-2023")</f>
        <v/>
      </c>
      <c r="V174">
        <f>HYPERLINK("https://klasma.github.io/Logging_2182/klagomål/A 50217-2023 FSC-klagomål.docx", "A 50217-2023")</f>
        <v/>
      </c>
      <c r="W174">
        <f>HYPERLINK("https://klasma.github.io/Logging_2182/klagomålsmail/A 50217-2023 FSC-klagomål mail.docx", "A 50217-2023")</f>
        <v/>
      </c>
      <c r="X174">
        <f>HYPERLINK("https://klasma.github.io/Logging_2182/tillsyn/A 50217-2023 tillsynsbegäran.docx", "A 50217-2023")</f>
        <v/>
      </c>
      <c r="Y174">
        <f>HYPERLINK("https://klasma.github.io/Logging_2182/tillsynsmail/A 50217-2023 tillsynsbegäran mail.docx", "A 50217-2023")</f>
        <v/>
      </c>
    </row>
    <row r="175" ht="15" customHeight="1">
      <c r="A175" t="inlineStr">
        <is>
          <t>A 64533-2023</t>
        </is>
      </c>
      <c r="B175" s="1" t="n">
        <v>45281</v>
      </c>
      <c r="C175" s="1" t="n">
        <v>45344</v>
      </c>
      <c r="D175" t="inlineStr">
        <is>
          <t>GÄVLEBORGS LÄN</t>
        </is>
      </c>
      <c r="E175" t="inlineStr">
        <is>
          <t>GÄVLE</t>
        </is>
      </c>
      <c r="G175" t="n">
        <v>1.1</v>
      </c>
      <c r="H175" t="n">
        <v>0</v>
      </c>
      <c r="I175" t="n">
        <v>2</v>
      </c>
      <c r="J175" t="n">
        <v>1</v>
      </c>
      <c r="K175" t="n">
        <v>0</v>
      </c>
      <c r="L175" t="n">
        <v>0</v>
      </c>
      <c r="M175" t="n">
        <v>0</v>
      </c>
      <c r="N175" t="n">
        <v>0</v>
      </c>
      <c r="O175" t="n">
        <v>1</v>
      </c>
      <c r="P175" t="n">
        <v>0</v>
      </c>
      <c r="Q175" t="n">
        <v>3</v>
      </c>
      <c r="R175" s="2" t="inlineStr">
        <is>
          <t>Asppraktbagge
Aspvedgnagare
Jättesvampmal</t>
        </is>
      </c>
      <c r="S175">
        <f>HYPERLINK("https://klasma.github.io/Logging_2180/artfynd/A 64533-2023 artfynd.xlsx", "A 64533-2023")</f>
        <v/>
      </c>
      <c r="T175">
        <f>HYPERLINK("https://klasma.github.io/Logging_2180/kartor/A 64533-2023 karta.png", "A 64533-2023")</f>
        <v/>
      </c>
      <c r="V175">
        <f>HYPERLINK("https://klasma.github.io/Logging_2180/klagomål/A 64533-2023 FSC-klagomål.docx", "A 64533-2023")</f>
        <v/>
      </c>
      <c r="W175">
        <f>HYPERLINK("https://klasma.github.io/Logging_2180/klagomålsmail/A 64533-2023 FSC-klagomål mail.docx", "A 64533-2023")</f>
        <v/>
      </c>
      <c r="X175">
        <f>HYPERLINK("https://klasma.github.io/Logging_2180/tillsyn/A 64533-2023 tillsynsbegäran.docx", "A 64533-2023")</f>
        <v/>
      </c>
      <c r="Y175">
        <f>HYPERLINK("https://klasma.github.io/Logging_2180/tillsynsmail/A 64533-2023 tillsynsbegäran mail.docx", "A 64533-2023")</f>
        <v/>
      </c>
    </row>
    <row r="176" ht="15" customHeight="1">
      <c r="A176" t="inlineStr">
        <is>
          <t>A 38216-2018</t>
        </is>
      </c>
      <c r="B176" s="1" t="n">
        <v>43338</v>
      </c>
      <c r="C176" s="1" t="n">
        <v>45344</v>
      </c>
      <c r="D176" t="inlineStr">
        <is>
          <t>GÄVLEBORGS LÄN</t>
        </is>
      </c>
      <c r="E176" t="inlineStr">
        <is>
          <t>LJUSDAL</t>
        </is>
      </c>
      <c r="G176" t="n">
        <v>138</v>
      </c>
      <c r="H176" t="n">
        <v>1</v>
      </c>
      <c r="I176" t="n">
        <v>0</v>
      </c>
      <c r="J176" t="n">
        <v>0</v>
      </c>
      <c r="K176" t="n">
        <v>0</v>
      </c>
      <c r="L176" t="n">
        <v>1</v>
      </c>
      <c r="M176" t="n">
        <v>0</v>
      </c>
      <c r="N176" t="n">
        <v>0</v>
      </c>
      <c r="O176" t="n">
        <v>1</v>
      </c>
      <c r="P176" t="n">
        <v>1</v>
      </c>
      <c r="Q176" t="n">
        <v>2</v>
      </c>
      <c r="R176" s="2" t="inlineStr">
        <is>
          <t>Flodpärlmussla
Myggblomster</t>
        </is>
      </c>
      <c r="S176">
        <f>HYPERLINK("https://klasma.github.io/Logging_2161/artfynd/A 38216-2018 artfynd.xlsx", "A 38216-2018")</f>
        <v/>
      </c>
      <c r="T176">
        <f>HYPERLINK("https://klasma.github.io/Logging_2161/kartor/A 38216-2018 karta.png", "A 38216-2018")</f>
        <v/>
      </c>
      <c r="V176">
        <f>HYPERLINK("https://klasma.github.io/Logging_2161/klagomål/A 38216-2018 FSC-klagomål.docx", "A 38216-2018")</f>
        <v/>
      </c>
      <c r="W176">
        <f>HYPERLINK("https://klasma.github.io/Logging_2161/klagomålsmail/A 38216-2018 FSC-klagomål mail.docx", "A 38216-2018")</f>
        <v/>
      </c>
      <c r="X176">
        <f>HYPERLINK("https://klasma.github.io/Logging_2161/tillsyn/A 38216-2018 tillsynsbegäran.docx", "A 38216-2018")</f>
        <v/>
      </c>
      <c r="Y176">
        <f>HYPERLINK("https://klasma.github.io/Logging_2161/tillsynsmail/A 38216-2018 tillsynsbegäran mail.docx", "A 38216-2018")</f>
        <v/>
      </c>
    </row>
    <row r="177" ht="15" customHeight="1">
      <c r="A177" t="inlineStr">
        <is>
          <t>A 42763-2018</t>
        </is>
      </c>
      <c r="B177" s="1" t="n">
        <v>43354</v>
      </c>
      <c r="C177" s="1" t="n">
        <v>45344</v>
      </c>
      <c r="D177" t="inlineStr">
        <is>
          <t>GÄVLEBORGS LÄN</t>
        </is>
      </c>
      <c r="E177" t="inlineStr">
        <is>
          <t>LJUSDAL</t>
        </is>
      </c>
      <c r="F177" t="inlineStr">
        <is>
          <t>Holmen skog AB</t>
        </is>
      </c>
      <c r="G177" t="n">
        <v>165.3</v>
      </c>
      <c r="H177" t="n">
        <v>2</v>
      </c>
      <c r="I177" t="n">
        <v>0</v>
      </c>
      <c r="J177" t="n">
        <v>2</v>
      </c>
      <c r="K177" t="n">
        <v>0</v>
      </c>
      <c r="L177" t="n">
        <v>0</v>
      </c>
      <c r="M177" t="n">
        <v>0</v>
      </c>
      <c r="N177" t="n">
        <v>0</v>
      </c>
      <c r="O177" t="n">
        <v>2</v>
      </c>
      <c r="P177" t="n">
        <v>0</v>
      </c>
      <c r="Q177" t="n">
        <v>2</v>
      </c>
      <c r="R177" s="2" t="inlineStr">
        <is>
          <t>Drillsnäppa
Järpe</t>
        </is>
      </c>
      <c r="S177">
        <f>HYPERLINK("https://klasma.github.io/Logging_2161/artfynd/A 42763-2018 artfynd.xlsx", "A 42763-2018")</f>
        <v/>
      </c>
      <c r="T177">
        <f>HYPERLINK("https://klasma.github.io/Logging_2161/kartor/A 42763-2018 karta.png", "A 42763-2018")</f>
        <v/>
      </c>
      <c r="V177">
        <f>HYPERLINK("https://klasma.github.io/Logging_2161/klagomål/A 42763-2018 FSC-klagomål.docx", "A 42763-2018")</f>
        <v/>
      </c>
      <c r="W177">
        <f>HYPERLINK("https://klasma.github.io/Logging_2161/klagomålsmail/A 42763-2018 FSC-klagomål mail.docx", "A 42763-2018")</f>
        <v/>
      </c>
      <c r="X177">
        <f>HYPERLINK("https://klasma.github.io/Logging_2161/tillsyn/A 42763-2018 tillsynsbegäran.docx", "A 42763-2018")</f>
        <v/>
      </c>
      <c r="Y177">
        <f>HYPERLINK("https://klasma.github.io/Logging_2161/tillsynsmail/A 42763-2018 tillsynsbegäran mail.docx", "A 42763-2018")</f>
        <v/>
      </c>
      <c r="Z177">
        <f>HYPERLINK("https://klasma.github.io/Logging_2161/fåglar/A 42763-2018 prioriterade fågelarter.docx", "A 42763-2018")</f>
        <v/>
      </c>
    </row>
    <row r="178" ht="15" customHeight="1">
      <c r="A178" t="inlineStr">
        <is>
          <t>A 49899-2018</t>
        </is>
      </c>
      <c r="B178" s="1" t="n">
        <v>43377</v>
      </c>
      <c r="C178" s="1" t="n">
        <v>45344</v>
      </c>
      <c r="D178" t="inlineStr">
        <is>
          <t>GÄVLEBORGS LÄN</t>
        </is>
      </c>
      <c r="E178" t="inlineStr">
        <is>
          <t>LJUSDAL</t>
        </is>
      </c>
      <c r="G178" t="n">
        <v>43.6</v>
      </c>
      <c r="H178" t="n">
        <v>2</v>
      </c>
      <c r="I178" t="n">
        <v>0</v>
      </c>
      <c r="J178" t="n">
        <v>0</v>
      </c>
      <c r="K178" t="n">
        <v>0</v>
      </c>
      <c r="L178" t="n">
        <v>1</v>
      </c>
      <c r="M178" t="n">
        <v>0</v>
      </c>
      <c r="N178" t="n">
        <v>0</v>
      </c>
      <c r="O178" t="n">
        <v>1</v>
      </c>
      <c r="P178" t="n">
        <v>1</v>
      </c>
      <c r="Q178" t="n">
        <v>2</v>
      </c>
      <c r="R178" s="2" t="inlineStr">
        <is>
          <t>Mosippa
Mattlummer</t>
        </is>
      </c>
      <c r="S178">
        <f>HYPERLINK("https://klasma.github.io/Logging_2161/artfynd/A 49899-2018 artfynd.xlsx", "A 49899-2018")</f>
        <v/>
      </c>
      <c r="T178">
        <f>HYPERLINK("https://klasma.github.io/Logging_2161/kartor/A 49899-2018 karta.png", "A 49899-2018")</f>
        <v/>
      </c>
      <c r="V178">
        <f>HYPERLINK("https://klasma.github.io/Logging_2161/klagomål/A 49899-2018 FSC-klagomål.docx", "A 49899-2018")</f>
        <v/>
      </c>
      <c r="W178">
        <f>HYPERLINK("https://klasma.github.io/Logging_2161/klagomålsmail/A 49899-2018 FSC-klagomål mail.docx", "A 49899-2018")</f>
        <v/>
      </c>
      <c r="X178">
        <f>HYPERLINK("https://klasma.github.io/Logging_2161/tillsyn/A 49899-2018 tillsynsbegäran.docx", "A 49899-2018")</f>
        <v/>
      </c>
      <c r="Y178">
        <f>HYPERLINK("https://klasma.github.io/Logging_2161/tillsynsmail/A 49899-2018 tillsynsbegäran mail.docx", "A 49899-2018")</f>
        <v/>
      </c>
    </row>
    <row r="179" ht="15" customHeight="1">
      <c r="A179" t="inlineStr">
        <is>
          <t>A 50872-2018</t>
        </is>
      </c>
      <c r="B179" s="1" t="n">
        <v>43381</v>
      </c>
      <c r="C179" s="1" t="n">
        <v>45344</v>
      </c>
      <c r="D179" t="inlineStr">
        <is>
          <t>GÄVLEBORGS LÄN</t>
        </is>
      </c>
      <c r="E179" t="inlineStr">
        <is>
          <t>LJUSDAL</t>
        </is>
      </c>
      <c r="F179" t="inlineStr">
        <is>
          <t>SCA</t>
        </is>
      </c>
      <c r="G179" t="n">
        <v>19.9</v>
      </c>
      <c r="H179" t="n">
        <v>0</v>
      </c>
      <c r="I179" t="n">
        <v>1</v>
      </c>
      <c r="J179" t="n">
        <v>1</v>
      </c>
      <c r="K179" t="n">
        <v>0</v>
      </c>
      <c r="L179" t="n">
        <v>0</v>
      </c>
      <c r="M179" t="n">
        <v>0</v>
      </c>
      <c r="N179" t="n">
        <v>0</v>
      </c>
      <c r="O179" t="n">
        <v>1</v>
      </c>
      <c r="P179" t="n">
        <v>0</v>
      </c>
      <c r="Q179" t="n">
        <v>2</v>
      </c>
      <c r="R179" s="2" t="inlineStr">
        <is>
          <t>Garnlav
Stor aspticka</t>
        </is>
      </c>
      <c r="S179">
        <f>HYPERLINK("https://klasma.github.io/Logging_2161/artfynd/A 50872-2018 artfynd.xlsx", "A 50872-2018")</f>
        <v/>
      </c>
      <c r="T179">
        <f>HYPERLINK("https://klasma.github.io/Logging_2161/kartor/A 50872-2018 karta.png", "A 50872-2018")</f>
        <v/>
      </c>
      <c r="V179">
        <f>HYPERLINK("https://klasma.github.io/Logging_2161/klagomål/A 50872-2018 FSC-klagomål.docx", "A 50872-2018")</f>
        <v/>
      </c>
      <c r="W179">
        <f>HYPERLINK("https://klasma.github.io/Logging_2161/klagomålsmail/A 50872-2018 FSC-klagomål mail.docx", "A 50872-2018")</f>
        <v/>
      </c>
      <c r="X179">
        <f>HYPERLINK("https://klasma.github.io/Logging_2161/tillsyn/A 50872-2018 tillsynsbegäran.docx", "A 50872-2018")</f>
        <v/>
      </c>
      <c r="Y179">
        <f>HYPERLINK("https://klasma.github.io/Logging_2161/tillsynsmail/A 50872-2018 tillsynsbegäran mail.docx", "A 50872-2018")</f>
        <v/>
      </c>
    </row>
    <row r="180" ht="15" customHeight="1">
      <c r="A180" t="inlineStr">
        <is>
          <t>A 2528-2019</t>
        </is>
      </c>
      <c r="B180" s="1" t="n">
        <v>43476</v>
      </c>
      <c r="C180" s="1" t="n">
        <v>45344</v>
      </c>
      <c r="D180" t="inlineStr">
        <is>
          <t>GÄVLEBORGS LÄN</t>
        </is>
      </c>
      <c r="E180" t="inlineStr">
        <is>
          <t>LJUSDAL</t>
        </is>
      </c>
      <c r="G180" t="n">
        <v>130.7</v>
      </c>
      <c r="H180" t="n">
        <v>2</v>
      </c>
      <c r="I180" t="n">
        <v>0</v>
      </c>
      <c r="J180" t="n">
        <v>0</v>
      </c>
      <c r="K180" t="n">
        <v>0</v>
      </c>
      <c r="L180" t="n">
        <v>0</v>
      </c>
      <c r="M180" t="n">
        <v>0</v>
      </c>
      <c r="N180" t="n">
        <v>0</v>
      </c>
      <c r="O180" t="n">
        <v>0</v>
      </c>
      <c r="P180" t="n">
        <v>0</v>
      </c>
      <c r="Q180" t="n">
        <v>2</v>
      </c>
      <c r="R180" s="2" t="inlineStr">
        <is>
          <t>Lopplummer
Revlummer</t>
        </is>
      </c>
      <c r="S180">
        <f>HYPERLINK("https://klasma.github.io/Logging_2161/artfynd/A 2528-2019 artfynd.xlsx", "A 2528-2019")</f>
        <v/>
      </c>
      <c r="T180">
        <f>HYPERLINK("https://klasma.github.io/Logging_2161/kartor/A 2528-2019 karta.png", "A 2528-2019")</f>
        <v/>
      </c>
      <c r="V180">
        <f>HYPERLINK("https://klasma.github.io/Logging_2161/klagomål/A 2528-2019 FSC-klagomål.docx", "A 2528-2019")</f>
        <v/>
      </c>
      <c r="W180">
        <f>HYPERLINK("https://klasma.github.io/Logging_2161/klagomålsmail/A 2528-2019 FSC-klagomål mail.docx", "A 2528-2019")</f>
        <v/>
      </c>
      <c r="X180">
        <f>HYPERLINK("https://klasma.github.io/Logging_2161/tillsyn/A 2528-2019 tillsynsbegäran.docx", "A 2528-2019")</f>
        <v/>
      </c>
      <c r="Y180">
        <f>HYPERLINK("https://klasma.github.io/Logging_2161/tillsynsmail/A 2528-2019 tillsynsbegäran mail.docx", "A 2528-2019")</f>
        <v/>
      </c>
    </row>
    <row r="181" ht="15" customHeight="1">
      <c r="A181" t="inlineStr">
        <is>
          <t>A 17913-2019</t>
        </is>
      </c>
      <c r="B181" s="1" t="n">
        <v>43557</v>
      </c>
      <c r="C181" s="1" t="n">
        <v>45344</v>
      </c>
      <c r="D181" t="inlineStr">
        <is>
          <t>GÄVLEBORGS LÄN</t>
        </is>
      </c>
      <c r="E181" t="inlineStr">
        <is>
          <t>NORDANSTIG</t>
        </is>
      </c>
      <c r="F181" t="inlineStr">
        <is>
          <t>Holmen skog AB</t>
        </is>
      </c>
      <c r="G181" t="n">
        <v>6.6</v>
      </c>
      <c r="H181" t="n">
        <v>1</v>
      </c>
      <c r="I181" t="n">
        <v>1</v>
      </c>
      <c r="J181" t="n">
        <v>0</v>
      </c>
      <c r="K181" t="n">
        <v>0</v>
      </c>
      <c r="L181" t="n">
        <v>0</v>
      </c>
      <c r="M181" t="n">
        <v>0</v>
      </c>
      <c r="N181" t="n">
        <v>0</v>
      </c>
      <c r="O181" t="n">
        <v>0</v>
      </c>
      <c r="P181" t="n">
        <v>0</v>
      </c>
      <c r="Q181" t="n">
        <v>2</v>
      </c>
      <c r="R181" s="2" t="inlineStr">
        <is>
          <t>Skinnlav
Fläcknycklar</t>
        </is>
      </c>
      <c r="S181">
        <f>HYPERLINK("https://klasma.github.io/Logging_2132/artfynd/A 17913-2019 artfynd.xlsx", "A 17913-2019")</f>
        <v/>
      </c>
      <c r="T181">
        <f>HYPERLINK("https://klasma.github.io/Logging_2132/kartor/A 17913-2019 karta.png", "A 17913-2019")</f>
        <v/>
      </c>
      <c r="V181">
        <f>HYPERLINK("https://klasma.github.io/Logging_2132/klagomål/A 17913-2019 FSC-klagomål.docx", "A 17913-2019")</f>
        <v/>
      </c>
      <c r="W181">
        <f>HYPERLINK("https://klasma.github.io/Logging_2132/klagomålsmail/A 17913-2019 FSC-klagomål mail.docx", "A 17913-2019")</f>
        <v/>
      </c>
      <c r="X181">
        <f>HYPERLINK("https://klasma.github.io/Logging_2132/tillsyn/A 17913-2019 tillsynsbegäran.docx", "A 17913-2019")</f>
        <v/>
      </c>
      <c r="Y181">
        <f>HYPERLINK("https://klasma.github.io/Logging_2132/tillsynsmail/A 17913-2019 tillsynsbegäran mail.docx", "A 17913-2019")</f>
        <v/>
      </c>
    </row>
    <row r="182" ht="15" customHeight="1">
      <c r="A182" t="inlineStr">
        <is>
          <t>A 19095-2019</t>
        </is>
      </c>
      <c r="B182" s="1" t="n">
        <v>43564</v>
      </c>
      <c r="C182" s="1" t="n">
        <v>45344</v>
      </c>
      <c r="D182" t="inlineStr">
        <is>
          <t>GÄVLEBORGS LÄN</t>
        </is>
      </c>
      <c r="E182" t="inlineStr">
        <is>
          <t>HOFORS</t>
        </is>
      </c>
      <c r="G182" t="n">
        <v>8</v>
      </c>
      <c r="H182" t="n">
        <v>1</v>
      </c>
      <c r="I182" t="n">
        <v>1</v>
      </c>
      <c r="J182" t="n">
        <v>0</v>
      </c>
      <c r="K182" t="n">
        <v>1</v>
      </c>
      <c r="L182" t="n">
        <v>0</v>
      </c>
      <c r="M182" t="n">
        <v>0</v>
      </c>
      <c r="N182" t="n">
        <v>0</v>
      </c>
      <c r="O182" t="n">
        <v>1</v>
      </c>
      <c r="P182" t="n">
        <v>1</v>
      </c>
      <c r="Q182" t="n">
        <v>2</v>
      </c>
      <c r="R182" s="2" t="inlineStr">
        <is>
          <t>Knärot
Mindre märgborre</t>
        </is>
      </c>
      <c r="S182">
        <f>HYPERLINK("https://klasma.github.io/Logging_2104/artfynd/A 19095-2019 artfynd.xlsx", "A 19095-2019")</f>
        <v/>
      </c>
      <c r="T182">
        <f>HYPERLINK("https://klasma.github.io/Logging_2104/kartor/A 19095-2019 karta.png", "A 19095-2019")</f>
        <v/>
      </c>
      <c r="U182">
        <f>HYPERLINK("https://klasma.github.io/Logging_2104/knärot/A 19095-2019 karta knärot.png", "A 19095-2019")</f>
        <v/>
      </c>
      <c r="V182">
        <f>HYPERLINK("https://klasma.github.io/Logging_2104/klagomål/A 19095-2019 FSC-klagomål.docx", "A 19095-2019")</f>
        <v/>
      </c>
      <c r="W182">
        <f>HYPERLINK("https://klasma.github.io/Logging_2104/klagomålsmail/A 19095-2019 FSC-klagomål mail.docx", "A 19095-2019")</f>
        <v/>
      </c>
      <c r="X182">
        <f>HYPERLINK("https://klasma.github.io/Logging_2104/tillsyn/A 19095-2019 tillsynsbegäran.docx", "A 19095-2019")</f>
        <v/>
      </c>
      <c r="Y182">
        <f>HYPERLINK("https://klasma.github.io/Logging_2104/tillsynsmail/A 19095-2019 tillsynsbegäran mail.docx", "A 19095-2019")</f>
        <v/>
      </c>
    </row>
    <row r="183" ht="15" customHeight="1">
      <c r="A183" t="inlineStr">
        <is>
          <t>A 21731-2019</t>
        </is>
      </c>
      <c r="B183" s="1" t="n">
        <v>43581</v>
      </c>
      <c r="C183" s="1" t="n">
        <v>45344</v>
      </c>
      <c r="D183" t="inlineStr">
        <is>
          <t>GÄVLEBORGS LÄN</t>
        </is>
      </c>
      <c r="E183" t="inlineStr">
        <is>
          <t>HOFORS</t>
        </is>
      </c>
      <c r="F183" t="inlineStr">
        <is>
          <t>Sveaskog</t>
        </is>
      </c>
      <c r="G183" t="n">
        <v>3.8</v>
      </c>
      <c r="H183" t="n">
        <v>2</v>
      </c>
      <c r="I183" t="n">
        <v>1</v>
      </c>
      <c r="J183" t="n">
        <v>0</v>
      </c>
      <c r="K183" t="n">
        <v>0</v>
      </c>
      <c r="L183" t="n">
        <v>0</v>
      </c>
      <c r="M183" t="n">
        <v>0</v>
      </c>
      <c r="N183" t="n">
        <v>0</v>
      </c>
      <c r="O183" t="n">
        <v>0</v>
      </c>
      <c r="P183" t="n">
        <v>0</v>
      </c>
      <c r="Q183" t="n">
        <v>2</v>
      </c>
      <c r="R183" s="2" t="inlineStr">
        <is>
          <t>Tvåblad
Revlummer</t>
        </is>
      </c>
      <c r="S183">
        <f>HYPERLINK("https://klasma.github.io/Logging_2104/artfynd/A 21731-2019 artfynd.xlsx", "A 21731-2019")</f>
        <v/>
      </c>
      <c r="T183">
        <f>HYPERLINK("https://klasma.github.io/Logging_2104/kartor/A 21731-2019 karta.png", "A 21731-2019")</f>
        <v/>
      </c>
      <c r="U183">
        <f>HYPERLINK("https://klasma.github.io/Logging_2104/knärot/A 21731-2019 karta knärot.png", "A 21731-2019")</f>
        <v/>
      </c>
      <c r="V183">
        <f>HYPERLINK("https://klasma.github.io/Logging_2104/klagomål/A 21731-2019 FSC-klagomål.docx", "A 21731-2019")</f>
        <v/>
      </c>
      <c r="W183">
        <f>HYPERLINK("https://klasma.github.io/Logging_2104/klagomålsmail/A 21731-2019 FSC-klagomål mail.docx", "A 21731-2019")</f>
        <v/>
      </c>
      <c r="X183">
        <f>HYPERLINK("https://klasma.github.io/Logging_2104/tillsyn/A 21731-2019 tillsynsbegäran.docx", "A 21731-2019")</f>
        <v/>
      </c>
      <c r="Y183">
        <f>HYPERLINK("https://klasma.github.io/Logging_2104/tillsynsmail/A 21731-2019 tillsynsbegäran mail.docx", "A 21731-2019")</f>
        <v/>
      </c>
    </row>
    <row r="184" ht="15" customHeight="1">
      <c r="A184" t="inlineStr">
        <is>
          <t>A 29812-2019</t>
        </is>
      </c>
      <c r="B184" s="1" t="n">
        <v>43629</v>
      </c>
      <c r="C184" s="1" t="n">
        <v>45344</v>
      </c>
      <c r="D184" t="inlineStr">
        <is>
          <t>GÄVLEBORGS LÄN</t>
        </is>
      </c>
      <c r="E184" t="inlineStr">
        <is>
          <t>LJUSDAL</t>
        </is>
      </c>
      <c r="F184" t="inlineStr">
        <is>
          <t>Holmen skog AB</t>
        </is>
      </c>
      <c r="G184" t="n">
        <v>2.4</v>
      </c>
      <c r="H184" t="n">
        <v>1</v>
      </c>
      <c r="I184" t="n">
        <v>1</v>
      </c>
      <c r="J184" t="n">
        <v>0</v>
      </c>
      <c r="K184" t="n">
        <v>1</v>
      </c>
      <c r="L184" t="n">
        <v>0</v>
      </c>
      <c r="M184" t="n">
        <v>0</v>
      </c>
      <c r="N184" t="n">
        <v>0</v>
      </c>
      <c r="O184" t="n">
        <v>1</v>
      </c>
      <c r="P184" t="n">
        <v>1</v>
      </c>
      <c r="Q184" t="n">
        <v>2</v>
      </c>
      <c r="R184" s="2" t="inlineStr">
        <is>
          <t>Knärot
Skinnlav</t>
        </is>
      </c>
      <c r="S184">
        <f>HYPERLINK("https://klasma.github.io/Logging_2161/artfynd/A 29812-2019 artfynd.xlsx", "A 29812-2019")</f>
        <v/>
      </c>
      <c r="T184">
        <f>HYPERLINK("https://klasma.github.io/Logging_2161/kartor/A 29812-2019 karta.png", "A 29812-2019")</f>
        <v/>
      </c>
      <c r="U184">
        <f>HYPERLINK("https://klasma.github.io/Logging_2161/knärot/A 29812-2019 karta knärot.png", "A 29812-2019")</f>
        <v/>
      </c>
      <c r="V184">
        <f>HYPERLINK("https://klasma.github.io/Logging_2161/klagomål/A 29812-2019 FSC-klagomål.docx", "A 29812-2019")</f>
        <v/>
      </c>
      <c r="W184">
        <f>HYPERLINK("https://klasma.github.io/Logging_2161/klagomålsmail/A 29812-2019 FSC-klagomål mail.docx", "A 29812-2019")</f>
        <v/>
      </c>
      <c r="X184">
        <f>HYPERLINK("https://klasma.github.io/Logging_2161/tillsyn/A 29812-2019 tillsynsbegäran.docx", "A 29812-2019")</f>
        <v/>
      </c>
      <c r="Y184">
        <f>HYPERLINK("https://klasma.github.io/Logging_2161/tillsynsmail/A 29812-2019 tillsynsbegäran mail.docx", "A 29812-2019")</f>
        <v/>
      </c>
    </row>
    <row r="185" ht="15" customHeight="1">
      <c r="A185" t="inlineStr">
        <is>
          <t>A 45004-2019</t>
        </is>
      </c>
      <c r="B185" s="1" t="n">
        <v>43713</v>
      </c>
      <c r="C185" s="1" t="n">
        <v>45344</v>
      </c>
      <c r="D185" t="inlineStr">
        <is>
          <t>GÄVLEBORGS LÄN</t>
        </is>
      </c>
      <c r="E185" t="inlineStr">
        <is>
          <t>OVANÅKER</t>
        </is>
      </c>
      <c r="F185" t="inlineStr">
        <is>
          <t>Sveaskog</t>
        </is>
      </c>
      <c r="G185" t="n">
        <v>7.5</v>
      </c>
      <c r="H185" t="n">
        <v>0</v>
      </c>
      <c r="I185" t="n">
        <v>0</v>
      </c>
      <c r="J185" t="n">
        <v>2</v>
      </c>
      <c r="K185" t="n">
        <v>0</v>
      </c>
      <c r="L185" t="n">
        <v>0</v>
      </c>
      <c r="M185" t="n">
        <v>0</v>
      </c>
      <c r="N185" t="n">
        <v>0</v>
      </c>
      <c r="O185" t="n">
        <v>2</v>
      </c>
      <c r="P185" t="n">
        <v>0</v>
      </c>
      <c r="Q185" t="n">
        <v>2</v>
      </c>
      <c r="R185" s="2" t="inlineStr">
        <is>
          <t>Kolflarnlav
Lunglav</t>
        </is>
      </c>
      <c r="S185">
        <f>HYPERLINK("https://klasma.github.io/Logging_2121/artfynd/A 45004-2019 artfynd.xlsx", "A 45004-2019")</f>
        <v/>
      </c>
      <c r="T185">
        <f>HYPERLINK("https://klasma.github.io/Logging_2121/kartor/A 45004-2019 karta.png", "A 45004-2019")</f>
        <v/>
      </c>
      <c r="V185">
        <f>HYPERLINK("https://klasma.github.io/Logging_2121/klagomål/A 45004-2019 FSC-klagomål.docx", "A 45004-2019")</f>
        <v/>
      </c>
      <c r="W185">
        <f>HYPERLINK("https://klasma.github.io/Logging_2121/klagomålsmail/A 45004-2019 FSC-klagomål mail.docx", "A 45004-2019")</f>
        <v/>
      </c>
      <c r="X185">
        <f>HYPERLINK("https://klasma.github.io/Logging_2121/tillsyn/A 45004-2019 tillsynsbegäran.docx", "A 45004-2019")</f>
        <v/>
      </c>
      <c r="Y185">
        <f>HYPERLINK("https://klasma.github.io/Logging_2121/tillsynsmail/A 45004-2019 tillsynsbegäran mail.docx", "A 45004-2019")</f>
        <v/>
      </c>
    </row>
    <row r="186" ht="15" customHeight="1">
      <c r="A186" t="inlineStr">
        <is>
          <t>A 52965-2019</t>
        </is>
      </c>
      <c r="B186" s="1" t="n">
        <v>43747</v>
      </c>
      <c r="C186" s="1" t="n">
        <v>45344</v>
      </c>
      <c r="D186" t="inlineStr">
        <is>
          <t>GÄVLEBORGS LÄN</t>
        </is>
      </c>
      <c r="E186" t="inlineStr">
        <is>
          <t>OCKELBO</t>
        </is>
      </c>
      <c r="G186" t="n">
        <v>1.6</v>
      </c>
      <c r="H186" t="n">
        <v>1</v>
      </c>
      <c r="I186" t="n">
        <v>1</v>
      </c>
      <c r="J186" t="n">
        <v>0</v>
      </c>
      <c r="K186" t="n">
        <v>0</v>
      </c>
      <c r="L186" t="n">
        <v>0</v>
      </c>
      <c r="M186" t="n">
        <v>0</v>
      </c>
      <c r="N186" t="n">
        <v>0</v>
      </c>
      <c r="O186" t="n">
        <v>0</v>
      </c>
      <c r="P186" t="n">
        <v>0</v>
      </c>
      <c r="Q186" t="n">
        <v>2</v>
      </c>
      <c r="R186" s="2" t="inlineStr">
        <is>
          <t>Större träfjäril
Skogsödla</t>
        </is>
      </c>
      <c r="S186">
        <f>HYPERLINK("https://klasma.github.io/Logging_2101/artfynd/A 52965-2019 artfynd.xlsx", "A 52965-2019")</f>
        <v/>
      </c>
      <c r="T186">
        <f>HYPERLINK("https://klasma.github.io/Logging_2101/kartor/A 52965-2019 karta.png", "A 52965-2019")</f>
        <v/>
      </c>
      <c r="V186">
        <f>HYPERLINK("https://klasma.github.io/Logging_2101/klagomål/A 52965-2019 FSC-klagomål.docx", "A 52965-2019")</f>
        <v/>
      </c>
      <c r="W186">
        <f>HYPERLINK("https://klasma.github.io/Logging_2101/klagomålsmail/A 52965-2019 FSC-klagomål mail.docx", "A 52965-2019")</f>
        <v/>
      </c>
      <c r="X186">
        <f>HYPERLINK("https://klasma.github.io/Logging_2101/tillsyn/A 52965-2019 tillsynsbegäran.docx", "A 52965-2019")</f>
        <v/>
      </c>
      <c r="Y186">
        <f>HYPERLINK("https://klasma.github.io/Logging_2101/tillsynsmail/A 52965-2019 tillsynsbegäran mail.docx", "A 52965-2019")</f>
        <v/>
      </c>
    </row>
    <row r="187" ht="15" customHeight="1">
      <c r="A187" t="inlineStr">
        <is>
          <t>A 59286-2019</t>
        </is>
      </c>
      <c r="B187" s="1" t="n">
        <v>43775</v>
      </c>
      <c r="C187" s="1" t="n">
        <v>45344</v>
      </c>
      <c r="D187" t="inlineStr">
        <is>
          <t>GÄVLEBORGS LÄN</t>
        </is>
      </c>
      <c r="E187" t="inlineStr">
        <is>
          <t>OCKELBO</t>
        </is>
      </c>
      <c r="G187" t="n">
        <v>2.2</v>
      </c>
      <c r="H187" t="n">
        <v>0</v>
      </c>
      <c r="I187" t="n">
        <v>0</v>
      </c>
      <c r="J187" t="n">
        <v>2</v>
      </c>
      <c r="K187" t="n">
        <v>0</v>
      </c>
      <c r="L187" t="n">
        <v>0</v>
      </c>
      <c r="M187" t="n">
        <v>0</v>
      </c>
      <c r="N187" t="n">
        <v>0</v>
      </c>
      <c r="O187" t="n">
        <v>2</v>
      </c>
      <c r="P187" t="n">
        <v>0</v>
      </c>
      <c r="Q187" t="n">
        <v>2</v>
      </c>
      <c r="R187" s="2" t="inlineStr">
        <is>
          <t>Garnlav
Koralltaggsvamp</t>
        </is>
      </c>
      <c r="S187">
        <f>HYPERLINK("https://klasma.github.io/Logging_2101/artfynd/A 59286-2019 artfynd.xlsx", "A 59286-2019")</f>
        <v/>
      </c>
      <c r="T187">
        <f>HYPERLINK("https://klasma.github.io/Logging_2101/kartor/A 59286-2019 karta.png", "A 59286-2019")</f>
        <v/>
      </c>
      <c r="V187">
        <f>HYPERLINK("https://klasma.github.io/Logging_2101/klagomål/A 59286-2019 FSC-klagomål.docx", "A 59286-2019")</f>
        <v/>
      </c>
      <c r="W187">
        <f>HYPERLINK("https://klasma.github.io/Logging_2101/klagomålsmail/A 59286-2019 FSC-klagomål mail.docx", "A 59286-2019")</f>
        <v/>
      </c>
      <c r="X187">
        <f>HYPERLINK("https://klasma.github.io/Logging_2101/tillsyn/A 59286-2019 tillsynsbegäran.docx", "A 59286-2019")</f>
        <v/>
      </c>
      <c r="Y187">
        <f>HYPERLINK("https://klasma.github.io/Logging_2101/tillsynsmail/A 59286-2019 tillsynsbegäran mail.docx", "A 59286-2019")</f>
        <v/>
      </c>
    </row>
    <row r="188" ht="15" customHeight="1">
      <c r="A188" t="inlineStr">
        <is>
          <t>A 61384-2019</t>
        </is>
      </c>
      <c r="B188" s="1" t="n">
        <v>43783</v>
      </c>
      <c r="C188" s="1" t="n">
        <v>45344</v>
      </c>
      <c r="D188" t="inlineStr">
        <is>
          <t>GÄVLEBORGS LÄN</t>
        </is>
      </c>
      <c r="E188" t="inlineStr">
        <is>
          <t>BOLLNÄS</t>
        </is>
      </c>
      <c r="F188" t="inlineStr">
        <is>
          <t>Sveaskog</t>
        </is>
      </c>
      <c r="G188" t="n">
        <v>4.1</v>
      </c>
      <c r="H188" t="n">
        <v>2</v>
      </c>
      <c r="I188" t="n">
        <v>1</v>
      </c>
      <c r="J188" t="n">
        <v>0</v>
      </c>
      <c r="K188" t="n">
        <v>1</v>
      </c>
      <c r="L188" t="n">
        <v>0</v>
      </c>
      <c r="M188" t="n">
        <v>0</v>
      </c>
      <c r="N188" t="n">
        <v>0</v>
      </c>
      <c r="O188" t="n">
        <v>1</v>
      </c>
      <c r="P188" t="n">
        <v>1</v>
      </c>
      <c r="Q188" t="n">
        <v>2</v>
      </c>
      <c r="R188" s="2" t="inlineStr">
        <is>
          <t>Knärot
Korallrot</t>
        </is>
      </c>
      <c r="S188">
        <f>HYPERLINK("https://klasma.github.io/Logging_2183/artfynd/A 61384-2019 artfynd.xlsx", "A 61384-2019")</f>
        <v/>
      </c>
      <c r="T188">
        <f>HYPERLINK("https://klasma.github.io/Logging_2183/kartor/A 61384-2019 karta.png", "A 61384-2019")</f>
        <v/>
      </c>
      <c r="U188">
        <f>HYPERLINK("https://klasma.github.io/Logging_2183/knärot/A 61384-2019 karta knärot.png", "A 61384-2019")</f>
        <v/>
      </c>
      <c r="V188">
        <f>HYPERLINK("https://klasma.github.io/Logging_2183/klagomål/A 61384-2019 FSC-klagomål.docx", "A 61384-2019")</f>
        <v/>
      </c>
      <c r="W188">
        <f>HYPERLINK("https://klasma.github.io/Logging_2183/klagomålsmail/A 61384-2019 FSC-klagomål mail.docx", "A 61384-2019")</f>
        <v/>
      </c>
      <c r="X188">
        <f>HYPERLINK("https://klasma.github.io/Logging_2183/tillsyn/A 61384-2019 tillsynsbegäran.docx", "A 61384-2019")</f>
        <v/>
      </c>
      <c r="Y188">
        <f>HYPERLINK("https://klasma.github.io/Logging_2183/tillsynsmail/A 61384-2019 tillsynsbegäran mail.docx", "A 61384-2019")</f>
        <v/>
      </c>
    </row>
    <row r="189" ht="15" customHeight="1">
      <c r="A189" t="inlineStr">
        <is>
          <t>A 61372-2019</t>
        </is>
      </c>
      <c r="B189" s="1" t="n">
        <v>43783</v>
      </c>
      <c r="C189" s="1" t="n">
        <v>45344</v>
      </c>
      <c r="D189" t="inlineStr">
        <is>
          <t>GÄVLEBORGS LÄN</t>
        </is>
      </c>
      <c r="E189" t="inlineStr">
        <is>
          <t>BOLLNÄS</t>
        </is>
      </c>
      <c r="F189" t="inlineStr">
        <is>
          <t>Sveaskog</t>
        </is>
      </c>
      <c r="G189" t="n">
        <v>3.2</v>
      </c>
      <c r="H189" t="n">
        <v>1</v>
      </c>
      <c r="I189" t="n">
        <v>0</v>
      </c>
      <c r="J189" t="n">
        <v>1</v>
      </c>
      <c r="K189" t="n">
        <v>1</v>
      </c>
      <c r="L189" t="n">
        <v>0</v>
      </c>
      <c r="M189" t="n">
        <v>0</v>
      </c>
      <c r="N189" t="n">
        <v>0</v>
      </c>
      <c r="O189" t="n">
        <v>2</v>
      </c>
      <c r="P189" t="n">
        <v>1</v>
      </c>
      <c r="Q189" t="n">
        <v>2</v>
      </c>
      <c r="R189" s="2" t="inlineStr">
        <is>
          <t>Knärot
Garnlav</t>
        </is>
      </c>
      <c r="S189">
        <f>HYPERLINK("https://klasma.github.io/Logging_2183/artfynd/A 61372-2019 artfynd.xlsx", "A 61372-2019")</f>
        <v/>
      </c>
      <c r="T189">
        <f>HYPERLINK("https://klasma.github.io/Logging_2183/kartor/A 61372-2019 karta.png", "A 61372-2019")</f>
        <v/>
      </c>
      <c r="U189">
        <f>HYPERLINK("https://klasma.github.io/Logging_2183/knärot/A 61372-2019 karta knärot.png", "A 61372-2019")</f>
        <v/>
      </c>
      <c r="V189">
        <f>HYPERLINK("https://klasma.github.io/Logging_2183/klagomål/A 61372-2019 FSC-klagomål.docx", "A 61372-2019")</f>
        <v/>
      </c>
      <c r="W189">
        <f>HYPERLINK("https://klasma.github.io/Logging_2183/klagomålsmail/A 61372-2019 FSC-klagomål mail.docx", "A 61372-2019")</f>
        <v/>
      </c>
      <c r="X189">
        <f>HYPERLINK("https://klasma.github.io/Logging_2183/tillsyn/A 61372-2019 tillsynsbegäran.docx", "A 61372-2019")</f>
        <v/>
      </c>
      <c r="Y189">
        <f>HYPERLINK("https://klasma.github.io/Logging_2183/tillsynsmail/A 61372-2019 tillsynsbegäran mail.docx", "A 61372-2019")</f>
        <v/>
      </c>
    </row>
    <row r="190" ht="15" customHeight="1">
      <c r="A190" t="inlineStr">
        <is>
          <t>A 61380-2019</t>
        </is>
      </c>
      <c r="B190" s="1" t="n">
        <v>43783</v>
      </c>
      <c r="C190" s="1" t="n">
        <v>45344</v>
      </c>
      <c r="D190" t="inlineStr">
        <is>
          <t>GÄVLEBORGS LÄN</t>
        </is>
      </c>
      <c r="E190" t="inlineStr">
        <is>
          <t>BOLLNÄS</t>
        </is>
      </c>
      <c r="F190" t="inlineStr">
        <is>
          <t>Sveaskog</t>
        </is>
      </c>
      <c r="G190" t="n">
        <v>6</v>
      </c>
      <c r="H190" t="n">
        <v>1</v>
      </c>
      <c r="I190" t="n">
        <v>1</v>
      </c>
      <c r="J190" t="n">
        <v>0</v>
      </c>
      <c r="K190" t="n">
        <v>1</v>
      </c>
      <c r="L190" t="n">
        <v>0</v>
      </c>
      <c r="M190" t="n">
        <v>0</v>
      </c>
      <c r="N190" t="n">
        <v>0</v>
      </c>
      <c r="O190" t="n">
        <v>1</v>
      </c>
      <c r="P190" t="n">
        <v>1</v>
      </c>
      <c r="Q190" t="n">
        <v>2</v>
      </c>
      <c r="R190" s="2" t="inlineStr">
        <is>
          <t>Knärot
Tibast</t>
        </is>
      </c>
      <c r="S190">
        <f>HYPERLINK("https://klasma.github.io/Logging_2183/artfynd/A 61380-2019 artfynd.xlsx", "A 61380-2019")</f>
        <v/>
      </c>
      <c r="T190">
        <f>HYPERLINK("https://klasma.github.io/Logging_2183/kartor/A 61380-2019 karta.png", "A 61380-2019")</f>
        <v/>
      </c>
      <c r="U190">
        <f>HYPERLINK("https://klasma.github.io/Logging_2183/knärot/A 61380-2019 karta knärot.png", "A 61380-2019")</f>
        <v/>
      </c>
      <c r="V190">
        <f>HYPERLINK("https://klasma.github.io/Logging_2183/klagomål/A 61380-2019 FSC-klagomål.docx", "A 61380-2019")</f>
        <v/>
      </c>
      <c r="W190">
        <f>HYPERLINK("https://klasma.github.io/Logging_2183/klagomålsmail/A 61380-2019 FSC-klagomål mail.docx", "A 61380-2019")</f>
        <v/>
      </c>
      <c r="X190">
        <f>HYPERLINK("https://klasma.github.io/Logging_2183/tillsyn/A 61380-2019 tillsynsbegäran.docx", "A 61380-2019")</f>
        <v/>
      </c>
      <c r="Y190">
        <f>HYPERLINK("https://klasma.github.io/Logging_2183/tillsynsmail/A 61380-2019 tillsynsbegäran mail.docx", "A 61380-2019")</f>
        <v/>
      </c>
    </row>
    <row r="191" ht="15" customHeight="1">
      <c r="A191" t="inlineStr">
        <is>
          <t>A 64630-2019</t>
        </is>
      </c>
      <c r="B191" s="1" t="n">
        <v>43798</v>
      </c>
      <c r="C191" s="1" t="n">
        <v>45344</v>
      </c>
      <c r="D191" t="inlineStr">
        <is>
          <t>GÄVLEBORGS LÄN</t>
        </is>
      </c>
      <c r="E191" t="inlineStr">
        <is>
          <t>SÖDERHAMN</t>
        </is>
      </c>
      <c r="G191" t="n">
        <v>8.300000000000001</v>
      </c>
      <c r="H191" t="n">
        <v>0</v>
      </c>
      <c r="I191" t="n">
        <v>1</v>
      </c>
      <c r="J191" t="n">
        <v>0</v>
      </c>
      <c r="K191" t="n">
        <v>1</v>
      </c>
      <c r="L191" t="n">
        <v>0</v>
      </c>
      <c r="M191" t="n">
        <v>0</v>
      </c>
      <c r="N191" t="n">
        <v>0</v>
      </c>
      <c r="O191" t="n">
        <v>1</v>
      </c>
      <c r="P191" t="n">
        <v>1</v>
      </c>
      <c r="Q191" t="n">
        <v>2</v>
      </c>
      <c r="R191" s="2" t="inlineStr">
        <is>
          <t>Violgubbe
Skarp dropptaggsvamp</t>
        </is>
      </c>
      <c r="S191">
        <f>HYPERLINK("https://klasma.github.io/Logging_2182/artfynd/A 64630-2019 artfynd.xlsx", "A 64630-2019")</f>
        <v/>
      </c>
      <c r="T191">
        <f>HYPERLINK("https://klasma.github.io/Logging_2182/kartor/A 64630-2019 karta.png", "A 64630-2019")</f>
        <v/>
      </c>
      <c r="V191">
        <f>HYPERLINK("https://klasma.github.io/Logging_2182/klagomål/A 64630-2019 FSC-klagomål.docx", "A 64630-2019")</f>
        <v/>
      </c>
      <c r="W191">
        <f>HYPERLINK("https://klasma.github.io/Logging_2182/klagomålsmail/A 64630-2019 FSC-klagomål mail.docx", "A 64630-2019")</f>
        <v/>
      </c>
      <c r="X191">
        <f>HYPERLINK("https://klasma.github.io/Logging_2182/tillsyn/A 64630-2019 tillsynsbegäran.docx", "A 64630-2019")</f>
        <v/>
      </c>
      <c r="Y191">
        <f>HYPERLINK("https://klasma.github.io/Logging_2182/tillsynsmail/A 64630-2019 tillsynsbegäran mail.docx", "A 64630-2019")</f>
        <v/>
      </c>
    </row>
    <row r="192" ht="15" customHeight="1">
      <c r="A192" t="inlineStr">
        <is>
          <t>A 116-2020</t>
        </is>
      </c>
      <c r="B192" s="1" t="n">
        <v>43832</v>
      </c>
      <c r="C192" s="1" t="n">
        <v>45344</v>
      </c>
      <c r="D192" t="inlineStr">
        <is>
          <t>GÄVLEBORGS LÄN</t>
        </is>
      </c>
      <c r="E192" t="inlineStr">
        <is>
          <t>HUDIKSVALL</t>
        </is>
      </c>
      <c r="G192" t="n">
        <v>7.1</v>
      </c>
      <c r="H192" t="n">
        <v>2</v>
      </c>
      <c r="I192" t="n">
        <v>0</v>
      </c>
      <c r="J192" t="n">
        <v>1</v>
      </c>
      <c r="K192" t="n">
        <v>0</v>
      </c>
      <c r="L192" t="n">
        <v>1</v>
      </c>
      <c r="M192" t="n">
        <v>0</v>
      </c>
      <c r="N192" t="n">
        <v>0</v>
      </c>
      <c r="O192" t="n">
        <v>2</v>
      </c>
      <c r="P192" t="n">
        <v>1</v>
      </c>
      <c r="Q192" t="n">
        <v>2</v>
      </c>
      <c r="R192" s="2" t="inlineStr">
        <is>
          <t>Tornseglare
Kråka</t>
        </is>
      </c>
      <c r="S192">
        <f>HYPERLINK("https://klasma.github.io/Logging_2184/artfynd/A 116-2020 artfynd.xlsx", "A 116-2020")</f>
        <v/>
      </c>
      <c r="T192">
        <f>HYPERLINK("https://klasma.github.io/Logging_2184/kartor/A 116-2020 karta.png", "A 116-2020")</f>
        <v/>
      </c>
      <c r="V192">
        <f>HYPERLINK("https://klasma.github.io/Logging_2184/klagomål/A 116-2020 FSC-klagomål.docx", "A 116-2020")</f>
        <v/>
      </c>
      <c r="W192">
        <f>HYPERLINK("https://klasma.github.io/Logging_2184/klagomålsmail/A 116-2020 FSC-klagomål mail.docx", "A 116-2020")</f>
        <v/>
      </c>
      <c r="X192">
        <f>HYPERLINK("https://klasma.github.io/Logging_2184/tillsyn/A 116-2020 tillsynsbegäran.docx", "A 116-2020")</f>
        <v/>
      </c>
      <c r="Y192">
        <f>HYPERLINK("https://klasma.github.io/Logging_2184/tillsynsmail/A 116-2020 tillsynsbegäran mail.docx", "A 116-2020")</f>
        <v/>
      </c>
      <c r="Z192">
        <f>HYPERLINK("https://klasma.github.io/Logging_2184/fåglar/A 116-2020 prioriterade fågelarter.docx", "A 116-2020")</f>
        <v/>
      </c>
    </row>
    <row r="193" ht="15" customHeight="1">
      <c r="A193" t="inlineStr">
        <is>
          <t>A 14255-2020</t>
        </is>
      </c>
      <c r="B193" s="1" t="n">
        <v>43907</v>
      </c>
      <c r="C193" s="1" t="n">
        <v>45344</v>
      </c>
      <c r="D193" t="inlineStr">
        <is>
          <t>GÄVLEBORGS LÄN</t>
        </is>
      </c>
      <c r="E193" t="inlineStr">
        <is>
          <t>HUDIKSVALL</t>
        </is>
      </c>
      <c r="F193" t="inlineStr">
        <is>
          <t>Holmen skog AB</t>
        </is>
      </c>
      <c r="G193" t="n">
        <v>14.2</v>
      </c>
      <c r="H193" t="n">
        <v>2</v>
      </c>
      <c r="I193" t="n">
        <v>0</v>
      </c>
      <c r="J193" t="n">
        <v>0</v>
      </c>
      <c r="K193" t="n">
        <v>0</v>
      </c>
      <c r="L193" t="n">
        <v>0</v>
      </c>
      <c r="M193" t="n">
        <v>0</v>
      </c>
      <c r="N193" t="n">
        <v>0</v>
      </c>
      <c r="O193" t="n">
        <v>0</v>
      </c>
      <c r="P193" t="n">
        <v>0</v>
      </c>
      <c r="Q193" t="n">
        <v>2</v>
      </c>
      <c r="R193" s="2" t="inlineStr">
        <is>
          <t>Fläcknycklar
Myggblomster</t>
        </is>
      </c>
      <c r="S193">
        <f>HYPERLINK("https://klasma.github.io/Logging_2184/artfynd/A 14255-2020 artfynd.xlsx", "A 14255-2020")</f>
        <v/>
      </c>
      <c r="T193">
        <f>HYPERLINK("https://klasma.github.io/Logging_2184/kartor/A 14255-2020 karta.png", "A 14255-2020")</f>
        <v/>
      </c>
      <c r="V193">
        <f>HYPERLINK("https://klasma.github.io/Logging_2184/klagomål/A 14255-2020 FSC-klagomål.docx", "A 14255-2020")</f>
        <v/>
      </c>
      <c r="W193">
        <f>HYPERLINK("https://klasma.github.io/Logging_2184/klagomålsmail/A 14255-2020 FSC-klagomål mail.docx", "A 14255-2020")</f>
        <v/>
      </c>
      <c r="X193">
        <f>HYPERLINK("https://klasma.github.io/Logging_2184/tillsyn/A 14255-2020 tillsynsbegäran.docx", "A 14255-2020")</f>
        <v/>
      </c>
      <c r="Y193">
        <f>HYPERLINK("https://klasma.github.io/Logging_2184/tillsynsmail/A 14255-2020 tillsynsbegäran mail.docx", "A 14255-2020")</f>
        <v/>
      </c>
    </row>
    <row r="194" ht="15" customHeight="1">
      <c r="A194" t="inlineStr">
        <is>
          <t>A 24617-2020</t>
        </is>
      </c>
      <c r="B194" s="1" t="n">
        <v>43977</v>
      </c>
      <c r="C194" s="1" t="n">
        <v>45344</v>
      </c>
      <c r="D194" t="inlineStr">
        <is>
          <t>GÄVLEBORGS LÄN</t>
        </is>
      </c>
      <c r="E194" t="inlineStr">
        <is>
          <t>LJUSDAL</t>
        </is>
      </c>
      <c r="F194" t="inlineStr">
        <is>
          <t>Sveaskog</t>
        </is>
      </c>
      <c r="G194" t="n">
        <v>9.300000000000001</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24617-2020 artfynd.xlsx", "A 24617-2020")</f>
        <v/>
      </c>
      <c r="T194">
        <f>HYPERLINK("https://klasma.github.io/Logging_2161/kartor/A 24617-2020 karta.png", "A 24617-2020")</f>
        <v/>
      </c>
      <c r="V194">
        <f>HYPERLINK("https://klasma.github.io/Logging_2161/klagomål/A 24617-2020 FSC-klagomål.docx", "A 24617-2020")</f>
        <v/>
      </c>
      <c r="W194">
        <f>HYPERLINK("https://klasma.github.io/Logging_2161/klagomålsmail/A 24617-2020 FSC-klagomål mail.docx", "A 24617-2020")</f>
        <v/>
      </c>
      <c r="X194">
        <f>HYPERLINK("https://klasma.github.io/Logging_2161/tillsyn/A 24617-2020 tillsynsbegäran.docx", "A 24617-2020")</f>
        <v/>
      </c>
      <c r="Y194">
        <f>HYPERLINK("https://klasma.github.io/Logging_2161/tillsynsmail/A 24617-2020 tillsynsbegäran mail.docx", "A 24617-2020")</f>
        <v/>
      </c>
    </row>
    <row r="195" ht="15" customHeight="1">
      <c r="A195" t="inlineStr">
        <is>
          <t>A 28704-2020</t>
        </is>
      </c>
      <c r="B195" s="1" t="n">
        <v>43999</v>
      </c>
      <c r="C195" s="1" t="n">
        <v>45344</v>
      </c>
      <c r="D195" t="inlineStr">
        <is>
          <t>GÄVLEBORGS LÄN</t>
        </is>
      </c>
      <c r="E195" t="inlineStr">
        <is>
          <t>BOLLNÄS</t>
        </is>
      </c>
      <c r="F195" t="inlineStr">
        <is>
          <t>Sveaskog</t>
        </is>
      </c>
      <c r="G195" t="n">
        <v>2.2</v>
      </c>
      <c r="H195" t="n">
        <v>0</v>
      </c>
      <c r="I195" t="n">
        <v>0</v>
      </c>
      <c r="J195" t="n">
        <v>2</v>
      </c>
      <c r="K195" t="n">
        <v>0</v>
      </c>
      <c r="L195" t="n">
        <v>0</v>
      </c>
      <c r="M195" t="n">
        <v>0</v>
      </c>
      <c r="N195" t="n">
        <v>0</v>
      </c>
      <c r="O195" t="n">
        <v>2</v>
      </c>
      <c r="P195" t="n">
        <v>0</v>
      </c>
      <c r="Q195" t="n">
        <v>2</v>
      </c>
      <c r="R195" s="2" t="inlineStr">
        <is>
          <t>Gammelgransskål
Tallticka</t>
        </is>
      </c>
      <c r="S195">
        <f>HYPERLINK("https://klasma.github.io/Logging_2183/artfynd/A 28704-2020 artfynd.xlsx", "A 28704-2020")</f>
        <v/>
      </c>
      <c r="T195">
        <f>HYPERLINK("https://klasma.github.io/Logging_2183/kartor/A 28704-2020 karta.png", "A 28704-2020")</f>
        <v/>
      </c>
      <c r="V195">
        <f>HYPERLINK("https://klasma.github.io/Logging_2183/klagomål/A 28704-2020 FSC-klagomål.docx", "A 28704-2020")</f>
        <v/>
      </c>
      <c r="W195">
        <f>HYPERLINK("https://klasma.github.io/Logging_2183/klagomålsmail/A 28704-2020 FSC-klagomål mail.docx", "A 28704-2020")</f>
        <v/>
      </c>
      <c r="X195">
        <f>HYPERLINK("https://klasma.github.io/Logging_2183/tillsyn/A 28704-2020 tillsynsbegäran.docx", "A 28704-2020")</f>
        <v/>
      </c>
      <c r="Y195">
        <f>HYPERLINK("https://klasma.github.io/Logging_2183/tillsynsmail/A 28704-2020 tillsynsbegäran mail.docx", "A 28704-2020")</f>
        <v/>
      </c>
    </row>
    <row r="196" ht="15" customHeight="1">
      <c r="A196" t="inlineStr">
        <is>
          <t>A 30147-2020</t>
        </is>
      </c>
      <c r="B196" s="1" t="n">
        <v>44007</v>
      </c>
      <c r="C196" s="1" t="n">
        <v>45344</v>
      </c>
      <c r="D196" t="inlineStr">
        <is>
          <t>GÄVLEBORGS LÄN</t>
        </is>
      </c>
      <c r="E196" t="inlineStr">
        <is>
          <t>SANDVIKEN</t>
        </is>
      </c>
      <c r="G196" t="n">
        <v>3.7</v>
      </c>
      <c r="H196" t="n">
        <v>1</v>
      </c>
      <c r="I196" t="n">
        <v>1</v>
      </c>
      <c r="J196" t="n">
        <v>0</v>
      </c>
      <c r="K196" t="n">
        <v>0</v>
      </c>
      <c r="L196" t="n">
        <v>0</v>
      </c>
      <c r="M196" t="n">
        <v>0</v>
      </c>
      <c r="N196" t="n">
        <v>0</v>
      </c>
      <c r="O196" t="n">
        <v>0</v>
      </c>
      <c r="P196" t="n">
        <v>0</v>
      </c>
      <c r="Q196" t="n">
        <v>2</v>
      </c>
      <c r="R196" s="2" t="inlineStr">
        <is>
          <t>Strutbräken
Revlummer</t>
        </is>
      </c>
      <c r="S196">
        <f>HYPERLINK("https://klasma.github.io/Logging_2181/artfynd/A 30147-2020 artfynd.xlsx", "A 30147-2020")</f>
        <v/>
      </c>
      <c r="T196">
        <f>HYPERLINK("https://klasma.github.io/Logging_2181/kartor/A 30147-2020 karta.png", "A 30147-2020")</f>
        <v/>
      </c>
      <c r="V196">
        <f>HYPERLINK("https://klasma.github.io/Logging_2181/klagomål/A 30147-2020 FSC-klagomål.docx", "A 30147-2020")</f>
        <v/>
      </c>
      <c r="W196">
        <f>HYPERLINK("https://klasma.github.io/Logging_2181/klagomålsmail/A 30147-2020 FSC-klagomål mail.docx", "A 30147-2020")</f>
        <v/>
      </c>
      <c r="X196">
        <f>HYPERLINK("https://klasma.github.io/Logging_2181/tillsyn/A 30147-2020 tillsynsbegäran.docx", "A 30147-2020")</f>
        <v/>
      </c>
      <c r="Y196">
        <f>HYPERLINK("https://klasma.github.io/Logging_2181/tillsynsmail/A 30147-2020 tillsynsbegäran mail.docx", "A 30147-2020")</f>
        <v/>
      </c>
    </row>
    <row r="197" ht="15" customHeight="1">
      <c r="A197" t="inlineStr">
        <is>
          <t>A 30620-2020</t>
        </is>
      </c>
      <c r="B197" s="1" t="n">
        <v>44008</v>
      </c>
      <c r="C197" s="1" t="n">
        <v>45344</v>
      </c>
      <c r="D197" t="inlineStr">
        <is>
          <t>GÄVLEBORGS LÄN</t>
        </is>
      </c>
      <c r="E197" t="inlineStr">
        <is>
          <t>NORDANSTIG</t>
        </is>
      </c>
      <c r="G197" t="n">
        <v>19.5</v>
      </c>
      <c r="H197" t="n">
        <v>2</v>
      </c>
      <c r="I197" t="n">
        <v>0</v>
      </c>
      <c r="J197" t="n">
        <v>2</v>
      </c>
      <c r="K197" t="n">
        <v>0</v>
      </c>
      <c r="L197" t="n">
        <v>0</v>
      </c>
      <c r="M197" t="n">
        <v>0</v>
      </c>
      <c r="N197" t="n">
        <v>0</v>
      </c>
      <c r="O197" t="n">
        <v>2</v>
      </c>
      <c r="P197" t="n">
        <v>0</v>
      </c>
      <c r="Q197" t="n">
        <v>2</v>
      </c>
      <c r="R197" s="2" t="inlineStr">
        <is>
          <t>Duvhök
Havsörn</t>
        </is>
      </c>
      <c r="S197">
        <f>HYPERLINK("https://klasma.github.io/Logging_2132/artfynd/A 30620-2020 artfynd.xlsx", "A 30620-2020")</f>
        <v/>
      </c>
      <c r="T197">
        <f>HYPERLINK("https://klasma.github.io/Logging_2132/kartor/A 30620-2020 karta.png", "A 30620-2020")</f>
        <v/>
      </c>
      <c r="V197">
        <f>HYPERLINK("https://klasma.github.io/Logging_2132/klagomål/A 30620-2020 FSC-klagomål.docx", "A 30620-2020")</f>
        <v/>
      </c>
      <c r="W197">
        <f>HYPERLINK("https://klasma.github.io/Logging_2132/klagomålsmail/A 30620-2020 FSC-klagomål mail.docx", "A 30620-2020")</f>
        <v/>
      </c>
      <c r="X197">
        <f>HYPERLINK("https://klasma.github.io/Logging_2132/tillsyn/A 30620-2020 tillsynsbegäran.docx", "A 30620-2020")</f>
        <v/>
      </c>
      <c r="Y197">
        <f>HYPERLINK("https://klasma.github.io/Logging_2132/tillsynsmail/A 30620-2020 tillsynsbegäran mail.docx", "A 30620-2020")</f>
        <v/>
      </c>
      <c r="Z197">
        <f>HYPERLINK("https://klasma.github.io/Logging_2132/fåglar/A 30620-2020 prioriterade fågelarter.docx", "A 30620-2020")</f>
        <v/>
      </c>
    </row>
    <row r="198" ht="15" customHeight="1">
      <c r="A198" t="inlineStr">
        <is>
          <t>A 33136-2020</t>
        </is>
      </c>
      <c r="B198" s="1" t="n">
        <v>44021</v>
      </c>
      <c r="C198" s="1" t="n">
        <v>45344</v>
      </c>
      <c r="D198" t="inlineStr">
        <is>
          <t>GÄVLEBORGS LÄN</t>
        </is>
      </c>
      <c r="E198" t="inlineStr">
        <is>
          <t>NORDANSTIG</t>
        </is>
      </c>
      <c r="F198" t="inlineStr">
        <is>
          <t>Holmen skog AB</t>
        </is>
      </c>
      <c r="G198" t="n">
        <v>6</v>
      </c>
      <c r="H198" t="n">
        <v>0</v>
      </c>
      <c r="I198" t="n">
        <v>0</v>
      </c>
      <c r="J198" t="n">
        <v>2</v>
      </c>
      <c r="K198" t="n">
        <v>0</v>
      </c>
      <c r="L198" t="n">
        <v>0</v>
      </c>
      <c r="M198" t="n">
        <v>0</v>
      </c>
      <c r="N198" t="n">
        <v>0</v>
      </c>
      <c r="O198" t="n">
        <v>2</v>
      </c>
      <c r="P198" t="n">
        <v>0</v>
      </c>
      <c r="Q198" t="n">
        <v>2</v>
      </c>
      <c r="R198" s="2" t="inlineStr">
        <is>
          <t>Motaggsvamp
Reliktbock</t>
        </is>
      </c>
      <c r="S198">
        <f>HYPERLINK("https://klasma.github.io/Logging_2132/artfynd/A 33136-2020 artfynd.xlsx", "A 33136-2020")</f>
        <v/>
      </c>
      <c r="T198">
        <f>HYPERLINK("https://klasma.github.io/Logging_2132/kartor/A 33136-2020 karta.png", "A 33136-2020")</f>
        <v/>
      </c>
      <c r="V198">
        <f>HYPERLINK("https://klasma.github.io/Logging_2132/klagomål/A 33136-2020 FSC-klagomål.docx", "A 33136-2020")</f>
        <v/>
      </c>
      <c r="W198">
        <f>HYPERLINK("https://klasma.github.io/Logging_2132/klagomålsmail/A 33136-2020 FSC-klagomål mail.docx", "A 33136-2020")</f>
        <v/>
      </c>
      <c r="X198">
        <f>HYPERLINK("https://klasma.github.io/Logging_2132/tillsyn/A 33136-2020 tillsynsbegäran.docx", "A 33136-2020")</f>
        <v/>
      </c>
      <c r="Y198">
        <f>HYPERLINK("https://klasma.github.io/Logging_2132/tillsynsmail/A 33136-2020 tillsynsbegäran mail.docx", "A 33136-2020")</f>
        <v/>
      </c>
    </row>
    <row r="199" ht="15" customHeight="1">
      <c r="A199" t="inlineStr">
        <is>
          <t>A 35427-2020</t>
        </is>
      </c>
      <c r="B199" s="1" t="n">
        <v>44042</v>
      </c>
      <c r="C199" s="1" t="n">
        <v>45344</v>
      </c>
      <c r="D199" t="inlineStr">
        <is>
          <t>GÄVLEBORGS LÄN</t>
        </is>
      </c>
      <c r="E199" t="inlineStr">
        <is>
          <t>HUDIKSVALL</t>
        </is>
      </c>
      <c r="F199" t="inlineStr">
        <is>
          <t>Holmen skog AB</t>
        </is>
      </c>
      <c r="G199" t="n">
        <v>1.4</v>
      </c>
      <c r="H199" t="n">
        <v>1</v>
      </c>
      <c r="I199" t="n">
        <v>0</v>
      </c>
      <c r="J199" t="n">
        <v>1</v>
      </c>
      <c r="K199" t="n">
        <v>0</v>
      </c>
      <c r="L199" t="n">
        <v>0</v>
      </c>
      <c r="M199" t="n">
        <v>0</v>
      </c>
      <c r="N199" t="n">
        <v>0</v>
      </c>
      <c r="O199" t="n">
        <v>1</v>
      </c>
      <c r="P199" t="n">
        <v>0</v>
      </c>
      <c r="Q199" t="n">
        <v>2</v>
      </c>
      <c r="R199" s="2" t="inlineStr">
        <is>
          <t>Garnlav
Revlummer</t>
        </is>
      </c>
      <c r="S199">
        <f>HYPERLINK("https://klasma.github.io/Logging_2184/artfynd/A 35427-2020 artfynd.xlsx", "A 35427-2020")</f>
        <v/>
      </c>
      <c r="T199">
        <f>HYPERLINK("https://klasma.github.io/Logging_2184/kartor/A 35427-2020 karta.png", "A 35427-2020")</f>
        <v/>
      </c>
      <c r="V199">
        <f>HYPERLINK("https://klasma.github.io/Logging_2184/klagomål/A 35427-2020 FSC-klagomål.docx", "A 35427-2020")</f>
        <v/>
      </c>
      <c r="W199">
        <f>HYPERLINK("https://klasma.github.io/Logging_2184/klagomålsmail/A 35427-2020 FSC-klagomål mail.docx", "A 35427-2020")</f>
        <v/>
      </c>
      <c r="X199">
        <f>HYPERLINK("https://klasma.github.io/Logging_2184/tillsyn/A 35427-2020 tillsynsbegäran.docx", "A 35427-2020")</f>
        <v/>
      </c>
      <c r="Y199">
        <f>HYPERLINK("https://klasma.github.io/Logging_2184/tillsynsmail/A 35427-2020 tillsynsbegäran mail.docx", "A 35427-2020")</f>
        <v/>
      </c>
    </row>
    <row r="200" ht="15" customHeight="1">
      <c r="A200" t="inlineStr">
        <is>
          <t>A 43503-2020</t>
        </is>
      </c>
      <c r="B200" s="1" t="n">
        <v>44077</v>
      </c>
      <c r="C200" s="1" t="n">
        <v>45344</v>
      </c>
      <c r="D200" t="inlineStr">
        <is>
          <t>GÄVLEBORGS LÄN</t>
        </is>
      </c>
      <c r="E200" t="inlineStr">
        <is>
          <t>HUDIKSVALL</t>
        </is>
      </c>
      <c r="G200" t="n">
        <v>3.3</v>
      </c>
      <c r="H200" t="n">
        <v>1</v>
      </c>
      <c r="I200" t="n">
        <v>0</v>
      </c>
      <c r="J200" t="n">
        <v>1</v>
      </c>
      <c r="K200" t="n">
        <v>1</v>
      </c>
      <c r="L200" t="n">
        <v>0</v>
      </c>
      <c r="M200" t="n">
        <v>0</v>
      </c>
      <c r="N200" t="n">
        <v>0</v>
      </c>
      <c r="O200" t="n">
        <v>2</v>
      </c>
      <c r="P200" t="n">
        <v>1</v>
      </c>
      <c r="Q200" t="n">
        <v>2</v>
      </c>
      <c r="R200" s="2" t="inlineStr">
        <is>
          <t>Knärot
Garnlav</t>
        </is>
      </c>
      <c r="S200">
        <f>HYPERLINK("https://klasma.github.io/Logging_2184/artfynd/A 43503-2020 artfynd.xlsx", "A 43503-2020")</f>
        <v/>
      </c>
      <c r="T200">
        <f>HYPERLINK("https://klasma.github.io/Logging_2184/kartor/A 43503-2020 karta.png", "A 43503-2020")</f>
        <v/>
      </c>
      <c r="U200">
        <f>HYPERLINK("https://klasma.github.io/Logging_2184/knärot/A 43503-2020 karta knärot.png", "A 43503-2020")</f>
        <v/>
      </c>
      <c r="V200">
        <f>HYPERLINK("https://klasma.github.io/Logging_2184/klagomål/A 43503-2020 FSC-klagomål.docx", "A 43503-2020")</f>
        <v/>
      </c>
      <c r="W200">
        <f>HYPERLINK("https://klasma.github.io/Logging_2184/klagomålsmail/A 43503-2020 FSC-klagomål mail.docx", "A 43503-2020")</f>
        <v/>
      </c>
      <c r="X200">
        <f>HYPERLINK("https://klasma.github.io/Logging_2184/tillsyn/A 43503-2020 tillsynsbegäran.docx", "A 43503-2020")</f>
        <v/>
      </c>
      <c r="Y200">
        <f>HYPERLINK("https://klasma.github.io/Logging_2184/tillsynsmail/A 43503-2020 tillsynsbegäran mail.docx", "A 43503-2020")</f>
        <v/>
      </c>
    </row>
    <row r="201" ht="15" customHeight="1">
      <c r="A201" t="inlineStr">
        <is>
          <t>A 13261-2021</t>
        </is>
      </c>
      <c r="B201" s="1" t="n">
        <v>44272</v>
      </c>
      <c r="C201" s="1" t="n">
        <v>45344</v>
      </c>
      <c r="D201" t="inlineStr">
        <is>
          <t>GÄVLEBORGS LÄN</t>
        </is>
      </c>
      <c r="E201" t="inlineStr">
        <is>
          <t>GÄVLE</t>
        </is>
      </c>
      <c r="G201" t="n">
        <v>4.7</v>
      </c>
      <c r="H201" t="n">
        <v>1</v>
      </c>
      <c r="I201" t="n">
        <v>0</v>
      </c>
      <c r="J201" t="n">
        <v>1</v>
      </c>
      <c r="K201" t="n">
        <v>0</v>
      </c>
      <c r="L201" t="n">
        <v>0</v>
      </c>
      <c r="M201" t="n">
        <v>0</v>
      </c>
      <c r="N201" t="n">
        <v>0</v>
      </c>
      <c r="O201" t="n">
        <v>1</v>
      </c>
      <c r="P201" t="n">
        <v>0</v>
      </c>
      <c r="Q201" t="n">
        <v>2</v>
      </c>
      <c r="R201" s="2" t="inlineStr">
        <is>
          <t>Motaggsvamp
Blåsippa</t>
        </is>
      </c>
      <c r="S201">
        <f>HYPERLINK("https://klasma.github.io/Logging_2180/artfynd/A 13261-2021 artfynd.xlsx", "A 13261-2021")</f>
        <v/>
      </c>
      <c r="T201">
        <f>HYPERLINK("https://klasma.github.io/Logging_2180/kartor/A 13261-2021 karta.png", "A 13261-2021")</f>
        <v/>
      </c>
      <c r="V201">
        <f>HYPERLINK("https://klasma.github.io/Logging_2180/klagomål/A 13261-2021 FSC-klagomål.docx", "A 13261-2021")</f>
        <v/>
      </c>
      <c r="W201">
        <f>HYPERLINK("https://klasma.github.io/Logging_2180/klagomålsmail/A 13261-2021 FSC-klagomål mail.docx", "A 13261-2021")</f>
        <v/>
      </c>
      <c r="X201">
        <f>HYPERLINK("https://klasma.github.io/Logging_2180/tillsyn/A 13261-2021 tillsynsbegäran.docx", "A 13261-2021")</f>
        <v/>
      </c>
      <c r="Y201">
        <f>HYPERLINK("https://klasma.github.io/Logging_2180/tillsynsmail/A 13261-2021 tillsynsbegäran mail.docx", "A 13261-2021")</f>
        <v/>
      </c>
    </row>
    <row r="202" ht="15" customHeight="1">
      <c r="A202" t="inlineStr">
        <is>
          <t>A 20198-2021</t>
        </is>
      </c>
      <c r="B202" s="1" t="n">
        <v>44314</v>
      </c>
      <c r="C202" s="1" t="n">
        <v>45344</v>
      </c>
      <c r="D202" t="inlineStr">
        <is>
          <t>GÄVLEBORGS LÄN</t>
        </is>
      </c>
      <c r="E202" t="inlineStr">
        <is>
          <t>GÄVLE</t>
        </is>
      </c>
      <c r="F202" t="inlineStr">
        <is>
          <t>Bergvik skog öst AB</t>
        </is>
      </c>
      <c r="G202" t="n">
        <v>4.5</v>
      </c>
      <c r="H202" t="n">
        <v>1</v>
      </c>
      <c r="I202" t="n">
        <v>2</v>
      </c>
      <c r="J202" t="n">
        <v>0</v>
      </c>
      <c r="K202" t="n">
        <v>0</v>
      </c>
      <c r="L202" t="n">
        <v>0</v>
      </c>
      <c r="M202" t="n">
        <v>0</v>
      </c>
      <c r="N202" t="n">
        <v>0</v>
      </c>
      <c r="O202" t="n">
        <v>0</v>
      </c>
      <c r="P202" t="n">
        <v>0</v>
      </c>
      <c r="Q202" t="n">
        <v>2</v>
      </c>
      <c r="R202" s="2" t="inlineStr">
        <is>
          <t>Anisspindling
Skogsknipprot</t>
        </is>
      </c>
      <c r="S202">
        <f>HYPERLINK("https://klasma.github.io/Logging_2180/artfynd/A 20198-2021 artfynd.xlsx", "A 20198-2021")</f>
        <v/>
      </c>
      <c r="T202">
        <f>HYPERLINK("https://klasma.github.io/Logging_2180/kartor/A 20198-2021 karta.png", "A 20198-2021")</f>
        <v/>
      </c>
      <c r="V202">
        <f>HYPERLINK("https://klasma.github.io/Logging_2180/klagomål/A 20198-2021 FSC-klagomål.docx", "A 20198-2021")</f>
        <v/>
      </c>
      <c r="W202">
        <f>HYPERLINK("https://klasma.github.io/Logging_2180/klagomålsmail/A 20198-2021 FSC-klagomål mail.docx", "A 20198-2021")</f>
        <v/>
      </c>
      <c r="X202">
        <f>HYPERLINK("https://klasma.github.io/Logging_2180/tillsyn/A 20198-2021 tillsynsbegäran.docx", "A 20198-2021")</f>
        <v/>
      </c>
      <c r="Y202">
        <f>HYPERLINK("https://klasma.github.io/Logging_2180/tillsynsmail/A 20198-2021 tillsynsbegäran mail.docx", "A 20198-2021")</f>
        <v/>
      </c>
    </row>
    <row r="203" ht="15" customHeight="1">
      <c r="A203" t="inlineStr">
        <is>
          <t>A 21765-2021</t>
        </is>
      </c>
      <c r="B203" s="1" t="n">
        <v>44322</v>
      </c>
      <c r="C203" s="1" t="n">
        <v>45344</v>
      </c>
      <c r="D203" t="inlineStr">
        <is>
          <t>GÄVLEBORGS LÄN</t>
        </is>
      </c>
      <c r="E203" t="inlineStr">
        <is>
          <t>LJUSDAL</t>
        </is>
      </c>
      <c r="F203" t="inlineStr">
        <is>
          <t>Sveaskog</t>
        </is>
      </c>
      <c r="G203" t="n">
        <v>1</v>
      </c>
      <c r="H203" t="n">
        <v>2</v>
      </c>
      <c r="I203" t="n">
        <v>0</v>
      </c>
      <c r="J203" t="n">
        <v>2</v>
      </c>
      <c r="K203" t="n">
        <v>0</v>
      </c>
      <c r="L203" t="n">
        <v>0</v>
      </c>
      <c r="M203" t="n">
        <v>0</v>
      </c>
      <c r="N203" t="n">
        <v>0</v>
      </c>
      <c r="O203" t="n">
        <v>2</v>
      </c>
      <c r="P203" t="n">
        <v>0</v>
      </c>
      <c r="Q203" t="n">
        <v>2</v>
      </c>
      <c r="R203" s="2" t="inlineStr">
        <is>
          <t>Stenfalk
Ärtsångare</t>
        </is>
      </c>
      <c r="S203">
        <f>HYPERLINK("https://klasma.github.io/Logging_2161/artfynd/A 21765-2021 artfynd.xlsx", "A 21765-2021")</f>
        <v/>
      </c>
      <c r="T203">
        <f>HYPERLINK("https://klasma.github.io/Logging_2161/kartor/A 21765-2021 karta.png", "A 21765-2021")</f>
        <v/>
      </c>
      <c r="V203">
        <f>HYPERLINK("https://klasma.github.io/Logging_2161/klagomål/A 21765-2021 FSC-klagomål.docx", "A 21765-2021")</f>
        <v/>
      </c>
      <c r="W203">
        <f>HYPERLINK("https://klasma.github.io/Logging_2161/klagomålsmail/A 21765-2021 FSC-klagomål mail.docx", "A 21765-2021")</f>
        <v/>
      </c>
      <c r="X203">
        <f>HYPERLINK("https://klasma.github.io/Logging_2161/tillsyn/A 21765-2021 tillsynsbegäran.docx", "A 21765-2021")</f>
        <v/>
      </c>
      <c r="Y203">
        <f>HYPERLINK("https://klasma.github.io/Logging_2161/tillsynsmail/A 21765-2021 tillsynsbegäran mail.docx", "A 21765-2021")</f>
        <v/>
      </c>
      <c r="Z203">
        <f>HYPERLINK("https://klasma.github.io/Logging_2161/fåglar/A 21765-2021 prioriterade fågelarter.docx", "A 21765-2021")</f>
        <v/>
      </c>
    </row>
    <row r="204" ht="15" customHeight="1">
      <c r="A204" t="inlineStr">
        <is>
          <t>A 22073-2021</t>
        </is>
      </c>
      <c r="B204" s="1" t="n">
        <v>44323</v>
      </c>
      <c r="C204" s="1" t="n">
        <v>45344</v>
      </c>
      <c r="D204" t="inlineStr">
        <is>
          <t>GÄVLEBORGS LÄN</t>
        </is>
      </c>
      <c r="E204" t="inlineStr">
        <is>
          <t>GÄVLE</t>
        </is>
      </c>
      <c r="F204" t="inlineStr">
        <is>
          <t>Bergvik skog öst AB</t>
        </is>
      </c>
      <c r="G204" t="n">
        <v>0.5</v>
      </c>
      <c r="H204" t="n">
        <v>2</v>
      </c>
      <c r="I204" t="n">
        <v>0</v>
      </c>
      <c r="J204" t="n">
        <v>2</v>
      </c>
      <c r="K204" t="n">
        <v>0</v>
      </c>
      <c r="L204" t="n">
        <v>0</v>
      </c>
      <c r="M204" t="n">
        <v>0</v>
      </c>
      <c r="N204" t="n">
        <v>0</v>
      </c>
      <c r="O204" t="n">
        <v>2</v>
      </c>
      <c r="P204" t="n">
        <v>0</v>
      </c>
      <c r="Q204" t="n">
        <v>2</v>
      </c>
      <c r="R204" s="2" t="inlineStr">
        <is>
          <t>Blå kärrhök
Havsörn</t>
        </is>
      </c>
      <c r="S204">
        <f>HYPERLINK("https://klasma.github.io/Logging_2180/artfynd/A 22073-2021 artfynd.xlsx", "A 22073-2021")</f>
        <v/>
      </c>
      <c r="T204">
        <f>HYPERLINK("https://klasma.github.io/Logging_2180/kartor/A 22073-2021 karta.png", "A 22073-2021")</f>
        <v/>
      </c>
      <c r="V204">
        <f>HYPERLINK("https://klasma.github.io/Logging_2180/klagomål/A 22073-2021 FSC-klagomål.docx", "A 22073-2021")</f>
        <v/>
      </c>
      <c r="W204">
        <f>HYPERLINK("https://klasma.github.io/Logging_2180/klagomålsmail/A 22073-2021 FSC-klagomål mail.docx", "A 22073-2021")</f>
        <v/>
      </c>
      <c r="X204">
        <f>HYPERLINK("https://klasma.github.io/Logging_2180/tillsyn/A 22073-2021 tillsynsbegäran.docx", "A 22073-2021")</f>
        <v/>
      </c>
      <c r="Y204">
        <f>HYPERLINK("https://klasma.github.io/Logging_2180/tillsynsmail/A 22073-2021 tillsynsbegäran mail.docx", "A 22073-2021")</f>
        <v/>
      </c>
      <c r="Z204">
        <f>HYPERLINK("https://klasma.github.io/Logging_2180/fåglar/A 22073-2021 prioriterade fågelarter.docx", "A 22073-2021")</f>
        <v/>
      </c>
    </row>
    <row r="205" ht="15" customHeight="1">
      <c r="A205" t="inlineStr">
        <is>
          <t>A 27326-2021</t>
        </is>
      </c>
      <c r="B205" s="1" t="n">
        <v>44351</v>
      </c>
      <c r="C205" s="1" t="n">
        <v>45344</v>
      </c>
      <c r="D205" t="inlineStr">
        <is>
          <t>GÄVLEBORGS LÄN</t>
        </is>
      </c>
      <c r="E205" t="inlineStr">
        <is>
          <t>LJUSDAL</t>
        </is>
      </c>
      <c r="F205" t="inlineStr">
        <is>
          <t>Sveaskog</t>
        </is>
      </c>
      <c r="G205" t="n">
        <v>11</v>
      </c>
      <c r="H205" t="n">
        <v>1</v>
      </c>
      <c r="I205" t="n">
        <v>1</v>
      </c>
      <c r="J205" t="n">
        <v>0</v>
      </c>
      <c r="K205" t="n">
        <v>0</v>
      </c>
      <c r="L205" t="n">
        <v>0</v>
      </c>
      <c r="M205" t="n">
        <v>0</v>
      </c>
      <c r="N205" t="n">
        <v>0</v>
      </c>
      <c r="O205" t="n">
        <v>0</v>
      </c>
      <c r="P205" t="n">
        <v>0</v>
      </c>
      <c r="Q205" t="n">
        <v>2</v>
      </c>
      <c r="R205" s="2" t="inlineStr">
        <is>
          <t>Skarp dropptaggsvamp
Revlummer</t>
        </is>
      </c>
      <c r="S205">
        <f>HYPERLINK("https://klasma.github.io/Logging_2161/artfynd/A 27326-2021 artfynd.xlsx", "A 27326-2021")</f>
        <v/>
      </c>
      <c r="T205">
        <f>HYPERLINK("https://klasma.github.io/Logging_2161/kartor/A 27326-2021 karta.png", "A 27326-2021")</f>
        <v/>
      </c>
      <c r="V205">
        <f>HYPERLINK("https://klasma.github.io/Logging_2161/klagomål/A 27326-2021 FSC-klagomål.docx", "A 27326-2021")</f>
        <v/>
      </c>
      <c r="W205">
        <f>HYPERLINK("https://klasma.github.io/Logging_2161/klagomålsmail/A 27326-2021 FSC-klagomål mail.docx", "A 27326-2021")</f>
        <v/>
      </c>
      <c r="X205">
        <f>HYPERLINK("https://klasma.github.io/Logging_2161/tillsyn/A 27326-2021 tillsynsbegäran.docx", "A 27326-2021")</f>
        <v/>
      </c>
      <c r="Y205">
        <f>HYPERLINK("https://klasma.github.io/Logging_2161/tillsynsmail/A 27326-2021 tillsynsbegäran mail.docx", "A 27326-2021")</f>
        <v/>
      </c>
    </row>
    <row r="206" ht="15" customHeight="1">
      <c r="A206" t="inlineStr">
        <is>
          <t>A 28727-2021</t>
        </is>
      </c>
      <c r="B206" s="1" t="n">
        <v>44357</v>
      </c>
      <c r="C206" s="1" t="n">
        <v>45344</v>
      </c>
      <c r="D206" t="inlineStr">
        <is>
          <t>GÄVLEBORGS LÄN</t>
        </is>
      </c>
      <c r="E206" t="inlineStr">
        <is>
          <t>LJUSDAL</t>
        </is>
      </c>
      <c r="F206" t="inlineStr">
        <is>
          <t>Sveaskog</t>
        </is>
      </c>
      <c r="G206" t="n">
        <v>45.9</v>
      </c>
      <c r="H206" t="n">
        <v>2</v>
      </c>
      <c r="I206" t="n">
        <v>1</v>
      </c>
      <c r="J206" t="n">
        <v>0</v>
      </c>
      <c r="K206" t="n">
        <v>0</v>
      </c>
      <c r="L206" t="n">
        <v>0</v>
      </c>
      <c r="M206" t="n">
        <v>0</v>
      </c>
      <c r="N206" t="n">
        <v>0</v>
      </c>
      <c r="O206" t="n">
        <v>0</v>
      </c>
      <c r="P206" t="n">
        <v>0</v>
      </c>
      <c r="Q206" t="n">
        <v>2</v>
      </c>
      <c r="R206" s="2" t="inlineStr">
        <is>
          <t>Plattlummer
Nattviol</t>
        </is>
      </c>
      <c r="S206">
        <f>HYPERLINK("https://klasma.github.io/Logging_2161/artfynd/A 28727-2021 artfynd.xlsx", "A 28727-2021")</f>
        <v/>
      </c>
      <c r="T206">
        <f>HYPERLINK("https://klasma.github.io/Logging_2161/kartor/A 28727-2021 karta.png", "A 28727-2021")</f>
        <v/>
      </c>
      <c r="V206">
        <f>HYPERLINK("https://klasma.github.io/Logging_2161/klagomål/A 28727-2021 FSC-klagomål.docx", "A 28727-2021")</f>
        <v/>
      </c>
      <c r="W206">
        <f>HYPERLINK("https://klasma.github.io/Logging_2161/klagomålsmail/A 28727-2021 FSC-klagomål mail.docx", "A 28727-2021")</f>
        <v/>
      </c>
      <c r="X206">
        <f>HYPERLINK("https://klasma.github.io/Logging_2161/tillsyn/A 28727-2021 tillsynsbegäran.docx", "A 28727-2021")</f>
        <v/>
      </c>
      <c r="Y206">
        <f>HYPERLINK("https://klasma.github.io/Logging_2161/tillsynsmail/A 28727-2021 tillsynsbegäran mail.docx", "A 28727-2021")</f>
        <v/>
      </c>
    </row>
    <row r="207" ht="15" customHeight="1">
      <c r="A207" t="inlineStr">
        <is>
          <t>A 39528-2021</t>
        </is>
      </c>
      <c r="B207" s="1" t="n">
        <v>44415</v>
      </c>
      <c r="C207" s="1" t="n">
        <v>45344</v>
      </c>
      <c r="D207" t="inlineStr">
        <is>
          <t>GÄVLEBORGS LÄN</t>
        </is>
      </c>
      <c r="E207" t="inlineStr">
        <is>
          <t>HUDIKSVALL</t>
        </is>
      </c>
      <c r="G207" t="n">
        <v>5.2</v>
      </c>
      <c r="H207" t="n">
        <v>1</v>
      </c>
      <c r="I207" t="n">
        <v>1</v>
      </c>
      <c r="J207" t="n">
        <v>0</v>
      </c>
      <c r="K207" t="n">
        <v>1</v>
      </c>
      <c r="L207" t="n">
        <v>0</v>
      </c>
      <c r="M207" t="n">
        <v>0</v>
      </c>
      <c r="N207" t="n">
        <v>0</v>
      </c>
      <c r="O207" t="n">
        <v>1</v>
      </c>
      <c r="P207" t="n">
        <v>1</v>
      </c>
      <c r="Q207" t="n">
        <v>2</v>
      </c>
      <c r="R207" s="2" t="inlineStr">
        <is>
          <t>Knärot
Stuplav</t>
        </is>
      </c>
      <c r="S207">
        <f>HYPERLINK("https://klasma.github.io/Logging_2184/artfynd/A 39528-2021 artfynd.xlsx", "A 39528-2021")</f>
        <v/>
      </c>
      <c r="T207">
        <f>HYPERLINK("https://klasma.github.io/Logging_2184/kartor/A 39528-2021 karta.png", "A 39528-2021")</f>
        <v/>
      </c>
      <c r="U207">
        <f>HYPERLINK("https://klasma.github.io/Logging_2184/knärot/A 39528-2021 karta knärot.png", "A 39528-2021")</f>
        <v/>
      </c>
      <c r="V207">
        <f>HYPERLINK("https://klasma.github.io/Logging_2184/klagomål/A 39528-2021 FSC-klagomål.docx", "A 39528-2021")</f>
        <v/>
      </c>
      <c r="W207">
        <f>HYPERLINK("https://klasma.github.io/Logging_2184/klagomålsmail/A 39528-2021 FSC-klagomål mail.docx", "A 39528-2021")</f>
        <v/>
      </c>
      <c r="X207">
        <f>HYPERLINK("https://klasma.github.io/Logging_2184/tillsyn/A 39528-2021 tillsynsbegäran.docx", "A 39528-2021")</f>
        <v/>
      </c>
      <c r="Y207">
        <f>HYPERLINK("https://klasma.github.io/Logging_2184/tillsynsmail/A 39528-2021 tillsynsbegäran mail.docx", "A 39528-2021")</f>
        <v/>
      </c>
    </row>
    <row r="208" ht="15" customHeight="1">
      <c r="A208" t="inlineStr">
        <is>
          <t>A 43259-2021</t>
        </is>
      </c>
      <c r="B208" s="1" t="n">
        <v>44432</v>
      </c>
      <c r="C208" s="1" t="n">
        <v>45344</v>
      </c>
      <c r="D208" t="inlineStr">
        <is>
          <t>GÄVLEBORGS LÄN</t>
        </is>
      </c>
      <c r="E208" t="inlineStr">
        <is>
          <t>BOLLNÄS</t>
        </is>
      </c>
      <c r="G208" t="n">
        <v>3.8</v>
      </c>
      <c r="H208" t="n">
        <v>1</v>
      </c>
      <c r="I208" t="n">
        <v>1</v>
      </c>
      <c r="J208" t="n">
        <v>0</v>
      </c>
      <c r="K208" t="n">
        <v>1</v>
      </c>
      <c r="L208" t="n">
        <v>0</v>
      </c>
      <c r="M208" t="n">
        <v>0</v>
      </c>
      <c r="N208" t="n">
        <v>0</v>
      </c>
      <c r="O208" t="n">
        <v>1</v>
      </c>
      <c r="P208" t="n">
        <v>1</v>
      </c>
      <c r="Q208" t="n">
        <v>2</v>
      </c>
      <c r="R208" s="2" t="inlineStr">
        <is>
          <t>Knärot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44692-2021</t>
        </is>
      </c>
      <c r="B209" s="1" t="n">
        <v>44438</v>
      </c>
      <c r="C209" s="1" t="n">
        <v>45344</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47483-2021</t>
        </is>
      </c>
      <c r="B210" s="1" t="n">
        <v>44447</v>
      </c>
      <c r="C210" s="1" t="n">
        <v>45344</v>
      </c>
      <c r="D210" t="inlineStr">
        <is>
          <t>GÄVLEBORGS LÄN</t>
        </is>
      </c>
      <c r="E210" t="inlineStr">
        <is>
          <t>HOFORS</t>
        </is>
      </c>
      <c r="G210" t="n">
        <v>6.9</v>
      </c>
      <c r="H210" t="n">
        <v>1</v>
      </c>
      <c r="I210" t="n">
        <v>1</v>
      </c>
      <c r="J210" t="n">
        <v>0</v>
      </c>
      <c r="K210" t="n">
        <v>1</v>
      </c>
      <c r="L210" t="n">
        <v>0</v>
      </c>
      <c r="M210" t="n">
        <v>0</v>
      </c>
      <c r="N210" t="n">
        <v>0</v>
      </c>
      <c r="O210" t="n">
        <v>1</v>
      </c>
      <c r="P210" t="n">
        <v>1</v>
      </c>
      <c r="Q210" t="n">
        <v>2</v>
      </c>
      <c r="R210" s="2" t="inlineStr">
        <is>
          <t>Knärot
Mindre märgborre</t>
        </is>
      </c>
      <c r="S210">
        <f>HYPERLINK("https://klasma.github.io/Logging_2104/artfynd/A 47483-2021 artfynd.xlsx", "A 47483-2021")</f>
        <v/>
      </c>
      <c r="T210">
        <f>HYPERLINK("https://klasma.github.io/Logging_2104/kartor/A 47483-2021 karta.png", "A 47483-2021")</f>
        <v/>
      </c>
      <c r="U210">
        <f>HYPERLINK("https://klasma.github.io/Logging_2104/knärot/A 47483-2021 karta knärot.png", "A 47483-2021")</f>
        <v/>
      </c>
      <c r="V210">
        <f>HYPERLINK("https://klasma.github.io/Logging_2104/klagomål/A 47483-2021 FSC-klagomål.docx", "A 47483-2021")</f>
        <v/>
      </c>
      <c r="W210">
        <f>HYPERLINK("https://klasma.github.io/Logging_2104/klagomålsmail/A 47483-2021 FSC-klagomål mail.docx", "A 47483-2021")</f>
        <v/>
      </c>
      <c r="X210">
        <f>HYPERLINK("https://klasma.github.io/Logging_2104/tillsyn/A 47483-2021 tillsynsbegäran.docx", "A 47483-2021")</f>
        <v/>
      </c>
      <c r="Y210">
        <f>HYPERLINK("https://klasma.github.io/Logging_2104/tillsynsmail/A 47483-2021 tillsynsbegäran mail.docx", "A 47483-2021")</f>
        <v/>
      </c>
    </row>
    <row r="211" ht="15" customHeight="1">
      <c r="A211" t="inlineStr">
        <is>
          <t>A 13026-2022</t>
        </is>
      </c>
      <c r="B211" s="1" t="n">
        <v>44643</v>
      </c>
      <c r="C211" s="1" t="n">
        <v>45344</v>
      </c>
      <c r="D211" t="inlineStr">
        <is>
          <t>GÄVLEBORGS LÄN</t>
        </is>
      </c>
      <c r="E211" t="inlineStr">
        <is>
          <t>NORDANSTIG</t>
        </is>
      </c>
      <c r="G211" t="n">
        <v>17.3</v>
      </c>
      <c r="H211" t="n">
        <v>1</v>
      </c>
      <c r="I211" t="n">
        <v>0</v>
      </c>
      <c r="J211" t="n">
        <v>2</v>
      </c>
      <c r="K211" t="n">
        <v>0</v>
      </c>
      <c r="L211" t="n">
        <v>0</v>
      </c>
      <c r="M211" t="n">
        <v>0</v>
      </c>
      <c r="N211" t="n">
        <v>0</v>
      </c>
      <c r="O211" t="n">
        <v>2</v>
      </c>
      <c r="P211" t="n">
        <v>0</v>
      </c>
      <c r="Q211" t="n">
        <v>2</v>
      </c>
      <c r="R211" s="2" t="inlineStr">
        <is>
          <t>Garnlav
Talltita</t>
        </is>
      </c>
      <c r="S211">
        <f>HYPERLINK("https://klasma.github.io/Logging_2132/artfynd/A 13026-2022 artfynd.xlsx", "A 13026-2022")</f>
        <v/>
      </c>
      <c r="T211">
        <f>HYPERLINK("https://klasma.github.io/Logging_2132/kartor/A 13026-2022 karta.png", "A 13026-2022")</f>
        <v/>
      </c>
      <c r="V211">
        <f>HYPERLINK("https://klasma.github.io/Logging_2132/klagomål/A 13026-2022 FSC-klagomål.docx", "A 13026-2022")</f>
        <v/>
      </c>
      <c r="W211">
        <f>HYPERLINK("https://klasma.github.io/Logging_2132/klagomålsmail/A 13026-2022 FSC-klagomål mail.docx", "A 13026-2022")</f>
        <v/>
      </c>
      <c r="X211">
        <f>HYPERLINK("https://klasma.github.io/Logging_2132/tillsyn/A 13026-2022 tillsynsbegäran.docx", "A 13026-2022")</f>
        <v/>
      </c>
      <c r="Y211">
        <f>HYPERLINK("https://klasma.github.io/Logging_2132/tillsynsmail/A 13026-2022 tillsynsbegäran mail.docx", "A 13026-2022")</f>
        <v/>
      </c>
      <c r="Z211">
        <f>HYPERLINK("https://klasma.github.io/Logging_2132/fåglar/A 13026-2022 prioriterade fågelarter.docx", "A 13026-2022")</f>
        <v/>
      </c>
    </row>
    <row r="212" ht="15" customHeight="1">
      <c r="A212" t="inlineStr">
        <is>
          <t>A 23866-2022</t>
        </is>
      </c>
      <c r="B212" s="1" t="n">
        <v>44722</v>
      </c>
      <c r="C212" s="1" t="n">
        <v>45344</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27216-2022</t>
        </is>
      </c>
      <c r="B213" s="1" t="n">
        <v>44741</v>
      </c>
      <c r="C213" s="1" t="n">
        <v>45344</v>
      </c>
      <c r="D213" t="inlineStr">
        <is>
          <t>GÄVLEBORGS LÄN</t>
        </is>
      </c>
      <c r="E213" t="inlineStr">
        <is>
          <t>HOFORS</t>
        </is>
      </c>
      <c r="F213" t="inlineStr">
        <is>
          <t>Sveaskog</t>
        </is>
      </c>
      <c r="G213" t="n">
        <v>6.4</v>
      </c>
      <c r="H213" t="n">
        <v>2</v>
      </c>
      <c r="I213" t="n">
        <v>1</v>
      </c>
      <c r="J213" t="n">
        <v>0</v>
      </c>
      <c r="K213" t="n">
        <v>0</v>
      </c>
      <c r="L213" t="n">
        <v>0</v>
      </c>
      <c r="M213" t="n">
        <v>0</v>
      </c>
      <c r="N213" t="n">
        <v>0</v>
      </c>
      <c r="O213" t="n">
        <v>0</v>
      </c>
      <c r="P213" t="n">
        <v>0</v>
      </c>
      <c r="Q213" t="n">
        <v>2</v>
      </c>
      <c r="R213" s="2" t="inlineStr">
        <is>
          <t>Plattlummer
Revlummer</t>
        </is>
      </c>
      <c r="S213">
        <f>HYPERLINK("https://klasma.github.io/Logging_2104/artfynd/A 27216-2022 artfynd.xlsx", "A 27216-2022")</f>
        <v/>
      </c>
      <c r="T213">
        <f>HYPERLINK("https://klasma.github.io/Logging_2104/kartor/A 27216-2022 karta.png", "A 27216-2022")</f>
        <v/>
      </c>
      <c r="V213">
        <f>HYPERLINK("https://klasma.github.io/Logging_2104/klagomål/A 27216-2022 FSC-klagomål.docx", "A 27216-2022")</f>
        <v/>
      </c>
      <c r="W213">
        <f>HYPERLINK("https://klasma.github.io/Logging_2104/klagomålsmail/A 27216-2022 FSC-klagomål mail.docx", "A 27216-2022")</f>
        <v/>
      </c>
      <c r="X213">
        <f>HYPERLINK("https://klasma.github.io/Logging_2104/tillsyn/A 27216-2022 tillsynsbegäran.docx", "A 27216-2022")</f>
        <v/>
      </c>
      <c r="Y213">
        <f>HYPERLINK("https://klasma.github.io/Logging_2104/tillsynsmail/A 27216-2022 tillsynsbegäran mail.docx", "A 27216-2022")</f>
        <v/>
      </c>
    </row>
    <row r="214" ht="15" customHeight="1">
      <c r="A214" t="inlineStr">
        <is>
          <t>A 29206-2022</t>
        </is>
      </c>
      <c r="B214" s="1" t="n">
        <v>44750</v>
      </c>
      <c r="C214" s="1" t="n">
        <v>45344</v>
      </c>
      <c r="D214" t="inlineStr">
        <is>
          <t>GÄVLEBORGS LÄN</t>
        </is>
      </c>
      <c r="E214" t="inlineStr">
        <is>
          <t>HUDIKSVALL</t>
        </is>
      </c>
      <c r="F214" t="inlineStr">
        <is>
          <t>Holmen skog AB</t>
        </is>
      </c>
      <c r="G214" t="n">
        <v>1.6</v>
      </c>
      <c r="H214" t="n">
        <v>1</v>
      </c>
      <c r="I214" t="n">
        <v>1</v>
      </c>
      <c r="J214" t="n">
        <v>0</v>
      </c>
      <c r="K214" t="n">
        <v>0</v>
      </c>
      <c r="L214" t="n">
        <v>0</v>
      </c>
      <c r="M214" t="n">
        <v>0</v>
      </c>
      <c r="N214" t="n">
        <v>0</v>
      </c>
      <c r="O214" t="n">
        <v>0</v>
      </c>
      <c r="P214" t="n">
        <v>0</v>
      </c>
      <c r="Q214" t="n">
        <v>2</v>
      </c>
      <c r="R214" s="2" t="inlineStr">
        <is>
          <t>Skinnlav
Revlummer</t>
        </is>
      </c>
      <c r="S214">
        <f>HYPERLINK("https://klasma.github.io/Logging_2184/artfynd/A 29206-2022 artfynd.xlsx", "A 29206-2022")</f>
        <v/>
      </c>
      <c r="T214">
        <f>HYPERLINK("https://klasma.github.io/Logging_2184/kartor/A 29206-2022 karta.png", "A 29206-2022")</f>
        <v/>
      </c>
      <c r="V214">
        <f>HYPERLINK("https://klasma.github.io/Logging_2184/klagomål/A 29206-2022 FSC-klagomål.docx", "A 29206-2022")</f>
        <v/>
      </c>
      <c r="W214">
        <f>HYPERLINK("https://klasma.github.io/Logging_2184/klagomålsmail/A 29206-2022 FSC-klagomål mail.docx", "A 29206-2022")</f>
        <v/>
      </c>
      <c r="X214">
        <f>HYPERLINK("https://klasma.github.io/Logging_2184/tillsyn/A 29206-2022 tillsynsbegäran.docx", "A 29206-2022")</f>
        <v/>
      </c>
      <c r="Y214">
        <f>HYPERLINK("https://klasma.github.io/Logging_2184/tillsynsmail/A 29206-2022 tillsynsbegäran mail.docx", "A 29206-2022")</f>
        <v/>
      </c>
    </row>
    <row r="215" ht="15" customHeight="1">
      <c r="A215" t="inlineStr">
        <is>
          <t>A 35588-2022</t>
        </is>
      </c>
      <c r="B215" s="1" t="n">
        <v>44799</v>
      </c>
      <c r="C215" s="1" t="n">
        <v>45344</v>
      </c>
      <c r="D215" t="inlineStr">
        <is>
          <t>GÄVLEBORGS LÄN</t>
        </is>
      </c>
      <c r="E215" t="inlineStr">
        <is>
          <t>LJUSDAL</t>
        </is>
      </c>
      <c r="F215" t="inlineStr">
        <is>
          <t>Sveaskog</t>
        </is>
      </c>
      <c r="G215" t="n">
        <v>3.4</v>
      </c>
      <c r="H215" t="n">
        <v>0</v>
      </c>
      <c r="I215" t="n">
        <v>0</v>
      </c>
      <c r="J215" t="n">
        <v>2</v>
      </c>
      <c r="K215" t="n">
        <v>0</v>
      </c>
      <c r="L215" t="n">
        <v>0</v>
      </c>
      <c r="M215" t="n">
        <v>0</v>
      </c>
      <c r="N215" t="n">
        <v>0</v>
      </c>
      <c r="O215" t="n">
        <v>2</v>
      </c>
      <c r="P215" t="n">
        <v>0</v>
      </c>
      <c r="Q215" t="n">
        <v>2</v>
      </c>
      <c r="R215" s="2" t="inlineStr">
        <is>
          <t>Garnlav
Lunglav</t>
        </is>
      </c>
      <c r="S215">
        <f>HYPERLINK("https://klasma.github.io/Logging_2161/artfynd/A 35588-2022 artfynd.xlsx", "A 35588-2022")</f>
        <v/>
      </c>
      <c r="T215">
        <f>HYPERLINK("https://klasma.github.io/Logging_2161/kartor/A 35588-2022 karta.png", "A 35588-2022")</f>
        <v/>
      </c>
      <c r="V215">
        <f>HYPERLINK("https://klasma.github.io/Logging_2161/klagomål/A 35588-2022 FSC-klagomål.docx", "A 35588-2022")</f>
        <v/>
      </c>
      <c r="W215">
        <f>HYPERLINK("https://klasma.github.io/Logging_2161/klagomålsmail/A 35588-2022 FSC-klagomål mail.docx", "A 35588-2022")</f>
        <v/>
      </c>
      <c r="X215">
        <f>HYPERLINK("https://klasma.github.io/Logging_2161/tillsyn/A 35588-2022 tillsynsbegäran.docx", "A 35588-2022")</f>
        <v/>
      </c>
      <c r="Y215">
        <f>HYPERLINK("https://klasma.github.io/Logging_2161/tillsynsmail/A 35588-2022 tillsynsbegäran mail.docx", "A 35588-2022")</f>
        <v/>
      </c>
    </row>
    <row r="216" ht="15" customHeight="1">
      <c r="A216" t="inlineStr">
        <is>
          <t>A 37123-2022</t>
        </is>
      </c>
      <c r="B216" s="1" t="n">
        <v>44806</v>
      </c>
      <c r="C216" s="1" t="n">
        <v>45344</v>
      </c>
      <c r="D216" t="inlineStr">
        <is>
          <t>GÄVLEBORGS LÄN</t>
        </is>
      </c>
      <c r="E216" t="inlineStr">
        <is>
          <t>NORDANSTIG</t>
        </is>
      </c>
      <c r="G216" t="n">
        <v>4.5</v>
      </c>
      <c r="H216" t="n">
        <v>2</v>
      </c>
      <c r="I216" t="n">
        <v>0</v>
      </c>
      <c r="J216" t="n">
        <v>0</v>
      </c>
      <c r="K216" t="n">
        <v>0</v>
      </c>
      <c r="L216" t="n">
        <v>0</v>
      </c>
      <c r="M216" t="n">
        <v>0</v>
      </c>
      <c r="N216" t="n">
        <v>0</v>
      </c>
      <c r="O216" t="n">
        <v>0</v>
      </c>
      <c r="P216" t="n">
        <v>0</v>
      </c>
      <c r="Q216" t="n">
        <v>2</v>
      </c>
      <c r="R216" s="2" t="inlineStr">
        <is>
          <t>Fläcknycklar
Revlummer</t>
        </is>
      </c>
      <c r="S216">
        <f>HYPERLINK("https://klasma.github.io/Logging_2132/artfynd/A 37123-2022 artfynd.xlsx", "A 37123-2022")</f>
        <v/>
      </c>
      <c r="T216">
        <f>HYPERLINK("https://klasma.github.io/Logging_2132/kartor/A 37123-2022 karta.png", "A 37123-2022")</f>
        <v/>
      </c>
      <c r="V216">
        <f>HYPERLINK("https://klasma.github.io/Logging_2132/klagomål/A 37123-2022 FSC-klagomål.docx", "A 37123-2022")</f>
        <v/>
      </c>
      <c r="W216">
        <f>HYPERLINK("https://klasma.github.io/Logging_2132/klagomålsmail/A 37123-2022 FSC-klagomål mail.docx", "A 37123-2022")</f>
        <v/>
      </c>
      <c r="X216">
        <f>HYPERLINK("https://klasma.github.io/Logging_2132/tillsyn/A 37123-2022 tillsynsbegäran.docx", "A 37123-2022")</f>
        <v/>
      </c>
      <c r="Y216">
        <f>HYPERLINK("https://klasma.github.io/Logging_2132/tillsynsmail/A 37123-2022 tillsynsbegäran mail.docx", "A 37123-2022")</f>
        <v/>
      </c>
    </row>
    <row r="217" ht="15" customHeight="1">
      <c r="A217" t="inlineStr">
        <is>
          <t>A 38855-2022</t>
        </is>
      </c>
      <c r="B217" s="1" t="n">
        <v>44816</v>
      </c>
      <c r="C217" s="1" t="n">
        <v>45344</v>
      </c>
      <c r="D217" t="inlineStr">
        <is>
          <t>GÄVLEBORGS LÄN</t>
        </is>
      </c>
      <c r="E217" t="inlineStr">
        <is>
          <t>HOFORS</t>
        </is>
      </c>
      <c r="G217" t="n">
        <v>7.1</v>
      </c>
      <c r="H217" t="n">
        <v>2</v>
      </c>
      <c r="I217" t="n">
        <v>0</v>
      </c>
      <c r="J217" t="n">
        <v>0</v>
      </c>
      <c r="K217" t="n">
        <v>1</v>
      </c>
      <c r="L217" t="n">
        <v>0</v>
      </c>
      <c r="M217" t="n">
        <v>0</v>
      </c>
      <c r="N217" t="n">
        <v>0</v>
      </c>
      <c r="O217" t="n">
        <v>1</v>
      </c>
      <c r="P217" t="n">
        <v>1</v>
      </c>
      <c r="Q217" t="n">
        <v>2</v>
      </c>
      <c r="R217" s="2" t="inlineStr">
        <is>
          <t>Knärot
Blåsippa</t>
        </is>
      </c>
      <c r="S217">
        <f>HYPERLINK("https://klasma.github.io/Logging_2104/artfynd/A 38855-2022 artfynd.xlsx", "A 38855-2022")</f>
        <v/>
      </c>
      <c r="T217">
        <f>HYPERLINK("https://klasma.github.io/Logging_2104/kartor/A 38855-2022 karta.png", "A 38855-2022")</f>
        <v/>
      </c>
      <c r="U217">
        <f>HYPERLINK("https://klasma.github.io/Logging_2104/knärot/A 38855-2022 karta knärot.png", "A 38855-2022")</f>
        <v/>
      </c>
      <c r="V217">
        <f>HYPERLINK("https://klasma.github.io/Logging_2104/klagomål/A 38855-2022 FSC-klagomål.docx", "A 38855-2022")</f>
        <v/>
      </c>
      <c r="W217">
        <f>HYPERLINK("https://klasma.github.io/Logging_2104/klagomålsmail/A 38855-2022 FSC-klagomål mail.docx", "A 38855-2022")</f>
        <v/>
      </c>
      <c r="X217">
        <f>HYPERLINK("https://klasma.github.io/Logging_2104/tillsyn/A 38855-2022 tillsynsbegäran.docx", "A 38855-2022")</f>
        <v/>
      </c>
      <c r="Y217">
        <f>HYPERLINK("https://klasma.github.io/Logging_2104/tillsynsmail/A 38855-2022 tillsynsbegäran mail.docx", "A 38855-2022")</f>
        <v/>
      </c>
    </row>
    <row r="218" ht="15" customHeight="1">
      <c r="A218" t="inlineStr">
        <is>
          <t>A 38862-2022</t>
        </is>
      </c>
      <c r="B218" s="1" t="n">
        <v>44816</v>
      </c>
      <c r="C218" s="1" t="n">
        <v>45344</v>
      </c>
      <c r="D218" t="inlineStr">
        <is>
          <t>GÄVLEBORGS LÄN</t>
        </is>
      </c>
      <c r="E218" t="inlineStr">
        <is>
          <t>HOFORS</t>
        </is>
      </c>
      <c r="G218" t="n">
        <v>5.1</v>
      </c>
      <c r="H218" t="n">
        <v>1</v>
      </c>
      <c r="I218" t="n">
        <v>1</v>
      </c>
      <c r="J218" t="n">
        <v>1</v>
      </c>
      <c r="K218" t="n">
        <v>0</v>
      </c>
      <c r="L218" t="n">
        <v>0</v>
      </c>
      <c r="M218" t="n">
        <v>0</v>
      </c>
      <c r="N218" t="n">
        <v>0</v>
      </c>
      <c r="O218" t="n">
        <v>1</v>
      </c>
      <c r="P218" t="n">
        <v>0</v>
      </c>
      <c r="Q218" t="n">
        <v>2</v>
      </c>
      <c r="R218" s="2" t="inlineStr">
        <is>
          <t>Spillkråka
Jättesvampmal</t>
        </is>
      </c>
      <c r="S218">
        <f>HYPERLINK("https://klasma.github.io/Logging_2104/artfynd/A 38862-2022 artfynd.xlsx", "A 38862-2022")</f>
        <v/>
      </c>
      <c r="T218">
        <f>HYPERLINK("https://klasma.github.io/Logging_2104/kartor/A 38862-2022 karta.png", "A 38862-2022")</f>
        <v/>
      </c>
      <c r="V218">
        <f>HYPERLINK("https://klasma.github.io/Logging_2104/klagomål/A 38862-2022 FSC-klagomål.docx", "A 38862-2022")</f>
        <v/>
      </c>
      <c r="W218">
        <f>HYPERLINK("https://klasma.github.io/Logging_2104/klagomålsmail/A 38862-2022 FSC-klagomål mail.docx", "A 38862-2022")</f>
        <v/>
      </c>
      <c r="X218">
        <f>HYPERLINK("https://klasma.github.io/Logging_2104/tillsyn/A 38862-2022 tillsynsbegäran.docx", "A 38862-2022")</f>
        <v/>
      </c>
      <c r="Y218">
        <f>HYPERLINK("https://klasma.github.io/Logging_2104/tillsynsmail/A 38862-2022 tillsynsbegäran mail.docx", "A 38862-2022")</f>
        <v/>
      </c>
      <c r="Z218">
        <f>HYPERLINK("https://klasma.github.io/Logging_2104/fåglar/A 38862-2022 prioriterade fågelarter.docx", "A 38862-2022")</f>
        <v/>
      </c>
    </row>
    <row r="219" ht="15" customHeight="1">
      <c r="A219" t="inlineStr">
        <is>
          <t>A 41214-2022</t>
        </is>
      </c>
      <c r="B219" s="1" t="n">
        <v>44826</v>
      </c>
      <c r="C219" s="1" t="n">
        <v>45344</v>
      </c>
      <c r="D219" t="inlineStr">
        <is>
          <t>GÄVLEBORGS LÄN</t>
        </is>
      </c>
      <c r="E219" t="inlineStr">
        <is>
          <t>LJUSDAL</t>
        </is>
      </c>
      <c r="F219" t="inlineStr">
        <is>
          <t>Sveaskog</t>
        </is>
      </c>
      <c r="G219" t="n">
        <v>6.1</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41214-2022 artfynd.xlsx", "A 41214-2022")</f>
        <v/>
      </c>
      <c r="T219">
        <f>HYPERLINK("https://klasma.github.io/Logging_2161/kartor/A 41214-2022 karta.png", "A 41214-2022")</f>
        <v/>
      </c>
      <c r="V219">
        <f>HYPERLINK("https://klasma.github.io/Logging_2161/klagomål/A 41214-2022 FSC-klagomål.docx", "A 41214-2022")</f>
        <v/>
      </c>
      <c r="W219">
        <f>HYPERLINK("https://klasma.github.io/Logging_2161/klagomålsmail/A 41214-2022 FSC-klagomål mail.docx", "A 41214-2022")</f>
        <v/>
      </c>
      <c r="X219">
        <f>HYPERLINK("https://klasma.github.io/Logging_2161/tillsyn/A 41214-2022 tillsynsbegäran.docx", "A 41214-2022")</f>
        <v/>
      </c>
      <c r="Y219">
        <f>HYPERLINK("https://klasma.github.io/Logging_2161/tillsynsmail/A 41214-2022 tillsynsbegäran mail.docx", "A 41214-2022")</f>
        <v/>
      </c>
    </row>
    <row r="220" ht="15" customHeight="1">
      <c r="A220" t="inlineStr">
        <is>
          <t>A 42203-2022</t>
        </is>
      </c>
      <c r="B220" s="1" t="n">
        <v>44830</v>
      </c>
      <c r="C220" s="1" t="n">
        <v>45344</v>
      </c>
      <c r="D220" t="inlineStr">
        <is>
          <t>GÄVLEBORGS LÄN</t>
        </is>
      </c>
      <c r="E220" t="inlineStr">
        <is>
          <t>HUDIKSVALL</t>
        </is>
      </c>
      <c r="G220" t="n">
        <v>2.3</v>
      </c>
      <c r="H220" t="n">
        <v>2</v>
      </c>
      <c r="I220" t="n">
        <v>0</v>
      </c>
      <c r="J220" t="n">
        <v>0</v>
      </c>
      <c r="K220" t="n">
        <v>0</v>
      </c>
      <c r="L220" t="n">
        <v>0</v>
      </c>
      <c r="M220" t="n">
        <v>0</v>
      </c>
      <c r="N220" t="n">
        <v>0</v>
      </c>
      <c r="O220" t="n">
        <v>0</v>
      </c>
      <c r="P220" t="n">
        <v>0</v>
      </c>
      <c r="Q220" t="n">
        <v>2</v>
      </c>
      <c r="R220" s="2" t="inlineStr">
        <is>
          <t>Fläcknycklar
Revlummer</t>
        </is>
      </c>
      <c r="S220">
        <f>HYPERLINK("https://klasma.github.io/Logging_2184/artfynd/A 42203-2022 artfynd.xlsx", "A 42203-2022")</f>
        <v/>
      </c>
      <c r="T220">
        <f>HYPERLINK("https://klasma.github.io/Logging_2184/kartor/A 42203-2022 karta.png", "A 42203-2022")</f>
        <v/>
      </c>
      <c r="V220">
        <f>HYPERLINK("https://klasma.github.io/Logging_2184/klagomål/A 42203-2022 FSC-klagomål.docx", "A 42203-2022")</f>
        <v/>
      </c>
      <c r="W220">
        <f>HYPERLINK("https://klasma.github.io/Logging_2184/klagomålsmail/A 42203-2022 FSC-klagomål mail.docx", "A 42203-2022")</f>
        <v/>
      </c>
      <c r="X220">
        <f>HYPERLINK("https://klasma.github.io/Logging_2184/tillsyn/A 42203-2022 tillsynsbegäran.docx", "A 42203-2022")</f>
        <v/>
      </c>
      <c r="Y220">
        <f>HYPERLINK("https://klasma.github.io/Logging_2184/tillsynsmail/A 42203-2022 tillsynsbegäran mail.docx", "A 42203-2022")</f>
        <v/>
      </c>
    </row>
    <row r="221" ht="15" customHeight="1">
      <c r="A221" t="inlineStr">
        <is>
          <t>A 44116-2022</t>
        </is>
      </c>
      <c r="B221" s="1" t="n">
        <v>44839</v>
      </c>
      <c r="C221" s="1" t="n">
        <v>45344</v>
      </c>
      <c r="D221" t="inlineStr">
        <is>
          <t>GÄVLEBORGS LÄN</t>
        </is>
      </c>
      <c r="E221" t="inlineStr">
        <is>
          <t>LJUSDAL</t>
        </is>
      </c>
      <c r="F221" t="inlineStr">
        <is>
          <t>Sveaskog</t>
        </is>
      </c>
      <c r="G221" t="n">
        <v>9.199999999999999</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52104-2022</t>
        </is>
      </c>
      <c r="B222" s="1" t="n">
        <v>44873</v>
      </c>
      <c r="C222" s="1" t="n">
        <v>45344</v>
      </c>
      <c r="D222" t="inlineStr">
        <is>
          <t>GÄVLEBORGS LÄN</t>
        </is>
      </c>
      <c r="E222" t="inlineStr">
        <is>
          <t>HUDIKSVALL</t>
        </is>
      </c>
      <c r="F222" t="inlineStr">
        <is>
          <t>Holmen skog AB</t>
        </is>
      </c>
      <c r="G222" t="n">
        <v>3.4</v>
      </c>
      <c r="H222" t="n">
        <v>1</v>
      </c>
      <c r="I222" t="n">
        <v>1</v>
      </c>
      <c r="J222" t="n">
        <v>0</v>
      </c>
      <c r="K222" t="n">
        <v>0</v>
      </c>
      <c r="L222" t="n">
        <v>0</v>
      </c>
      <c r="M222" t="n">
        <v>0</v>
      </c>
      <c r="N222" t="n">
        <v>0</v>
      </c>
      <c r="O222" t="n">
        <v>0</v>
      </c>
      <c r="P222" t="n">
        <v>0</v>
      </c>
      <c r="Q222" t="n">
        <v>2</v>
      </c>
      <c r="R222" s="2" t="inlineStr">
        <is>
          <t>Svart trolldruva
Lopplummer</t>
        </is>
      </c>
      <c r="S222">
        <f>HYPERLINK("https://klasma.github.io/Logging_2184/artfynd/A 52104-2022 artfynd.xlsx", "A 52104-2022")</f>
        <v/>
      </c>
      <c r="T222">
        <f>HYPERLINK("https://klasma.github.io/Logging_2184/kartor/A 52104-2022 karta.png", "A 52104-2022")</f>
        <v/>
      </c>
      <c r="V222">
        <f>HYPERLINK("https://klasma.github.io/Logging_2184/klagomål/A 52104-2022 FSC-klagomål.docx", "A 52104-2022")</f>
        <v/>
      </c>
      <c r="W222">
        <f>HYPERLINK("https://klasma.github.io/Logging_2184/klagomålsmail/A 52104-2022 FSC-klagomål mail.docx", "A 52104-2022")</f>
        <v/>
      </c>
      <c r="X222">
        <f>HYPERLINK("https://klasma.github.io/Logging_2184/tillsyn/A 52104-2022 tillsynsbegäran.docx", "A 52104-2022")</f>
        <v/>
      </c>
      <c r="Y222">
        <f>HYPERLINK("https://klasma.github.io/Logging_2184/tillsynsmail/A 52104-2022 tillsynsbegäran mail.docx", "A 52104-2022")</f>
        <v/>
      </c>
    </row>
    <row r="223" ht="15" customHeight="1">
      <c r="A223" t="inlineStr">
        <is>
          <t>A 54108-2022</t>
        </is>
      </c>
      <c r="B223" s="1" t="n">
        <v>44881</v>
      </c>
      <c r="C223" s="1" t="n">
        <v>45344</v>
      </c>
      <c r="D223" t="inlineStr">
        <is>
          <t>GÄVLEBORGS LÄN</t>
        </is>
      </c>
      <c r="E223" t="inlineStr">
        <is>
          <t>LJUSDAL</t>
        </is>
      </c>
      <c r="F223" t="inlineStr">
        <is>
          <t>Sveaskog</t>
        </is>
      </c>
      <c r="G223" t="n">
        <v>7.9</v>
      </c>
      <c r="H223" t="n">
        <v>0</v>
      </c>
      <c r="I223" t="n">
        <v>1</v>
      </c>
      <c r="J223" t="n">
        <v>1</v>
      </c>
      <c r="K223" t="n">
        <v>0</v>
      </c>
      <c r="L223" t="n">
        <v>0</v>
      </c>
      <c r="M223" t="n">
        <v>0</v>
      </c>
      <c r="N223" t="n">
        <v>0</v>
      </c>
      <c r="O223" t="n">
        <v>1</v>
      </c>
      <c r="P223" t="n">
        <v>0</v>
      </c>
      <c r="Q223" t="n">
        <v>2</v>
      </c>
      <c r="R223" s="2" t="inlineStr">
        <is>
          <t>Kolflarnlav
Dropptaggsvamp</t>
        </is>
      </c>
      <c r="S223">
        <f>HYPERLINK("https://klasma.github.io/Logging_2161/artfynd/A 54108-2022 artfynd.xlsx", "A 54108-2022")</f>
        <v/>
      </c>
      <c r="T223">
        <f>HYPERLINK("https://klasma.github.io/Logging_2161/kartor/A 54108-2022 karta.png", "A 54108-2022")</f>
        <v/>
      </c>
      <c r="V223">
        <f>HYPERLINK("https://klasma.github.io/Logging_2161/klagomål/A 54108-2022 FSC-klagomål.docx", "A 54108-2022")</f>
        <v/>
      </c>
      <c r="W223">
        <f>HYPERLINK("https://klasma.github.io/Logging_2161/klagomålsmail/A 54108-2022 FSC-klagomål mail.docx", "A 54108-2022")</f>
        <v/>
      </c>
      <c r="X223">
        <f>HYPERLINK("https://klasma.github.io/Logging_2161/tillsyn/A 54108-2022 tillsynsbegäran.docx", "A 54108-2022")</f>
        <v/>
      </c>
      <c r="Y223">
        <f>HYPERLINK("https://klasma.github.io/Logging_2161/tillsynsmail/A 54108-2022 tillsynsbegäran mail.docx", "A 54108-2022")</f>
        <v/>
      </c>
    </row>
    <row r="224" ht="15" customHeight="1">
      <c r="A224" t="inlineStr">
        <is>
          <t>A 7608-2023</t>
        </is>
      </c>
      <c r="B224" s="1" t="n">
        <v>44972</v>
      </c>
      <c r="C224" s="1" t="n">
        <v>45344</v>
      </c>
      <c r="D224" t="inlineStr">
        <is>
          <t>GÄVLEBORGS LÄN</t>
        </is>
      </c>
      <c r="E224" t="inlineStr">
        <is>
          <t>NORDANSTIG</t>
        </is>
      </c>
      <c r="F224" t="inlineStr">
        <is>
          <t>Holmen skog AB</t>
        </is>
      </c>
      <c r="G224" t="n">
        <v>13</v>
      </c>
      <c r="H224" t="n">
        <v>0</v>
      </c>
      <c r="I224" t="n">
        <v>1</v>
      </c>
      <c r="J224" t="n">
        <v>1</v>
      </c>
      <c r="K224" t="n">
        <v>0</v>
      </c>
      <c r="L224" t="n">
        <v>0</v>
      </c>
      <c r="M224" t="n">
        <v>0</v>
      </c>
      <c r="N224" t="n">
        <v>0</v>
      </c>
      <c r="O224" t="n">
        <v>1</v>
      </c>
      <c r="P224" t="n">
        <v>0</v>
      </c>
      <c r="Q224" t="n">
        <v>2</v>
      </c>
      <c r="R224" s="2" t="inlineStr">
        <is>
          <t>Tallticka
Mindre märgborre</t>
        </is>
      </c>
      <c r="S224">
        <f>HYPERLINK("https://klasma.github.io/Logging_2132/artfynd/A 7608-2023 artfynd.xlsx", "A 7608-2023")</f>
        <v/>
      </c>
      <c r="T224">
        <f>HYPERLINK("https://klasma.github.io/Logging_2132/kartor/A 7608-2023 karta.png", "A 7608-2023")</f>
        <v/>
      </c>
      <c r="V224">
        <f>HYPERLINK("https://klasma.github.io/Logging_2132/klagomål/A 7608-2023 FSC-klagomål.docx", "A 7608-2023")</f>
        <v/>
      </c>
      <c r="W224">
        <f>HYPERLINK("https://klasma.github.io/Logging_2132/klagomålsmail/A 7608-2023 FSC-klagomål mail.docx", "A 7608-2023")</f>
        <v/>
      </c>
      <c r="X224">
        <f>HYPERLINK("https://klasma.github.io/Logging_2132/tillsyn/A 7608-2023 tillsynsbegäran.docx", "A 7608-2023")</f>
        <v/>
      </c>
      <c r="Y224">
        <f>HYPERLINK("https://klasma.github.io/Logging_2132/tillsynsmail/A 7608-2023 tillsynsbegäran mail.docx", "A 7608-2023")</f>
        <v/>
      </c>
    </row>
    <row r="225" ht="15" customHeight="1">
      <c r="A225" t="inlineStr">
        <is>
          <t>A 10637-2023</t>
        </is>
      </c>
      <c r="B225" s="1" t="n">
        <v>44988</v>
      </c>
      <c r="C225" s="1" t="n">
        <v>45344</v>
      </c>
      <c r="D225" t="inlineStr">
        <is>
          <t>GÄVLEBORGS LÄN</t>
        </is>
      </c>
      <c r="E225" t="inlineStr">
        <is>
          <t>LJUSDAL</t>
        </is>
      </c>
      <c r="G225" t="n">
        <v>8.9</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10637-2023 artfynd.xlsx", "A 10637-2023")</f>
        <v/>
      </c>
      <c r="T225">
        <f>HYPERLINK("https://klasma.github.io/Logging_2161/kartor/A 10637-2023 karta.png", "A 10637-2023")</f>
        <v/>
      </c>
      <c r="V225">
        <f>HYPERLINK("https://klasma.github.io/Logging_2161/klagomål/A 10637-2023 FSC-klagomål.docx", "A 10637-2023")</f>
        <v/>
      </c>
      <c r="W225">
        <f>HYPERLINK("https://klasma.github.io/Logging_2161/klagomålsmail/A 10637-2023 FSC-klagomål mail.docx", "A 10637-2023")</f>
        <v/>
      </c>
      <c r="X225">
        <f>HYPERLINK("https://klasma.github.io/Logging_2161/tillsyn/A 10637-2023 tillsynsbegäran.docx", "A 10637-2023")</f>
        <v/>
      </c>
      <c r="Y225">
        <f>HYPERLINK("https://klasma.github.io/Logging_2161/tillsynsmail/A 10637-2023 tillsynsbegäran mail.docx", "A 10637-2023")</f>
        <v/>
      </c>
    </row>
    <row r="226" ht="15" customHeight="1">
      <c r="A226" t="inlineStr">
        <is>
          <t>A 15365-2023</t>
        </is>
      </c>
      <c r="B226" s="1" t="n">
        <v>45019</v>
      </c>
      <c r="C226" s="1" t="n">
        <v>45344</v>
      </c>
      <c r="D226" t="inlineStr">
        <is>
          <t>GÄVLEBORGS LÄN</t>
        </is>
      </c>
      <c r="E226" t="inlineStr">
        <is>
          <t>GÄVLE</t>
        </is>
      </c>
      <c r="G226" t="n">
        <v>55.2</v>
      </c>
      <c r="H226" t="n">
        <v>2</v>
      </c>
      <c r="I226" t="n">
        <v>0</v>
      </c>
      <c r="J226" t="n">
        <v>0</v>
      </c>
      <c r="K226" t="n">
        <v>1</v>
      </c>
      <c r="L226" t="n">
        <v>0</v>
      </c>
      <c r="M226" t="n">
        <v>0</v>
      </c>
      <c r="N226" t="n">
        <v>0</v>
      </c>
      <c r="O226" t="n">
        <v>1</v>
      </c>
      <c r="P226" t="n">
        <v>1</v>
      </c>
      <c r="Q226" t="n">
        <v>2</v>
      </c>
      <c r="R226" s="2" t="inlineStr">
        <is>
          <t>Knärot
Kopparödla</t>
        </is>
      </c>
      <c r="S226">
        <f>HYPERLINK("https://klasma.github.io/Logging_2180/artfynd/A 15365-2023 artfynd.xlsx", "A 15365-2023")</f>
        <v/>
      </c>
      <c r="T226">
        <f>HYPERLINK("https://klasma.github.io/Logging_2180/kartor/A 15365-2023 karta.png", "A 15365-2023")</f>
        <v/>
      </c>
      <c r="U226">
        <f>HYPERLINK("https://klasma.github.io/Logging_2180/knärot/A 15365-2023 karta knärot.png", "A 15365-2023")</f>
        <v/>
      </c>
      <c r="V226">
        <f>HYPERLINK("https://klasma.github.io/Logging_2180/klagomål/A 15365-2023 FSC-klagomål.docx", "A 15365-2023")</f>
        <v/>
      </c>
      <c r="W226">
        <f>HYPERLINK("https://klasma.github.io/Logging_2180/klagomålsmail/A 15365-2023 FSC-klagomål mail.docx", "A 15365-2023")</f>
        <v/>
      </c>
      <c r="X226">
        <f>HYPERLINK("https://klasma.github.io/Logging_2180/tillsyn/A 15365-2023 tillsynsbegäran.docx", "A 15365-2023")</f>
        <v/>
      </c>
      <c r="Y226">
        <f>HYPERLINK("https://klasma.github.io/Logging_2180/tillsynsmail/A 15365-2023 tillsynsbegäran mail.docx", "A 15365-2023")</f>
        <v/>
      </c>
    </row>
    <row r="227" ht="15" customHeight="1">
      <c r="A227" t="inlineStr">
        <is>
          <t>A 15573-2023</t>
        </is>
      </c>
      <c r="B227" s="1" t="n">
        <v>45020</v>
      </c>
      <c r="C227" s="1" t="n">
        <v>45344</v>
      </c>
      <c r="D227" t="inlineStr">
        <is>
          <t>GÄVLEBORGS LÄN</t>
        </is>
      </c>
      <c r="E227" t="inlineStr">
        <is>
          <t>SANDVIKEN</t>
        </is>
      </c>
      <c r="G227" t="n">
        <v>1.5</v>
      </c>
      <c r="H227" t="n">
        <v>1</v>
      </c>
      <c r="I227" t="n">
        <v>1</v>
      </c>
      <c r="J227" t="n">
        <v>0</v>
      </c>
      <c r="K227" t="n">
        <v>1</v>
      </c>
      <c r="L227" t="n">
        <v>0</v>
      </c>
      <c r="M227" t="n">
        <v>0</v>
      </c>
      <c r="N227" t="n">
        <v>0</v>
      </c>
      <c r="O227" t="n">
        <v>1</v>
      </c>
      <c r="P227" t="n">
        <v>1</v>
      </c>
      <c r="Q227" t="n">
        <v>2</v>
      </c>
      <c r="R227" s="2" t="inlineStr">
        <is>
          <t>Knärot
Grönpyrola</t>
        </is>
      </c>
      <c r="S227">
        <f>HYPERLINK("https://klasma.github.io/Logging_2181/artfynd/A 15573-2023 artfynd.xlsx", "A 15573-2023")</f>
        <v/>
      </c>
      <c r="T227">
        <f>HYPERLINK("https://klasma.github.io/Logging_2181/kartor/A 15573-2023 karta.png", "A 15573-2023")</f>
        <v/>
      </c>
      <c r="U227">
        <f>HYPERLINK("https://klasma.github.io/Logging_2181/knärot/A 15573-2023 karta knärot.png", "A 15573-2023")</f>
        <v/>
      </c>
      <c r="V227">
        <f>HYPERLINK("https://klasma.github.io/Logging_2181/klagomål/A 15573-2023 FSC-klagomål.docx", "A 15573-2023")</f>
        <v/>
      </c>
      <c r="W227">
        <f>HYPERLINK("https://klasma.github.io/Logging_2181/klagomålsmail/A 15573-2023 FSC-klagomål mail.docx", "A 15573-2023")</f>
        <v/>
      </c>
      <c r="X227">
        <f>HYPERLINK("https://klasma.github.io/Logging_2181/tillsyn/A 15573-2023 tillsynsbegäran.docx", "A 15573-2023")</f>
        <v/>
      </c>
      <c r="Y227">
        <f>HYPERLINK("https://klasma.github.io/Logging_2181/tillsynsmail/A 15573-2023 tillsynsbegäran mail.docx", "A 15573-2023")</f>
        <v/>
      </c>
    </row>
    <row r="228" ht="15" customHeight="1">
      <c r="A228" t="inlineStr">
        <is>
          <t>A 16499-2023</t>
        </is>
      </c>
      <c r="B228" s="1" t="n">
        <v>45029</v>
      </c>
      <c r="C228" s="1" t="n">
        <v>45344</v>
      </c>
      <c r="D228" t="inlineStr">
        <is>
          <t>GÄVLEBORGS LÄN</t>
        </is>
      </c>
      <c r="E228" t="inlineStr">
        <is>
          <t>GÄVLE</t>
        </is>
      </c>
      <c r="F228" t="inlineStr">
        <is>
          <t>Bergvik skog öst AB</t>
        </is>
      </c>
      <c r="G228" t="n">
        <v>41.8</v>
      </c>
      <c r="H228" t="n">
        <v>0</v>
      </c>
      <c r="I228" t="n">
        <v>1</v>
      </c>
      <c r="J228" t="n">
        <v>0</v>
      </c>
      <c r="K228" t="n">
        <v>0</v>
      </c>
      <c r="L228" t="n">
        <v>1</v>
      </c>
      <c r="M228" t="n">
        <v>0</v>
      </c>
      <c r="N228" t="n">
        <v>0</v>
      </c>
      <c r="O228" t="n">
        <v>1</v>
      </c>
      <c r="P228" t="n">
        <v>1</v>
      </c>
      <c r="Q228" t="n">
        <v>2</v>
      </c>
      <c r="R228" s="2" t="inlineStr">
        <is>
          <t>Bredgentiana
Granbräken</t>
        </is>
      </c>
      <c r="S228">
        <f>HYPERLINK("https://klasma.github.io/Logging_2180/artfynd/A 16499-2023 artfynd.xlsx", "A 16499-2023")</f>
        <v/>
      </c>
      <c r="T228">
        <f>HYPERLINK("https://klasma.github.io/Logging_2180/kartor/A 16499-2023 karta.png", "A 16499-2023")</f>
        <v/>
      </c>
      <c r="V228">
        <f>HYPERLINK("https://klasma.github.io/Logging_2180/klagomål/A 16499-2023 FSC-klagomål.docx", "A 16499-2023")</f>
        <v/>
      </c>
      <c r="W228">
        <f>HYPERLINK("https://klasma.github.io/Logging_2180/klagomålsmail/A 16499-2023 FSC-klagomål mail.docx", "A 16499-2023")</f>
        <v/>
      </c>
      <c r="X228">
        <f>HYPERLINK("https://klasma.github.io/Logging_2180/tillsyn/A 16499-2023 tillsynsbegäran.docx", "A 16499-2023")</f>
        <v/>
      </c>
      <c r="Y228">
        <f>HYPERLINK("https://klasma.github.io/Logging_2180/tillsynsmail/A 16499-2023 tillsynsbegäran mail.docx", "A 16499-2023")</f>
        <v/>
      </c>
    </row>
    <row r="229" ht="15" customHeight="1">
      <c r="A229" t="inlineStr">
        <is>
          <t>A 18332-2023</t>
        </is>
      </c>
      <c r="B229" s="1" t="n">
        <v>45041</v>
      </c>
      <c r="C229" s="1" t="n">
        <v>45344</v>
      </c>
      <c r="D229" t="inlineStr">
        <is>
          <t>GÄVLEBORGS LÄN</t>
        </is>
      </c>
      <c r="E229" t="inlineStr">
        <is>
          <t>GÄVLE</t>
        </is>
      </c>
      <c r="F229" t="inlineStr">
        <is>
          <t>Bergvik skog öst AB</t>
        </is>
      </c>
      <c r="G229" t="n">
        <v>16.1</v>
      </c>
      <c r="H229" t="n">
        <v>0</v>
      </c>
      <c r="I229" t="n">
        <v>0</v>
      </c>
      <c r="J229" t="n">
        <v>1</v>
      </c>
      <c r="K229" t="n">
        <v>0</v>
      </c>
      <c r="L229" t="n">
        <v>1</v>
      </c>
      <c r="M229" t="n">
        <v>0</v>
      </c>
      <c r="N229" t="n">
        <v>0</v>
      </c>
      <c r="O229" t="n">
        <v>2</v>
      </c>
      <c r="P229" t="n">
        <v>1</v>
      </c>
      <c r="Q229" t="n">
        <v>2</v>
      </c>
      <c r="R229" s="2" t="inlineStr">
        <is>
          <t>Ryl
Skogsklocka</t>
        </is>
      </c>
      <c r="S229">
        <f>HYPERLINK("https://klasma.github.io/Logging_2180/artfynd/A 18332-2023 artfynd.xlsx", "A 18332-2023")</f>
        <v/>
      </c>
      <c r="T229">
        <f>HYPERLINK("https://klasma.github.io/Logging_2180/kartor/A 18332-2023 karta.png", "A 18332-2023")</f>
        <v/>
      </c>
      <c r="V229">
        <f>HYPERLINK("https://klasma.github.io/Logging_2180/klagomål/A 18332-2023 FSC-klagomål.docx", "A 18332-2023")</f>
        <v/>
      </c>
      <c r="W229">
        <f>HYPERLINK("https://klasma.github.io/Logging_2180/klagomålsmail/A 18332-2023 FSC-klagomål mail.docx", "A 18332-2023")</f>
        <v/>
      </c>
      <c r="X229">
        <f>HYPERLINK("https://klasma.github.io/Logging_2180/tillsyn/A 18332-2023 tillsynsbegäran.docx", "A 18332-2023")</f>
        <v/>
      </c>
      <c r="Y229">
        <f>HYPERLINK("https://klasma.github.io/Logging_2180/tillsynsmail/A 18332-2023 tillsynsbegäran mail.docx", "A 18332-2023")</f>
        <v/>
      </c>
    </row>
    <row r="230" ht="15" customHeight="1">
      <c r="A230" t="inlineStr">
        <is>
          <t>A 19549-2023</t>
        </is>
      </c>
      <c r="B230" s="1" t="n">
        <v>45050</v>
      </c>
      <c r="C230" s="1" t="n">
        <v>45344</v>
      </c>
      <c r="D230" t="inlineStr">
        <is>
          <t>GÄVLEBORGS LÄN</t>
        </is>
      </c>
      <c r="E230" t="inlineStr">
        <is>
          <t>HOFORS</t>
        </is>
      </c>
      <c r="G230" t="n">
        <v>3.2</v>
      </c>
      <c r="H230" t="n">
        <v>1</v>
      </c>
      <c r="I230" t="n">
        <v>1</v>
      </c>
      <c r="J230" t="n">
        <v>0</v>
      </c>
      <c r="K230" t="n">
        <v>0</v>
      </c>
      <c r="L230" t="n">
        <v>0</v>
      </c>
      <c r="M230" t="n">
        <v>0</v>
      </c>
      <c r="N230" t="n">
        <v>0</v>
      </c>
      <c r="O230" t="n">
        <v>0</v>
      </c>
      <c r="P230" t="n">
        <v>0</v>
      </c>
      <c r="Q230" t="n">
        <v>2</v>
      </c>
      <c r="R230" s="2" t="inlineStr">
        <is>
          <t>Svavelriska
Blåsippa</t>
        </is>
      </c>
      <c r="S230">
        <f>HYPERLINK("https://klasma.github.io/Logging_2104/artfynd/A 19549-2023 artfynd.xlsx", "A 19549-2023")</f>
        <v/>
      </c>
      <c r="T230">
        <f>HYPERLINK("https://klasma.github.io/Logging_2104/kartor/A 19549-2023 karta.png", "A 19549-2023")</f>
        <v/>
      </c>
      <c r="V230">
        <f>HYPERLINK("https://klasma.github.io/Logging_2104/klagomål/A 19549-2023 FSC-klagomål.docx", "A 19549-2023")</f>
        <v/>
      </c>
      <c r="W230">
        <f>HYPERLINK("https://klasma.github.io/Logging_2104/klagomålsmail/A 19549-2023 FSC-klagomål mail.docx", "A 19549-2023")</f>
        <v/>
      </c>
      <c r="X230">
        <f>HYPERLINK("https://klasma.github.io/Logging_2104/tillsyn/A 19549-2023 tillsynsbegäran.docx", "A 19549-2023")</f>
        <v/>
      </c>
      <c r="Y230">
        <f>HYPERLINK("https://klasma.github.io/Logging_2104/tillsynsmail/A 19549-2023 tillsynsbegäran mail.docx", "A 19549-2023")</f>
        <v/>
      </c>
    </row>
    <row r="231" ht="15" customHeight="1">
      <c r="A231" t="inlineStr">
        <is>
          <t>A 20232-2023</t>
        </is>
      </c>
      <c r="B231" s="1" t="n">
        <v>45055</v>
      </c>
      <c r="C231" s="1" t="n">
        <v>45344</v>
      </c>
      <c r="D231" t="inlineStr">
        <is>
          <t>GÄVLEBORGS LÄN</t>
        </is>
      </c>
      <c r="E231" t="inlineStr">
        <is>
          <t>GÄVLE</t>
        </is>
      </c>
      <c r="F231" t="inlineStr">
        <is>
          <t>Bergvik skog öst AB</t>
        </is>
      </c>
      <c r="G231" t="n">
        <v>12.7</v>
      </c>
      <c r="H231" t="n">
        <v>2</v>
      </c>
      <c r="I231" t="n">
        <v>0</v>
      </c>
      <c r="J231" t="n">
        <v>0</v>
      </c>
      <c r="K231" t="n">
        <v>1</v>
      </c>
      <c r="L231" t="n">
        <v>0</v>
      </c>
      <c r="M231" t="n">
        <v>0</v>
      </c>
      <c r="N231" t="n">
        <v>0</v>
      </c>
      <c r="O231" t="n">
        <v>1</v>
      </c>
      <c r="P231" t="n">
        <v>1</v>
      </c>
      <c r="Q231" t="n">
        <v>2</v>
      </c>
      <c r="R231" s="2" t="inlineStr">
        <is>
          <t>Stor låsbräken
Sparvuggla</t>
        </is>
      </c>
      <c r="S231">
        <f>HYPERLINK("https://klasma.github.io/Logging_2180/artfynd/A 20232-2023 artfynd.xlsx", "A 20232-2023")</f>
        <v/>
      </c>
      <c r="T231">
        <f>HYPERLINK("https://klasma.github.io/Logging_2180/kartor/A 20232-2023 karta.png", "A 20232-2023")</f>
        <v/>
      </c>
      <c r="V231">
        <f>HYPERLINK("https://klasma.github.io/Logging_2180/klagomål/A 20232-2023 FSC-klagomål.docx", "A 20232-2023")</f>
        <v/>
      </c>
      <c r="W231">
        <f>HYPERLINK("https://klasma.github.io/Logging_2180/klagomålsmail/A 20232-2023 FSC-klagomål mail.docx", "A 20232-2023")</f>
        <v/>
      </c>
      <c r="X231">
        <f>HYPERLINK("https://klasma.github.io/Logging_2180/tillsyn/A 20232-2023 tillsynsbegäran.docx", "A 20232-2023")</f>
        <v/>
      </c>
      <c r="Y231">
        <f>HYPERLINK("https://klasma.github.io/Logging_2180/tillsynsmail/A 20232-2023 tillsynsbegäran mail.docx", "A 20232-2023")</f>
        <v/>
      </c>
      <c r="Z231">
        <f>HYPERLINK("https://klasma.github.io/Logging_2180/fåglar/A 20232-2023 prioriterade fågelarter.docx", "A 20232-2023")</f>
        <v/>
      </c>
    </row>
    <row r="232" ht="15" customHeight="1">
      <c r="A232" t="inlineStr">
        <is>
          <t>A 20710-2023</t>
        </is>
      </c>
      <c r="B232" s="1" t="n">
        <v>45058</v>
      </c>
      <c r="C232" s="1" t="n">
        <v>45344</v>
      </c>
      <c r="D232" t="inlineStr">
        <is>
          <t>GÄVLEBORGS LÄN</t>
        </is>
      </c>
      <c r="E232" t="inlineStr">
        <is>
          <t>BOLLNÄS</t>
        </is>
      </c>
      <c r="G232" t="n">
        <v>8.800000000000001</v>
      </c>
      <c r="H232" t="n">
        <v>2</v>
      </c>
      <c r="I232" t="n">
        <v>0</v>
      </c>
      <c r="J232" t="n">
        <v>0</v>
      </c>
      <c r="K232" t="n">
        <v>1</v>
      </c>
      <c r="L232" t="n">
        <v>0</v>
      </c>
      <c r="M232" t="n">
        <v>0</v>
      </c>
      <c r="N232" t="n">
        <v>0</v>
      </c>
      <c r="O232" t="n">
        <v>1</v>
      </c>
      <c r="P232" t="n">
        <v>1</v>
      </c>
      <c r="Q232" t="n">
        <v>2</v>
      </c>
      <c r="R232" s="2" t="inlineStr">
        <is>
          <t>Knärot
Lavskrika</t>
        </is>
      </c>
      <c r="S232">
        <f>HYPERLINK("https://klasma.github.io/Logging_2183/artfynd/A 20710-2023 artfynd.xlsx", "A 20710-2023")</f>
        <v/>
      </c>
      <c r="T232">
        <f>HYPERLINK("https://klasma.github.io/Logging_2183/kartor/A 20710-2023 karta.png", "A 20710-2023")</f>
        <v/>
      </c>
      <c r="U232">
        <f>HYPERLINK("https://klasma.github.io/Logging_2183/knärot/A 20710-2023 karta knärot.png", "A 20710-2023")</f>
        <v/>
      </c>
      <c r="V232">
        <f>HYPERLINK("https://klasma.github.io/Logging_2183/klagomål/A 20710-2023 FSC-klagomål.docx", "A 20710-2023")</f>
        <v/>
      </c>
      <c r="W232">
        <f>HYPERLINK("https://klasma.github.io/Logging_2183/klagomålsmail/A 20710-2023 FSC-klagomål mail.docx", "A 20710-2023")</f>
        <v/>
      </c>
      <c r="X232">
        <f>HYPERLINK("https://klasma.github.io/Logging_2183/tillsyn/A 20710-2023 tillsynsbegäran.docx", "A 20710-2023")</f>
        <v/>
      </c>
      <c r="Y232">
        <f>HYPERLINK("https://klasma.github.io/Logging_2183/tillsynsmail/A 20710-2023 tillsynsbegäran mail.docx", "A 20710-2023")</f>
        <v/>
      </c>
      <c r="Z232">
        <f>HYPERLINK("https://klasma.github.io/Logging_2183/fåglar/A 20710-2023 prioriterade fågelarter.docx", "A 20710-2023")</f>
        <v/>
      </c>
    </row>
    <row r="233" ht="15" customHeight="1">
      <c r="A233" t="inlineStr">
        <is>
          <t>A 21956-2023</t>
        </is>
      </c>
      <c r="B233" s="1" t="n">
        <v>45068</v>
      </c>
      <c r="C233" s="1" t="n">
        <v>45344</v>
      </c>
      <c r="D233" t="inlineStr">
        <is>
          <t>GÄVLEBORGS LÄN</t>
        </is>
      </c>
      <c r="E233" t="inlineStr">
        <is>
          <t>OCKELBO</t>
        </is>
      </c>
      <c r="F233" t="inlineStr">
        <is>
          <t>Bergvik skog väst AB</t>
        </is>
      </c>
      <c r="G233" t="n">
        <v>12.2</v>
      </c>
      <c r="H233" t="n">
        <v>1</v>
      </c>
      <c r="I233" t="n">
        <v>1</v>
      </c>
      <c r="J233" t="n">
        <v>0</v>
      </c>
      <c r="K233" t="n">
        <v>0</v>
      </c>
      <c r="L233" t="n">
        <v>0</v>
      </c>
      <c r="M233" t="n">
        <v>0</v>
      </c>
      <c r="N233" t="n">
        <v>0</v>
      </c>
      <c r="O233" t="n">
        <v>0</v>
      </c>
      <c r="P233" t="n">
        <v>0</v>
      </c>
      <c r="Q233" t="n">
        <v>2</v>
      </c>
      <c r="R233" s="2" t="inlineStr">
        <is>
          <t>Grönpyrola
Mattlummer</t>
        </is>
      </c>
      <c r="S233">
        <f>HYPERLINK("https://klasma.github.io/Logging_2101/artfynd/A 21956-2023 artfynd.xlsx", "A 21956-2023")</f>
        <v/>
      </c>
      <c r="T233">
        <f>HYPERLINK("https://klasma.github.io/Logging_2101/kartor/A 21956-2023 karta.png", "A 21956-2023")</f>
        <v/>
      </c>
      <c r="V233">
        <f>HYPERLINK("https://klasma.github.io/Logging_2101/klagomål/A 21956-2023 FSC-klagomål.docx", "A 21956-2023")</f>
        <v/>
      </c>
      <c r="W233">
        <f>HYPERLINK("https://klasma.github.io/Logging_2101/klagomålsmail/A 21956-2023 FSC-klagomål mail.docx", "A 21956-2023")</f>
        <v/>
      </c>
      <c r="X233">
        <f>HYPERLINK("https://klasma.github.io/Logging_2101/tillsyn/A 21956-2023 tillsynsbegäran.docx", "A 21956-2023")</f>
        <v/>
      </c>
      <c r="Y233">
        <f>HYPERLINK("https://klasma.github.io/Logging_2101/tillsynsmail/A 21956-2023 tillsynsbegäran mail.docx", "A 21956-2023")</f>
        <v/>
      </c>
    </row>
    <row r="234" ht="15" customHeight="1">
      <c r="A234" t="inlineStr">
        <is>
          <t>A 23504-2023</t>
        </is>
      </c>
      <c r="B234" s="1" t="n">
        <v>45076</v>
      </c>
      <c r="C234" s="1" t="n">
        <v>45344</v>
      </c>
      <c r="D234" t="inlineStr">
        <is>
          <t>GÄVLEBORGS LÄN</t>
        </is>
      </c>
      <c r="E234" t="inlineStr">
        <is>
          <t>BOLLNÄS</t>
        </is>
      </c>
      <c r="F234" t="inlineStr">
        <is>
          <t>Sveaskog</t>
        </is>
      </c>
      <c r="G234" t="n">
        <v>11.6</v>
      </c>
      <c r="H234" t="n">
        <v>2</v>
      </c>
      <c r="I234" t="n">
        <v>0</v>
      </c>
      <c r="J234" t="n">
        <v>0</v>
      </c>
      <c r="K234" t="n">
        <v>0</v>
      </c>
      <c r="L234" t="n">
        <v>0</v>
      </c>
      <c r="M234" t="n">
        <v>0</v>
      </c>
      <c r="N234" t="n">
        <v>0</v>
      </c>
      <c r="O234" t="n">
        <v>0</v>
      </c>
      <c r="P234" t="n">
        <v>0</v>
      </c>
      <c r="Q234" t="n">
        <v>2</v>
      </c>
      <c r="R234" s="2" t="inlineStr">
        <is>
          <t>Lavskrika
Fläcknycklar</t>
        </is>
      </c>
      <c r="S234">
        <f>HYPERLINK("https://klasma.github.io/Logging_2183/artfynd/A 23504-2023 artfynd.xlsx", "A 23504-2023")</f>
        <v/>
      </c>
      <c r="T234">
        <f>HYPERLINK("https://klasma.github.io/Logging_2183/kartor/A 23504-2023 karta.png", "A 23504-2023")</f>
        <v/>
      </c>
      <c r="V234">
        <f>HYPERLINK("https://klasma.github.io/Logging_2183/klagomål/A 23504-2023 FSC-klagomål.docx", "A 23504-2023")</f>
        <v/>
      </c>
      <c r="W234">
        <f>HYPERLINK("https://klasma.github.io/Logging_2183/klagomålsmail/A 23504-2023 FSC-klagomål mail.docx", "A 23504-2023")</f>
        <v/>
      </c>
      <c r="X234">
        <f>HYPERLINK("https://klasma.github.io/Logging_2183/tillsyn/A 23504-2023 tillsynsbegäran.docx", "A 23504-2023")</f>
        <v/>
      </c>
      <c r="Y234">
        <f>HYPERLINK("https://klasma.github.io/Logging_2183/tillsynsmail/A 23504-2023 tillsynsbegäran mail.docx", "A 23504-2023")</f>
        <v/>
      </c>
      <c r="Z234">
        <f>HYPERLINK("https://klasma.github.io/Logging_2183/fåglar/A 23504-2023 prioriterade fågelarter.docx", "A 23504-2023")</f>
        <v/>
      </c>
    </row>
    <row r="235" ht="15" customHeight="1">
      <c r="A235" t="inlineStr">
        <is>
          <t>A 23838-2023</t>
        </is>
      </c>
      <c r="B235" s="1" t="n">
        <v>45078</v>
      </c>
      <c r="C235" s="1" t="n">
        <v>45344</v>
      </c>
      <c r="D235" t="inlineStr">
        <is>
          <t>GÄVLEBORGS LÄN</t>
        </is>
      </c>
      <c r="E235" t="inlineStr">
        <is>
          <t>HUDIKSVALL</t>
        </is>
      </c>
      <c r="F235" t="inlineStr">
        <is>
          <t>Holmen skog AB</t>
        </is>
      </c>
      <c r="G235" t="n">
        <v>2.7</v>
      </c>
      <c r="H235" t="n">
        <v>0</v>
      </c>
      <c r="I235" t="n">
        <v>2</v>
      </c>
      <c r="J235" t="n">
        <v>0</v>
      </c>
      <c r="K235" t="n">
        <v>0</v>
      </c>
      <c r="L235" t="n">
        <v>0</v>
      </c>
      <c r="M235" t="n">
        <v>0</v>
      </c>
      <c r="N235" t="n">
        <v>0</v>
      </c>
      <c r="O235" t="n">
        <v>0</v>
      </c>
      <c r="P235" t="n">
        <v>0</v>
      </c>
      <c r="Q235" t="n">
        <v>2</v>
      </c>
      <c r="R235" s="2" t="inlineStr">
        <is>
          <t>Skinnlav
Stor aspticka</t>
        </is>
      </c>
      <c r="S235">
        <f>HYPERLINK("https://klasma.github.io/Logging_2184/artfynd/A 23838-2023 artfynd.xlsx", "A 23838-2023")</f>
        <v/>
      </c>
      <c r="T235">
        <f>HYPERLINK("https://klasma.github.io/Logging_2184/kartor/A 23838-2023 karta.png", "A 23838-2023")</f>
        <v/>
      </c>
      <c r="V235">
        <f>HYPERLINK("https://klasma.github.io/Logging_2184/klagomål/A 23838-2023 FSC-klagomål.docx", "A 23838-2023")</f>
        <v/>
      </c>
      <c r="W235">
        <f>HYPERLINK("https://klasma.github.io/Logging_2184/klagomålsmail/A 23838-2023 FSC-klagomål mail.docx", "A 23838-2023")</f>
        <v/>
      </c>
      <c r="X235">
        <f>HYPERLINK("https://klasma.github.io/Logging_2184/tillsyn/A 23838-2023 tillsynsbegäran.docx", "A 23838-2023")</f>
        <v/>
      </c>
      <c r="Y235">
        <f>HYPERLINK("https://klasma.github.io/Logging_2184/tillsynsmail/A 23838-2023 tillsynsbegäran mail.docx", "A 23838-2023")</f>
        <v/>
      </c>
    </row>
    <row r="236" ht="15" customHeight="1">
      <c r="A236" t="inlineStr">
        <is>
          <t>A 24802-2023</t>
        </is>
      </c>
      <c r="B236" s="1" t="n">
        <v>45084</v>
      </c>
      <c r="C236" s="1" t="n">
        <v>45344</v>
      </c>
      <c r="D236" t="inlineStr">
        <is>
          <t>GÄVLEBORGS LÄN</t>
        </is>
      </c>
      <c r="E236" t="inlineStr">
        <is>
          <t>SANDVIKEN</t>
        </is>
      </c>
      <c r="F236" t="inlineStr">
        <is>
          <t>Bergvik skog öst AB</t>
        </is>
      </c>
      <c r="G236" t="n">
        <v>3</v>
      </c>
      <c r="H236" t="n">
        <v>0</v>
      </c>
      <c r="I236" t="n">
        <v>1</v>
      </c>
      <c r="J236" t="n">
        <v>1</v>
      </c>
      <c r="K236" t="n">
        <v>0</v>
      </c>
      <c r="L236" t="n">
        <v>0</v>
      </c>
      <c r="M236" t="n">
        <v>0</v>
      </c>
      <c r="N236" t="n">
        <v>0</v>
      </c>
      <c r="O236" t="n">
        <v>1</v>
      </c>
      <c r="P236" t="n">
        <v>0</v>
      </c>
      <c r="Q236" t="n">
        <v>2</v>
      </c>
      <c r="R236" s="2" t="inlineStr">
        <is>
          <t>Koralltaggsvamp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26325-2023</t>
        </is>
      </c>
      <c r="B237" s="1" t="n">
        <v>45091</v>
      </c>
      <c r="C237" s="1" t="n">
        <v>45344</v>
      </c>
      <c r="D237" t="inlineStr">
        <is>
          <t>GÄVLEBORGS LÄN</t>
        </is>
      </c>
      <c r="E237" t="inlineStr">
        <is>
          <t>NORDANSTIG</t>
        </is>
      </c>
      <c r="F237" t="inlineStr">
        <is>
          <t>Holmen skog AB</t>
        </is>
      </c>
      <c r="G237" t="n">
        <v>9.9</v>
      </c>
      <c r="H237" t="n">
        <v>0</v>
      </c>
      <c r="I237" t="n">
        <v>0</v>
      </c>
      <c r="J237" t="n">
        <v>1</v>
      </c>
      <c r="K237" t="n">
        <v>1</v>
      </c>
      <c r="L237" t="n">
        <v>0</v>
      </c>
      <c r="M237" t="n">
        <v>0</v>
      </c>
      <c r="N237" t="n">
        <v>0</v>
      </c>
      <c r="O237" t="n">
        <v>2</v>
      </c>
      <c r="P237" t="n">
        <v>1</v>
      </c>
      <c r="Q237" t="n">
        <v>2</v>
      </c>
      <c r="R237" s="2" t="inlineStr">
        <is>
          <t>Ringlav
Rosenticka</t>
        </is>
      </c>
      <c r="S237">
        <f>HYPERLINK("https://klasma.github.io/Logging_2132/artfynd/A 26325-2023 artfynd.xlsx", "A 26325-2023")</f>
        <v/>
      </c>
      <c r="T237">
        <f>HYPERLINK("https://klasma.github.io/Logging_2132/kartor/A 26325-2023 karta.png", "A 26325-2023")</f>
        <v/>
      </c>
      <c r="V237">
        <f>HYPERLINK("https://klasma.github.io/Logging_2132/klagomål/A 26325-2023 FSC-klagomål.docx", "A 26325-2023")</f>
        <v/>
      </c>
      <c r="W237">
        <f>HYPERLINK("https://klasma.github.io/Logging_2132/klagomålsmail/A 26325-2023 FSC-klagomål mail.docx", "A 26325-2023")</f>
        <v/>
      </c>
      <c r="X237">
        <f>HYPERLINK("https://klasma.github.io/Logging_2132/tillsyn/A 26325-2023 tillsynsbegäran.docx", "A 26325-2023")</f>
        <v/>
      </c>
      <c r="Y237">
        <f>HYPERLINK("https://klasma.github.io/Logging_2132/tillsynsmail/A 26325-2023 tillsynsbegäran mail.docx", "A 26325-2023")</f>
        <v/>
      </c>
    </row>
    <row r="238" ht="15" customHeight="1">
      <c r="A238" t="inlineStr">
        <is>
          <t>A 26487-2023</t>
        </is>
      </c>
      <c r="B238" s="1" t="n">
        <v>45092</v>
      </c>
      <c r="C238" s="1" t="n">
        <v>45344</v>
      </c>
      <c r="D238" t="inlineStr">
        <is>
          <t>GÄVLEBORGS LÄN</t>
        </is>
      </c>
      <c r="E238" t="inlineStr">
        <is>
          <t>LJUSDAL</t>
        </is>
      </c>
      <c r="F238" t="inlineStr">
        <is>
          <t>Sveaskog</t>
        </is>
      </c>
      <c r="G238" t="n">
        <v>11.2</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26487-2023 artfynd.xlsx", "A 26487-2023")</f>
        <v/>
      </c>
      <c r="T238">
        <f>HYPERLINK("https://klasma.github.io/Logging_2161/kartor/A 26487-2023 karta.png", "A 26487-2023")</f>
        <v/>
      </c>
      <c r="V238">
        <f>HYPERLINK("https://klasma.github.io/Logging_2161/klagomål/A 26487-2023 FSC-klagomål.docx", "A 26487-2023")</f>
        <v/>
      </c>
      <c r="W238">
        <f>HYPERLINK("https://klasma.github.io/Logging_2161/klagomålsmail/A 26487-2023 FSC-klagomål mail.docx", "A 26487-2023")</f>
        <v/>
      </c>
      <c r="X238">
        <f>HYPERLINK("https://klasma.github.io/Logging_2161/tillsyn/A 26487-2023 tillsynsbegäran.docx", "A 26487-2023")</f>
        <v/>
      </c>
      <c r="Y238">
        <f>HYPERLINK("https://klasma.github.io/Logging_2161/tillsynsmail/A 26487-2023 tillsynsbegäran mail.docx", "A 26487-2023")</f>
        <v/>
      </c>
    </row>
    <row r="239" ht="15" customHeight="1">
      <c r="A239" t="inlineStr">
        <is>
          <t>A 26522-2023</t>
        </is>
      </c>
      <c r="B239" s="1" t="n">
        <v>45092</v>
      </c>
      <c r="C239" s="1" t="n">
        <v>45344</v>
      </c>
      <c r="D239" t="inlineStr">
        <is>
          <t>GÄVLEBORGS LÄN</t>
        </is>
      </c>
      <c r="E239" t="inlineStr">
        <is>
          <t>BOLLNÄS</t>
        </is>
      </c>
      <c r="F239" t="inlineStr">
        <is>
          <t>Bergvik skog väst AB</t>
        </is>
      </c>
      <c r="G239" t="n">
        <v>8.6</v>
      </c>
      <c r="H239" t="n">
        <v>2</v>
      </c>
      <c r="I239" t="n">
        <v>0</v>
      </c>
      <c r="J239" t="n">
        <v>1</v>
      </c>
      <c r="K239" t="n">
        <v>0</v>
      </c>
      <c r="L239" t="n">
        <v>0</v>
      </c>
      <c r="M239" t="n">
        <v>0</v>
      </c>
      <c r="N239" t="n">
        <v>0</v>
      </c>
      <c r="O239" t="n">
        <v>1</v>
      </c>
      <c r="P239" t="n">
        <v>0</v>
      </c>
      <c r="Q239" t="n">
        <v>2</v>
      </c>
      <c r="R239" s="2" t="inlineStr">
        <is>
          <t>Smålom
Huggorm</t>
        </is>
      </c>
      <c r="S239">
        <f>HYPERLINK("https://klasma.github.io/Logging_2183/artfynd/A 26522-2023 artfynd.xlsx", "A 26522-2023")</f>
        <v/>
      </c>
      <c r="T239">
        <f>HYPERLINK("https://klasma.github.io/Logging_2183/kartor/A 26522-2023 karta.png", "A 26522-2023")</f>
        <v/>
      </c>
      <c r="V239">
        <f>HYPERLINK("https://klasma.github.io/Logging_2183/klagomål/A 26522-2023 FSC-klagomål.docx", "A 26522-2023")</f>
        <v/>
      </c>
      <c r="W239">
        <f>HYPERLINK("https://klasma.github.io/Logging_2183/klagomålsmail/A 26522-2023 FSC-klagomål mail.docx", "A 26522-2023")</f>
        <v/>
      </c>
      <c r="X239">
        <f>HYPERLINK("https://klasma.github.io/Logging_2183/tillsyn/A 26522-2023 tillsynsbegäran.docx", "A 26522-2023")</f>
        <v/>
      </c>
      <c r="Y239">
        <f>HYPERLINK("https://klasma.github.io/Logging_2183/tillsynsmail/A 26522-2023 tillsynsbegäran mail.docx", "A 26522-2023")</f>
        <v/>
      </c>
      <c r="Z239">
        <f>HYPERLINK("https://klasma.github.io/Logging_2183/fåglar/A 26522-2023 prioriterade fågelarter.docx", "A 26522-2023")</f>
        <v/>
      </c>
    </row>
    <row r="240" ht="15" customHeight="1">
      <c r="A240" t="inlineStr">
        <is>
          <t>A 30237-2023</t>
        </is>
      </c>
      <c r="B240" s="1" t="n">
        <v>45110</v>
      </c>
      <c r="C240" s="1" t="n">
        <v>45344</v>
      </c>
      <c r="D240" t="inlineStr">
        <is>
          <t>GÄVLEBORGS LÄN</t>
        </is>
      </c>
      <c r="E240" t="inlineStr">
        <is>
          <t>LJUSDAL</t>
        </is>
      </c>
      <c r="F240" t="inlineStr">
        <is>
          <t>Sveaskog</t>
        </is>
      </c>
      <c r="G240" t="n">
        <v>1.7</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30237-2023 artfynd.xlsx", "A 30237-2023")</f>
        <v/>
      </c>
      <c r="T240">
        <f>HYPERLINK("https://klasma.github.io/Logging_2161/kartor/A 30237-2023 karta.png", "A 30237-2023")</f>
        <v/>
      </c>
      <c r="V240">
        <f>HYPERLINK("https://klasma.github.io/Logging_2161/klagomål/A 30237-2023 FSC-klagomål.docx", "A 30237-2023")</f>
        <v/>
      </c>
      <c r="W240">
        <f>HYPERLINK("https://klasma.github.io/Logging_2161/klagomålsmail/A 30237-2023 FSC-klagomål mail.docx", "A 30237-2023")</f>
        <v/>
      </c>
      <c r="X240">
        <f>HYPERLINK("https://klasma.github.io/Logging_2161/tillsyn/A 30237-2023 tillsynsbegäran.docx", "A 30237-2023")</f>
        <v/>
      </c>
      <c r="Y240">
        <f>HYPERLINK("https://klasma.github.io/Logging_2161/tillsynsmail/A 30237-2023 tillsynsbegäran mail.docx", "A 30237-2023")</f>
        <v/>
      </c>
    </row>
    <row r="241" ht="15" customHeight="1">
      <c r="A241" t="inlineStr">
        <is>
          <t>A 31123-2023</t>
        </is>
      </c>
      <c r="B241" s="1" t="n">
        <v>45113</v>
      </c>
      <c r="C241" s="1" t="n">
        <v>45344</v>
      </c>
      <c r="D241" t="inlineStr">
        <is>
          <t>GÄVLEBORGS LÄN</t>
        </is>
      </c>
      <c r="E241" t="inlineStr">
        <is>
          <t>LJUSDAL</t>
        </is>
      </c>
      <c r="F241" t="inlineStr">
        <is>
          <t>Sveaskog</t>
        </is>
      </c>
      <c r="G241" t="n">
        <v>10.2</v>
      </c>
      <c r="H241" t="n">
        <v>0</v>
      </c>
      <c r="I241" t="n">
        <v>0</v>
      </c>
      <c r="J241" t="n">
        <v>1</v>
      </c>
      <c r="K241" t="n">
        <v>1</v>
      </c>
      <c r="L241" t="n">
        <v>0</v>
      </c>
      <c r="M241" t="n">
        <v>0</v>
      </c>
      <c r="N241" t="n">
        <v>0</v>
      </c>
      <c r="O241" t="n">
        <v>2</v>
      </c>
      <c r="P241" t="n">
        <v>1</v>
      </c>
      <c r="Q241" t="n">
        <v>2</v>
      </c>
      <c r="R241" s="2" t="inlineStr">
        <is>
          <t>Norsk näverlav
Kolflarnlav</t>
        </is>
      </c>
      <c r="S241">
        <f>HYPERLINK("https://klasma.github.io/Logging_2161/artfynd/A 31123-2023 artfynd.xlsx", "A 31123-2023")</f>
        <v/>
      </c>
      <c r="T241">
        <f>HYPERLINK("https://klasma.github.io/Logging_2161/kartor/A 31123-2023 karta.png", "A 31123-2023")</f>
        <v/>
      </c>
      <c r="V241">
        <f>HYPERLINK("https://klasma.github.io/Logging_2161/klagomål/A 31123-2023 FSC-klagomål.docx", "A 31123-2023")</f>
        <v/>
      </c>
      <c r="W241">
        <f>HYPERLINK("https://klasma.github.io/Logging_2161/klagomålsmail/A 31123-2023 FSC-klagomål mail.docx", "A 31123-2023")</f>
        <v/>
      </c>
      <c r="X241">
        <f>HYPERLINK("https://klasma.github.io/Logging_2161/tillsyn/A 31123-2023 tillsynsbegäran.docx", "A 31123-2023")</f>
        <v/>
      </c>
      <c r="Y241">
        <f>HYPERLINK("https://klasma.github.io/Logging_2161/tillsynsmail/A 31123-2023 tillsynsbegäran mail.docx", "A 31123-2023")</f>
        <v/>
      </c>
    </row>
    <row r="242" ht="15" customHeight="1">
      <c r="A242" t="inlineStr">
        <is>
          <t>A 31541-2023</t>
        </is>
      </c>
      <c r="B242" s="1" t="n">
        <v>45117</v>
      </c>
      <c r="C242" s="1" t="n">
        <v>45344</v>
      </c>
      <c r="D242" t="inlineStr">
        <is>
          <t>GÄVLEBORGS LÄN</t>
        </is>
      </c>
      <c r="E242" t="inlineStr">
        <is>
          <t>GÄVLE</t>
        </is>
      </c>
      <c r="F242" t="inlineStr">
        <is>
          <t>Bergvik skog väst AB</t>
        </is>
      </c>
      <c r="G242" t="n">
        <v>8.300000000000001</v>
      </c>
      <c r="H242" t="n">
        <v>1</v>
      </c>
      <c r="I242" t="n">
        <v>1</v>
      </c>
      <c r="J242" t="n">
        <v>0</v>
      </c>
      <c r="K242" t="n">
        <v>0</v>
      </c>
      <c r="L242" t="n">
        <v>0</v>
      </c>
      <c r="M242" t="n">
        <v>0</v>
      </c>
      <c r="N242" t="n">
        <v>0</v>
      </c>
      <c r="O242" t="n">
        <v>0</v>
      </c>
      <c r="P242" t="n">
        <v>0</v>
      </c>
      <c r="Q242" t="n">
        <v>2</v>
      </c>
      <c r="R242" s="2" t="inlineStr">
        <is>
          <t>Vårärt
Mattlummer</t>
        </is>
      </c>
      <c r="S242">
        <f>HYPERLINK("https://klasma.github.io/Logging_2180/artfynd/A 31541-2023 artfynd.xlsx", "A 31541-2023")</f>
        <v/>
      </c>
      <c r="T242">
        <f>HYPERLINK("https://klasma.github.io/Logging_2180/kartor/A 31541-2023 karta.png", "A 31541-2023")</f>
        <v/>
      </c>
      <c r="V242">
        <f>HYPERLINK("https://klasma.github.io/Logging_2180/klagomål/A 31541-2023 FSC-klagomål.docx", "A 31541-2023")</f>
        <v/>
      </c>
      <c r="W242">
        <f>HYPERLINK("https://klasma.github.io/Logging_2180/klagomålsmail/A 31541-2023 FSC-klagomål mail.docx", "A 31541-2023")</f>
        <v/>
      </c>
      <c r="X242">
        <f>HYPERLINK("https://klasma.github.io/Logging_2180/tillsyn/A 31541-2023 tillsynsbegäran.docx", "A 31541-2023")</f>
        <v/>
      </c>
      <c r="Y242">
        <f>HYPERLINK("https://klasma.github.io/Logging_2180/tillsynsmail/A 31541-2023 tillsynsbegäran mail.docx", "A 31541-2023")</f>
        <v/>
      </c>
    </row>
    <row r="243" ht="15" customHeight="1">
      <c r="A243" t="inlineStr">
        <is>
          <t>A 32502-2023</t>
        </is>
      </c>
      <c r="B243" s="1" t="n">
        <v>45121</v>
      </c>
      <c r="C243" s="1" t="n">
        <v>45344</v>
      </c>
      <c r="D243" t="inlineStr">
        <is>
          <t>GÄVLEBORGS LÄN</t>
        </is>
      </c>
      <c r="E243" t="inlineStr">
        <is>
          <t>LJUSDAL</t>
        </is>
      </c>
      <c r="F243" t="inlineStr">
        <is>
          <t>Sveaskog</t>
        </is>
      </c>
      <c r="G243" t="n">
        <v>9.199999999999999</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32502-2023 artfynd.xlsx", "A 32502-2023")</f>
        <v/>
      </c>
      <c r="T243">
        <f>HYPERLINK("https://klasma.github.io/Logging_2161/kartor/A 32502-2023 karta.png", "A 32502-2023")</f>
        <v/>
      </c>
      <c r="V243">
        <f>HYPERLINK("https://klasma.github.io/Logging_2161/klagomål/A 32502-2023 FSC-klagomål.docx", "A 32502-2023")</f>
        <v/>
      </c>
      <c r="W243">
        <f>HYPERLINK("https://klasma.github.io/Logging_2161/klagomålsmail/A 32502-2023 FSC-klagomål mail.docx", "A 32502-2023")</f>
        <v/>
      </c>
      <c r="X243">
        <f>HYPERLINK("https://klasma.github.io/Logging_2161/tillsyn/A 32502-2023 tillsynsbegäran.docx", "A 32502-2023")</f>
        <v/>
      </c>
      <c r="Y243">
        <f>HYPERLINK("https://klasma.github.io/Logging_2161/tillsynsmail/A 32502-2023 tillsynsbegäran mail.docx", "A 32502-2023")</f>
        <v/>
      </c>
    </row>
    <row r="244" ht="15" customHeight="1">
      <c r="A244" t="inlineStr">
        <is>
          <t>A 36586-2023</t>
        </is>
      </c>
      <c r="B244" s="1" t="n">
        <v>45153</v>
      </c>
      <c r="C244" s="1" t="n">
        <v>45344</v>
      </c>
      <c r="D244" t="inlineStr">
        <is>
          <t>GÄVLEBORGS LÄN</t>
        </is>
      </c>
      <c r="E244" t="inlineStr">
        <is>
          <t>LJUSDAL</t>
        </is>
      </c>
      <c r="F244" t="inlineStr">
        <is>
          <t>Bergvik skog väst AB</t>
        </is>
      </c>
      <c r="G244" t="n">
        <v>27</v>
      </c>
      <c r="H244" t="n">
        <v>1</v>
      </c>
      <c r="I244" t="n">
        <v>0</v>
      </c>
      <c r="J244" t="n">
        <v>2</v>
      </c>
      <c r="K244" t="n">
        <v>0</v>
      </c>
      <c r="L244" t="n">
        <v>0</v>
      </c>
      <c r="M244" t="n">
        <v>0</v>
      </c>
      <c r="N244" t="n">
        <v>0</v>
      </c>
      <c r="O244" t="n">
        <v>2</v>
      </c>
      <c r="P244" t="n">
        <v>0</v>
      </c>
      <c r="Q244" t="n">
        <v>2</v>
      </c>
      <c r="R244" s="2" t="inlineStr">
        <is>
          <t>Lunglav
Tretåig hackspett</t>
        </is>
      </c>
      <c r="S244">
        <f>HYPERLINK("https://klasma.github.io/Logging_2161/artfynd/A 36586-2023 artfynd.xlsx", "A 36586-2023")</f>
        <v/>
      </c>
      <c r="T244">
        <f>HYPERLINK("https://klasma.github.io/Logging_2161/kartor/A 36586-2023 karta.png", "A 36586-2023")</f>
        <v/>
      </c>
      <c r="U244">
        <f>HYPERLINK("https://klasma.github.io/Logging_2161/knärot/A 36586-2023 karta knärot.png", "A 36586-2023")</f>
        <v/>
      </c>
      <c r="V244">
        <f>HYPERLINK("https://klasma.github.io/Logging_2161/klagomål/A 36586-2023 FSC-klagomål.docx", "A 36586-2023")</f>
        <v/>
      </c>
      <c r="W244">
        <f>HYPERLINK("https://klasma.github.io/Logging_2161/klagomålsmail/A 36586-2023 FSC-klagomål mail.docx", "A 36586-2023")</f>
        <v/>
      </c>
      <c r="X244">
        <f>HYPERLINK("https://klasma.github.io/Logging_2161/tillsyn/A 36586-2023 tillsynsbegäran.docx", "A 36586-2023")</f>
        <v/>
      </c>
      <c r="Y244">
        <f>HYPERLINK("https://klasma.github.io/Logging_2161/tillsynsmail/A 36586-2023 tillsynsbegäran mail.docx", "A 36586-2023")</f>
        <v/>
      </c>
      <c r="Z244">
        <f>HYPERLINK("https://klasma.github.io/Logging_2161/fåglar/A 36586-2023 prioriterade fågelarter.docx", "A 36586-2023")</f>
        <v/>
      </c>
    </row>
    <row r="245" ht="15" customHeight="1">
      <c r="A245" t="inlineStr">
        <is>
          <t>A 39002-2023</t>
        </is>
      </c>
      <c r="B245" s="1" t="n">
        <v>45163</v>
      </c>
      <c r="C245" s="1" t="n">
        <v>45344</v>
      </c>
      <c r="D245" t="inlineStr">
        <is>
          <t>GÄVLEBORGS LÄN</t>
        </is>
      </c>
      <c r="E245" t="inlineStr">
        <is>
          <t>HOFORS</t>
        </is>
      </c>
      <c r="F245" t="inlineStr">
        <is>
          <t>Sveaskog</t>
        </is>
      </c>
      <c r="G245" t="n">
        <v>2.5</v>
      </c>
      <c r="H245" t="n">
        <v>1</v>
      </c>
      <c r="I245" t="n">
        <v>1</v>
      </c>
      <c r="J245" t="n">
        <v>0</v>
      </c>
      <c r="K245" t="n">
        <v>0</v>
      </c>
      <c r="L245" t="n">
        <v>0</v>
      </c>
      <c r="M245" t="n">
        <v>0</v>
      </c>
      <c r="N245" t="n">
        <v>0</v>
      </c>
      <c r="O245" t="n">
        <v>0</v>
      </c>
      <c r="P245" t="n">
        <v>0</v>
      </c>
      <c r="Q245" t="n">
        <v>2</v>
      </c>
      <c r="R245" s="2" t="inlineStr">
        <is>
          <t>Gräsull
Blåsippa</t>
        </is>
      </c>
      <c r="S245">
        <f>HYPERLINK("https://klasma.github.io/Logging_2104/artfynd/A 39002-2023 artfynd.xlsx", "A 39002-2023")</f>
        <v/>
      </c>
      <c r="T245">
        <f>HYPERLINK("https://klasma.github.io/Logging_2104/kartor/A 39002-2023 karta.png", "A 39002-2023")</f>
        <v/>
      </c>
      <c r="V245">
        <f>HYPERLINK("https://klasma.github.io/Logging_2104/klagomål/A 39002-2023 FSC-klagomål.docx", "A 39002-2023")</f>
        <v/>
      </c>
      <c r="W245">
        <f>HYPERLINK("https://klasma.github.io/Logging_2104/klagomålsmail/A 39002-2023 FSC-klagomål mail.docx", "A 39002-2023")</f>
        <v/>
      </c>
      <c r="X245">
        <f>HYPERLINK("https://klasma.github.io/Logging_2104/tillsyn/A 39002-2023 tillsynsbegäran.docx", "A 39002-2023")</f>
        <v/>
      </c>
      <c r="Y245">
        <f>HYPERLINK("https://klasma.github.io/Logging_2104/tillsynsmail/A 39002-2023 tillsynsbegäran mail.docx", "A 39002-2023")</f>
        <v/>
      </c>
    </row>
    <row r="246" ht="15" customHeight="1">
      <c r="A246" t="inlineStr">
        <is>
          <t>A 40743-2023</t>
        </is>
      </c>
      <c r="B246" s="1" t="n">
        <v>45170</v>
      </c>
      <c r="C246" s="1" t="n">
        <v>45344</v>
      </c>
      <c r="D246" t="inlineStr">
        <is>
          <t>GÄVLEBORGS LÄN</t>
        </is>
      </c>
      <c r="E246" t="inlineStr">
        <is>
          <t>LJUSDAL</t>
        </is>
      </c>
      <c r="F246" t="inlineStr">
        <is>
          <t>Sveaskog</t>
        </is>
      </c>
      <c r="G246" t="n">
        <v>12.2</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40743-2023 artfynd.xlsx", "A 40743-2023")</f>
        <v/>
      </c>
      <c r="T246">
        <f>HYPERLINK("https://klasma.github.io/Logging_2161/kartor/A 40743-2023 karta.png", "A 40743-2023")</f>
        <v/>
      </c>
      <c r="V246">
        <f>HYPERLINK("https://klasma.github.io/Logging_2161/klagomål/A 40743-2023 FSC-klagomål.docx", "A 40743-2023")</f>
        <v/>
      </c>
      <c r="W246">
        <f>HYPERLINK("https://klasma.github.io/Logging_2161/klagomålsmail/A 40743-2023 FSC-klagomål mail.docx", "A 40743-2023")</f>
        <v/>
      </c>
      <c r="X246">
        <f>HYPERLINK("https://klasma.github.io/Logging_2161/tillsyn/A 40743-2023 tillsynsbegäran.docx", "A 40743-2023")</f>
        <v/>
      </c>
      <c r="Y246">
        <f>HYPERLINK("https://klasma.github.io/Logging_2161/tillsynsmail/A 40743-2023 tillsynsbegäran mail.docx", "A 40743-2023")</f>
        <v/>
      </c>
    </row>
    <row r="247" ht="15" customHeight="1">
      <c r="A247" t="inlineStr">
        <is>
          <t>A 41221-2023</t>
        </is>
      </c>
      <c r="B247" s="1" t="n">
        <v>45174</v>
      </c>
      <c r="C247" s="1" t="n">
        <v>45344</v>
      </c>
      <c r="D247" t="inlineStr">
        <is>
          <t>GÄVLEBORGS LÄN</t>
        </is>
      </c>
      <c r="E247" t="inlineStr">
        <is>
          <t>NORDANSTIG</t>
        </is>
      </c>
      <c r="F247" t="inlineStr">
        <is>
          <t>Holmen skog AB</t>
        </is>
      </c>
      <c r="G247" t="n">
        <v>13.1</v>
      </c>
      <c r="H247" t="n">
        <v>0</v>
      </c>
      <c r="I247" t="n">
        <v>1</v>
      </c>
      <c r="J247" t="n">
        <v>1</v>
      </c>
      <c r="K247" t="n">
        <v>0</v>
      </c>
      <c r="L247" t="n">
        <v>0</v>
      </c>
      <c r="M247" t="n">
        <v>0</v>
      </c>
      <c r="N247" t="n">
        <v>0</v>
      </c>
      <c r="O247" t="n">
        <v>1</v>
      </c>
      <c r="P247" t="n">
        <v>0</v>
      </c>
      <c r="Q247" t="n">
        <v>2</v>
      </c>
      <c r="R247" s="2" t="inlineStr">
        <is>
          <t>Lunglav
Dropptaggsvamp</t>
        </is>
      </c>
      <c r="S247">
        <f>HYPERLINK("https://klasma.github.io/Logging_2132/artfynd/A 41221-2023 artfynd.xlsx", "A 41221-2023")</f>
        <v/>
      </c>
      <c r="T247">
        <f>HYPERLINK("https://klasma.github.io/Logging_2132/kartor/A 41221-2023 karta.png", "A 41221-2023")</f>
        <v/>
      </c>
      <c r="V247">
        <f>HYPERLINK("https://klasma.github.io/Logging_2132/klagomål/A 41221-2023 FSC-klagomål.docx", "A 41221-2023")</f>
        <v/>
      </c>
      <c r="W247">
        <f>HYPERLINK("https://klasma.github.io/Logging_2132/klagomålsmail/A 41221-2023 FSC-klagomål mail.docx", "A 41221-2023")</f>
        <v/>
      </c>
      <c r="X247">
        <f>HYPERLINK("https://klasma.github.io/Logging_2132/tillsyn/A 41221-2023 tillsynsbegäran.docx", "A 41221-2023")</f>
        <v/>
      </c>
      <c r="Y247">
        <f>HYPERLINK("https://klasma.github.io/Logging_2132/tillsynsmail/A 41221-2023 tillsynsbegäran mail.docx", "A 41221-2023")</f>
        <v/>
      </c>
    </row>
    <row r="248" ht="15" customHeight="1">
      <c r="A248" t="inlineStr">
        <is>
          <t>A 41327-2023</t>
        </is>
      </c>
      <c r="B248" s="1" t="n">
        <v>45174</v>
      </c>
      <c r="C248" s="1" t="n">
        <v>45344</v>
      </c>
      <c r="D248" t="inlineStr">
        <is>
          <t>GÄVLEBORGS LÄN</t>
        </is>
      </c>
      <c r="E248" t="inlineStr">
        <is>
          <t>HOFORS</t>
        </is>
      </c>
      <c r="F248" t="inlineStr">
        <is>
          <t>Sveaskog</t>
        </is>
      </c>
      <c r="G248" t="n">
        <v>2.9</v>
      </c>
      <c r="H248" t="n">
        <v>1</v>
      </c>
      <c r="I248" t="n">
        <v>1</v>
      </c>
      <c r="J248" t="n">
        <v>1</v>
      </c>
      <c r="K248" t="n">
        <v>0</v>
      </c>
      <c r="L248" t="n">
        <v>0</v>
      </c>
      <c r="M248" t="n">
        <v>0</v>
      </c>
      <c r="N248" t="n">
        <v>0</v>
      </c>
      <c r="O248" t="n">
        <v>1</v>
      </c>
      <c r="P248" t="n">
        <v>0</v>
      </c>
      <c r="Q248" t="n">
        <v>2</v>
      </c>
      <c r="R248" s="2" t="inlineStr">
        <is>
          <t>Skogsfru
Svart trolldruva</t>
        </is>
      </c>
      <c r="S248">
        <f>HYPERLINK("https://klasma.github.io/Logging_2104/artfynd/A 41327-2023 artfynd.xlsx", "A 41327-2023")</f>
        <v/>
      </c>
      <c r="T248">
        <f>HYPERLINK("https://klasma.github.io/Logging_2104/kartor/A 41327-2023 karta.png", "A 41327-2023")</f>
        <v/>
      </c>
      <c r="V248">
        <f>HYPERLINK("https://klasma.github.io/Logging_2104/klagomål/A 41327-2023 FSC-klagomål.docx", "A 41327-2023")</f>
        <v/>
      </c>
      <c r="W248">
        <f>HYPERLINK("https://klasma.github.io/Logging_2104/klagomålsmail/A 41327-2023 FSC-klagomål mail.docx", "A 41327-2023")</f>
        <v/>
      </c>
      <c r="X248">
        <f>HYPERLINK("https://klasma.github.io/Logging_2104/tillsyn/A 41327-2023 tillsynsbegäran.docx", "A 41327-2023")</f>
        <v/>
      </c>
      <c r="Y248">
        <f>HYPERLINK("https://klasma.github.io/Logging_2104/tillsynsmail/A 41327-2023 tillsynsbegäran mail.docx", "A 41327-2023")</f>
        <v/>
      </c>
    </row>
    <row r="249" ht="15" customHeight="1">
      <c r="A249" t="inlineStr">
        <is>
          <t>A 42123-2023</t>
        </is>
      </c>
      <c r="B249" s="1" t="n">
        <v>45177</v>
      </c>
      <c r="C249" s="1" t="n">
        <v>45344</v>
      </c>
      <c r="D249" t="inlineStr">
        <is>
          <t>GÄVLEBORGS LÄN</t>
        </is>
      </c>
      <c r="E249" t="inlineStr">
        <is>
          <t>LJUSDAL</t>
        </is>
      </c>
      <c r="F249" t="inlineStr">
        <is>
          <t>Sveaskog</t>
        </is>
      </c>
      <c r="G249" t="n">
        <v>19.7</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42123-2023 artfynd.xlsx", "A 42123-2023")</f>
        <v/>
      </c>
      <c r="T249">
        <f>HYPERLINK("https://klasma.github.io/Logging_2161/kartor/A 42123-2023 karta.png", "A 42123-2023")</f>
        <v/>
      </c>
      <c r="V249">
        <f>HYPERLINK("https://klasma.github.io/Logging_2161/klagomål/A 42123-2023 FSC-klagomål.docx", "A 42123-2023")</f>
        <v/>
      </c>
      <c r="W249">
        <f>HYPERLINK("https://klasma.github.io/Logging_2161/klagomålsmail/A 42123-2023 FSC-klagomål mail.docx", "A 42123-2023")</f>
        <v/>
      </c>
      <c r="X249">
        <f>HYPERLINK("https://klasma.github.io/Logging_2161/tillsyn/A 42123-2023 tillsynsbegäran.docx", "A 42123-2023")</f>
        <v/>
      </c>
      <c r="Y249">
        <f>HYPERLINK("https://klasma.github.io/Logging_2161/tillsynsmail/A 42123-2023 tillsynsbegäran mail.docx", "A 42123-2023")</f>
        <v/>
      </c>
    </row>
    <row r="250" ht="15" customHeight="1">
      <c r="A250" t="inlineStr">
        <is>
          <t>A 42056-2023</t>
        </is>
      </c>
      <c r="B250" s="1" t="n">
        <v>45177</v>
      </c>
      <c r="C250" s="1" t="n">
        <v>45344</v>
      </c>
      <c r="D250" t="inlineStr">
        <is>
          <t>GÄVLEBORGS LÄN</t>
        </is>
      </c>
      <c r="E250" t="inlineStr">
        <is>
          <t>OVANÅKER</t>
        </is>
      </c>
      <c r="G250" t="n">
        <v>14.7</v>
      </c>
      <c r="H250" t="n">
        <v>0</v>
      </c>
      <c r="I250" t="n">
        <v>1</v>
      </c>
      <c r="J250" t="n">
        <v>1</v>
      </c>
      <c r="K250" t="n">
        <v>0</v>
      </c>
      <c r="L250" t="n">
        <v>0</v>
      </c>
      <c r="M250" t="n">
        <v>0</v>
      </c>
      <c r="N250" t="n">
        <v>0</v>
      </c>
      <c r="O250" t="n">
        <v>1</v>
      </c>
      <c r="P250" t="n">
        <v>0</v>
      </c>
      <c r="Q250" t="n">
        <v>2</v>
      </c>
      <c r="R250" s="2" t="inlineStr">
        <is>
          <t>Lunglav
Korallblylav</t>
        </is>
      </c>
      <c r="S250">
        <f>HYPERLINK("https://klasma.github.io/Logging_2121/artfynd/A 42056-2023 artfynd.xlsx", "A 42056-2023")</f>
        <v/>
      </c>
      <c r="T250">
        <f>HYPERLINK("https://klasma.github.io/Logging_2121/kartor/A 42056-2023 karta.png", "A 42056-2023")</f>
        <v/>
      </c>
      <c r="V250">
        <f>HYPERLINK("https://klasma.github.io/Logging_2121/klagomål/A 42056-2023 FSC-klagomål.docx", "A 42056-2023")</f>
        <v/>
      </c>
      <c r="W250">
        <f>HYPERLINK("https://klasma.github.io/Logging_2121/klagomålsmail/A 42056-2023 FSC-klagomål mail.docx", "A 42056-2023")</f>
        <v/>
      </c>
      <c r="X250">
        <f>HYPERLINK("https://klasma.github.io/Logging_2121/tillsyn/A 42056-2023 tillsynsbegäran.docx", "A 42056-2023")</f>
        <v/>
      </c>
      <c r="Y250">
        <f>HYPERLINK("https://klasma.github.io/Logging_2121/tillsynsmail/A 42056-2023 tillsynsbegäran mail.docx", "A 42056-2023")</f>
        <v/>
      </c>
    </row>
    <row r="251" ht="15" customHeight="1">
      <c r="A251" t="inlineStr">
        <is>
          <t>A 43723-2023</t>
        </is>
      </c>
      <c r="B251" s="1" t="n">
        <v>45187</v>
      </c>
      <c r="C251" s="1" t="n">
        <v>45344</v>
      </c>
      <c r="D251" t="inlineStr">
        <is>
          <t>GÄVLEBORGS LÄN</t>
        </is>
      </c>
      <c r="E251" t="inlineStr">
        <is>
          <t>LJUSDAL</t>
        </is>
      </c>
      <c r="F251" t="inlineStr">
        <is>
          <t>Sveaskog</t>
        </is>
      </c>
      <c r="G251" t="n">
        <v>5.1</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43723-2023 artfynd.xlsx", "A 43723-2023")</f>
        <v/>
      </c>
      <c r="T251">
        <f>HYPERLINK("https://klasma.github.io/Logging_2161/kartor/A 43723-2023 karta.png", "A 43723-2023")</f>
        <v/>
      </c>
      <c r="V251">
        <f>HYPERLINK("https://klasma.github.io/Logging_2161/klagomål/A 43723-2023 FSC-klagomål.docx", "A 43723-2023")</f>
        <v/>
      </c>
      <c r="W251">
        <f>HYPERLINK("https://klasma.github.io/Logging_2161/klagomålsmail/A 43723-2023 FSC-klagomål mail.docx", "A 43723-2023")</f>
        <v/>
      </c>
      <c r="X251">
        <f>HYPERLINK("https://klasma.github.io/Logging_2161/tillsyn/A 43723-2023 tillsynsbegäran.docx", "A 43723-2023")</f>
        <v/>
      </c>
      <c r="Y251">
        <f>HYPERLINK("https://klasma.github.io/Logging_2161/tillsynsmail/A 43723-2023 tillsynsbegäran mail.docx", "A 43723-2023")</f>
        <v/>
      </c>
    </row>
    <row r="252" ht="15" customHeight="1">
      <c r="A252" t="inlineStr">
        <is>
          <t>A 45153-2023</t>
        </is>
      </c>
      <c r="B252" s="1" t="n">
        <v>45191</v>
      </c>
      <c r="C252" s="1" t="n">
        <v>45344</v>
      </c>
      <c r="D252" t="inlineStr">
        <is>
          <t>GÄVLEBORGS LÄN</t>
        </is>
      </c>
      <c r="E252" t="inlineStr">
        <is>
          <t>HUDIKSVALL</t>
        </is>
      </c>
      <c r="G252" t="n">
        <v>0.6</v>
      </c>
      <c r="H252" t="n">
        <v>1</v>
      </c>
      <c r="I252" t="n">
        <v>1</v>
      </c>
      <c r="J252" t="n">
        <v>0</v>
      </c>
      <c r="K252" t="n">
        <v>0</v>
      </c>
      <c r="L252" t="n">
        <v>0</v>
      </c>
      <c r="M252" t="n">
        <v>0</v>
      </c>
      <c r="N252" t="n">
        <v>0</v>
      </c>
      <c r="O252" t="n">
        <v>0</v>
      </c>
      <c r="P252" t="n">
        <v>0</v>
      </c>
      <c r="Q252" t="n">
        <v>2</v>
      </c>
      <c r="R252" s="2" t="inlineStr">
        <is>
          <t>Tibast
Skogsödla</t>
        </is>
      </c>
      <c r="S252">
        <f>HYPERLINK("https://klasma.github.io/Logging_2184/artfynd/A 45153-2023 artfynd.xlsx", "A 45153-2023")</f>
        <v/>
      </c>
      <c r="T252">
        <f>HYPERLINK("https://klasma.github.io/Logging_2184/kartor/A 45153-2023 karta.png", "A 45153-2023")</f>
        <v/>
      </c>
      <c r="V252">
        <f>HYPERLINK("https://klasma.github.io/Logging_2184/klagomål/A 45153-2023 FSC-klagomål.docx", "A 45153-2023")</f>
        <v/>
      </c>
      <c r="W252">
        <f>HYPERLINK("https://klasma.github.io/Logging_2184/klagomålsmail/A 45153-2023 FSC-klagomål mail.docx", "A 45153-2023")</f>
        <v/>
      </c>
      <c r="X252">
        <f>HYPERLINK("https://klasma.github.io/Logging_2184/tillsyn/A 45153-2023 tillsynsbegäran.docx", "A 45153-2023")</f>
        <v/>
      </c>
      <c r="Y252">
        <f>HYPERLINK("https://klasma.github.io/Logging_2184/tillsynsmail/A 45153-2023 tillsynsbegäran mail.docx", "A 45153-2023")</f>
        <v/>
      </c>
    </row>
    <row r="253" ht="15" customHeight="1">
      <c r="A253" t="inlineStr">
        <is>
          <t>A 45876-2023</t>
        </is>
      </c>
      <c r="B253" s="1" t="n">
        <v>45195</v>
      </c>
      <c r="C253" s="1" t="n">
        <v>45344</v>
      </c>
      <c r="D253" t="inlineStr">
        <is>
          <t>GÄVLEBORGS LÄN</t>
        </is>
      </c>
      <c r="E253" t="inlineStr">
        <is>
          <t>HUDIKSVALL</t>
        </is>
      </c>
      <c r="G253" t="n">
        <v>3.9</v>
      </c>
      <c r="H253" t="n">
        <v>2</v>
      </c>
      <c r="I253" t="n">
        <v>0</v>
      </c>
      <c r="J253" t="n">
        <v>0</v>
      </c>
      <c r="K253" t="n">
        <v>0</v>
      </c>
      <c r="L253" t="n">
        <v>0</v>
      </c>
      <c r="M253" t="n">
        <v>0</v>
      </c>
      <c r="N253" t="n">
        <v>0</v>
      </c>
      <c r="O253" t="n">
        <v>0</v>
      </c>
      <c r="P253" t="n">
        <v>0</v>
      </c>
      <c r="Q253" t="n">
        <v>2</v>
      </c>
      <c r="R253" s="2" t="inlineStr">
        <is>
          <t>Blåsippa
Revlummer</t>
        </is>
      </c>
      <c r="S253">
        <f>HYPERLINK("https://klasma.github.io/Logging_2184/artfynd/A 45876-2023 artfynd.xlsx", "A 45876-2023")</f>
        <v/>
      </c>
      <c r="T253">
        <f>HYPERLINK("https://klasma.github.io/Logging_2184/kartor/A 45876-2023 karta.png", "A 45876-2023")</f>
        <v/>
      </c>
      <c r="V253">
        <f>HYPERLINK("https://klasma.github.io/Logging_2184/klagomål/A 45876-2023 FSC-klagomål.docx", "A 45876-2023")</f>
        <v/>
      </c>
      <c r="W253">
        <f>HYPERLINK("https://klasma.github.io/Logging_2184/klagomålsmail/A 45876-2023 FSC-klagomål mail.docx", "A 45876-2023")</f>
        <v/>
      </c>
      <c r="X253">
        <f>HYPERLINK("https://klasma.github.io/Logging_2184/tillsyn/A 45876-2023 tillsynsbegäran.docx", "A 45876-2023")</f>
        <v/>
      </c>
      <c r="Y253">
        <f>HYPERLINK("https://klasma.github.io/Logging_2184/tillsynsmail/A 45876-2023 tillsynsbegäran mail.docx", "A 45876-2023")</f>
        <v/>
      </c>
    </row>
    <row r="254" ht="15" customHeight="1">
      <c r="A254" t="inlineStr">
        <is>
          <t>A 47719-2023</t>
        </is>
      </c>
      <c r="B254" s="1" t="n">
        <v>45203</v>
      </c>
      <c r="C254" s="1" t="n">
        <v>45344</v>
      </c>
      <c r="D254" t="inlineStr">
        <is>
          <t>GÄVLEBORGS LÄN</t>
        </is>
      </c>
      <c r="E254" t="inlineStr">
        <is>
          <t>LJUSDAL</t>
        </is>
      </c>
      <c r="F254" t="inlineStr">
        <is>
          <t>Sveaskog</t>
        </is>
      </c>
      <c r="G254" t="n">
        <v>5.1</v>
      </c>
      <c r="H254" t="n">
        <v>0</v>
      </c>
      <c r="I254" t="n">
        <v>0</v>
      </c>
      <c r="J254" t="n">
        <v>2</v>
      </c>
      <c r="K254" t="n">
        <v>0</v>
      </c>
      <c r="L254" t="n">
        <v>0</v>
      </c>
      <c r="M254" t="n">
        <v>0</v>
      </c>
      <c r="N254" t="n">
        <v>0</v>
      </c>
      <c r="O254" t="n">
        <v>2</v>
      </c>
      <c r="P254" t="n">
        <v>0</v>
      </c>
      <c r="Q254" t="n">
        <v>2</v>
      </c>
      <c r="R254" s="2" t="inlineStr">
        <is>
          <t>Kolflarnlav
Orange taggsvamp</t>
        </is>
      </c>
      <c r="S254">
        <f>HYPERLINK("https://klasma.github.io/Logging_2161/artfynd/A 47719-2023 artfynd.xlsx", "A 47719-2023")</f>
        <v/>
      </c>
      <c r="T254">
        <f>HYPERLINK("https://klasma.github.io/Logging_2161/kartor/A 47719-2023 karta.png", "A 47719-2023")</f>
        <v/>
      </c>
      <c r="V254">
        <f>HYPERLINK("https://klasma.github.io/Logging_2161/klagomål/A 47719-2023 FSC-klagomål.docx", "A 47719-2023")</f>
        <v/>
      </c>
      <c r="W254">
        <f>HYPERLINK("https://klasma.github.io/Logging_2161/klagomålsmail/A 47719-2023 FSC-klagomål mail.docx", "A 47719-2023")</f>
        <v/>
      </c>
      <c r="X254">
        <f>HYPERLINK("https://klasma.github.io/Logging_2161/tillsyn/A 47719-2023 tillsynsbegäran.docx", "A 47719-2023")</f>
        <v/>
      </c>
      <c r="Y254">
        <f>HYPERLINK("https://klasma.github.io/Logging_2161/tillsynsmail/A 47719-2023 tillsynsbegäran mail.docx", "A 47719-2023")</f>
        <v/>
      </c>
    </row>
    <row r="255" ht="15" customHeight="1">
      <c r="A255" t="inlineStr">
        <is>
          <t>A 51410-2023</t>
        </is>
      </c>
      <c r="B255" s="1" t="n">
        <v>45219</v>
      </c>
      <c r="C255" s="1" t="n">
        <v>45344</v>
      </c>
      <c r="D255" t="inlineStr">
        <is>
          <t>GÄVLEBORGS LÄN</t>
        </is>
      </c>
      <c r="E255" t="inlineStr">
        <is>
          <t>LJUSDAL</t>
        </is>
      </c>
      <c r="F255" t="inlineStr">
        <is>
          <t>Sveaskog</t>
        </is>
      </c>
      <c r="G255" t="n">
        <v>12.9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51410-2023 artfynd.xlsx", "A 51410-2023")</f>
        <v/>
      </c>
      <c r="T255">
        <f>HYPERLINK("https://klasma.github.io/Logging_2161/kartor/A 51410-2023 karta.png", "A 51410-2023")</f>
        <v/>
      </c>
      <c r="V255">
        <f>HYPERLINK("https://klasma.github.io/Logging_2161/klagomål/A 51410-2023 FSC-klagomål.docx", "A 51410-2023")</f>
        <v/>
      </c>
      <c r="W255">
        <f>HYPERLINK("https://klasma.github.io/Logging_2161/klagomålsmail/A 51410-2023 FSC-klagomål mail.docx", "A 51410-2023")</f>
        <v/>
      </c>
      <c r="X255">
        <f>HYPERLINK("https://klasma.github.io/Logging_2161/tillsyn/A 51410-2023 tillsynsbegäran.docx", "A 51410-2023")</f>
        <v/>
      </c>
      <c r="Y255">
        <f>HYPERLINK("https://klasma.github.io/Logging_2161/tillsynsmail/A 51410-2023 tillsynsbegäran mail.docx", "A 51410-2023")</f>
        <v/>
      </c>
    </row>
    <row r="256" ht="15" customHeight="1">
      <c r="A256" t="inlineStr">
        <is>
          <t>A 51222-2023</t>
        </is>
      </c>
      <c r="B256" s="1" t="n">
        <v>45219</v>
      </c>
      <c r="C256" s="1" t="n">
        <v>45344</v>
      </c>
      <c r="D256" t="inlineStr">
        <is>
          <t>GÄVLEBORGS LÄN</t>
        </is>
      </c>
      <c r="E256" t="inlineStr">
        <is>
          <t>LJUSDAL</t>
        </is>
      </c>
      <c r="F256" t="inlineStr">
        <is>
          <t>Sveaskog</t>
        </is>
      </c>
      <c r="G256" t="n">
        <v>6.5</v>
      </c>
      <c r="H256" t="n">
        <v>1</v>
      </c>
      <c r="I256" t="n">
        <v>0</v>
      </c>
      <c r="J256" t="n">
        <v>1</v>
      </c>
      <c r="K256" t="n">
        <v>0</v>
      </c>
      <c r="L256" t="n">
        <v>0</v>
      </c>
      <c r="M256" t="n">
        <v>0</v>
      </c>
      <c r="N256" t="n">
        <v>0</v>
      </c>
      <c r="O256" t="n">
        <v>1</v>
      </c>
      <c r="P256" t="n">
        <v>0</v>
      </c>
      <c r="Q256" t="n">
        <v>2</v>
      </c>
      <c r="R256" s="2" t="inlineStr">
        <is>
          <t>Lunglav
Lavskrika</t>
        </is>
      </c>
      <c r="S256">
        <f>HYPERLINK("https://klasma.github.io/Logging_2161/artfynd/A 51222-2023 artfynd.xlsx", "A 51222-2023")</f>
        <v/>
      </c>
      <c r="T256">
        <f>HYPERLINK("https://klasma.github.io/Logging_2161/kartor/A 51222-2023 karta.png", "A 51222-2023")</f>
        <v/>
      </c>
      <c r="V256">
        <f>HYPERLINK("https://klasma.github.io/Logging_2161/klagomål/A 51222-2023 FSC-klagomål.docx", "A 51222-2023")</f>
        <v/>
      </c>
      <c r="W256">
        <f>HYPERLINK("https://klasma.github.io/Logging_2161/klagomålsmail/A 51222-2023 FSC-klagomål mail.docx", "A 51222-2023")</f>
        <v/>
      </c>
      <c r="X256">
        <f>HYPERLINK("https://klasma.github.io/Logging_2161/tillsyn/A 51222-2023 tillsynsbegäran.docx", "A 51222-2023")</f>
        <v/>
      </c>
      <c r="Y256">
        <f>HYPERLINK("https://klasma.github.io/Logging_2161/tillsynsmail/A 51222-2023 tillsynsbegäran mail.docx", "A 51222-2023")</f>
        <v/>
      </c>
      <c r="Z256">
        <f>HYPERLINK("https://klasma.github.io/Logging_2161/fåglar/A 51222-2023 prioriterade fågelarter.docx", "A 51222-2023")</f>
        <v/>
      </c>
    </row>
    <row r="257" ht="15" customHeight="1">
      <c r="A257" t="inlineStr">
        <is>
          <t>A 58349-2023</t>
        </is>
      </c>
      <c r="B257" s="1" t="n">
        <v>45250</v>
      </c>
      <c r="C257" s="1" t="n">
        <v>45344</v>
      </c>
      <c r="D257" t="inlineStr">
        <is>
          <t>GÄVLEBORGS LÄN</t>
        </is>
      </c>
      <c r="E257" t="inlineStr">
        <is>
          <t>OCKELBO</t>
        </is>
      </c>
      <c r="F257" t="inlineStr">
        <is>
          <t>Bergvik skog väst AB</t>
        </is>
      </c>
      <c r="G257" t="n">
        <v>2.9</v>
      </c>
      <c r="H257" t="n">
        <v>1</v>
      </c>
      <c r="I257" t="n">
        <v>0</v>
      </c>
      <c r="J257" t="n">
        <v>1</v>
      </c>
      <c r="K257" t="n">
        <v>0</v>
      </c>
      <c r="L257" t="n">
        <v>0</v>
      </c>
      <c r="M257" t="n">
        <v>0</v>
      </c>
      <c r="N257" t="n">
        <v>0</v>
      </c>
      <c r="O257" t="n">
        <v>1</v>
      </c>
      <c r="P257" t="n">
        <v>0</v>
      </c>
      <c r="Q257" t="n">
        <v>2</v>
      </c>
      <c r="R257" s="2" t="inlineStr">
        <is>
          <t>Blanksvart spiklav
Revlummer</t>
        </is>
      </c>
      <c r="S257">
        <f>HYPERLINK("https://klasma.github.io/Logging_2101/artfynd/A 58349-2023 artfynd.xlsx", "A 58349-2023")</f>
        <v/>
      </c>
      <c r="T257">
        <f>HYPERLINK("https://klasma.github.io/Logging_2101/kartor/A 58349-2023 karta.png", "A 58349-2023")</f>
        <v/>
      </c>
      <c r="V257">
        <f>HYPERLINK("https://klasma.github.io/Logging_2101/klagomål/A 58349-2023 FSC-klagomål.docx", "A 58349-2023")</f>
        <v/>
      </c>
      <c r="W257">
        <f>HYPERLINK("https://klasma.github.io/Logging_2101/klagomålsmail/A 58349-2023 FSC-klagomål mail.docx", "A 58349-2023")</f>
        <v/>
      </c>
      <c r="X257">
        <f>HYPERLINK("https://klasma.github.io/Logging_2101/tillsyn/A 58349-2023 tillsynsbegäran.docx", "A 58349-2023")</f>
        <v/>
      </c>
      <c r="Y257">
        <f>HYPERLINK("https://klasma.github.io/Logging_2101/tillsynsmail/A 58349-2023 tillsynsbegäran mail.docx", "A 58349-2023")</f>
        <v/>
      </c>
    </row>
    <row r="258" ht="15" customHeight="1">
      <c r="A258" t="inlineStr">
        <is>
          <t>A 60875-2023</t>
        </is>
      </c>
      <c r="B258" s="1" t="n">
        <v>45261</v>
      </c>
      <c r="C258" s="1" t="n">
        <v>45344</v>
      </c>
      <c r="D258" t="inlineStr">
        <is>
          <t>GÄVLEBORGS LÄN</t>
        </is>
      </c>
      <c r="E258" t="inlineStr">
        <is>
          <t>NORDANSTIG</t>
        </is>
      </c>
      <c r="F258" t="inlineStr">
        <is>
          <t>Holmen skog AB</t>
        </is>
      </c>
      <c r="G258" t="n">
        <v>1.3</v>
      </c>
      <c r="H258" t="n">
        <v>0</v>
      </c>
      <c r="I258" t="n">
        <v>2</v>
      </c>
      <c r="J258" t="n">
        <v>0</v>
      </c>
      <c r="K258" t="n">
        <v>0</v>
      </c>
      <c r="L258" t="n">
        <v>0</v>
      </c>
      <c r="M258" t="n">
        <v>0</v>
      </c>
      <c r="N258" t="n">
        <v>0</v>
      </c>
      <c r="O258" t="n">
        <v>0</v>
      </c>
      <c r="P258" t="n">
        <v>0</v>
      </c>
      <c r="Q258" t="n">
        <v>2</v>
      </c>
      <c r="R258" s="2" t="inlineStr">
        <is>
          <t>Skogshakmossa
Strutbräken</t>
        </is>
      </c>
      <c r="S258">
        <f>HYPERLINK("https://klasma.github.io/Logging_2132/artfynd/A 60875-2023 artfynd.xlsx", "A 60875-2023")</f>
        <v/>
      </c>
      <c r="T258">
        <f>HYPERLINK("https://klasma.github.io/Logging_2132/kartor/A 60875-2023 karta.png", "A 60875-2023")</f>
        <v/>
      </c>
      <c r="V258">
        <f>HYPERLINK("https://klasma.github.io/Logging_2132/klagomål/A 60875-2023 FSC-klagomål.docx", "A 60875-2023")</f>
        <v/>
      </c>
      <c r="W258">
        <f>HYPERLINK("https://klasma.github.io/Logging_2132/klagomålsmail/A 60875-2023 FSC-klagomål mail.docx", "A 60875-2023")</f>
        <v/>
      </c>
      <c r="X258">
        <f>HYPERLINK("https://klasma.github.io/Logging_2132/tillsyn/A 60875-2023 tillsynsbegäran.docx", "A 60875-2023")</f>
        <v/>
      </c>
      <c r="Y258">
        <f>HYPERLINK("https://klasma.github.io/Logging_2132/tillsynsmail/A 60875-2023 tillsynsbegäran mail.docx", "A 60875-2023")</f>
        <v/>
      </c>
    </row>
    <row r="259" ht="15" customHeight="1">
      <c r="A259" t="inlineStr">
        <is>
          <t>A 61554-2023</t>
        </is>
      </c>
      <c r="B259" s="1" t="n">
        <v>45265</v>
      </c>
      <c r="C259" s="1" t="n">
        <v>45344</v>
      </c>
      <c r="D259" t="inlineStr">
        <is>
          <t>GÄVLEBORGS LÄN</t>
        </is>
      </c>
      <c r="E259" t="inlineStr">
        <is>
          <t>SANDVIKEN</t>
        </is>
      </c>
      <c r="G259" t="n">
        <v>4.5</v>
      </c>
      <c r="H259" t="n">
        <v>0</v>
      </c>
      <c r="I259" t="n">
        <v>1</v>
      </c>
      <c r="J259" t="n">
        <v>1</v>
      </c>
      <c r="K259" t="n">
        <v>0</v>
      </c>
      <c r="L259" t="n">
        <v>0</v>
      </c>
      <c r="M259" t="n">
        <v>0</v>
      </c>
      <c r="N259" t="n">
        <v>0</v>
      </c>
      <c r="O259" t="n">
        <v>1</v>
      </c>
      <c r="P259" t="n">
        <v>0</v>
      </c>
      <c r="Q259" t="n">
        <v>2</v>
      </c>
      <c r="R259" s="2" t="inlineStr">
        <is>
          <t>Garnlav
Nästlav</t>
        </is>
      </c>
      <c r="S259">
        <f>HYPERLINK("https://klasma.github.io/Logging_2181/artfynd/A 61554-2023 artfynd.xlsx", "A 61554-2023")</f>
        <v/>
      </c>
      <c r="T259">
        <f>HYPERLINK("https://klasma.github.io/Logging_2181/kartor/A 61554-2023 karta.png", "A 61554-2023")</f>
        <v/>
      </c>
      <c r="V259">
        <f>HYPERLINK("https://klasma.github.io/Logging_2181/klagomål/A 61554-2023 FSC-klagomål.docx", "A 61554-2023")</f>
        <v/>
      </c>
      <c r="W259">
        <f>HYPERLINK("https://klasma.github.io/Logging_2181/klagomålsmail/A 61554-2023 FSC-klagomål mail.docx", "A 61554-2023")</f>
        <v/>
      </c>
      <c r="X259">
        <f>HYPERLINK("https://klasma.github.io/Logging_2181/tillsyn/A 61554-2023 tillsynsbegäran.docx", "A 61554-2023")</f>
        <v/>
      </c>
      <c r="Y259">
        <f>HYPERLINK("https://klasma.github.io/Logging_2181/tillsynsmail/A 61554-2023 tillsynsbegäran mail.docx", "A 61554-2023")</f>
        <v/>
      </c>
    </row>
    <row r="260" ht="15" customHeight="1">
      <c r="A260" t="inlineStr">
        <is>
          <t>A 64567-2023</t>
        </is>
      </c>
      <c r="B260" s="1" t="n">
        <v>45281</v>
      </c>
      <c r="C260" s="1" t="n">
        <v>45344</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1196-2024</t>
        </is>
      </c>
      <c r="B261" s="1" t="n">
        <v>45302</v>
      </c>
      <c r="C261" s="1" t="n">
        <v>45344</v>
      </c>
      <c r="D261" t="inlineStr">
        <is>
          <t>GÄVLEBORGS LÄN</t>
        </is>
      </c>
      <c r="E261" t="inlineStr">
        <is>
          <t>OVANÅKER</t>
        </is>
      </c>
      <c r="F261" t="inlineStr">
        <is>
          <t>Bergvik skog väst AB</t>
        </is>
      </c>
      <c r="G261" t="n">
        <v>3.7</v>
      </c>
      <c r="H261" t="n">
        <v>1</v>
      </c>
      <c r="I261" t="n">
        <v>1</v>
      </c>
      <c r="J261" t="n">
        <v>0</v>
      </c>
      <c r="K261" t="n">
        <v>0</v>
      </c>
      <c r="L261" t="n">
        <v>0</v>
      </c>
      <c r="M261" t="n">
        <v>0</v>
      </c>
      <c r="N261" t="n">
        <v>0</v>
      </c>
      <c r="O261" t="n">
        <v>0</v>
      </c>
      <c r="P261" t="n">
        <v>0</v>
      </c>
      <c r="Q261" t="n">
        <v>2</v>
      </c>
      <c r="R261" s="2" t="inlineStr">
        <is>
          <t>Mörk husmossa
Blåsippa</t>
        </is>
      </c>
      <c r="S261">
        <f>HYPERLINK("https://klasma.github.io/Logging_2121/artfynd/A 1196-2024 artfynd.xlsx", "A 1196-2024")</f>
        <v/>
      </c>
      <c r="T261">
        <f>HYPERLINK("https://klasma.github.io/Logging_2121/kartor/A 1196-2024 karta.png", "A 1196-2024")</f>
        <v/>
      </c>
      <c r="V261">
        <f>HYPERLINK("https://klasma.github.io/Logging_2121/klagomål/A 1196-2024 FSC-klagomål.docx", "A 1196-2024")</f>
        <v/>
      </c>
      <c r="W261">
        <f>HYPERLINK("https://klasma.github.io/Logging_2121/klagomålsmail/A 1196-2024 FSC-klagomål mail.docx", "A 1196-2024")</f>
        <v/>
      </c>
      <c r="X261">
        <f>HYPERLINK("https://klasma.github.io/Logging_2121/tillsyn/A 1196-2024 tillsynsbegäran.docx", "A 1196-2024")</f>
        <v/>
      </c>
      <c r="Y261">
        <f>HYPERLINK("https://klasma.github.io/Logging_2121/tillsynsmail/A 1196-2024 tillsynsbegäran mail.docx", "A 1196-2024")</f>
        <v/>
      </c>
    </row>
    <row r="262" ht="15" customHeight="1">
      <c r="A262" t="inlineStr">
        <is>
          <t>A 4081-2024</t>
        </is>
      </c>
      <c r="B262" s="1" t="n">
        <v>45323</v>
      </c>
      <c r="C262" s="1" t="n">
        <v>45344</v>
      </c>
      <c r="D262" t="inlineStr">
        <is>
          <t>GÄVLEBORGS LÄN</t>
        </is>
      </c>
      <c r="E262" t="inlineStr">
        <is>
          <t>OVANÅKER</t>
        </is>
      </c>
      <c r="G262" t="n">
        <v>3.3</v>
      </c>
      <c r="H262" t="n">
        <v>0</v>
      </c>
      <c r="I262" t="n">
        <v>0</v>
      </c>
      <c r="J262" t="n">
        <v>2</v>
      </c>
      <c r="K262" t="n">
        <v>0</v>
      </c>
      <c r="L262" t="n">
        <v>0</v>
      </c>
      <c r="M262" t="n">
        <v>0</v>
      </c>
      <c r="N262" t="n">
        <v>0</v>
      </c>
      <c r="O262" t="n">
        <v>2</v>
      </c>
      <c r="P262" t="n">
        <v>0</v>
      </c>
      <c r="Q262" t="n">
        <v>2</v>
      </c>
      <c r="R262" s="2" t="inlineStr">
        <is>
          <t>Rosenticka
Ullticka</t>
        </is>
      </c>
      <c r="S262">
        <f>HYPERLINK("https://klasma.github.io/Logging_2121/artfynd/A 4081-2024 artfynd.xlsx", "A 4081-2024")</f>
        <v/>
      </c>
      <c r="T262">
        <f>HYPERLINK("https://klasma.github.io/Logging_2121/kartor/A 4081-2024 karta.png", "A 4081-2024")</f>
        <v/>
      </c>
      <c r="V262">
        <f>HYPERLINK("https://klasma.github.io/Logging_2121/klagomål/A 4081-2024 FSC-klagomål.docx", "A 4081-2024")</f>
        <v/>
      </c>
      <c r="W262">
        <f>HYPERLINK("https://klasma.github.io/Logging_2121/klagomålsmail/A 4081-2024 FSC-klagomål mail.docx", "A 4081-2024")</f>
        <v/>
      </c>
      <c r="X262">
        <f>HYPERLINK("https://klasma.github.io/Logging_2121/tillsyn/A 4081-2024 tillsynsbegäran.docx", "A 4081-2024")</f>
        <v/>
      </c>
      <c r="Y262">
        <f>HYPERLINK("https://klasma.github.io/Logging_2121/tillsynsmail/A 4081-2024 tillsynsbegäran mail.docx", "A 4081-2024")</f>
        <v/>
      </c>
    </row>
    <row r="263" ht="15" customHeight="1">
      <c r="A263" t="inlineStr">
        <is>
          <t>A 6473-2024</t>
        </is>
      </c>
      <c r="B263" s="1" t="n">
        <v>45338</v>
      </c>
      <c r="C263" s="1" t="n">
        <v>45344</v>
      </c>
      <c r="D263" t="inlineStr">
        <is>
          <t>GÄVLEBORGS LÄN</t>
        </is>
      </c>
      <c r="E263" t="inlineStr">
        <is>
          <t>GÄVLE</t>
        </is>
      </c>
      <c r="G263" t="n">
        <v>4</v>
      </c>
      <c r="H263" t="n">
        <v>1</v>
      </c>
      <c r="I263" t="n">
        <v>1</v>
      </c>
      <c r="J263" t="n">
        <v>0</v>
      </c>
      <c r="K263" t="n">
        <v>0</v>
      </c>
      <c r="L263" t="n">
        <v>0</v>
      </c>
      <c r="M263" t="n">
        <v>0</v>
      </c>
      <c r="N263" t="n">
        <v>0</v>
      </c>
      <c r="O263" t="n">
        <v>0</v>
      </c>
      <c r="P263" t="n">
        <v>0</v>
      </c>
      <c r="Q263" t="n">
        <v>2</v>
      </c>
      <c r="R263" s="2" t="inlineStr">
        <is>
          <t>Tibast
Nattviol</t>
        </is>
      </c>
      <c r="S263">
        <f>HYPERLINK("https://klasma.github.io/Logging_2180/artfynd/A 6473-2024 artfynd.xlsx", "A 6473-2024")</f>
        <v/>
      </c>
      <c r="T263">
        <f>HYPERLINK("https://klasma.github.io/Logging_2180/kartor/A 6473-2024 karta.png", "A 6473-2024")</f>
        <v/>
      </c>
      <c r="V263">
        <f>HYPERLINK("https://klasma.github.io/Logging_2180/klagomål/A 6473-2024 FSC-klagomål.docx", "A 6473-2024")</f>
        <v/>
      </c>
      <c r="W263">
        <f>HYPERLINK("https://klasma.github.io/Logging_2180/klagomålsmail/A 6473-2024 FSC-klagomål mail.docx", "A 6473-2024")</f>
        <v/>
      </c>
      <c r="X263">
        <f>HYPERLINK("https://klasma.github.io/Logging_2180/tillsyn/A 6473-2024 tillsynsbegäran.docx", "A 6473-2024")</f>
        <v/>
      </c>
      <c r="Y263">
        <f>HYPERLINK("https://klasma.github.io/Logging_2180/tillsynsmail/A 6473-2024 tillsynsbegäran mail.docx", "A 6473-2024")</f>
        <v/>
      </c>
    </row>
    <row r="264" ht="15" customHeight="1">
      <c r="A264" t="inlineStr">
        <is>
          <t>A 40857-2018</t>
        </is>
      </c>
      <c r="B264" s="1" t="n">
        <v>43347</v>
      </c>
      <c r="C264" s="1" t="n">
        <v>45344</v>
      </c>
      <c r="D264" t="inlineStr">
        <is>
          <t>GÄVLEBORGS LÄN</t>
        </is>
      </c>
      <c r="E264" t="inlineStr">
        <is>
          <t>LJUSDAL</t>
        </is>
      </c>
      <c r="G264" t="n">
        <v>49.9</v>
      </c>
      <c r="H264" t="n">
        <v>0</v>
      </c>
      <c r="I264" t="n">
        <v>0</v>
      </c>
      <c r="J264" t="n">
        <v>1</v>
      </c>
      <c r="K264" t="n">
        <v>0</v>
      </c>
      <c r="L264" t="n">
        <v>0</v>
      </c>
      <c r="M264" t="n">
        <v>0</v>
      </c>
      <c r="N264" t="n">
        <v>0</v>
      </c>
      <c r="O264" t="n">
        <v>1</v>
      </c>
      <c r="P264" t="n">
        <v>0</v>
      </c>
      <c r="Q264" t="n">
        <v>1</v>
      </c>
      <c r="R264" s="2" t="inlineStr">
        <is>
          <t>Svedjenäva</t>
        </is>
      </c>
      <c r="S264">
        <f>HYPERLINK("https://klasma.github.io/Logging_2161/artfynd/A 40857-2018 artfynd.xlsx", "A 40857-2018")</f>
        <v/>
      </c>
      <c r="T264">
        <f>HYPERLINK("https://klasma.github.io/Logging_2161/kartor/A 40857-2018 karta.png", "A 40857-2018")</f>
        <v/>
      </c>
      <c r="V264">
        <f>HYPERLINK("https://klasma.github.io/Logging_2161/klagomål/A 40857-2018 FSC-klagomål.docx", "A 40857-2018")</f>
        <v/>
      </c>
      <c r="W264">
        <f>HYPERLINK("https://klasma.github.io/Logging_2161/klagomålsmail/A 40857-2018 FSC-klagomål mail.docx", "A 40857-2018")</f>
        <v/>
      </c>
      <c r="X264">
        <f>HYPERLINK("https://klasma.github.io/Logging_2161/tillsyn/A 40857-2018 tillsynsbegäran.docx", "A 40857-2018")</f>
        <v/>
      </c>
      <c r="Y264">
        <f>HYPERLINK("https://klasma.github.io/Logging_2161/tillsynsmail/A 40857-2018 tillsynsbegäran mail.docx", "A 40857-2018")</f>
        <v/>
      </c>
    </row>
    <row r="265" ht="15" customHeight="1">
      <c r="A265" t="inlineStr">
        <is>
          <t>A 42220-2018</t>
        </is>
      </c>
      <c r="B265" s="1" t="n">
        <v>43349</v>
      </c>
      <c r="C265" s="1" t="n">
        <v>45344</v>
      </c>
      <c r="D265" t="inlineStr">
        <is>
          <t>GÄVLEBORGS LÄN</t>
        </is>
      </c>
      <c r="E265" t="inlineStr">
        <is>
          <t>OVANÅKER</t>
        </is>
      </c>
      <c r="G265" t="n">
        <v>32.2</v>
      </c>
      <c r="H265" t="n">
        <v>1</v>
      </c>
      <c r="I265" t="n">
        <v>0</v>
      </c>
      <c r="J265" t="n">
        <v>0</v>
      </c>
      <c r="K265" t="n">
        <v>1</v>
      </c>
      <c r="L265" t="n">
        <v>0</v>
      </c>
      <c r="M265" t="n">
        <v>0</v>
      </c>
      <c r="N265" t="n">
        <v>0</v>
      </c>
      <c r="O265" t="n">
        <v>1</v>
      </c>
      <c r="P265" t="n">
        <v>1</v>
      </c>
      <c r="Q265" t="n">
        <v>1</v>
      </c>
      <c r="R265" s="2" t="inlineStr">
        <is>
          <t>Lappuggla</t>
        </is>
      </c>
      <c r="S265">
        <f>HYPERLINK("https://klasma.github.io/Logging_2121/artfynd/A 42220-2018 artfynd.xlsx", "A 42220-2018")</f>
        <v/>
      </c>
      <c r="T265">
        <f>HYPERLINK("https://klasma.github.io/Logging_2121/kartor/A 42220-2018 karta.png", "A 42220-2018")</f>
        <v/>
      </c>
      <c r="V265">
        <f>HYPERLINK("https://klasma.github.io/Logging_2121/klagomål/A 42220-2018 FSC-klagomål.docx", "A 42220-2018")</f>
        <v/>
      </c>
      <c r="W265">
        <f>HYPERLINK("https://klasma.github.io/Logging_2121/klagomålsmail/A 42220-2018 FSC-klagomål mail.docx", "A 42220-2018")</f>
        <v/>
      </c>
      <c r="X265">
        <f>HYPERLINK("https://klasma.github.io/Logging_2121/tillsyn/A 42220-2018 tillsynsbegäran.docx", "A 42220-2018")</f>
        <v/>
      </c>
      <c r="Y265">
        <f>HYPERLINK("https://klasma.github.io/Logging_2121/tillsynsmail/A 42220-2018 tillsynsbegäran mail.docx", "A 42220-2018")</f>
        <v/>
      </c>
      <c r="Z265">
        <f>HYPERLINK("https://klasma.github.io/Logging_2121/fåglar/A 42220-2018 prioriterade fågelarter.docx", "A 42220-2018")</f>
        <v/>
      </c>
    </row>
    <row r="266" ht="15" customHeight="1">
      <c r="A266" t="inlineStr">
        <is>
          <t>A 43261-2018</t>
        </is>
      </c>
      <c r="B266" s="1" t="n">
        <v>43355</v>
      </c>
      <c r="C266" s="1" t="n">
        <v>45344</v>
      </c>
      <c r="D266" t="inlineStr">
        <is>
          <t>GÄVLEBORGS LÄN</t>
        </is>
      </c>
      <c r="E266" t="inlineStr">
        <is>
          <t>LJUSDAL</t>
        </is>
      </c>
      <c r="F266" t="inlineStr">
        <is>
          <t>Holmen skog AB</t>
        </is>
      </c>
      <c r="G266" t="n">
        <v>285.6</v>
      </c>
      <c r="H266" t="n">
        <v>0</v>
      </c>
      <c r="I266" t="n">
        <v>0</v>
      </c>
      <c r="J266" t="n">
        <v>1</v>
      </c>
      <c r="K266" t="n">
        <v>0</v>
      </c>
      <c r="L266" t="n">
        <v>0</v>
      </c>
      <c r="M266" t="n">
        <v>0</v>
      </c>
      <c r="N266" t="n">
        <v>0</v>
      </c>
      <c r="O266" t="n">
        <v>1</v>
      </c>
      <c r="P266" t="n">
        <v>0</v>
      </c>
      <c r="Q266" t="n">
        <v>1</v>
      </c>
      <c r="R266" s="2" t="inlineStr">
        <is>
          <t>Garnlav</t>
        </is>
      </c>
      <c r="S266">
        <f>HYPERLINK("https://klasma.github.io/Logging_2161/artfynd/A 43261-2018 artfynd.xlsx", "A 43261-2018")</f>
        <v/>
      </c>
      <c r="T266">
        <f>HYPERLINK("https://klasma.github.io/Logging_2161/kartor/A 43261-2018 karta.png", "A 43261-2018")</f>
        <v/>
      </c>
      <c r="V266">
        <f>HYPERLINK("https://klasma.github.io/Logging_2161/klagomål/A 43261-2018 FSC-klagomål.docx", "A 43261-2018")</f>
        <v/>
      </c>
      <c r="W266">
        <f>HYPERLINK("https://klasma.github.io/Logging_2161/klagomålsmail/A 43261-2018 FSC-klagomål mail.docx", "A 43261-2018")</f>
        <v/>
      </c>
      <c r="X266">
        <f>HYPERLINK("https://klasma.github.io/Logging_2161/tillsyn/A 43261-2018 tillsynsbegäran.docx", "A 43261-2018")</f>
        <v/>
      </c>
      <c r="Y266">
        <f>HYPERLINK("https://klasma.github.io/Logging_2161/tillsynsmail/A 43261-2018 tillsynsbegäran mail.docx", "A 43261-2018")</f>
        <v/>
      </c>
    </row>
    <row r="267" ht="15" customHeight="1">
      <c r="A267" t="inlineStr">
        <is>
          <t>A 46314-2018</t>
        </is>
      </c>
      <c r="B267" s="1" t="n">
        <v>43367</v>
      </c>
      <c r="C267" s="1" t="n">
        <v>45344</v>
      </c>
      <c r="D267" t="inlineStr">
        <is>
          <t>GÄVLEBORGS LÄN</t>
        </is>
      </c>
      <c r="E267" t="inlineStr">
        <is>
          <t>LJUSDAL</t>
        </is>
      </c>
      <c r="G267" t="n">
        <v>22.2</v>
      </c>
      <c r="H267" t="n">
        <v>0</v>
      </c>
      <c r="I267" t="n">
        <v>0</v>
      </c>
      <c r="J267" t="n">
        <v>1</v>
      </c>
      <c r="K267" t="n">
        <v>0</v>
      </c>
      <c r="L267" t="n">
        <v>0</v>
      </c>
      <c r="M267" t="n">
        <v>0</v>
      </c>
      <c r="N267" t="n">
        <v>0</v>
      </c>
      <c r="O267" t="n">
        <v>1</v>
      </c>
      <c r="P267" t="n">
        <v>0</v>
      </c>
      <c r="Q267" t="n">
        <v>1</v>
      </c>
      <c r="R267" s="2" t="inlineStr">
        <is>
          <t>Gropig brunbagge</t>
        </is>
      </c>
      <c r="S267">
        <f>HYPERLINK("https://klasma.github.io/Logging_2161/artfynd/A 46314-2018 artfynd.xlsx", "A 46314-2018")</f>
        <v/>
      </c>
      <c r="T267">
        <f>HYPERLINK("https://klasma.github.io/Logging_2161/kartor/A 46314-2018 karta.png", "A 46314-2018")</f>
        <v/>
      </c>
      <c r="V267">
        <f>HYPERLINK("https://klasma.github.io/Logging_2161/klagomål/A 46314-2018 FSC-klagomål.docx", "A 46314-2018")</f>
        <v/>
      </c>
      <c r="W267">
        <f>HYPERLINK("https://klasma.github.io/Logging_2161/klagomålsmail/A 46314-2018 FSC-klagomål mail.docx", "A 46314-2018")</f>
        <v/>
      </c>
      <c r="X267">
        <f>HYPERLINK("https://klasma.github.io/Logging_2161/tillsyn/A 46314-2018 tillsynsbegäran.docx", "A 46314-2018")</f>
        <v/>
      </c>
      <c r="Y267">
        <f>HYPERLINK("https://klasma.github.io/Logging_2161/tillsynsmail/A 46314-2018 tillsynsbegäran mail.docx", "A 46314-2018")</f>
        <v/>
      </c>
    </row>
    <row r="268" ht="15" customHeight="1">
      <c r="A268" t="inlineStr">
        <is>
          <t>A 62144-2018</t>
        </is>
      </c>
      <c r="B268" s="1" t="n">
        <v>43385</v>
      </c>
      <c r="C268" s="1" t="n">
        <v>45344</v>
      </c>
      <c r="D268" t="inlineStr">
        <is>
          <t>GÄVLEBORGS LÄN</t>
        </is>
      </c>
      <c r="E268" t="inlineStr">
        <is>
          <t>LJUSDAL</t>
        </is>
      </c>
      <c r="F268" t="inlineStr">
        <is>
          <t>Bergvik skog väst AB</t>
        </is>
      </c>
      <c r="G268" t="n">
        <v>9.1</v>
      </c>
      <c r="H268" t="n">
        <v>0</v>
      </c>
      <c r="I268" t="n">
        <v>0</v>
      </c>
      <c r="J268" t="n">
        <v>0</v>
      </c>
      <c r="K268" t="n">
        <v>1</v>
      </c>
      <c r="L268" t="n">
        <v>0</v>
      </c>
      <c r="M268" t="n">
        <v>0</v>
      </c>
      <c r="N268" t="n">
        <v>0</v>
      </c>
      <c r="O268" t="n">
        <v>1</v>
      </c>
      <c r="P268" t="n">
        <v>1</v>
      </c>
      <c r="Q268" t="n">
        <v>1</v>
      </c>
      <c r="R268" s="2" t="inlineStr">
        <is>
          <t>Gräddporing</t>
        </is>
      </c>
      <c r="S268">
        <f>HYPERLINK("https://klasma.github.io/Logging_2161/artfynd/A 62144-2018 artfynd.xlsx", "A 62144-2018")</f>
        <v/>
      </c>
      <c r="T268">
        <f>HYPERLINK("https://klasma.github.io/Logging_2161/kartor/A 62144-2018 karta.png", "A 62144-2018")</f>
        <v/>
      </c>
      <c r="V268">
        <f>HYPERLINK("https://klasma.github.io/Logging_2161/klagomål/A 62144-2018 FSC-klagomål.docx", "A 62144-2018")</f>
        <v/>
      </c>
      <c r="W268">
        <f>HYPERLINK("https://klasma.github.io/Logging_2161/klagomålsmail/A 62144-2018 FSC-klagomål mail.docx", "A 62144-2018")</f>
        <v/>
      </c>
      <c r="X268">
        <f>HYPERLINK("https://klasma.github.io/Logging_2161/tillsyn/A 62144-2018 tillsynsbegäran.docx", "A 62144-2018")</f>
        <v/>
      </c>
      <c r="Y268">
        <f>HYPERLINK("https://klasma.github.io/Logging_2161/tillsynsmail/A 62144-2018 tillsynsbegäran mail.docx", "A 62144-2018")</f>
        <v/>
      </c>
    </row>
    <row r="269" ht="15" customHeight="1">
      <c r="A269" t="inlineStr">
        <is>
          <t>A 52010-2018</t>
        </is>
      </c>
      <c r="B269" s="1" t="n">
        <v>43385</v>
      </c>
      <c r="C269" s="1" t="n">
        <v>45344</v>
      </c>
      <c r="D269" t="inlineStr">
        <is>
          <t>GÄVLEBORGS LÄN</t>
        </is>
      </c>
      <c r="E269" t="inlineStr">
        <is>
          <t>LJUSDAL</t>
        </is>
      </c>
      <c r="F269" t="inlineStr">
        <is>
          <t>Bergvik skog väst AB</t>
        </is>
      </c>
      <c r="G269" t="n">
        <v>9.1</v>
      </c>
      <c r="H269" t="n">
        <v>0</v>
      </c>
      <c r="I269" t="n">
        <v>0</v>
      </c>
      <c r="J269" t="n">
        <v>0</v>
      </c>
      <c r="K269" t="n">
        <v>1</v>
      </c>
      <c r="L269" t="n">
        <v>0</v>
      </c>
      <c r="M269" t="n">
        <v>0</v>
      </c>
      <c r="N269" t="n">
        <v>0</v>
      </c>
      <c r="O269" t="n">
        <v>1</v>
      </c>
      <c r="P269" t="n">
        <v>1</v>
      </c>
      <c r="Q269" t="n">
        <v>1</v>
      </c>
      <c r="R269" s="2" t="inlineStr">
        <is>
          <t>Gräddporing</t>
        </is>
      </c>
      <c r="S269">
        <f>HYPERLINK("https://klasma.github.io/Logging_2161/artfynd/A 52010-2018 artfynd.xlsx", "A 52010-2018")</f>
        <v/>
      </c>
      <c r="T269">
        <f>HYPERLINK("https://klasma.github.io/Logging_2161/kartor/A 52010-2018 karta.png", "A 52010-2018")</f>
        <v/>
      </c>
      <c r="V269">
        <f>HYPERLINK("https://klasma.github.io/Logging_2161/klagomål/A 52010-2018 FSC-klagomål.docx", "A 52010-2018")</f>
        <v/>
      </c>
      <c r="W269">
        <f>HYPERLINK("https://klasma.github.io/Logging_2161/klagomålsmail/A 52010-2018 FSC-klagomål mail.docx", "A 52010-2018")</f>
        <v/>
      </c>
      <c r="X269">
        <f>HYPERLINK("https://klasma.github.io/Logging_2161/tillsyn/A 52010-2018 tillsynsbegäran.docx", "A 52010-2018")</f>
        <v/>
      </c>
      <c r="Y269">
        <f>HYPERLINK("https://klasma.github.io/Logging_2161/tillsynsmail/A 52010-2018 tillsynsbegäran mail.docx", "A 52010-2018")</f>
        <v/>
      </c>
    </row>
    <row r="270" ht="15" customHeight="1">
      <c r="A270" t="inlineStr">
        <is>
          <t>A 63969-2018</t>
        </is>
      </c>
      <c r="B270" s="1" t="n">
        <v>43389</v>
      </c>
      <c r="C270" s="1" t="n">
        <v>45344</v>
      </c>
      <c r="D270" t="inlineStr">
        <is>
          <t>GÄVLEBORGS LÄN</t>
        </is>
      </c>
      <c r="E270" t="inlineStr">
        <is>
          <t>LJUSDAL</t>
        </is>
      </c>
      <c r="F270" t="inlineStr">
        <is>
          <t>Bergvik skog väst AB</t>
        </is>
      </c>
      <c r="G270" t="n">
        <v>9.1</v>
      </c>
      <c r="H270" t="n">
        <v>0</v>
      </c>
      <c r="I270" t="n">
        <v>0</v>
      </c>
      <c r="J270" t="n">
        <v>0</v>
      </c>
      <c r="K270" t="n">
        <v>1</v>
      </c>
      <c r="L270" t="n">
        <v>0</v>
      </c>
      <c r="M270" t="n">
        <v>0</v>
      </c>
      <c r="N270" t="n">
        <v>0</v>
      </c>
      <c r="O270" t="n">
        <v>1</v>
      </c>
      <c r="P270" t="n">
        <v>1</v>
      </c>
      <c r="Q270" t="n">
        <v>1</v>
      </c>
      <c r="R270" s="2" t="inlineStr">
        <is>
          <t>Gräddporing</t>
        </is>
      </c>
      <c r="S270">
        <f>HYPERLINK("https://klasma.github.io/Logging_2161/artfynd/A 63969-2018 artfynd.xlsx", "A 63969-2018")</f>
        <v/>
      </c>
      <c r="T270">
        <f>HYPERLINK("https://klasma.github.io/Logging_2161/kartor/A 63969-2018 karta.png", "A 63969-2018")</f>
        <v/>
      </c>
      <c r="V270">
        <f>HYPERLINK("https://klasma.github.io/Logging_2161/klagomål/A 63969-2018 FSC-klagomål.docx", "A 63969-2018")</f>
        <v/>
      </c>
      <c r="W270">
        <f>HYPERLINK("https://klasma.github.io/Logging_2161/klagomålsmail/A 63969-2018 FSC-klagomål mail.docx", "A 63969-2018")</f>
        <v/>
      </c>
      <c r="X270">
        <f>HYPERLINK("https://klasma.github.io/Logging_2161/tillsyn/A 63969-2018 tillsynsbegäran.docx", "A 63969-2018")</f>
        <v/>
      </c>
      <c r="Y270">
        <f>HYPERLINK("https://klasma.github.io/Logging_2161/tillsynsmail/A 63969-2018 tillsynsbegäran mail.docx", "A 63969-2018")</f>
        <v/>
      </c>
    </row>
    <row r="271" ht="15" customHeight="1">
      <c r="A271" t="inlineStr">
        <is>
          <t>A 63515-2018</t>
        </is>
      </c>
      <c r="B271" s="1" t="n">
        <v>43427</v>
      </c>
      <c r="C271" s="1" t="n">
        <v>45344</v>
      </c>
      <c r="D271" t="inlineStr">
        <is>
          <t>GÄVLEBORGS LÄN</t>
        </is>
      </c>
      <c r="E271" t="inlineStr">
        <is>
          <t>SÖDERHAMN</t>
        </is>
      </c>
      <c r="F271" t="inlineStr">
        <is>
          <t>Bergvik skog väst AB</t>
        </is>
      </c>
      <c r="G271" t="n">
        <v>1.6</v>
      </c>
      <c r="H271" t="n">
        <v>1</v>
      </c>
      <c r="I271" t="n">
        <v>0</v>
      </c>
      <c r="J271" t="n">
        <v>1</v>
      </c>
      <c r="K271" t="n">
        <v>0</v>
      </c>
      <c r="L271" t="n">
        <v>0</v>
      </c>
      <c r="M271" t="n">
        <v>0</v>
      </c>
      <c r="N271" t="n">
        <v>0</v>
      </c>
      <c r="O271" t="n">
        <v>1</v>
      </c>
      <c r="P271" t="n">
        <v>0</v>
      </c>
      <c r="Q271" t="n">
        <v>1</v>
      </c>
      <c r="R271" s="2" t="inlineStr">
        <is>
          <t>Nordfladdermus</t>
        </is>
      </c>
      <c r="S271">
        <f>HYPERLINK("https://klasma.github.io/Logging_2182/artfynd/A 63515-2018 artfynd.xlsx", "A 63515-2018")</f>
        <v/>
      </c>
      <c r="T271">
        <f>HYPERLINK("https://klasma.github.io/Logging_2182/kartor/A 63515-2018 karta.png", "A 63515-2018")</f>
        <v/>
      </c>
      <c r="V271">
        <f>HYPERLINK("https://klasma.github.io/Logging_2182/klagomål/A 63515-2018 FSC-klagomål.docx", "A 63515-2018")</f>
        <v/>
      </c>
      <c r="W271">
        <f>HYPERLINK("https://klasma.github.io/Logging_2182/klagomålsmail/A 63515-2018 FSC-klagomål mail.docx", "A 63515-2018")</f>
        <v/>
      </c>
      <c r="X271">
        <f>HYPERLINK("https://klasma.github.io/Logging_2182/tillsyn/A 63515-2018 tillsynsbegäran.docx", "A 63515-2018")</f>
        <v/>
      </c>
      <c r="Y271">
        <f>HYPERLINK("https://klasma.github.io/Logging_2182/tillsynsmail/A 63515-2018 tillsynsbegäran mail.docx", "A 63515-2018")</f>
        <v/>
      </c>
    </row>
    <row r="272" ht="15" customHeight="1">
      <c r="A272" t="inlineStr">
        <is>
          <t>A 66106-2018</t>
        </is>
      </c>
      <c r="B272" s="1" t="n">
        <v>43434</v>
      </c>
      <c r="C272" s="1" t="n">
        <v>45344</v>
      </c>
      <c r="D272" t="inlineStr">
        <is>
          <t>GÄVLEBORGS LÄN</t>
        </is>
      </c>
      <c r="E272" t="inlineStr">
        <is>
          <t>SANDVIKEN</t>
        </is>
      </c>
      <c r="G272" t="n">
        <v>1.6</v>
      </c>
      <c r="H272" t="n">
        <v>0</v>
      </c>
      <c r="I272" t="n">
        <v>1</v>
      </c>
      <c r="J272" t="n">
        <v>0</v>
      </c>
      <c r="K272" t="n">
        <v>0</v>
      </c>
      <c r="L272" t="n">
        <v>0</v>
      </c>
      <c r="M272" t="n">
        <v>0</v>
      </c>
      <c r="N272" t="n">
        <v>0</v>
      </c>
      <c r="O272" t="n">
        <v>0</v>
      </c>
      <c r="P272" t="n">
        <v>0</v>
      </c>
      <c r="Q272" t="n">
        <v>1</v>
      </c>
      <c r="R272" s="2" t="inlineStr">
        <is>
          <t>Tibast</t>
        </is>
      </c>
      <c r="S272">
        <f>HYPERLINK("https://klasma.github.io/Logging_2181/artfynd/A 66106-2018 artfynd.xlsx", "A 66106-2018")</f>
        <v/>
      </c>
      <c r="T272">
        <f>HYPERLINK("https://klasma.github.io/Logging_2181/kartor/A 66106-2018 karta.png", "A 66106-2018")</f>
        <v/>
      </c>
      <c r="V272">
        <f>HYPERLINK("https://klasma.github.io/Logging_2181/klagomål/A 66106-2018 FSC-klagomål.docx", "A 66106-2018")</f>
        <v/>
      </c>
      <c r="W272">
        <f>HYPERLINK("https://klasma.github.io/Logging_2181/klagomålsmail/A 66106-2018 FSC-klagomål mail.docx", "A 66106-2018")</f>
        <v/>
      </c>
      <c r="X272">
        <f>HYPERLINK("https://klasma.github.io/Logging_2181/tillsyn/A 66106-2018 tillsynsbegäran.docx", "A 66106-2018")</f>
        <v/>
      </c>
      <c r="Y272">
        <f>HYPERLINK("https://klasma.github.io/Logging_2181/tillsynsmail/A 66106-2018 tillsynsbegäran mail.docx", "A 66106-2018")</f>
        <v/>
      </c>
    </row>
    <row r="273" ht="15" customHeight="1">
      <c r="A273" t="inlineStr">
        <is>
          <t>A 68968-2018</t>
        </is>
      </c>
      <c r="B273" s="1" t="n">
        <v>43445</v>
      </c>
      <c r="C273" s="1" t="n">
        <v>45344</v>
      </c>
      <c r="D273" t="inlineStr">
        <is>
          <t>GÄVLEBORGS LÄN</t>
        </is>
      </c>
      <c r="E273" t="inlineStr">
        <is>
          <t>LJUSDAL</t>
        </is>
      </c>
      <c r="F273" t="inlineStr">
        <is>
          <t>Sveaskog</t>
        </is>
      </c>
      <c r="G273" t="n">
        <v>1.3</v>
      </c>
      <c r="H273" t="n">
        <v>0</v>
      </c>
      <c r="I273" t="n">
        <v>0</v>
      </c>
      <c r="J273" t="n">
        <v>1</v>
      </c>
      <c r="K273" t="n">
        <v>0</v>
      </c>
      <c r="L273" t="n">
        <v>0</v>
      </c>
      <c r="M273" t="n">
        <v>0</v>
      </c>
      <c r="N273" t="n">
        <v>0</v>
      </c>
      <c r="O273" t="n">
        <v>1</v>
      </c>
      <c r="P273" t="n">
        <v>0</v>
      </c>
      <c r="Q273" t="n">
        <v>1</v>
      </c>
      <c r="R273" s="2" t="inlineStr">
        <is>
          <t>Lunglav</t>
        </is>
      </c>
      <c r="S273">
        <f>HYPERLINK("https://klasma.github.io/Logging_2161/artfynd/A 68968-2018 artfynd.xlsx", "A 68968-2018")</f>
        <v/>
      </c>
      <c r="T273">
        <f>HYPERLINK("https://klasma.github.io/Logging_2161/kartor/A 68968-2018 karta.png", "A 68968-2018")</f>
        <v/>
      </c>
      <c r="V273">
        <f>HYPERLINK("https://klasma.github.io/Logging_2161/klagomål/A 68968-2018 FSC-klagomål.docx", "A 68968-2018")</f>
        <v/>
      </c>
      <c r="W273">
        <f>HYPERLINK("https://klasma.github.io/Logging_2161/klagomålsmail/A 68968-2018 FSC-klagomål mail.docx", "A 68968-2018")</f>
        <v/>
      </c>
      <c r="X273">
        <f>HYPERLINK("https://klasma.github.io/Logging_2161/tillsyn/A 68968-2018 tillsynsbegäran.docx", "A 68968-2018")</f>
        <v/>
      </c>
      <c r="Y273">
        <f>HYPERLINK("https://klasma.github.io/Logging_2161/tillsynsmail/A 68968-2018 tillsynsbegäran mail.docx", "A 68968-2018")</f>
        <v/>
      </c>
    </row>
    <row r="274" ht="15" customHeight="1">
      <c r="A274" t="inlineStr">
        <is>
          <t>A 5448-2019</t>
        </is>
      </c>
      <c r="B274" s="1" t="n">
        <v>43481</v>
      </c>
      <c r="C274" s="1" t="n">
        <v>45344</v>
      </c>
      <c r="D274" t="inlineStr">
        <is>
          <t>GÄVLEBORGS LÄN</t>
        </is>
      </c>
      <c r="E274" t="inlineStr">
        <is>
          <t>LJUSDAL</t>
        </is>
      </c>
      <c r="G274" t="n">
        <v>4.3</v>
      </c>
      <c r="H274" t="n">
        <v>1</v>
      </c>
      <c r="I274" t="n">
        <v>0</v>
      </c>
      <c r="J274" t="n">
        <v>1</v>
      </c>
      <c r="K274" t="n">
        <v>0</v>
      </c>
      <c r="L274" t="n">
        <v>0</v>
      </c>
      <c r="M274" t="n">
        <v>0</v>
      </c>
      <c r="N274" t="n">
        <v>0</v>
      </c>
      <c r="O274" t="n">
        <v>1</v>
      </c>
      <c r="P274" t="n">
        <v>0</v>
      </c>
      <c r="Q274" t="n">
        <v>1</v>
      </c>
      <c r="R274" s="2" t="inlineStr">
        <is>
          <t>Fjällvråk</t>
        </is>
      </c>
      <c r="S274">
        <f>HYPERLINK("https://klasma.github.io/Logging_2161/artfynd/A 5448-2019 artfynd.xlsx", "A 5448-2019")</f>
        <v/>
      </c>
      <c r="T274">
        <f>HYPERLINK("https://klasma.github.io/Logging_2161/kartor/A 5448-2019 karta.png", "A 5448-2019")</f>
        <v/>
      </c>
      <c r="V274">
        <f>HYPERLINK("https://klasma.github.io/Logging_2161/klagomål/A 5448-2019 FSC-klagomål.docx", "A 5448-2019")</f>
        <v/>
      </c>
      <c r="W274">
        <f>HYPERLINK("https://klasma.github.io/Logging_2161/klagomålsmail/A 5448-2019 FSC-klagomål mail.docx", "A 5448-2019")</f>
        <v/>
      </c>
      <c r="X274">
        <f>HYPERLINK("https://klasma.github.io/Logging_2161/tillsyn/A 5448-2019 tillsynsbegäran.docx", "A 5448-2019")</f>
        <v/>
      </c>
      <c r="Y274">
        <f>HYPERLINK("https://klasma.github.io/Logging_2161/tillsynsmail/A 5448-2019 tillsynsbegäran mail.docx", "A 5448-2019")</f>
        <v/>
      </c>
      <c r="Z274">
        <f>HYPERLINK("https://klasma.github.io/Logging_2161/fåglar/A 5448-2019 prioriterade fågelarter.docx", "A 5448-2019")</f>
        <v/>
      </c>
    </row>
    <row r="275" ht="15" customHeight="1">
      <c r="A275" t="inlineStr">
        <is>
          <t>A 5605-2019</t>
        </is>
      </c>
      <c r="B275" s="1" t="n">
        <v>43489</v>
      </c>
      <c r="C275" s="1" t="n">
        <v>45344</v>
      </c>
      <c r="D275" t="inlineStr">
        <is>
          <t>GÄVLEBORGS LÄN</t>
        </is>
      </c>
      <c r="E275" t="inlineStr">
        <is>
          <t>OCKELBO</t>
        </is>
      </c>
      <c r="G275" t="n">
        <v>5.9</v>
      </c>
      <c r="H275" t="n">
        <v>1</v>
      </c>
      <c r="I275" t="n">
        <v>0</v>
      </c>
      <c r="J275" t="n">
        <v>1</v>
      </c>
      <c r="K275" t="n">
        <v>0</v>
      </c>
      <c r="L275" t="n">
        <v>0</v>
      </c>
      <c r="M275" t="n">
        <v>0</v>
      </c>
      <c r="N275" t="n">
        <v>0</v>
      </c>
      <c r="O275" t="n">
        <v>1</v>
      </c>
      <c r="P275" t="n">
        <v>0</v>
      </c>
      <c r="Q275" t="n">
        <v>1</v>
      </c>
      <c r="R275" s="2" t="inlineStr">
        <is>
          <t>Havsörn</t>
        </is>
      </c>
      <c r="S275">
        <f>HYPERLINK("https://klasma.github.io/Logging_2101/artfynd/A 5605-2019 artfynd.xlsx", "A 5605-2019")</f>
        <v/>
      </c>
      <c r="T275">
        <f>HYPERLINK("https://klasma.github.io/Logging_2101/kartor/A 5605-2019 karta.png", "A 5605-2019")</f>
        <v/>
      </c>
      <c r="V275">
        <f>HYPERLINK("https://klasma.github.io/Logging_2101/klagomål/A 5605-2019 FSC-klagomål.docx", "A 5605-2019")</f>
        <v/>
      </c>
      <c r="W275">
        <f>HYPERLINK("https://klasma.github.io/Logging_2101/klagomålsmail/A 5605-2019 FSC-klagomål mail.docx", "A 5605-2019")</f>
        <v/>
      </c>
      <c r="X275">
        <f>HYPERLINK("https://klasma.github.io/Logging_2101/tillsyn/A 5605-2019 tillsynsbegäran.docx", "A 5605-2019")</f>
        <v/>
      </c>
      <c r="Y275">
        <f>HYPERLINK("https://klasma.github.io/Logging_2101/tillsynsmail/A 5605-2019 tillsynsbegäran mail.docx", "A 5605-2019")</f>
        <v/>
      </c>
      <c r="Z275">
        <f>HYPERLINK("https://klasma.github.io/Logging_2101/fåglar/A 5605-2019 prioriterade fågelarter.docx", "A 5605-2019")</f>
        <v/>
      </c>
    </row>
    <row r="276" ht="15" customHeight="1">
      <c r="A276" t="inlineStr">
        <is>
          <t>A 9038-2019</t>
        </is>
      </c>
      <c r="B276" s="1" t="n">
        <v>43504</v>
      </c>
      <c r="C276" s="1" t="n">
        <v>45344</v>
      </c>
      <c r="D276" t="inlineStr">
        <is>
          <t>GÄVLEBORGS LÄN</t>
        </is>
      </c>
      <c r="E276" t="inlineStr">
        <is>
          <t>NORDANSTIG</t>
        </is>
      </c>
      <c r="F276" t="inlineStr">
        <is>
          <t>Holmen skog AB</t>
        </is>
      </c>
      <c r="G276" t="n">
        <v>4.9</v>
      </c>
      <c r="H276" t="n">
        <v>1</v>
      </c>
      <c r="I276" t="n">
        <v>0</v>
      </c>
      <c r="J276" t="n">
        <v>0</v>
      </c>
      <c r="K276" t="n">
        <v>0</v>
      </c>
      <c r="L276" t="n">
        <v>0</v>
      </c>
      <c r="M276" t="n">
        <v>0</v>
      </c>
      <c r="N276" t="n">
        <v>0</v>
      </c>
      <c r="O276" t="n">
        <v>0</v>
      </c>
      <c r="P276" t="n">
        <v>0</v>
      </c>
      <c r="Q276" t="n">
        <v>1</v>
      </c>
      <c r="R276" s="2" t="inlineStr">
        <is>
          <t>Revlummer</t>
        </is>
      </c>
      <c r="S276">
        <f>HYPERLINK("https://klasma.github.io/Logging_2132/artfynd/A 9038-2019 artfynd.xlsx", "A 9038-2019")</f>
        <v/>
      </c>
      <c r="T276">
        <f>HYPERLINK("https://klasma.github.io/Logging_2132/kartor/A 9038-2019 karta.png", "A 9038-2019")</f>
        <v/>
      </c>
      <c r="V276">
        <f>HYPERLINK("https://klasma.github.io/Logging_2132/klagomål/A 9038-2019 FSC-klagomål.docx", "A 9038-2019")</f>
        <v/>
      </c>
      <c r="W276">
        <f>HYPERLINK("https://klasma.github.io/Logging_2132/klagomålsmail/A 9038-2019 FSC-klagomål mail.docx", "A 9038-2019")</f>
        <v/>
      </c>
      <c r="X276">
        <f>HYPERLINK("https://klasma.github.io/Logging_2132/tillsyn/A 9038-2019 tillsynsbegäran.docx", "A 9038-2019")</f>
        <v/>
      </c>
      <c r="Y276">
        <f>HYPERLINK("https://klasma.github.io/Logging_2132/tillsynsmail/A 9038-2019 tillsynsbegäran mail.docx", "A 9038-2019")</f>
        <v/>
      </c>
    </row>
    <row r="277" ht="15" customHeight="1">
      <c r="A277" t="inlineStr">
        <is>
          <t>A 11693-2019</t>
        </is>
      </c>
      <c r="B277" s="1" t="n">
        <v>43518</v>
      </c>
      <c r="C277" s="1" t="n">
        <v>45344</v>
      </c>
      <c r="D277" t="inlineStr">
        <is>
          <t>GÄVLEBORGS LÄN</t>
        </is>
      </c>
      <c r="E277" t="inlineStr">
        <is>
          <t>OCKELBO</t>
        </is>
      </c>
      <c r="G277" t="n">
        <v>4</v>
      </c>
      <c r="H277" t="n">
        <v>0</v>
      </c>
      <c r="I277" t="n">
        <v>0</v>
      </c>
      <c r="J277" t="n">
        <v>0</v>
      </c>
      <c r="K277" t="n">
        <v>1</v>
      </c>
      <c r="L277" t="n">
        <v>0</v>
      </c>
      <c r="M277" t="n">
        <v>0</v>
      </c>
      <c r="N277" t="n">
        <v>0</v>
      </c>
      <c r="O277" t="n">
        <v>1</v>
      </c>
      <c r="P277" t="n">
        <v>1</v>
      </c>
      <c r="Q277" t="n">
        <v>1</v>
      </c>
      <c r="R277" s="2" t="inlineStr">
        <is>
          <t>Raggbock</t>
        </is>
      </c>
      <c r="S277">
        <f>HYPERLINK("https://klasma.github.io/Logging_2101/artfynd/A 11693-2019 artfynd.xlsx", "A 11693-2019")</f>
        <v/>
      </c>
      <c r="T277">
        <f>HYPERLINK("https://klasma.github.io/Logging_2101/kartor/A 11693-2019 karta.png", "A 11693-2019")</f>
        <v/>
      </c>
      <c r="V277">
        <f>HYPERLINK("https://klasma.github.io/Logging_2101/klagomål/A 11693-2019 FSC-klagomål.docx", "A 11693-2019")</f>
        <v/>
      </c>
      <c r="W277">
        <f>HYPERLINK("https://klasma.github.io/Logging_2101/klagomålsmail/A 11693-2019 FSC-klagomål mail.docx", "A 11693-2019")</f>
        <v/>
      </c>
      <c r="X277">
        <f>HYPERLINK("https://klasma.github.io/Logging_2101/tillsyn/A 11693-2019 tillsynsbegäran.docx", "A 11693-2019")</f>
        <v/>
      </c>
      <c r="Y277">
        <f>HYPERLINK("https://klasma.github.io/Logging_2101/tillsynsmail/A 11693-2019 tillsynsbegäran mail.docx", "A 11693-2019")</f>
        <v/>
      </c>
    </row>
    <row r="278" ht="15" customHeight="1">
      <c r="A278" t="inlineStr">
        <is>
          <t>A 11884-2019</t>
        </is>
      </c>
      <c r="B278" s="1" t="n">
        <v>43521</v>
      </c>
      <c r="C278" s="1" t="n">
        <v>45344</v>
      </c>
      <c r="D278" t="inlineStr">
        <is>
          <t>GÄVLEBORGS LÄN</t>
        </is>
      </c>
      <c r="E278" t="inlineStr">
        <is>
          <t>OVANÅKER</t>
        </is>
      </c>
      <c r="G278" t="n">
        <v>1.4</v>
      </c>
      <c r="H278" t="n">
        <v>1</v>
      </c>
      <c r="I278" t="n">
        <v>0</v>
      </c>
      <c r="J278" t="n">
        <v>1</v>
      </c>
      <c r="K278" t="n">
        <v>0</v>
      </c>
      <c r="L278" t="n">
        <v>0</v>
      </c>
      <c r="M278" t="n">
        <v>0</v>
      </c>
      <c r="N278" t="n">
        <v>0</v>
      </c>
      <c r="O278" t="n">
        <v>1</v>
      </c>
      <c r="P278" t="n">
        <v>0</v>
      </c>
      <c r="Q278" t="n">
        <v>1</v>
      </c>
      <c r="R278" s="2" t="inlineStr">
        <is>
          <t>Slaguggla</t>
        </is>
      </c>
      <c r="S278">
        <f>HYPERLINK("https://klasma.github.io/Logging_2121/artfynd/A 11884-2019 artfynd.xlsx", "A 11884-2019")</f>
        <v/>
      </c>
      <c r="T278">
        <f>HYPERLINK("https://klasma.github.io/Logging_2121/kartor/A 11884-2019 karta.png", "A 11884-2019")</f>
        <v/>
      </c>
      <c r="V278">
        <f>HYPERLINK("https://klasma.github.io/Logging_2121/klagomål/A 11884-2019 FSC-klagomål.docx", "A 11884-2019")</f>
        <v/>
      </c>
      <c r="W278">
        <f>HYPERLINK("https://klasma.github.io/Logging_2121/klagomålsmail/A 11884-2019 FSC-klagomål mail.docx", "A 11884-2019")</f>
        <v/>
      </c>
      <c r="X278">
        <f>HYPERLINK("https://klasma.github.io/Logging_2121/tillsyn/A 11884-2019 tillsynsbegäran.docx", "A 11884-2019")</f>
        <v/>
      </c>
      <c r="Y278">
        <f>HYPERLINK("https://klasma.github.io/Logging_2121/tillsynsmail/A 11884-2019 tillsynsbegäran mail.docx", "A 11884-2019")</f>
        <v/>
      </c>
      <c r="Z278">
        <f>HYPERLINK("https://klasma.github.io/Logging_2121/fåglar/A 11884-2019 prioriterade fågelarter.docx", "A 11884-2019")</f>
        <v/>
      </c>
    </row>
    <row r="279" ht="15" customHeight="1">
      <c r="A279" t="inlineStr">
        <is>
          <t>A 16460-2019</t>
        </is>
      </c>
      <c r="B279" s="1" t="n">
        <v>43546</v>
      </c>
      <c r="C279" s="1" t="n">
        <v>45344</v>
      </c>
      <c r="D279" t="inlineStr">
        <is>
          <t>GÄVLEBORGS LÄN</t>
        </is>
      </c>
      <c r="E279" t="inlineStr">
        <is>
          <t>SANDVIKEN</t>
        </is>
      </c>
      <c r="G279" t="n">
        <v>0.3</v>
      </c>
      <c r="H279" t="n">
        <v>1</v>
      </c>
      <c r="I279" t="n">
        <v>1</v>
      </c>
      <c r="J279" t="n">
        <v>0</v>
      </c>
      <c r="K279" t="n">
        <v>0</v>
      </c>
      <c r="L279" t="n">
        <v>0</v>
      </c>
      <c r="M279" t="n">
        <v>0</v>
      </c>
      <c r="N279" t="n">
        <v>0</v>
      </c>
      <c r="O279" t="n">
        <v>0</v>
      </c>
      <c r="P279" t="n">
        <v>0</v>
      </c>
      <c r="Q279" t="n">
        <v>1</v>
      </c>
      <c r="R279" s="2" t="inlineStr">
        <is>
          <t>Plattlummer</t>
        </is>
      </c>
      <c r="S279">
        <f>HYPERLINK("https://klasma.github.io/Logging_2181/artfynd/A 16460-2019 artfynd.xlsx", "A 16460-2019")</f>
        <v/>
      </c>
      <c r="T279">
        <f>HYPERLINK("https://klasma.github.io/Logging_2181/kartor/A 16460-2019 karta.png", "A 16460-2019")</f>
        <v/>
      </c>
      <c r="V279">
        <f>HYPERLINK("https://klasma.github.io/Logging_2181/klagomål/A 16460-2019 FSC-klagomål.docx", "A 16460-2019")</f>
        <v/>
      </c>
      <c r="W279">
        <f>HYPERLINK("https://klasma.github.io/Logging_2181/klagomålsmail/A 16460-2019 FSC-klagomål mail.docx", "A 16460-2019")</f>
        <v/>
      </c>
      <c r="X279">
        <f>HYPERLINK("https://klasma.github.io/Logging_2181/tillsyn/A 16460-2019 tillsynsbegäran.docx", "A 16460-2019")</f>
        <v/>
      </c>
      <c r="Y279">
        <f>HYPERLINK("https://klasma.github.io/Logging_2181/tillsynsmail/A 16460-2019 tillsynsbegäran mail.docx", "A 16460-2019")</f>
        <v/>
      </c>
    </row>
    <row r="280" ht="15" customHeight="1">
      <c r="A280" t="inlineStr">
        <is>
          <t>A 17966-2019</t>
        </is>
      </c>
      <c r="B280" s="1" t="n">
        <v>43557</v>
      </c>
      <c r="C280" s="1" t="n">
        <v>45344</v>
      </c>
      <c r="D280" t="inlineStr">
        <is>
          <t>GÄVLEBORGS LÄN</t>
        </is>
      </c>
      <c r="E280" t="inlineStr">
        <is>
          <t>LJUSDAL</t>
        </is>
      </c>
      <c r="G280" t="n">
        <v>0.7</v>
      </c>
      <c r="H280" t="n">
        <v>1</v>
      </c>
      <c r="I280" t="n">
        <v>0</v>
      </c>
      <c r="J280" t="n">
        <v>1</v>
      </c>
      <c r="K280" t="n">
        <v>0</v>
      </c>
      <c r="L280" t="n">
        <v>0</v>
      </c>
      <c r="M280" t="n">
        <v>0</v>
      </c>
      <c r="N280" t="n">
        <v>0</v>
      </c>
      <c r="O280" t="n">
        <v>1</v>
      </c>
      <c r="P280" t="n">
        <v>0</v>
      </c>
      <c r="Q280" t="n">
        <v>1</v>
      </c>
      <c r="R280" s="2" t="inlineStr">
        <is>
          <t>Talltita</t>
        </is>
      </c>
      <c r="S280">
        <f>HYPERLINK("https://klasma.github.io/Logging_2161/artfynd/A 17966-2019 artfynd.xlsx", "A 17966-2019")</f>
        <v/>
      </c>
      <c r="T280">
        <f>HYPERLINK("https://klasma.github.io/Logging_2161/kartor/A 17966-2019 karta.png", "A 17966-2019")</f>
        <v/>
      </c>
      <c r="V280">
        <f>HYPERLINK("https://klasma.github.io/Logging_2161/klagomål/A 17966-2019 FSC-klagomål.docx", "A 17966-2019")</f>
        <v/>
      </c>
      <c r="W280">
        <f>HYPERLINK("https://klasma.github.io/Logging_2161/klagomålsmail/A 17966-2019 FSC-klagomål mail.docx", "A 17966-2019")</f>
        <v/>
      </c>
      <c r="X280">
        <f>HYPERLINK("https://klasma.github.io/Logging_2161/tillsyn/A 17966-2019 tillsynsbegäran.docx", "A 17966-2019")</f>
        <v/>
      </c>
      <c r="Y280">
        <f>HYPERLINK("https://klasma.github.io/Logging_2161/tillsynsmail/A 17966-2019 tillsynsbegäran mail.docx", "A 17966-2019")</f>
        <v/>
      </c>
      <c r="Z280">
        <f>HYPERLINK("https://klasma.github.io/Logging_2161/fåglar/A 17966-2019 prioriterade fågelarter.docx", "A 17966-2019")</f>
        <v/>
      </c>
    </row>
    <row r="281" ht="15" customHeight="1">
      <c r="A281" t="inlineStr">
        <is>
          <t>A 22616-2019</t>
        </is>
      </c>
      <c r="B281" s="1" t="n">
        <v>43588</v>
      </c>
      <c r="C281" s="1" t="n">
        <v>45344</v>
      </c>
      <c r="D281" t="inlineStr">
        <is>
          <t>GÄVLEBORGS LÄN</t>
        </is>
      </c>
      <c r="E281" t="inlineStr">
        <is>
          <t>GÄVLE</t>
        </is>
      </c>
      <c r="F281" t="inlineStr">
        <is>
          <t>Kommuner</t>
        </is>
      </c>
      <c r="G281" t="n">
        <v>7.1</v>
      </c>
      <c r="H281" t="n">
        <v>0</v>
      </c>
      <c r="I281" t="n">
        <v>0</v>
      </c>
      <c r="J281" t="n">
        <v>1</v>
      </c>
      <c r="K281" t="n">
        <v>0</v>
      </c>
      <c r="L281" t="n">
        <v>0</v>
      </c>
      <c r="M281" t="n">
        <v>0</v>
      </c>
      <c r="N281" t="n">
        <v>0</v>
      </c>
      <c r="O281" t="n">
        <v>1</v>
      </c>
      <c r="P281" t="n">
        <v>0</v>
      </c>
      <c r="Q281" t="n">
        <v>1</v>
      </c>
      <c r="R281" s="2" t="inlineStr">
        <is>
          <t>Sotnätfjäril</t>
        </is>
      </c>
      <c r="S281">
        <f>HYPERLINK("https://klasma.github.io/Logging_2180/artfynd/A 22616-2019 artfynd.xlsx", "A 22616-2019")</f>
        <v/>
      </c>
      <c r="T281">
        <f>HYPERLINK("https://klasma.github.io/Logging_2180/kartor/A 22616-2019 karta.png", "A 22616-2019")</f>
        <v/>
      </c>
      <c r="V281">
        <f>HYPERLINK("https://klasma.github.io/Logging_2180/klagomål/A 22616-2019 FSC-klagomål.docx", "A 22616-2019")</f>
        <v/>
      </c>
      <c r="W281">
        <f>HYPERLINK("https://klasma.github.io/Logging_2180/klagomålsmail/A 22616-2019 FSC-klagomål mail.docx", "A 22616-2019")</f>
        <v/>
      </c>
      <c r="X281">
        <f>HYPERLINK("https://klasma.github.io/Logging_2180/tillsyn/A 22616-2019 tillsynsbegäran.docx", "A 22616-2019")</f>
        <v/>
      </c>
      <c r="Y281">
        <f>HYPERLINK("https://klasma.github.io/Logging_2180/tillsynsmail/A 22616-2019 tillsynsbegäran mail.docx", "A 22616-2019")</f>
        <v/>
      </c>
    </row>
    <row r="282" ht="15" customHeight="1">
      <c r="A282" t="inlineStr">
        <is>
          <t>A 24535-2019</t>
        </is>
      </c>
      <c r="B282" s="1" t="n">
        <v>43600</v>
      </c>
      <c r="C282" s="1" t="n">
        <v>45344</v>
      </c>
      <c r="D282" t="inlineStr">
        <is>
          <t>GÄVLEBORGS LÄN</t>
        </is>
      </c>
      <c r="E282" t="inlineStr">
        <is>
          <t>BOLLNÄS</t>
        </is>
      </c>
      <c r="G282" t="n">
        <v>6.3</v>
      </c>
      <c r="H282" t="n">
        <v>0</v>
      </c>
      <c r="I282" t="n">
        <v>1</v>
      </c>
      <c r="J282" t="n">
        <v>0</v>
      </c>
      <c r="K282" t="n">
        <v>0</v>
      </c>
      <c r="L282" t="n">
        <v>0</v>
      </c>
      <c r="M282" t="n">
        <v>0</v>
      </c>
      <c r="N282" t="n">
        <v>0</v>
      </c>
      <c r="O282" t="n">
        <v>0</v>
      </c>
      <c r="P282" t="n">
        <v>0</v>
      </c>
      <c r="Q282" t="n">
        <v>1</v>
      </c>
      <c r="R282" s="2" t="inlineStr">
        <is>
          <t>Grönpyrola</t>
        </is>
      </c>
      <c r="S282">
        <f>HYPERLINK("https://klasma.github.io/Logging_2183/artfynd/A 24535-2019 artfynd.xlsx", "A 24535-2019")</f>
        <v/>
      </c>
      <c r="T282">
        <f>HYPERLINK("https://klasma.github.io/Logging_2183/kartor/A 24535-2019 karta.png", "A 24535-2019")</f>
        <v/>
      </c>
      <c r="V282">
        <f>HYPERLINK("https://klasma.github.io/Logging_2183/klagomål/A 24535-2019 FSC-klagomål.docx", "A 24535-2019")</f>
        <v/>
      </c>
      <c r="W282">
        <f>HYPERLINK("https://klasma.github.io/Logging_2183/klagomålsmail/A 24535-2019 FSC-klagomål mail.docx", "A 24535-2019")</f>
        <v/>
      </c>
      <c r="X282">
        <f>HYPERLINK("https://klasma.github.io/Logging_2183/tillsyn/A 24535-2019 tillsynsbegäran.docx", "A 24535-2019")</f>
        <v/>
      </c>
      <c r="Y282">
        <f>HYPERLINK("https://klasma.github.io/Logging_2183/tillsynsmail/A 24535-2019 tillsynsbegäran mail.docx", "A 24535-2019")</f>
        <v/>
      </c>
    </row>
    <row r="283" ht="15" customHeight="1">
      <c r="A283" t="inlineStr">
        <is>
          <t>A 27515-2019</t>
        </is>
      </c>
      <c r="B283" s="1" t="n">
        <v>43619</v>
      </c>
      <c r="C283" s="1" t="n">
        <v>45344</v>
      </c>
      <c r="D283" t="inlineStr">
        <is>
          <t>GÄVLEBORGS LÄN</t>
        </is>
      </c>
      <c r="E283" t="inlineStr">
        <is>
          <t>BOLLNÄS</t>
        </is>
      </c>
      <c r="G283" t="n">
        <v>10.8</v>
      </c>
      <c r="H283" t="n">
        <v>1</v>
      </c>
      <c r="I283" t="n">
        <v>0</v>
      </c>
      <c r="J283" t="n">
        <v>0</v>
      </c>
      <c r="K283" t="n">
        <v>1</v>
      </c>
      <c r="L283" t="n">
        <v>0</v>
      </c>
      <c r="M283" t="n">
        <v>0</v>
      </c>
      <c r="N283" t="n">
        <v>0</v>
      </c>
      <c r="O283" t="n">
        <v>1</v>
      </c>
      <c r="P283" t="n">
        <v>1</v>
      </c>
      <c r="Q283" t="n">
        <v>1</v>
      </c>
      <c r="R283" s="2" t="inlineStr">
        <is>
          <t>Knärot</t>
        </is>
      </c>
      <c r="S283">
        <f>HYPERLINK("https://klasma.github.io/Logging_2183/artfynd/A 27515-2019 artfynd.xlsx", "A 27515-2019")</f>
        <v/>
      </c>
      <c r="T283">
        <f>HYPERLINK("https://klasma.github.io/Logging_2183/kartor/A 27515-2019 karta.png", "A 27515-2019")</f>
        <v/>
      </c>
      <c r="U283">
        <f>HYPERLINK("https://klasma.github.io/Logging_2183/knärot/A 27515-2019 karta knärot.png", "A 27515-2019")</f>
        <v/>
      </c>
      <c r="V283">
        <f>HYPERLINK("https://klasma.github.io/Logging_2183/klagomål/A 27515-2019 FSC-klagomål.docx", "A 27515-2019")</f>
        <v/>
      </c>
      <c r="W283">
        <f>HYPERLINK("https://klasma.github.io/Logging_2183/klagomålsmail/A 27515-2019 FSC-klagomål mail.docx", "A 27515-2019")</f>
        <v/>
      </c>
      <c r="X283">
        <f>HYPERLINK("https://klasma.github.io/Logging_2183/tillsyn/A 27515-2019 tillsynsbegäran.docx", "A 27515-2019")</f>
        <v/>
      </c>
      <c r="Y283">
        <f>HYPERLINK("https://klasma.github.io/Logging_2183/tillsynsmail/A 27515-2019 tillsynsbegäran mail.docx", "A 27515-2019")</f>
        <v/>
      </c>
    </row>
    <row r="284" ht="15" customHeight="1">
      <c r="A284" t="inlineStr">
        <is>
          <t>A 28268-2019</t>
        </is>
      </c>
      <c r="B284" s="1" t="n">
        <v>43623</v>
      </c>
      <c r="C284" s="1" t="n">
        <v>45344</v>
      </c>
      <c r="D284" t="inlineStr">
        <is>
          <t>GÄVLEBORGS LÄN</t>
        </is>
      </c>
      <c r="E284" t="inlineStr">
        <is>
          <t>HUDIKSVALL</t>
        </is>
      </c>
      <c r="F284" t="inlineStr">
        <is>
          <t>Holmen skog AB</t>
        </is>
      </c>
      <c r="G284" t="n">
        <v>10.5</v>
      </c>
      <c r="H284" t="n">
        <v>1</v>
      </c>
      <c r="I284" t="n">
        <v>0</v>
      </c>
      <c r="J284" t="n">
        <v>0</v>
      </c>
      <c r="K284" t="n">
        <v>0</v>
      </c>
      <c r="L284" t="n">
        <v>0</v>
      </c>
      <c r="M284" t="n">
        <v>0</v>
      </c>
      <c r="N284" t="n">
        <v>0</v>
      </c>
      <c r="O284" t="n">
        <v>0</v>
      </c>
      <c r="P284" t="n">
        <v>0</v>
      </c>
      <c r="Q284" t="n">
        <v>1</v>
      </c>
      <c r="R284" s="2" t="inlineStr">
        <is>
          <t>Mattlummer</t>
        </is>
      </c>
      <c r="S284">
        <f>HYPERLINK("https://klasma.github.io/Logging_2184/artfynd/A 28268-2019 artfynd.xlsx", "A 28268-2019")</f>
        <v/>
      </c>
      <c r="T284">
        <f>HYPERLINK("https://klasma.github.io/Logging_2184/kartor/A 28268-2019 karta.png", "A 28268-2019")</f>
        <v/>
      </c>
      <c r="V284">
        <f>HYPERLINK("https://klasma.github.io/Logging_2184/klagomål/A 28268-2019 FSC-klagomål.docx", "A 28268-2019")</f>
        <v/>
      </c>
      <c r="W284">
        <f>HYPERLINK("https://klasma.github.io/Logging_2184/klagomålsmail/A 28268-2019 FSC-klagomål mail.docx", "A 28268-2019")</f>
        <v/>
      </c>
      <c r="X284">
        <f>HYPERLINK("https://klasma.github.io/Logging_2184/tillsyn/A 28268-2019 tillsynsbegäran.docx", "A 28268-2019")</f>
        <v/>
      </c>
      <c r="Y284">
        <f>HYPERLINK("https://klasma.github.io/Logging_2184/tillsynsmail/A 28268-2019 tillsynsbegäran mail.docx", "A 28268-2019")</f>
        <v/>
      </c>
    </row>
    <row r="285" ht="15" customHeight="1">
      <c r="A285" t="inlineStr">
        <is>
          <t>A 33547-2019</t>
        </is>
      </c>
      <c r="B285" s="1" t="n">
        <v>43651</v>
      </c>
      <c r="C285" s="1" t="n">
        <v>45344</v>
      </c>
      <c r="D285" t="inlineStr">
        <is>
          <t>GÄVLEBORGS LÄN</t>
        </is>
      </c>
      <c r="E285" t="inlineStr">
        <is>
          <t>HUDIKSVALL</t>
        </is>
      </c>
      <c r="G285" t="n">
        <v>27.7</v>
      </c>
      <c r="H285" t="n">
        <v>1</v>
      </c>
      <c r="I285" t="n">
        <v>0</v>
      </c>
      <c r="J285" t="n">
        <v>1</v>
      </c>
      <c r="K285" t="n">
        <v>0</v>
      </c>
      <c r="L285" t="n">
        <v>0</v>
      </c>
      <c r="M285" t="n">
        <v>0</v>
      </c>
      <c r="N285" t="n">
        <v>0</v>
      </c>
      <c r="O285" t="n">
        <v>1</v>
      </c>
      <c r="P285" t="n">
        <v>0</v>
      </c>
      <c r="Q285" t="n">
        <v>1</v>
      </c>
      <c r="R285" s="2" t="inlineStr">
        <is>
          <t>Kungsörn</t>
        </is>
      </c>
      <c r="S285">
        <f>HYPERLINK("https://klasma.github.io/Logging_2184/artfynd/A 33547-2019 artfynd.xlsx", "A 33547-2019")</f>
        <v/>
      </c>
      <c r="T285">
        <f>HYPERLINK("https://klasma.github.io/Logging_2184/kartor/A 33547-2019 karta.png", "A 33547-2019")</f>
        <v/>
      </c>
      <c r="V285">
        <f>HYPERLINK("https://klasma.github.io/Logging_2184/klagomål/A 33547-2019 FSC-klagomål.docx", "A 33547-2019")</f>
        <v/>
      </c>
      <c r="W285">
        <f>HYPERLINK("https://klasma.github.io/Logging_2184/klagomålsmail/A 33547-2019 FSC-klagomål mail.docx", "A 33547-2019")</f>
        <v/>
      </c>
      <c r="X285">
        <f>HYPERLINK("https://klasma.github.io/Logging_2184/tillsyn/A 33547-2019 tillsynsbegäran.docx", "A 33547-2019")</f>
        <v/>
      </c>
      <c r="Y285">
        <f>HYPERLINK("https://klasma.github.io/Logging_2184/tillsynsmail/A 33547-2019 tillsynsbegäran mail.docx", "A 33547-2019")</f>
        <v/>
      </c>
      <c r="Z285">
        <f>HYPERLINK("https://klasma.github.io/Logging_2184/fåglar/A 33547-2019 prioriterade fågelarter.docx", "A 33547-2019")</f>
        <v/>
      </c>
    </row>
    <row r="286" ht="15" customHeight="1">
      <c r="A286" t="inlineStr">
        <is>
          <t>A 38174-2019</t>
        </is>
      </c>
      <c r="B286" s="1" t="n">
        <v>43684</v>
      </c>
      <c r="C286" s="1" t="n">
        <v>45344</v>
      </c>
      <c r="D286" t="inlineStr">
        <is>
          <t>GÄVLEBORGS LÄN</t>
        </is>
      </c>
      <c r="E286" t="inlineStr">
        <is>
          <t>HOFORS</t>
        </is>
      </c>
      <c r="G286" t="n">
        <v>14</v>
      </c>
      <c r="H286" t="n">
        <v>0</v>
      </c>
      <c r="I286" t="n">
        <v>0</v>
      </c>
      <c r="J286" t="n">
        <v>1</v>
      </c>
      <c r="K286" t="n">
        <v>0</v>
      </c>
      <c r="L286" t="n">
        <v>0</v>
      </c>
      <c r="M286" t="n">
        <v>0</v>
      </c>
      <c r="N286" t="n">
        <v>0</v>
      </c>
      <c r="O286" t="n">
        <v>1</v>
      </c>
      <c r="P286" t="n">
        <v>0</v>
      </c>
      <c r="Q286" t="n">
        <v>1</v>
      </c>
      <c r="R286" s="2" t="inlineStr">
        <is>
          <t>Ullticka</t>
        </is>
      </c>
      <c r="S286">
        <f>HYPERLINK("https://klasma.github.io/Logging_2104/artfynd/A 38174-2019 artfynd.xlsx", "A 38174-2019")</f>
        <v/>
      </c>
      <c r="T286">
        <f>HYPERLINK("https://klasma.github.io/Logging_2104/kartor/A 38174-2019 karta.png", "A 38174-2019")</f>
        <v/>
      </c>
      <c r="V286">
        <f>HYPERLINK("https://klasma.github.io/Logging_2104/klagomål/A 38174-2019 FSC-klagomål.docx", "A 38174-2019")</f>
        <v/>
      </c>
      <c r="W286">
        <f>HYPERLINK("https://klasma.github.io/Logging_2104/klagomålsmail/A 38174-2019 FSC-klagomål mail.docx", "A 38174-2019")</f>
        <v/>
      </c>
      <c r="X286">
        <f>HYPERLINK("https://klasma.github.io/Logging_2104/tillsyn/A 38174-2019 tillsynsbegäran.docx", "A 38174-2019")</f>
        <v/>
      </c>
      <c r="Y286">
        <f>HYPERLINK("https://klasma.github.io/Logging_2104/tillsynsmail/A 38174-2019 tillsynsbegäran mail.docx", "A 38174-2019")</f>
        <v/>
      </c>
    </row>
    <row r="287" ht="15" customHeight="1">
      <c r="A287" t="inlineStr">
        <is>
          <t>A 41576-2019</t>
        </is>
      </c>
      <c r="B287" s="1" t="n">
        <v>43699</v>
      </c>
      <c r="C287" s="1" t="n">
        <v>45344</v>
      </c>
      <c r="D287" t="inlineStr">
        <is>
          <t>GÄVLEBORGS LÄN</t>
        </is>
      </c>
      <c r="E287" t="inlineStr">
        <is>
          <t>NORDANSTIG</t>
        </is>
      </c>
      <c r="F287" t="inlineStr">
        <is>
          <t>Holmen skog AB</t>
        </is>
      </c>
      <c r="G287" t="n">
        <v>5.2</v>
      </c>
      <c r="H287" t="n">
        <v>0</v>
      </c>
      <c r="I287" t="n">
        <v>0</v>
      </c>
      <c r="J287" t="n">
        <v>1</v>
      </c>
      <c r="K287" t="n">
        <v>0</v>
      </c>
      <c r="L287" t="n">
        <v>0</v>
      </c>
      <c r="M287" t="n">
        <v>0</v>
      </c>
      <c r="N287" t="n">
        <v>0</v>
      </c>
      <c r="O287" t="n">
        <v>1</v>
      </c>
      <c r="P287" t="n">
        <v>0</v>
      </c>
      <c r="Q287" t="n">
        <v>1</v>
      </c>
      <c r="R287" s="2" t="inlineStr">
        <is>
          <t>Tallticka</t>
        </is>
      </c>
      <c r="S287">
        <f>HYPERLINK("https://klasma.github.io/Logging_2132/artfynd/A 41576-2019 artfynd.xlsx", "A 41576-2019")</f>
        <v/>
      </c>
      <c r="T287">
        <f>HYPERLINK("https://klasma.github.io/Logging_2132/kartor/A 41576-2019 karta.png", "A 41576-2019")</f>
        <v/>
      </c>
      <c r="V287">
        <f>HYPERLINK("https://klasma.github.io/Logging_2132/klagomål/A 41576-2019 FSC-klagomål.docx", "A 41576-2019")</f>
        <v/>
      </c>
      <c r="W287">
        <f>HYPERLINK("https://klasma.github.io/Logging_2132/klagomålsmail/A 41576-2019 FSC-klagomål mail.docx", "A 41576-2019")</f>
        <v/>
      </c>
      <c r="X287">
        <f>HYPERLINK("https://klasma.github.io/Logging_2132/tillsyn/A 41576-2019 tillsynsbegäran.docx", "A 41576-2019")</f>
        <v/>
      </c>
      <c r="Y287">
        <f>HYPERLINK("https://klasma.github.io/Logging_2132/tillsynsmail/A 41576-2019 tillsynsbegäran mail.docx", "A 41576-2019")</f>
        <v/>
      </c>
    </row>
    <row r="288" ht="15" customHeight="1">
      <c r="A288" t="inlineStr">
        <is>
          <t>A 46192-2019</t>
        </is>
      </c>
      <c r="B288" s="1" t="n">
        <v>43718</v>
      </c>
      <c r="C288" s="1" t="n">
        <v>45344</v>
      </c>
      <c r="D288" t="inlineStr">
        <is>
          <t>GÄVLEBORGS LÄN</t>
        </is>
      </c>
      <c r="E288" t="inlineStr">
        <is>
          <t>SANDVIKEN</t>
        </is>
      </c>
      <c r="G288" t="n">
        <v>2.5</v>
      </c>
      <c r="H288" t="n">
        <v>1</v>
      </c>
      <c r="I288" t="n">
        <v>0</v>
      </c>
      <c r="J288" t="n">
        <v>0</v>
      </c>
      <c r="K288" t="n">
        <v>0</v>
      </c>
      <c r="L288" t="n">
        <v>0</v>
      </c>
      <c r="M288" t="n">
        <v>0</v>
      </c>
      <c r="N288" t="n">
        <v>0</v>
      </c>
      <c r="O288" t="n">
        <v>0</v>
      </c>
      <c r="P288" t="n">
        <v>0</v>
      </c>
      <c r="Q288" t="n">
        <v>1</v>
      </c>
      <c r="R288" s="2" t="inlineStr">
        <is>
          <t>Fläcknycklar</t>
        </is>
      </c>
      <c r="S288">
        <f>HYPERLINK("https://klasma.github.io/Logging_2181/artfynd/A 46192-2019 artfynd.xlsx", "A 46192-2019")</f>
        <v/>
      </c>
      <c r="T288">
        <f>HYPERLINK("https://klasma.github.io/Logging_2181/kartor/A 46192-2019 karta.png", "A 46192-2019")</f>
        <v/>
      </c>
      <c r="V288">
        <f>HYPERLINK("https://klasma.github.io/Logging_2181/klagomål/A 46192-2019 FSC-klagomål.docx", "A 46192-2019")</f>
        <v/>
      </c>
      <c r="W288">
        <f>HYPERLINK("https://klasma.github.io/Logging_2181/klagomålsmail/A 46192-2019 FSC-klagomål mail.docx", "A 46192-2019")</f>
        <v/>
      </c>
      <c r="X288">
        <f>HYPERLINK("https://klasma.github.io/Logging_2181/tillsyn/A 46192-2019 tillsynsbegäran.docx", "A 46192-2019")</f>
        <v/>
      </c>
      <c r="Y288">
        <f>HYPERLINK("https://klasma.github.io/Logging_2181/tillsynsmail/A 46192-2019 tillsynsbegäran mail.docx", "A 46192-2019")</f>
        <v/>
      </c>
    </row>
    <row r="289" ht="15" customHeight="1">
      <c r="A289" t="inlineStr">
        <is>
          <t>A 48604-2019</t>
        </is>
      </c>
      <c r="B289" s="1" t="n">
        <v>43727</v>
      </c>
      <c r="C289" s="1" t="n">
        <v>45344</v>
      </c>
      <c r="D289" t="inlineStr">
        <is>
          <t>GÄVLEBORGS LÄN</t>
        </is>
      </c>
      <c r="E289" t="inlineStr">
        <is>
          <t>HUDIKSVALL</t>
        </is>
      </c>
      <c r="F289" t="inlineStr">
        <is>
          <t>Kommuner</t>
        </is>
      </c>
      <c r="G289" t="n">
        <v>5</v>
      </c>
      <c r="H289" t="n">
        <v>1</v>
      </c>
      <c r="I289" t="n">
        <v>0</v>
      </c>
      <c r="J289" t="n">
        <v>1</v>
      </c>
      <c r="K289" t="n">
        <v>0</v>
      </c>
      <c r="L289" t="n">
        <v>0</v>
      </c>
      <c r="M289" t="n">
        <v>0</v>
      </c>
      <c r="N289" t="n">
        <v>0</v>
      </c>
      <c r="O289" t="n">
        <v>1</v>
      </c>
      <c r="P289" t="n">
        <v>0</v>
      </c>
      <c r="Q289" t="n">
        <v>1</v>
      </c>
      <c r="R289" s="2" t="inlineStr">
        <is>
          <t>Mindre hackspett</t>
        </is>
      </c>
      <c r="S289">
        <f>HYPERLINK("https://klasma.github.io/Logging_2184/artfynd/A 48604-2019 artfynd.xlsx", "A 48604-2019")</f>
        <v/>
      </c>
      <c r="T289">
        <f>HYPERLINK("https://klasma.github.io/Logging_2184/kartor/A 48604-2019 karta.png", "A 48604-2019")</f>
        <v/>
      </c>
      <c r="V289">
        <f>HYPERLINK("https://klasma.github.io/Logging_2184/klagomål/A 48604-2019 FSC-klagomål.docx", "A 48604-2019")</f>
        <v/>
      </c>
      <c r="W289">
        <f>HYPERLINK("https://klasma.github.io/Logging_2184/klagomålsmail/A 48604-2019 FSC-klagomål mail.docx", "A 48604-2019")</f>
        <v/>
      </c>
      <c r="X289">
        <f>HYPERLINK("https://klasma.github.io/Logging_2184/tillsyn/A 48604-2019 tillsynsbegäran.docx", "A 48604-2019")</f>
        <v/>
      </c>
      <c r="Y289">
        <f>HYPERLINK("https://klasma.github.io/Logging_2184/tillsynsmail/A 48604-2019 tillsynsbegäran mail.docx", "A 48604-2019")</f>
        <v/>
      </c>
      <c r="Z289">
        <f>HYPERLINK("https://klasma.github.io/Logging_2184/fåglar/A 48604-2019 prioriterade fågelarter.docx", "A 48604-2019")</f>
        <v/>
      </c>
    </row>
    <row r="290" ht="15" customHeight="1">
      <c r="A290" t="inlineStr">
        <is>
          <t>A 48775-2019</t>
        </is>
      </c>
      <c r="B290" s="1" t="n">
        <v>43727</v>
      </c>
      <c r="C290" s="1" t="n">
        <v>45344</v>
      </c>
      <c r="D290" t="inlineStr">
        <is>
          <t>GÄVLEBORGS LÄN</t>
        </is>
      </c>
      <c r="E290" t="inlineStr">
        <is>
          <t>SANDVIKEN</t>
        </is>
      </c>
      <c r="F290" t="inlineStr">
        <is>
          <t>Sveaskog</t>
        </is>
      </c>
      <c r="G290" t="n">
        <v>1.1</v>
      </c>
      <c r="H290" t="n">
        <v>1</v>
      </c>
      <c r="I290" t="n">
        <v>0</v>
      </c>
      <c r="J290" t="n">
        <v>0</v>
      </c>
      <c r="K290" t="n">
        <v>0</v>
      </c>
      <c r="L290" t="n">
        <v>0</v>
      </c>
      <c r="M290" t="n">
        <v>0</v>
      </c>
      <c r="N290" t="n">
        <v>0</v>
      </c>
      <c r="O290" t="n">
        <v>0</v>
      </c>
      <c r="P290" t="n">
        <v>0</v>
      </c>
      <c r="Q290" t="n">
        <v>1</v>
      </c>
      <c r="R290" s="2" t="inlineStr">
        <is>
          <t>Revlummer</t>
        </is>
      </c>
      <c r="S290">
        <f>HYPERLINK("https://klasma.github.io/Logging_2181/artfynd/A 48775-2019 artfynd.xlsx", "A 48775-2019")</f>
        <v/>
      </c>
      <c r="T290">
        <f>HYPERLINK("https://klasma.github.io/Logging_2181/kartor/A 48775-2019 karta.png", "A 48775-2019")</f>
        <v/>
      </c>
      <c r="V290">
        <f>HYPERLINK("https://klasma.github.io/Logging_2181/klagomål/A 48775-2019 FSC-klagomål.docx", "A 48775-2019")</f>
        <v/>
      </c>
      <c r="W290">
        <f>HYPERLINK("https://klasma.github.io/Logging_2181/klagomålsmail/A 48775-2019 FSC-klagomål mail.docx", "A 48775-2019")</f>
        <v/>
      </c>
      <c r="X290">
        <f>HYPERLINK("https://klasma.github.io/Logging_2181/tillsyn/A 48775-2019 tillsynsbegäran.docx", "A 48775-2019")</f>
        <v/>
      </c>
      <c r="Y290">
        <f>HYPERLINK("https://klasma.github.io/Logging_2181/tillsynsmail/A 48775-2019 tillsynsbegäran mail.docx", "A 48775-2019")</f>
        <v/>
      </c>
    </row>
    <row r="291" ht="15" customHeight="1">
      <c r="A291" t="inlineStr">
        <is>
          <t>A 62064-2019</t>
        </is>
      </c>
      <c r="B291" s="1" t="n">
        <v>43787</v>
      </c>
      <c r="C291" s="1" t="n">
        <v>45344</v>
      </c>
      <c r="D291" t="inlineStr">
        <is>
          <t>GÄVLEBORGS LÄN</t>
        </is>
      </c>
      <c r="E291" t="inlineStr">
        <is>
          <t>OCKELBO</t>
        </is>
      </c>
      <c r="F291" t="inlineStr">
        <is>
          <t>Bergvik skog väst AB</t>
        </is>
      </c>
      <c r="G291" t="n">
        <v>1.1</v>
      </c>
      <c r="H291" t="n">
        <v>0</v>
      </c>
      <c r="I291" t="n">
        <v>1</v>
      </c>
      <c r="J291" t="n">
        <v>0</v>
      </c>
      <c r="K291" t="n">
        <v>0</v>
      </c>
      <c r="L291" t="n">
        <v>0</v>
      </c>
      <c r="M291" t="n">
        <v>0</v>
      </c>
      <c r="N291" t="n">
        <v>0</v>
      </c>
      <c r="O291" t="n">
        <v>0</v>
      </c>
      <c r="P291" t="n">
        <v>0</v>
      </c>
      <c r="Q291" t="n">
        <v>1</v>
      </c>
      <c r="R291" s="2" t="inlineStr">
        <is>
          <t>Ögonpyrola</t>
        </is>
      </c>
      <c r="S291">
        <f>HYPERLINK("https://klasma.github.io/Logging_2101/artfynd/A 62064-2019 artfynd.xlsx", "A 62064-2019")</f>
        <v/>
      </c>
      <c r="T291">
        <f>HYPERLINK("https://klasma.github.io/Logging_2101/kartor/A 62064-2019 karta.png", "A 62064-2019")</f>
        <v/>
      </c>
      <c r="V291">
        <f>HYPERLINK("https://klasma.github.io/Logging_2101/klagomål/A 62064-2019 FSC-klagomål.docx", "A 62064-2019")</f>
        <v/>
      </c>
      <c r="W291">
        <f>HYPERLINK("https://klasma.github.io/Logging_2101/klagomålsmail/A 62064-2019 FSC-klagomål mail.docx", "A 62064-2019")</f>
        <v/>
      </c>
      <c r="X291">
        <f>HYPERLINK("https://klasma.github.io/Logging_2101/tillsyn/A 62064-2019 tillsynsbegäran.docx", "A 62064-2019")</f>
        <v/>
      </c>
      <c r="Y291">
        <f>HYPERLINK("https://klasma.github.io/Logging_2101/tillsynsmail/A 62064-2019 tillsynsbegäran mail.docx", "A 62064-2019")</f>
        <v/>
      </c>
    </row>
    <row r="292" ht="15" customHeight="1">
      <c r="A292" t="inlineStr">
        <is>
          <t>A 63545-2019</t>
        </is>
      </c>
      <c r="B292" s="1" t="n">
        <v>43794</v>
      </c>
      <c r="C292" s="1" t="n">
        <v>45344</v>
      </c>
      <c r="D292" t="inlineStr">
        <is>
          <t>GÄVLEBORGS LÄN</t>
        </is>
      </c>
      <c r="E292" t="inlineStr">
        <is>
          <t>BOLLNÄS</t>
        </is>
      </c>
      <c r="G292" t="n">
        <v>9.300000000000001</v>
      </c>
      <c r="H292" t="n">
        <v>0</v>
      </c>
      <c r="I292" t="n">
        <v>1</v>
      </c>
      <c r="J292" t="n">
        <v>0</v>
      </c>
      <c r="K292" t="n">
        <v>0</v>
      </c>
      <c r="L292" t="n">
        <v>0</v>
      </c>
      <c r="M292" t="n">
        <v>0</v>
      </c>
      <c r="N292" t="n">
        <v>0</v>
      </c>
      <c r="O292" t="n">
        <v>0</v>
      </c>
      <c r="P292" t="n">
        <v>0</v>
      </c>
      <c r="Q292" t="n">
        <v>1</v>
      </c>
      <c r="R292" s="2" t="inlineStr">
        <is>
          <t>Skinnlav</t>
        </is>
      </c>
      <c r="S292">
        <f>HYPERLINK("https://klasma.github.io/Logging_2183/artfynd/A 63545-2019 artfynd.xlsx", "A 63545-2019")</f>
        <v/>
      </c>
      <c r="T292">
        <f>HYPERLINK("https://klasma.github.io/Logging_2183/kartor/A 63545-2019 karta.png", "A 63545-2019")</f>
        <v/>
      </c>
      <c r="V292">
        <f>HYPERLINK("https://klasma.github.io/Logging_2183/klagomål/A 63545-2019 FSC-klagomål.docx", "A 63545-2019")</f>
        <v/>
      </c>
      <c r="W292">
        <f>HYPERLINK("https://klasma.github.io/Logging_2183/klagomålsmail/A 63545-2019 FSC-klagomål mail.docx", "A 63545-2019")</f>
        <v/>
      </c>
      <c r="X292">
        <f>HYPERLINK("https://klasma.github.io/Logging_2183/tillsyn/A 63545-2019 tillsynsbegäran.docx", "A 63545-2019")</f>
        <v/>
      </c>
      <c r="Y292">
        <f>HYPERLINK("https://klasma.github.io/Logging_2183/tillsynsmail/A 63545-2019 tillsynsbegäran mail.docx", "A 63545-2019")</f>
        <v/>
      </c>
    </row>
    <row r="293" ht="15" customHeight="1">
      <c r="A293" t="inlineStr">
        <is>
          <t>A 67154-2019</t>
        </is>
      </c>
      <c r="B293" s="1" t="n">
        <v>43811</v>
      </c>
      <c r="C293" s="1" t="n">
        <v>45344</v>
      </c>
      <c r="D293" t="inlineStr">
        <is>
          <t>GÄVLEBORGS LÄN</t>
        </is>
      </c>
      <c r="E293" t="inlineStr">
        <is>
          <t>LJUSDAL</t>
        </is>
      </c>
      <c r="G293" t="n">
        <v>12.9</v>
      </c>
      <c r="H293" t="n">
        <v>0</v>
      </c>
      <c r="I293" t="n">
        <v>0</v>
      </c>
      <c r="J293" t="n">
        <v>1</v>
      </c>
      <c r="K293" t="n">
        <v>0</v>
      </c>
      <c r="L293" t="n">
        <v>0</v>
      </c>
      <c r="M293" t="n">
        <v>0</v>
      </c>
      <c r="N293" t="n">
        <v>0</v>
      </c>
      <c r="O293" t="n">
        <v>1</v>
      </c>
      <c r="P293" t="n">
        <v>0</v>
      </c>
      <c r="Q293" t="n">
        <v>1</v>
      </c>
      <c r="R293" s="2" t="inlineStr">
        <is>
          <t>Rosenticka</t>
        </is>
      </c>
      <c r="S293">
        <f>HYPERLINK("https://klasma.github.io/Logging_2161/artfynd/A 67154-2019 artfynd.xlsx", "A 67154-2019")</f>
        <v/>
      </c>
      <c r="T293">
        <f>HYPERLINK("https://klasma.github.io/Logging_2161/kartor/A 67154-2019 karta.png", "A 67154-2019")</f>
        <v/>
      </c>
      <c r="V293">
        <f>HYPERLINK("https://klasma.github.io/Logging_2161/klagomål/A 67154-2019 FSC-klagomål.docx", "A 67154-2019")</f>
        <v/>
      </c>
      <c r="W293">
        <f>HYPERLINK("https://klasma.github.io/Logging_2161/klagomålsmail/A 67154-2019 FSC-klagomål mail.docx", "A 67154-2019")</f>
        <v/>
      </c>
      <c r="X293">
        <f>HYPERLINK("https://klasma.github.io/Logging_2161/tillsyn/A 67154-2019 tillsynsbegäran.docx", "A 67154-2019")</f>
        <v/>
      </c>
      <c r="Y293">
        <f>HYPERLINK("https://klasma.github.io/Logging_2161/tillsynsmail/A 67154-2019 tillsynsbegäran mail.docx", "A 67154-2019")</f>
        <v/>
      </c>
    </row>
    <row r="294" ht="15" customHeight="1">
      <c r="A294" t="inlineStr">
        <is>
          <t>A 326-2020</t>
        </is>
      </c>
      <c r="B294" s="1" t="n">
        <v>43837</v>
      </c>
      <c r="C294" s="1" t="n">
        <v>45344</v>
      </c>
      <c r="D294" t="inlineStr">
        <is>
          <t>GÄVLEBORGS LÄN</t>
        </is>
      </c>
      <c r="E294" t="inlineStr">
        <is>
          <t>OCKELBO</t>
        </is>
      </c>
      <c r="G294" t="n">
        <v>1.7</v>
      </c>
      <c r="H294" t="n">
        <v>0</v>
      </c>
      <c r="I294" t="n">
        <v>0</v>
      </c>
      <c r="J294" t="n">
        <v>1</v>
      </c>
      <c r="K294" t="n">
        <v>0</v>
      </c>
      <c r="L294" t="n">
        <v>0</v>
      </c>
      <c r="M294" t="n">
        <v>0</v>
      </c>
      <c r="N294" t="n">
        <v>0</v>
      </c>
      <c r="O294" t="n">
        <v>1</v>
      </c>
      <c r="P294" t="n">
        <v>0</v>
      </c>
      <c r="Q294" t="n">
        <v>1</v>
      </c>
      <c r="R294" s="2" t="inlineStr">
        <is>
          <t>Garnlav</t>
        </is>
      </c>
      <c r="S294">
        <f>HYPERLINK("https://klasma.github.io/Logging_2101/artfynd/A 326-2020 artfynd.xlsx", "A 326-2020")</f>
        <v/>
      </c>
      <c r="T294">
        <f>HYPERLINK("https://klasma.github.io/Logging_2101/kartor/A 326-2020 karta.png", "A 326-2020")</f>
        <v/>
      </c>
      <c r="V294">
        <f>HYPERLINK("https://klasma.github.io/Logging_2101/klagomål/A 326-2020 FSC-klagomål.docx", "A 326-2020")</f>
        <v/>
      </c>
      <c r="W294">
        <f>HYPERLINK("https://klasma.github.io/Logging_2101/klagomålsmail/A 326-2020 FSC-klagomål mail.docx", "A 326-2020")</f>
        <v/>
      </c>
      <c r="X294">
        <f>HYPERLINK("https://klasma.github.io/Logging_2101/tillsyn/A 326-2020 tillsynsbegäran.docx", "A 326-2020")</f>
        <v/>
      </c>
      <c r="Y294">
        <f>HYPERLINK("https://klasma.github.io/Logging_2101/tillsynsmail/A 326-2020 tillsynsbegäran mail.docx", "A 326-2020")</f>
        <v/>
      </c>
    </row>
    <row r="295" ht="15" customHeight="1">
      <c r="A295" t="inlineStr">
        <is>
          <t>A 1597-2020</t>
        </is>
      </c>
      <c r="B295" s="1" t="n">
        <v>43844</v>
      </c>
      <c r="C295" s="1" t="n">
        <v>45344</v>
      </c>
      <c r="D295" t="inlineStr">
        <is>
          <t>GÄVLEBORGS LÄN</t>
        </is>
      </c>
      <c r="E295" t="inlineStr">
        <is>
          <t>HUDIKSVALL</t>
        </is>
      </c>
      <c r="F295" t="inlineStr">
        <is>
          <t>Holmen skog AB</t>
        </is>
      </c>
      <c r="G295" t="n">
        <v>16.6</v>
      </c>
      <c r="H295" t="n">
        <v>1</v>
      </c>
      <c r="I295" t="n">
        <v>0</v>
      </c>
      <c r="J295" t="n">
        <v>1</v>
      </c>
      <c r="K295" t="n">
        <v>0</v>
      </c>
      <c r="L295" t="n">
        <v>0</v>
      </c>
      <c r="M295" t="n">
        <v>0</v>
      </c>
      <c r="N295" t="n">
        <v>0</v>
      </c>
      <c r="O295" t="n">
        <v>1</v>
      </c>
      <c r="P295" t="n">
        <v>0</v>
      </c>
      <c r="Q295" t="n">
        <v>1</v>
      </c>
      <c r="R295" s="2" t="inlineStr">
        <is>
          <t>Talltita</t>
        </is>
      </c>
      <c r="S295">
        <f>HYPERLINK("https://klasma.github.io/Logging_2184/artfynd/A 1597-2020 artfynd.xlsx", "A 1597-2020")</f>
        <v/>
      </c>
      <c r="T295">
        <f>HYPERLINK("https://klasma.github.io/Logging_2184/kartor/A 1597-2020 karta.png", "A 1597-2020")</f>
        <v/>
      </c>
      <c r="V295">
        <f>HYPERLINK("https://klasma.github.io/Logging_2184/klagomål/A 1597-2020 FSC-klagomål.docx", "A 1597-2020")</f>
        <v/>
      </c>
      <c r="W295">
        <f>HYPERLINK("https://klasma.github.io/Logging_2184/klagomålsmail/A 1597-2020 FSC-klagomål mail.docx", "A 1597-2020")</f>
        <v/>
      </c>
      <c r="X295">
        <f>HYPERLINK("https://klasma.github.io/Logging_2184/tillsyn/A 1597-2020 tillsynsbegäran.docx", "A 1597-2020")</f>
        <v/>
      </c>
      <c r="Y295">
        <f>HYPERLINK("https://klasma.github.io/Logging_2184/tillsynsmail/A 1597-2020 tillsynsbegäran mail.docx", "A 1597-2020")</f>
        <v/>
      </c>
      <c r="Z295">
        <f>HYPERLINK("https://klasma.github.io/Logging_2184/fåglar/A 1597-2020 prioriterade fågelarter.docx", "A 1597-2020")</f>
        <v/>
      </c>
    </row>
    <row r="296" ht="15" customHeight="1">
      <c r="A296" t="inlineStr">
        <is>
          <t>A 5923-2020</t>
        </is>
      </c>
      <c r="B296" s="1" t="n">
        <v>43864</v>
      </c>
      <c r="C296" s="1" t="n">
        <v>45344</v>
      </c>
      <c r="D296" t="inlineStr">
        <is>
          <t>GÄVLEBORGS LÄN</t>
        </is>
      </c>
      <c r="E296" t="inlineStr">
        <is>
          <t>BOLLNÄS</t>
        </is>
      </c>
      <c r="G296" t="n">
        <v>2.7</v>
      </c>
      <c r="H296" t="n">
        <v>1</v>
      </c>
      <c r="I296" t="n">
        <v>0</v>
      </c>
      <c r="J296" t="n">
        <v>1</v>
      </c>
      <c r="K296" t="n">
        <v>0</v>
      </c>
      <c r="L296" t="n">
        <v>0</v>
      </c>
      <c r="M296" t="n">
        <v>0</v>
      </c>
      <c r="N296" t="n">
        <v>0</v>
      </c>
      <c r="O296" t="n">
        <v>1</v>
      </c>
      <c r="P296" t="n">
        <v>0</v>
      </c>
      <c r="Q296" t="n">
        <v>1</v>
      </c>
      <c r="R296" s="2" t="inlineStr">
        <is>
          <t>Spillkråka</t>
        </is>
      </c>
      <c r="S296">
        <f>HYPERLINK("https://klasma.github.io/Logging_2183/artfynd/A 5923-2020 artfynd.xlsx", "A 5923-2020")</f>
        <v/>
      </c>
      <c r="T296">
        <f>HYPERLINK("https://klasma.github.io/Logging_2183/kartor/A 5923-2020 karta.png", "A 5923-2020")</f>
        <v/>
      </c>
      <c r="V296">
        <f>HYPERLINK("https://klasma.github.io/Logging_2183/klagomål/A 5923-2020 FSC-klagomål.docx", "A 5923-2020")</f>
        <v/>
      </c>
      <c r="W296">
        <f>HYPERLINK("https://klasma.github.io/Logging_2183/klagomålsmail/A 5923-2020 FSC-klagomål mail.docx", "A 5923-2020")</f>
        <v/>
      </c>
      <c r="X296">
        <f>HYPERLINK("https://klasma.github.io/Logging_2183/tillsyn/A 5923-2020 tillsynsbegäran.docx", "A 5923-2020")</f>
        <v/>
      </c>
      <c r="Y296">
        <f>HYPERLINK("https://klasma.github.io/Logging_2183/tillsynsmail/A 5923-2020 tillsynsbegäran mail.docx", "A 5923-2020")</f>
        <v/>
      </c>
      <c r="Z296">
        <f>HYPERLINK("https://klasma.github.io/Logging_2183/fåglar/A 5923-2020 prioriterade fågelarter.docx", "A 5923-2020")</f>
        <v/>
      </c>
    </row>
    <row r="297" ht="15" customHeight="1">
      <c r="A297" t="inlineStr">
        <is>
          <t>A 7560-2020</t>
        </is>
      </c>
      <c r="B297" s="1" t="n">
        <v>43872</v>
      </c>
      <c r="C297" s="1" t="n">
        <v>45344</v>
      </c>
      <c r="D297" t="inlineStr">
        <is>
          <t>GÄVLEBORGS LÄN</t>
        </is>
      </c>
      <c r="E297" t="inlineStr">
        <is>
          <t>LJUSDAL</t>
        </is>
      </c>
      <c r="G297" t="n">
        <v>3.9</v>
      </c>
      <c r="H297" t="n">
        <v>0</v>
      </c>
      <c r="I297" t="n">
        <v>0</v>
      </c>
      <c r="J297" t="n">
        <v>1</v>
      </c>
      <c r="K297" t="n">
        <v>0</v>
      </c>
      <c r="L297" t="n">
        <v>0</v>
      </c>
      <c r="M297" t="n">
        <v>0</v>
      </c>
      <c r="N297" t="n">
        <v>0</v>
      </c>
      <c r="O297" t="n">
        <v>1</v>
      </c>
      <c r="P297" t="n">
        <v>0</v>
      </c>
      <c r="Q297" t="n">
        <v>1</v>
      </c>
      <c r="R297" s="2" t="inlineStr">
        <is>
          <t>Blanksvart spiklav</t>
        </is>
      </c>
      <c r="S297">
        <f>HYPERLINK("https://klasma.github.io/Logging_2161/artfynd/A 7560-2020 artfynd.xlsx", "A 7560-2020")</f>
        <v/>
      </c>
      <c r="T297">
        <f>HYPERLINK("https://klasma.github.io/Logging_2161/kartor/A 7560-2020 karta.png", "A 7560-2020")</f>
        <v/>
      </c>
      <c r="V297">
        <f>HYPERLINK("https://klasma.github.io/Logging_2161/klagomål/A 7560-2020 FSC-klagomål.docx", "A 7560-2020")</f>
        <v/>
      </c>
      <c r="W297">
        <f>HYPERLINK("https://klasma.github.io/Logging_2161/klagomålsmail/A 7560-2020 FSC-klagomål mail.docx", "A 7560-2020")</f>
        <v/>
      </c>
      <c r="X297">
        <f>HYPERLINK("https://klasma.github.io/Logging_2161/tillsyn/A 7560-2020 tillsynsbegäran.docx", "A 7560-2020")</f>
        <v/>
      </c>
      <c r="Y297">
        <f>HYPERLINK("https://klasma.github.io/Logging_2161/tillsynsmail/A 7560-2020 tillsynsbegäran mail.docx", "A 7560-2020")</f>
        <v/>
      </c>
    </row>
    <row r="298" ht="15" customHeight="1">
      <c r="A298" t="inlineStr">
        <is>
          <t>A 8361-2020</t>
        </is>
      </c>
      <c r="B298" s="1" t="n">
        <v>43875</v>
      </c>
      <c r="C298" s="1" t="n">
        <v>45344</v>
      </c>
      <c r="D298" t="inlineStr">
        <is>
          <t>GÄVLEBORGS LÄN</t>
        </is>
      </c>
      <c r="E298" t="inlineStr">
        <is>
          <t>OVANÅKER</t>
        </is>
      </c>
      <c r="G298" t="n">
        <v>9.800000000000001</v>
      </c>
      <c r="H298" t="n">
        <v>1</v>
      </c>
      <c r="I298" t="n">
        <v>0</v>
      </c>
      <c r="J298" t="n">
        <v>1</v>
      </c>
      <c r="K298" t="n">
        <v>0</v>
      </c>
      <c r="L298" t="n">
        <v>0</v>
      </c>
      <c r="M298" t="n">
        <v>0</v>
      </c>
      <c r="N298" t="n">
        <v>0</v>
      </c>
      <c r="O298" t="n">
        <v>1</v>
      </c>
      <c r="P298" t="n">
        <v>0</v>
      </c>
      <c r="Q298" t="n">
        <v>1</v>
      </c>
      <c r="R298" s="2" t="inlineStr">
        <is>
          <t>Slaguggla</t>
        </is>
      </c>
      <c r="S298">
        <f>HYPERLINK("https://klasma.github.io/Logging_2121/artfynd/A 8361-2020 artfynd.xlsx", "A 8361-2020")</f>
        <v/>
      </c>
      <c r="T298">
        <f>HYPERLINK("https://klasma.github.io/Logging_2121/kartor/A 8361-2020 karta.png", "A 8361-2020")</f>
        <v/>
      </c>
      <c r="V298">
        <f>HYPERLINK("https://klasma.github.io/Logging_2121/klagomål/A 8361-2020 FSC-klagomål.docx", "A 8361-2020")</f>
        <v/>
      </c>
      <c r="W298">
        <f>HYPERLINK("https://klasma.github.io/Logging_2121/klagomålsmail/A 8361-2020 FSC-klagomål mail.docx", "A 8361-2020")</f>
        <v/>
      </c>
      <c r="X298">
        <f>HYPERLINK("https://klasma.github.io/Logging_2121/tillsyn/A 8361-2020 tillsynsbegäran.docx", "A 8361-2020")</f>
        <v/>
      </c>
      <c r="Y298">
        <f>HYPERLINK("https://klasma.github.io/Logging_2121/tillsynsmail/A 8361-2020 tillsynsbegäran mail.docx", "A 8361-2020")</f>
        <v/>
      </c>
      <c r="Z298">
        <f>HYPERLINK("https://klasma.github.io/Logging_2121/fåglar/A 8361-2020 prioriterade fågelarter.docx", "A 8361-2020")</f>
        <v/>
      </c>
    </row>
    <row r="299" ht="15" customHeight="1">
      <c r="A299" t="inlineStr">
        <is>
          <t>A 9731-2020</t>
        </is>
      </c>
      <c r="B299" s="1" t="n">
        <v>43881</v>
      </c>
      <c r="C299" s="1" t="n">
        <v>45344</v>
      </c>
      <c r="D299" t="inlineStr">
        <is>
          <t>GÄVLEBORGS LÄN</t>
        </is>
      </c>
      <c r="E299" t="inlineStr">
        <is>
          <t>SANDVIKEN</t>
        </is>
      </c>
      <c r="G299" t="n">
        <v>3.7</v>
      </c>
      <c r="H299" t="n">
        <v>1</v>
      </c>
      <c r="I299" t="n">
        <v>0</v>
      </c>
      <c r="J299" t="n">
        <v>0</v>
      </c>
      <c r="K299" t="n">
        <v>0</v>
      </c>
      <c r="L299" t="n">
        <v>0</v>
      </c>
      <c r="M299" t="n">
        <v>0</v>
      </c>
      <c r="N299" t="n">
        <v>0</v>
      </c>
      <c r="O299" t="n">
        <v>0</v>
      </c>
      <c r="P299" t="n">
        <v>0</v>
      </c>
      <c r="Q299" t="n">
        <v>1</v>
      </c>
      <c r="R299" s="2" t="inlineStr">
        <is>
          <t>Nattviol</t>
        </is>
      </c>
      <c r="S299">
        <f>HYPERLINK("https://klasma.github.io/Logging_2181/artfynd/A 9731-2020 artfynd.xlsx", "A 9731-2020")</f>
        <v/>
      </c>
      <c r="T299">
        <f>HYPERLINK("https://klasma.github.io/Logging_2181/kartor/A 9731-2020 karta.png", "A 9731-2020")</f>
        <v/>
      </c>
      <c r="V299">
        <f>HYPERLINK("https://klasma.github.io/Logging_2181/klagomål/A 9731-2020 FSC-klagomål.docx", "A 9731-2020")</f>
        <v/>
      </c>
      <c r="W299">
        <f>HYPERLINK("https://klasma.github.io/Logging_2181/klagomålsmail/A 9731-2020 FSC-klagomål mail.docx", "A 9731-2020")</f>
        <v/>
      </c>
      <c r="X299">
        <f>HYPERLINK("https://klasma.github.io/Logging_2181/tillsyn/A 9731-2020 tillsynsbegäran.docx", "A 9731-2020")</f>
        <v/>
      </c>
      <c r="Y299">
        <f>HYPERLINK("https://klasma.github.io/Logging_2181/tillsynsmail/A 9731-2020 tillsynsbegäran mail.docx", "A 9731-2020")</f>
        <v/>
      </c>
    </row>
    <row r="300" ht="15" customHeight="1">
      <c r="A300" t="inlineStr">
        <is>
          <t>A 10186-2020</t>
        </is>
      </c>
      <c r="B300" s="1" t="n">
        <v>43885</v>
      </c>
      <c r="C300" s="1" t="n">
        <v>45344</v>
      </c>
      <c r="D300" t="inlineStr">
        <is>
          <t>GÄVLEBORGS LÄN</t>
        </is>
      </c>
      <c r="E300" t="inlineStr">
        <is>
          <t>NORDANSTIG</t>
        </is>
      </c>
      <c r="F300" t="inlineStr">
        <is>
          <t>Holmen skog AB</t>
        </is>
      </c>
      <c r="G300" t="n">
        <v>4.1</v>
      </c>
      <c r="H300" t="n">
        <v>0</v>
      </c>
      <c r="I300" t="n">
        <v>0</v>
      </c>
      <c r="J300" t="n">
        <v>1</v>
      </c>
      <c r="K300" t="n">
        <v>0</v>
      </c>
      <c r="L300" t="n">
        <v>0</v>
      </c>
      <c r="M300" t="n">
        <v>0</v>
      </c>
      <c r="N300" t="n">
        <v>0</v>
      </c>
      <c r="O300" t="n">
        <v>1</v>
      </c>
      <c r="P300" t="n">
        <v>0</v>
      </c>
      <c r="Q300" t="n">
        <v>1</v>
      </c>
      <c r="R300" s="2" t="inlineStr">
        <is>
          <t>Aspskinn</t>
        </is>
      </c>
      <c r="S300">
        <f>HYPERLINK("https://klasma.github.io/Logging_2132/artfynd/A 10186-2020 artfynd.xlsx", "A 10186-2020")</f>
        <v/>
      </c>
      <c r="T300">
        <f>HYPERLINK("https://klasma.github.io/Logging_2132/kartor/A 10186-2020 karta.png", "A 10186-2020")</f>
        <v/>
      </c>
      <c r="V300">
        <f>HYPERLINK("https://klasma.github.io/Logging_2132/klagomål/A 10186-2020 FSC-klagomål.docx", "A 10186-2020")</f>
        <v/>
      </c>
      <c r="W300">
        <f>HYPERLINK("https://klasma.github.io/Logging_2132/klagomålsmail/A 10186-2020 FSC-klagomål mail.docx", "A 10186-2020")</f>
        <v/>
      </c>
      <c r="X300">
        <f>HYPERLINK("https://klasma.github.io/Logging_2132/tillsyn/A 10186-2020 tillsynsbegäran.docx", "A 10186-2020")</f>
        <v/>
      </c>
      <c r="Y300">
        <f>HYPERLINK("https://klasma.github.io/Logging_2132/tillsynsmail/A 10186-2020 tillsynsbegäran mail.docx", "A 10186-2020")</f>
        <v/>
      </c>
    </row>
    <row r="301" ht="15" customHeight="1">
      <c r="A301" t="inlineStr">
        <is>
          <t>A 13645-2020</t>
        </is>
      </c>
      <c r="B301" s="1" t="n">
        <v>43903</v>
      </c>
      <c r="C301" s="1" t="n">
        <v>45344</v>
      </c>
      <c r="D301" t="inlineStr">
        <is>
          <t>GÄVLEBORGS LÄN</t>
        </is>
      </c>
      <c r="E301" t="inlineStr">
        <is>
          <t>SANDVIKEN</t>
        </is>
      </c>
      <c r="G301" t="n">
        <v>5.9</v>
      </c>
      <c r="H301" t="n">
        <v>0</v>
      </c>
      <c r="I301" t="n">
        <v>0</v>
      </c>
      <c r="J301" t="n">
        <v>1</v>
      </c>
      <c r="K301" t="n">
        <v>0</v>
      </c>
      <c r="L301" t="n">
        <v>0</v>
      </c>
      <c r="M301" t="n">
        <v>0</v>
      </c>
      <c r="N301" t="n">
        <v>0</v>
      </c>
      <c r="O301" t="n">
        <v>1</v>
      </c>
      <c r="P301" t="n">
        <v>0</v>
      </c>
      <c r="Q301" t="n">
        <v>1</v>
      </c>
      <c r="R301" s="2" t="inlineStr">
        <is>
          <t>Tallticka</t>
        </is>
      </c>
      <c r="S301">
        <f>HYPERLINK("https://klasma.github.io/Logging_2181/artfynd/A 13645-2020 artfynd.xlsx", "A 13645-2020")</f>
        <v/>
      </c>
      <c r="T301">
        <f>HYPERLINK("https://klasma.github.io/Logging_2181/kartor/A 13645-2020 karta.png", "A 13645-2020")</f>
        <v/>
      </c>
      <c r="V301">
        <f>HYPERLINK("https://klasma.github.io/Logging_2181/klagomål/A 13645-2020 FSC-klagomål.docx", "A 13645-2020")</f>
        <v/>
      </c>
      <c r="W301">
        <f>HYPERLINK("https://klasma.github.io/Logging_2181/klagomålsmail/A 13645-2020 FSC-klagomål mail.docx", "A 13645-2020")</f>
        <v/>
      </c>
      <c r="X301">
        <f>HYPERLINK("https://klasma.github.io/Logging_2181/tillsyn/A 13645-2020 tillsynsbegäran.docx", "A 13645-2020")</f>
        <v/>
      </c>
      <c r="Y301">
        <f>HYPERLINK("https://klasma.github.io/Logging_2181/tillsynsmail/A 13645-2020 tillsynsbegäran mail.docx", "A 13645-2020")</f>
        <v/>
      </c>
    </row>
    <row r="302" ht="15" customHeight="1">
      <c r="A302" t="inlineStr">
        <is>
          <t>A 14362-2020</t>
        </is>
      </c>
      <c r="B302" s="1" t="n">
        <v>43908</v>
      </c>
      <c r="C302" s="1" t="n">
        <v>45344</v>
      </c>
      <c r="D302" t="inlineStr">
        <is>
          <t>GÄVLEBORGS LÄN</t>
        </is>
      </c>
      <c r="E302" t="inlineStr">
        <is>
          <t>HUDIKSVALL</t>
        </is>
      </c>
      <c r="F302" t="inlineStr">
        <is>
          <t>Kommuner</t>
        </is>
      </c>
      <c r="G302" t="n">
        <v>2.7</v>
      </c>
      <c r="H302" t="n">
        <v>1</v>
      </c>
      <c r="I302" t="n">
        <v>0</v>
      </c>
      <c r="J302" t="n">
        <v>1</v>
      </c>
      <c r="K302" t="n">
        <v>0</v>
      </c>
      <c r="L302" t="n">
        <v>0</v>
      </c>
      <c r="M302" t="n">
        <v>0</v>
      </c>
      <c r="N302" t="n">
        <v>0</v>
      </c>
      <c r="O302" t="n">
        <v>1</v>
      </c>
      <c r="P302" t="n">
        <v>0</v>
      </c>
      <c r="Q302" t="n">
        <v>1</v>
      </c>
      <c r="R302" s="2" t="inlineStr">
        <is>
          <t>Fiskmås</t>
        </is>
      </c>
      <c r="S302">
        <f>HYPERLINK("https://klasma.github.io/Logging_2184/artfynd/A 14362-2020 artfynd.xlsx", "A 14362-2020")</f>
        <v/>
      </c>
      <c r="T302">
        <f>HYPERLINK("https://klasma.github.io/Logging_2184/kartor/A 14362-2020 karta.png", "A 14362-2020")</f>
        <v/>
      </c>
      <c r="V302">
        <f>HYPERLINK("https://klasma.github.io/Logging_2184/klagomål/A 14362-2020 FSC-klagomål.docx", "A 14362-2020")</f>
        <v/>
      </c>
      <c r="W302">
        <f>HYPERLINK("https://klasma.github.io/Logging_2184/klagomålsmail/A 14362-2020 FSC-klagomål mail.docx", "A 14362-2020")</f>
        <v/>
      </c>
      <c r="X302">
        <f>HYPERLINK("https://klasma.github.io/Logging_2184/tillsyn/A 14362-2020 tillsynsbegäran.docx", "A 14362-2020")</f>
        <v/>
      </c>
      <c r="Y302">
        <f>HYPERLINK("https://klasma.github.io/Logging_2184/tillsynsmail/A 14362-2020 tillsynsbegäran mail.docx", "A 14362-2020")</f>
        <v/>
      </c>
    </row>
    <row r="303" ht="15" customHeight="1">
      <c r="A303" t="inlineStr">
        <is>
          <t>A 16382-2020</t>
        </is>
      </c>
      <c r="B303" s="1" t="n">
        <v>43917</v>
      </c>
      <c r="C303" s="1" t="n">
        <v>45344</v>
      </c>
      <c r="D303" t="inlineStr">
        <is>
          <t>GÄVLEBORGS LÄN</t>
        </is>
      </c>
      <c r="E303" t="inlineStr">
        <is>
          <t>HUDIKSVALL</t>
        </is>
      </c>
      <c r="F303" t="inlineStr">
        <is>
          <t>Holmen skog AB</t>
        </is>
      </c>
      <c r="G303" t="n">
        <v>6</v>
      </c>
      <c r="H303" t="n">
        <v>1</v>
      </c>
      <c r="I303" t="n">
        <v>0</v>
      </c>
      <c r="J303" t="n">
        <v>1</v>
      </c>
      <c r="K303" t="n">
        <v>0</v>
      </c>
      <c r="L303" t="n">
        <v>0</v>
      </c>
      <c r="M303" t="n">
        <v>0</v>
      </c>
      <c r="N303" t="n">
        <v>0</v>
      </c>
      <c r="O303" t="n">
        <v>1</v>
      </c>
      <c r="P303" t="n">
        <v>0</v>
      </c>
      <c r="Q303" t="n">
        <v>1</v>
      </c>
      <c r="R303" s="2" t="inlineStr">
        <is>
          <t>Fjällvråk</t>
        </is>
      </c>
      <c r="S303">
        <f>HYPERLINK("https://klasma.github.io/Logging_2184/artfynd/A 16382-2020 artfynd.xlsx", "A 16382-2020")</f>
        <v/>
      </c>
      <c r="T303">
        <f>HYPERLINK("https://klasma.github.io/Logging_2184/kartor/A 16382-2020 karta.png", "A 16382-2020")</f>
        <v/>
      </c>
      <c r="V303">
        <f>HYPERLINK("https://klasma.github.io/Logging_2184/klagomål/A 16382-2020 FSC-klagomål.docx", "A 16382-2020")</f>
        <v/>
      </c>
      <c r="W303">
        <f>HYPERLINK("https://klasma.github.io/Logging_2184/klagomålsmail/A 16382-2020 FSC-klagomål mail.docx", "A 16382-2020")</f>
        <v/>
      </c>
      <c r="X303">
        <f>HYPERLINK("https://klasma.github.io/Logging_2184/tillsyn/A 16382-2020 tillsynsbegäran.docx", "A 16382-2020")</f>
        <v/>
      </c>
      <c r="Y303">
        <f>HYPERLINK("https://klasma.github.io/Logging_2184/tillsynsmail/A 16382-2020 tillsynsbegäran mail.docx", "A 16382-2020")</f>
        <v/>
      </c>
      <c r="Z303">
        <f>HYPERLINK("https://klasma.github.io/Logging_2184/fåglar/A 16382-2020 prioriterade fågelarter.docx", "A 16382-2020")</f>
        <v/>
      </c>
    </row>
    <row r="304" ht="15" customHeight="1">
      <c r="A304" t="inlineStr">
        <is>
          <t>A 19023-2020</t>
        </is>
      </c>
      <c r="B304" s="1" t="n">
        <v>43936</v>
      </c>
      <c r="C304" s="1" t="n">
        <v>45344</v>
      </c>
      <c r="D304" t="inlineStr">
        <is>
          <t>GÄVLEBORGS LÄN</t>
        </is>
      </c>
      <c r="E304" t="inlineStr">
        <is>
          <t>LJUSDAL</t>
        </is>
      </c>
      <c r="G304" t="n">
        <v>5.9</v>
      </c>
      <c r="H304" t="n">
        <v>0</v>
      </c>
      <c r="I304" t="n">
        <v>0</v>
      </c>
      <c r="J304" t="n">
        <v>1</v>
      </c>
      <c r="K304" t="n">
        <v>0</v>
      </c>
      <c r="L304" t="n">
        <v>0</v>
      </c>
      <c r="M304" t="n">
        <v>0</v>
      </c>
      <c r="N304" t="n">
        <v>0</v>
      </c>
      <c r="O304" t="n">
        <v>1</v>
      </c>
      <c r="P304" t="n">
        <v>0</v>
      </c>
      <c r="Q304" t="n">
        <v>1</v>
      </c>
      <c r="R304" s="2" t="inlineStr">
        <is>
          <t>Violettgrå tagellav</t>
        </is>
      </c>
      <c r="S304">
        <f>HYPERLINK("https://klasma.github.io/Logging_2161/artfynd/A 19023-2020 artfynd.xlsx", "A 19023-2020")</f>
        <v/>
      </c>
      <c r="T304">
        <f>HYPERLINK("https://klasma.github.io/Logging_2161/kartor/A 19023-2020 karta.png", "A 19023-2020")</f>
        <v/>
      </c>
      <c r="V304">
        <f>HYPERLINK("https://klasma.github.io/Logging_2161/klagomål/A 19023-2020 FSC-klagomål.docx", "A 19023-2020")</f>
        <v/>
      </c>
      <c r="W304">
        <f>HYPERLINK("https://klasma.github.io/Logging_2161/klagomålsmail/A 19023-2020 FSC-klagomål mail.docx", "A 19023-2020")</f>
        <v/>
      </c>
      <c r="X304">
        <f>HYPERLINK("https://klasma.github.io/Logging_2161/tillsyn/A 19023-2020 tillsynsbegäran.docx", "A 19023-2020")</f>
        <v/>
      </c>
      <c r="Y304">
        <f>HYPERLINK("https://klasma.github.io/Logging_2161/tillsynsmail/A 19023-2020 tillsynsbegäran mail.docx", "A 19023-2020")</f>
        <v/>
      </c>
    </row>
    <row r="305" ht="15" customHeight="1">
      <c r="A305" t="inlineStr">
        <is>
          <t>A 19702-2020</t>
        </is>
      </c>
      <c r="B305" s="1" t="n">
        <v>43941</v>
      </c>
      <c r="C305" s="1" t="n">
        <v>45344</v>
      </c>
      <c r="D305" t="inlineStr">
        <is>
          <t>GÄVLEBORGS LÄN</t>
        </is>
      </c>
      <c r="E305" t="inlineStr">
        <is>
          <t>SÖDERHAMN</t>
        </is>
      </c>
      <c r="F305" t="inlineStr">
        <is>
          <t>Bergvik skog väst AB</t>
        </is>
      </c>
      <c r="G305" t="n">
        <v>4.9</v>
      </c>
      <c r="H305" t="n">
        <v>0</v>
      </c>
      <c r="I305" t="n">
        <v>0</v>
      </c>
      <c r="J305" t="n">
        <v>0</v>
      </c>
      <c r="K305" t="n">
        <v>0</v>
      </c>
      <c r="L305" t="n">
        <v>1</v>
      </c>
      <c r="M305" t="n">
        <v>0</v>
      </c>
      <c r="N305" t="n">
        <v>0</v>
      </c>
      <c r="O305" t="n">
        <v>1</v>
      </c>
      <c r="P305" t="n">
        <v>1</v>
      </c>
      <c r="Q305" t="n">
        <v>1</v>
      </c>
      <c r="R305" s="2" t="inlineStr">
        <is>
          <t>Ask</t>
        </is>
      </c>
      <c r="S305">
        <f>HYPERLINK("https://klasma.github.io/Logging_2182/artfynd/A 19702-2020 artfynd.xlsx", "A 19702-2020")</f>
        <v/>
      </c>
      <c r="T305">
        <f>HYPERLINK("https://klasma.github.io/Logging_2182/kartor/A 19702-2020 karta.png", "A 19702-2020")</f>
        <v/>
      </c>
      <c r="V305">
        <f>HYPERLINK("https://klasma.github.io/Logging_2182/klagomål/A 19702-2020 FSC-klagomål.docx", "A 19702-2020")</f>
        <v/>
      </c>
      <c r="W305">
        <f>HYPERLINK("https://klasma.github.io/Logging_2182/klagomålsmail/A 19702-2020 FSC-klagomål mail.docx", "A 19702-2020")</f>
        <v/>
      </c>
      <c r="X305">
        <f>HYPERLINK("https://klasma.github.io/Logging_2182/tillsyn/A 19702-2020 tillsynsbegäran.docx", "A 19702-2020")</f>
        <v/>
      </c>
      <c r="Y305">
        <f>HYPERLINK("https://klasma.github.io/Logging_2182/tillsynsmail/A 19702-2020 tillsynsbegäran mail.docx", "A 19702-2020")</f>
        <v/>
      </c>
    </row>
    <row r="306" ht="15" customHeight="1">
      <c r="A306" t="inlineStr">
        <is>
          <t>A 25005-2020</t>
        </is>
      </c>
      <c r="B306" s="1" t="n">
        <v>43979</v>
      </c>
      <c r="C306" s="1" t="n">
        <v>45344</v>
      </c>
      <c r="D306" t="inlineStr">
        <is>
          <t>GÄVLEBORGS LÄN</t>
        </is>
      </c>
      <c r="E306" t="inlineStr">
        <is>
          <t>LJUSDAL</t>
        </is>
      </c>
      <c r="F306" t="inlineStr">
        <is>
          <t>Sveaskog</t>
        </is>
      </c>
      <c r="G306" t="n">
        <v>1.9</v>
      </c>
      <c r="H306" t="n">
        <v>0</v>
      </c>
      <c r="I306" t="n">
        <v>0</v>
      </c>
      <c r="J306" t="n">
        <v>1</v>
      </c>
      <c r="K306" t="n">
        <v>0</v>
      </c>
      <c r="L306" t="n">
        <v>0</v>
      </c>
      <c r="M306" t="n">
        <v>0</v>
      </c>
      <c r="N306" t="n">
        <v>0</v>
      </c>
      <c r="O306" t="n">
        <v>1</v>
      </c>
      <c r="P306" t="n">
        <v>0</v>
      </c>
      <c r="Q306" t="n">
        <v>1</v>
      </c>
      <c r="R306" s="2" t="inlineStr">
        <is>
          <t>Kolflarnlav</t>
        </is>
      </c>
      <c r="S306">
        <f>HYPERLINK("https://klasma.github.io/Logging_2161/artfynd/A 25005-2020 artfynd.xlsx", "A 25005-2020")</f>
        <v/>
      </c>
      <c r="T306">
        <f>HYPERLINK("https://klasma.github.io/Logging_2161/kartor/A 25005-2020 karta.png", "A 25005-2020")</f>
        <v/>
      </c>
      <c r="V306">
        <f>HYPERLINK("https://klasma.github.io/Logging_2161/klagomål/A 25005-2020 FSC-klagomål.docx", "A 25005-2020")</f>
        <v/>
      </c>
      <c r="W306">
        <f>HYPERLINK("https://klasma.github.io/Logging_2161/klagomålsmail/A 25005-2020 FSC-klagomål mail.docx", "A 25005-2020")</f>
        <v/>
      </c>
      <c r="X306">
        <f>HYPERLINK("https://klasma.github.io/Logging_2161/tillsyn/A 25005-2020 tillsynsbegäran.docx", "A 25005-2020")</f>
        <v/>
      </c>
      <c r="Y306">
        <f>HYPERLINK("https://klasma.github.io/Logging_2161/tillsynsmail/A 25005-2020 tillsynsbegäran mail.docx", "A 25005-2020")</f>
        <v/>
      </c>
    </row>
    <row r="307" ht="15" customHeight="1">
      <c r="A307" t="inlineStr">
        <is>
          <t>A 25565-2020</t>
        </is>
      </c>
      <c r="B307" s="1" t="n">
        <v>43983</v>
      </c>
      <c r="C307" s="1" t="n">
        <v>45344</v>
      </c>
      <c r="D307" t="inlineStr">
        <is>
          <t>GÄVLEBORGS LÄN</t>
        </is>
      </c>
      <c r="E307" t="inlineStr">
        <is>
          <t>OCKELBO</t>
        </is>
      </c>
      <c r="G307" t="n">
        <v>3.8</v>
      </c>
      <c r="H307" t="n">
        <v>1</v>
      </c>
      <c r="I307" t="n">
        <v>1</v>
      </c>
      <c r="J307" t="n">
        <v>0</v>
      </c>
      <c r="K307" t="n">
        <v>0</v>
      </c>
      <c r="L307" t="n">
        <v>0</v>
      </c>
      <c r="M307" t="n">
        <v>0</v>
      </c>
      <c r="N307" t="n">
        <v>0</v>
      </c>
      <c r="O307" t="n">
        <v>0</v>
      </c>
      <c r="P307" t="n">
        <v>0</v>
      </c>
      <c r="Q307" t="n">
        <v>1</v>
      </c>
      <c r="R307" s="2" t="inlineStr">
        <is>
          <t>Plattlummer</t>
        </is>
      </c>
      <c r="S307">
        <f>HYPERLINK("https://klasma.github.io/Logging_2101/artfynd/A 25565-2020 artfynd.xlsx", "A 25565-2020")</f>
        <v/>
      </c>
      <c r="T307">
        <f>HYPERLINK("https://klasma.github.io/Logging_2101/kartor/A 25565-2020 karta.png", "A 25565-2020")</f>
        <v/>
      </c>
      <c r="V307">
        <f>HYPERLINK("https://klasma.github.io/Logging_2101/klagomål/A 25565-2020 FSC-klagomål.docx", "A 25565-2020")</f>
        <v/>
      </c>
      <c r="W307">
        <f>HYPERLINK("https://klasma.github.io/Logging_2101/klagomålsmail/A 25565-2020 FSC-klagomål mail.docx", "A 25565-2020")</f>
        <v/>
      </c>
      <c r="X307">
        <f>HYPERLINK("https://klasma.github.io/Logging_2101/tillsyn/A 25565-2020 tillsynsbegäran.docx", "A 25565-2020")</f>
        <v/>
      </c>
      <c r="Y307">
        <f>HYPERLINK("https://klasma.github.io/Logging_2101/tillsynsmail/A 25565-2020 tillsynsbegäran mail.docx", "A 25565-2020")</f>
        <v/>
      </c>
    </row>
    <row r="308" ht="15" customHeight="1">
      <c r="A308" t="inlineStr">
        <is>
          <t>A 30137-2020</t>
        </is>
      </c>
      <c r="B308" s="1" t="n">
        <v>44007</v>
      </c>
      <c r="C308" s="1" t="n">
        <v>45344</v>
      </c>
      <c r="D308" t="inlineStr">
        <is>
          <t>GÄVLEBORGS LÄN</t>
        </is>
      </c>
      <c r="E308" t="inlineStr">
        <is>
          <t>HUDIKSVALL</t>
        </is>
      </c>
      <c r="G308" t="n">
        <v>1.1</v>
      </c>
      <c r="H308" t="n">
        <v>0</v>
      </c>
      <c r="I308" t="n">
        <v>0</v>
      </c>
      <c r="J308" t="n">
        <v>1</v>
      </c>
      <c r="K308" t="n">
        <v>0</v>
      </c>
      <c r="L308" t="n">
        <v>0</v>
      </c>
      <c r="M308" t="n">
        <v>0</v>
      </c>
      <c r="N308" t="n">
        <v>0</v>
      </c>
      <c r="O308" t="n">
        <v>1</v>
      </c>
      <c r="P308" t="n">
        <v>0</v>
      </c>
      <c r="Q308" t="n">
        <v>1</v>
      </c>
      <c r="R308" s="2" t="inlineStr">
        <is>
          <t>Rosenticka</t>
        </is>
      </c>
      <c r="S308">
        <f>HYPERLINK("https://klasma.github.io/Logging_2184/artfynd/A 30137-2020 artfynd.xlsx", "A 30137-2020")</f>
        <v/>
      </c>
      <c r="T308">
        <f>HYPERLINK("https://klasma.github.io/Logging_2184/kartor/A 30137-2020 karta.png", "A 30137-2020")</f>
        <v/>
      </c>
      <c r="V308">
        <f>HYPERLINK("https://klasma.github.io/Logging_2184/klagomål/A 30137-2020 FSC-klagomål.docx", "A 30137-2020")</f>
        <v/>
      </c>
      <c r="W308">
        <f>HYPERLINK("https://klasma.github.io/Logging_2184/klagomålsmail/A 30137-2020 FSC-klagomål mail.docx", "A 30137-2020")</f>
        <v/>
      </c>
      <c r="X308">
        <f>HYPERLINK("https://klasma.github.io/Logging_2184/tillsyn/A 30137-2020 tillsynsbegäran.docx", "A 30137-2020")</f>
        <v/>
      </c>
      <c r="Y308">
        <f>HYPERLINK("https://klasma.github.io/Logging_2184/tillsynsmail/A 30137-2020 tillsynsbegäran mail.docx", "A 30137-2020")</f>
        <v/>
      </c>
    </row>
    <row r="309" ht="15" customHeight="1">
      <c r="A309" t="inlineStr">
        <is>
          <t>A 30998-2020</t>
        </is>
      </c>
      <c r="B309" s="1" t="n">
        <v>44011</v>
      </c>
      <c r="C309" s="1" t="n">
        <v>45344</v>
      </c>
      <c r="D309" t="inlineStr">
        <is>
          <t>GÄVLEBORGS LÄN</t>
        </is>
      </c>
      <c r="E309" t="inlineStr">
        <is>
          <t>SANDVIKEN</t>
        </is>
      </c>
      <c r="G309" t="n">
        <v>2.3</v>
      </c>
      <c r="H309" t="n">
        <v>0</v>
      </c>
      <c r="I309" t="n">
        <v>1</v>
      </c>
      <c r="J309" t="n">
        <v>0</v>
      </c>
      <c r="K309" t="n">
        <v>0</v>
      </c>
      <c r="L309" t="n">
        <v>0</v>
      </c>
      <c r="M309" t="n">
        <v>0</v>
      </c>
      <c r="N309" t="n">
        <v>0</v>
      </c>
      <c r="O309" t="n">
        <v>0</v>
      </c>
      <c r="P309" t="n">
        <v>0</v>
      </c>
      <c r="Q309" t="n">
        <v>1</v>
      </c>
      <c r="R309" s="2" t="inlineStr">
        <is>
          <t>Ögonpyrola</t>
        </is>
      </c>
      <c r="S309">
        <f>HYPERLINK("https://klasma.github.io/Logging_2181/artfynd/A 30998-2020 artfynd.xlsx", "A 30998-2020")</f>
        <v/>
      </c>
      <c r="T309">
        <f>HYPERLINK("https://klasma.github.io/Logging_2181/kartor/A 30998-2020 karta.png", "A 30998-2020")</f>
        <v/>
      </c>
      <c r="V309">
        <f>HYPERLINK("https://klasma.github.io/Logging_2181/klagomål/A 30998-2020 FSC-klagomål.docx", "A 30998-2020")</f>
        <v/>
      </c>
      <c r="W309">
        <f>HYPERLINK("https://klasma.github.io/Logging_2181/klagomålsmail/A 30998-2020 FSC-klagomål mail.docx", "A 30998-2020")</f>
        <v/>
      </c>
      <c r="X309">
        <f>HYPERLINK("https://klasma.github.io/Logging_2181/tillsyn/A 30998-2020 tillsynsbegäran.docx", "A 30998-2020")</f>
        <v/>
      </c>
      <c r="Y309">
        <f>HYPERLINK("https://klasma.github.io/Logging_2181/tillsynsmail/A 30998-2020 tillsynsbegäran mail.docx", "A 30998-2020")</f>
        <v/>
      </c>
    </row>
    <row r="310" ht="15" customHeight="1">
      <c r="A310" t="inlineStr">
        <is>
          <t>A 32799-2020</t>
        </is>
      </c>
      <c r="B310" s="1" t="n">
        <v>44020</v>
      </c>
      <c r="C310" s="1" t="n">
        <v>45344</v>
      </c>
      <c r="D310" t="inlineStr">
        <is>
          <t>GÄVLEBORGS LÄN</t>
        </is>
      </c>
      <c r="E310" t="inlineStr">
        <is>
          <t>SANDVIKEN</t>
        </is>
      </c>
      <c r="F310" t="inlineStr">
        <is>
          <t>Bergvik skog öst AB</t>
        </is>
      </c>
      <c r="G310" t="n">
        <v>2.9</v>
      </c>
      <c r="H310" t="n">
        <v>0</v>
      </c>
      <c r="I310" t="n">
        <v>0</v>
      </c>
      <c r="J310" t="n">
        <v>1</v>
      </c>
      <c r="K310" t="n">
        <v>0</v>
      </c>
      <c r="L310" t="n">
        <v>0</v>
      </c>
      <c r="M310" t="n">
        <v>0</v>
      </c>
      <c r="N310" t="n">
        <v>0</v>
      </c>
      <c r="O310" t="n">
        <v>1</v>
      </c>
      <c r="P310" t="n">
        <v>0</v>
      </c>
      <c r="Q310" t="n">
        <v>1</v>
      </c>
      <c r="R310" s="2" t="inlineStr">
        <is>
          <t>Skogsklocka</t>
        </is>
      </c>
      <c r="S310">
        <f>HYPERLINK("https://klasma.github.io/Logging_2181/artfynd/A 32799-2020 artfynd.xlsx", "A 32799-2020")</f>
        <v/>
      </c>
      <c r="T310">
        <f>HYPERLINK("https://klasma.github.io/Logging_2181/kartor/A 32799-2020 karta.png", "A 32799-2020")</f>
        <v/>
      </c>
      <c r="V310">
        <f>HYPERLINK("https://klasma.github.io/Logging_2181/klagomål/A 32799-2020 FSC-klagomål.docx", "A 32799-2020")</f>
        <v/>
      </c>
      <c r="W310">
        <f>HYPERLINK("https://klasma.github.io/Logging_2181/klagomålsmail/A 32799-2020 FSC-klagomål mail.docx", "A 32799-2020")</f>
        <v/>
      </c>
      <c r="X310">
        <f>HYPERLINK("https://klasma.github.io/Logging_2181/tillsyn/A 32799-2020 tillsynsbegäran.docx", "A 32799-2020")</f>
        <v/>
      </c>
      <c r="Y310">
        <f>HYPERLINK("https://klasma.github.io/Logging_2181/tillsynsmail/A 32799-2020 tillsynsbegäran mail.docx", "A 32799-2020")</f>
        <v/>
      </c>
    </row>
    <row r="311" ht="15" customHeight="1">
      <c r="A311" t="inlineStr">
        <is>
          <t>A 35878-2020</t>
        </is>
      </c>
      <c r="B311" s="1" t="n">
        <v>44047</v>
      </c>
      <c r="C311" s="1" t="n">
        <v>45344</v>
      </c>
      <c r="D311" t="inlineStr">
        <is>
          <t>GÄVLEBORGS LÄN</t>
        </is>
      </c>
      <c r="E311" t="inlineStr">
        <is>
          <t>OCKELBO</t>
        </is>
      </c>
      <c r="G311" t="n">
        <v>2.5</v>
      </c>
      <c r="H311" t="n">
        <v>1</v>
      </c>
      <c r="I311" t="n">
        <v>0</v>
      </c>
      <c r="J311" t="n">
        <v>0</v>
      </c>
      <c r="K311" t="n">
        <v>1</v>
      </c>
      <c r="L311" t="n">
        <v>0</v>
      </c>
      <c r="M311" t="n">
        <v>0</v>
      </c>
      <c r="N311" t="n">
        <v>0</v>
      </c>
      <c r="O311" t="n">
        <v>1</v>
      </c>
      <c r="P311" t="n">
        <v>1</v>
      </c>
      <c r="Q311" t="n">
        <v>1</v>
      </c>
      <c r="R311" s="2" t="inlineStr">
        <is>
          <t>Knärot</t>
        </is>
      </c>
      <c r="S311">
        <f>HYPERLINK("https://klasma.github.io/Logging_2101/artfynd/A 35878-2020 artfynd.xlsx", "A 35878-2020")</f>
        <v/>
      </c>
      <c r="T311">
        <f>HYPERLINK("https://klasma.github.io/Logging_2101/kartor/A 35878-2020 karta.png", "A 35878-2020")</f>
        <v/>
      </c>
      <c r="U311">
        <f>HYPERLINK("https://klasma.github.io/Logging_2101/knärot/A 35878-2020 karta knärot.png", "A 35878-2020")</f>
        <v/>
      </c>
      <c r="V311">
        <f>HYPERLINK("https://klasma.github.io/Logging_2101/klagomål/A 35878-2020 FSC-klagomål.docx", "A 35878-2020")</f>
        <v/>
      </c>
      <c r="W311">
        <f>HYPERLINK("https://klasma.github.io/Logging_2101/klagomålsmail/A 35878-2020 FSC-klagomål mail.docx", "A 35878-2020")</f>
        <v/>
      </c>
      <c r="X311">
        <f>HYPERLINK("https://klasma.github.io/Logging_2101/tillsyn/A 35878-2020 tillsynsbegäran.docx", "A 35878-2020")</f>
        <v/>
      </c>
      <c r="Y311">
        <f>HYPERLINK("https://klasma.github.io/Logging_2101/tillsynsmail/A 35878-2020 tillsynsbegäran mail.docx", "A 35878-2020")</f>
        <v/>
      </c>
    </row>
    <row r="312" ht="15" customHeight="1">
      <c r="A312" t="inlineStr">
        <is>
          <t>A 38855-2020</t>
        </is>
      </c>
      <c r="B312" s="1" t="n">
        <v>44062</v>
      </c>
      <c r="C312" s="1" t="n">
        <v>45344</v>
      </c>
      <c r="D312" t="inlineStr">
        <is>
          <t>GÄVLEBORGS LÄN</t>
        </is>
      </c>
      <c r="E312" t="inlineStr">
        <is>
          <t>LJUSDAL</t>
        </is>
      </c>
      <c r="F312" t="inlineStr">
        <is>
          <t>Holmen skog AB</t>
        </is>
      </c>
      <c r="G312" t="n">
        <v>3.8</v>
      </c>
      <c r="H312" t="n">
        <v>1</v>
      </c>
      <c r="I312" t="n">
        <v>0</v>
      </c>
      <c r="J312" t="n">
        <v>0</v>
      </c>
      <c r="K312" t="n">
        <v>1</v>
      </c>
      <c r="L312" t="n">
        <v>0</v>
      </c>
      <c r="M312" t="n">
        <v>0</v>
      </c>
      <c r="N312" t="n">
        <v>0</v>
      </c>
      <c r="O312" t="n">
        <v>1</v>
      </c>
      <c r="P312" t="n">
        <v>1</v>
      </c>
      <c r="Q312" t="n">
        <v>1</v>
      </c>
      <c r="R312" s="2" t="inlineStr">
        <is>
          <t>Knärot</t>
        </is>
      </c>
      <c r="S312">
        <f>HYPERLINK("https://klasma.github.io/Logging_2161/artfynd/A 38855-2020 artfynd.xlsx", "A 38855-2020")</f>
        <v/>
      </c>
      <c r="T312">
        <f>HYPERLINK("https://klasma.github.io/Logging_2161/kartor/A 38855-2020 karta.png", "A 38855-2020")</f>
        <v/>
      </c>
      <c r="U312">
        <f>HYPERLINK("https://klasma.github.io/Logging_2161/knärot/A 38855-2020 karta knärot.png", "A 38855-2020")</f>
        <v/>
      </c>
      <c r="V312">
        <f>HYPERLINK("https://klasma.github.io/Logging_2161/klagomål/A 38855-2020 FSC-klagomål.docx", "A 38855-2020")</f>
        <v/>
      </c>
      <c r="W312">
        <f>HYPERLINK("https://klasma.github.io/Logging_2161/klagomålsmail/A 38855-2020 FSC-klagomål mail.docx", "A 38855-2020")</f>
        <v/>
      </c>
      <c r="X312">
        <f>HYPERLINK("https://klasma.github.io/Logging_2161/tillsyn/A 38855-2020 tillsynsbegäran.docx", "A 38855-2020")</f>
        <v/>
      </c>
      <c r="Y312">
        <f>HYPERLINK("https://klasma.github.io/Logging_2161/tillsynsmail/A 38855-2020 tillsynsbegäran mail.docx", "A 38855-2020")</f>
        <v/>
      </c>
    </row>
    <row r="313" ht="15" customHeight="1">
      <c r="A313" t="inlineStr">
        <is>
          <t>A 40597-2020</t>
        </is>
      </c>
      <c r="B313" s="1" t="n">
        <v>44069</v>
      </c>
      <c r="C313" s="1" t="n">
        <v>45344</v>
      </c>
      <c r="D313" t="inlineStr">
        <is>
          <t>GÄVLEBORGS LÄN</t>
        </is>
      </c>
      <c r="E313" t="inlineStr">
        <is>
          <t>LJUSDAL</t>
        </is>
      </c>
      <c r="F313" t="inlineStr">
        <is>
          <t>Sveaskog</t>
        </is>
      </c>
      <c r="G313" t="n">
        <v>9.5</v>
      </c>
      <c r="H313" t="n">
        <v>0</v>
      </c>
      <c r="I313" t="n">
        <v>0</v>
      </c>
      <c r="J313" t="n">
        <v>1</v>
      </c>
      <c r="K313" t="n">
        <v>0</v>
      </c>
      <c r="L313" t="n">
        <v>0</v>
      </c>
      <c r="M313" t="n">
        <v>0</v>
      </c>
      <c r="N313" t="n">
        <v>0</v>
      </c>
      <c r="O313" t="n">
        <v>1</v>
      </c>
      <c r="P313" t="n">
        <v>0</v>
      </c>
      <c r="Q313" t="n">
        <v>1</v>
      </c>
      <c r="R313" s="2" t="inlineStr">
        <is>
          <t>Lunglav</t>
        </is>
      </c>
      <c r="S313">
        <f>HYPERLINK("https://klasma.github.io/Logging_2161/artfynd/A 40597-2020 artfynd.xlsx", "A 40597-2020")</f>
        <v/>
      </c>
      <c r="T313">
        <f>HYPERLINK("https://klasma.github.io/Logging_2161/kartor/A 40597-2020 karta.png", "A 40597-2020")</f>
        <v/>
      </c>
      <c r="V313">
        <f>HYPERLINK("https://klasma.github.io/Logging_2161/klagomål/A 40597-2020 FSC-klagomål.docx", "A 40597-2020")</f>
        <v/>
      </c>
      <c r="W313">
        <f>HYPERLINK("https://klasma.github.io/Logging_2161/klagomålsmail/A 40597-2020 FSC-klagomål mail.docx", "A 40597-2020")</f>
        <v/>
      </c>
      <c r="X313">
        <f>HYPERLINK("https://klasma.github.io/Logging_2161/tillsyn/A 40597-2020 tillsynsbegäran.docx", "A 40597-2020")</f>
        <v/>
      </c>
      <c r="Y313">
        <f>HYPERLINK("https://klasma.github.io/Logging_2161/tillsynsmail/A 40597-2020 tillsynsbegäran mail.docx", "A 40597-2020")</f>
        <v/>
      </c>
    </row>
    <row r="314" ht="15" customHeight="1">
      <c r="A314" t="inlineStr">
        <is>
          <t>A 43381-2020</t>
        </is>
      </c>
      <c r="B314" s="1" t="n">
        <v>44081</v>
      </c>
      <c r="C314" s="1" t="n">
        <v>45344</v>
      </c>
      <c r="D314" t="inlineStr">
        <is>
          <t>GÄVLEBORGS LÄN</t>
        </is>
      </c>
      <c r="E314" t="inlineStr">
        <is>
          <t>BOLLNÄS</t>
        </is>
      </c>
      <c r="F314" t="inlineStr">
        <is>
          <t>Sveaskog</t>
        </is>
      </c>
      <c r="G314" t="n">
        <v>3.3</v>
      </c>
      <c r="H314" t="n">
        <v>0</v>
      </c>
      <c r="I314" t="n">
        <v>0</v>
      </c>
      <c r="J314" t="n">
        <v>1</v>
      </c>
      <c r="K314" t="n">
        <v>0</v>
      </c>
      <c r="L314" t="n">
        <v>0</v>
      </c>
      <c r="M314" t="n">
        <v>0</v>
      </c>
      <c r="N314" t="n">
        <v>0</v>
      </c>
      <c r="O314" t="n">
        <v>1</v>
      </c>
      <c r="P314" t="n">
        <v>0</v>
      </c>
      <c r="Q314" t="n">
        <v>1</v>
      </c>
      <c r="R314" s="2" t="inlineStr">
        <is>
          <t>Tallticka</t>
        </is>
      </c>
      <c r="S314">
        <f>HYPERLINK("https://klasma.github.io/Logging_2183/artfynd/A 43381-2020 artfynd.xlsx", "A 43381-2020")</f>
        <v/>
      </c>
      <c r="T314">
        <f>HYPERLINK("https://klasma.github.io/Logging_2183/kartor/A 43381-2020 karta.png", "A 43381-2020")</f>
        <v/>
      </c>
      <c r="V314">
        <f>HYPERLINK("https://klasma.github.io/Logging_2183/klagomål/A 43381-2020 FSC-klagomål.docx", "A 43381-2020")</f>
        <v/>
      </c>
      <c r="W314">
        <f>HYPERLINK("https://klasma.github.io/Logging_2183/klagomålsmail/A 43381-2020 FSC-klagomål mail.docx", "A 43381-2020")</f>
        <v/>
      </c>
      <c r="X314">
        <f>HYPERLINK("https://klasma.github.io/Logging_2183/tillsyn/A 43381-2020 tillsynsbegäran.docx", "A 43381-2020")</f>
        <v/>
      </c>
      <c r="Y314">
        <f>HYPERLINK("https://klasma.github.io/Logging_2183/tillsynsmail/A 43381-2020 tillsynsbegäran mail.docx", "A 43381-2020")</f>
        <v/>
      </c>
    </row>
    <row r="315" ht="15" customHeight="1">
      <c r="A315" t="inlineStr">
        <is>
          <t>A 44963-2020</t>
        </is>
      </c>
      <c r="B315" s="1" t="n">
        <v>44088</v>
      </c>
      <c r="C315" s="1" t="n">
        <v>45344</v>
      </c>
      <c r="D315" t="inlineStr">
        <is>
          <t>GÄVLEBORGS LÄN</t>
        </is>
      </c>
      <c r="E315" t="inlineStr">
        <is>
          <t>HOFORS</t>
        </is>
      </c>
      <c r="G315" t="n">
        <v>3.1</v>
      </c>
      <c r="H315" t="n">
        <v>0</v>
      </c>
      <c r="I315" t="n">
        <v>0</v>
      </c>
      <c r="J315" t="n">
        <v>1</v>
      </c>
      <c r="K315" t="n">
        <v>0</v>
      </c>
      <c r="L315" t="n">
        <v>0</v>
      </c>
      <c r="M315" t="n">
        <v>0</v>
      </c>
      <c r="N315" t="n">
        <v>0</v>
      </c>
      <c r="O315" t="n">
        <v>1</v>
      </c>
      <c r="P315" t="n">
        <v>0</v>
      </c>
      <c r="Q315" t="n">
        <v>1</v>
      </c>
      <c r="R315" s="2" t="inlineStr">
        <is>
          <t>Slåtterfibbla</t>
        </is>
      </c>
      <c r="S315">
        <f>HYPERLINK("https://klasma.github.io/Logging_2104/artfynd/A 44963-2020 artfynd.xlsx", "A 44963-2020")</f>
        <v/>
      </c>
      <c r="T315">
        <f>HYPERLINK("https://klasma.github.io/Logging_2104/kartor/A 44963-2020 karta.png", "A 44963-2020")</f>
        <v/>
      </c>
      <c r="V315">
        <f>HYPERLINK("https://klasma.github.io/Logging_2104/klagomål/A 44963-2020 FSC-klagomål.docx", "A 44963-2020")</f>
        <v/>
      </c>
      <c r="W315">
        <f>HYPERLINK("https://klasma.github.io/Logging_2104/klagomålsmail/A 44963-2020 FSC-klagomål mail.docx", "A 44963-2020")</f>
        <v/>
      </c>
      <c r="X315">
        <f>HYPERLINK("https://klasma.github.io/Logging_2104/tillsyn/A 44963-2020 tillsynsbegäran.docx", "A 44963-2020")</f>
        <v/>
      </c>
      <c r="Y315">
        <f>HYPERLINK("https://klasma.github.io/Logging_2104/tillsynsmail/A 44963-2020 tillsynsbegäran mail.docx", "A 44963-2020")</f>
        <v/>
      </c>
    </row>
    <row r="316" ht="15" customHeight="1">
      <c r="A316" t="inlineStr">
        <is>
          <t>A 56543-2020</t>
        </is>
      </c>
      <c r="B316" s="1" t="n">
        <v>44137</v>
      </c>
      <c r="C316" s="1" t="n">
        <v>45344</v>
      </c>
      <c r="D316" t="inlineStr">
        <is>
          <t>GÄVLEBORGS LÄN</t>
        </is>
      </c>
      <c r="E316" t="inlineStr">
        <is>
          <t>HUDIKSVALL</t>
        </is>
      </c>
      <c r="F316" t="inlineStr">
        <is>
          <t>Holmen skog AB</t>
        </is>
      </c>
      <c r="G316" t="n">
        <v>0.9</v>
      </c>
      <c r="H316" t="n">
        <v>0</v>
      </c>
      <c r="I316" t="n">
        <v>0</v>
      </c>
      <c r="J316" t="n">
        <v>1</v>
      </c>
      <c r="K316" t="n">
        <v>0</v>
      </c>
      <c r="L316" t="n">
        <v>0</v>
      </c>
      <c r="M316" t="n">
        <v>0</v>
      </c>
      <c r="N316" t="n">
        <v>0</v>
      </c>
      <c r="O316" t="n">
        <v>1</v>
      </c>
      <c r="P316" t="n">
        <v>0</v>
      </c>
      <c r="Q316" t="n">
        <v>1</v>
      </c>
      <c r="R316" s="2" t="inlineStr">
        <is>
          <t>Lunglav</t>
        </is>
      </c>
      <c r="S316">
        <f>HYPERLINK("https://klasma.github.io/Logging_2184/artfynd/A 56543-2020 artfynd.xlsx", "A 56543-2020")</f>
        <v/>
      </c>
      <c r="T316">
        <f>HYPERLINK("https://klasma.github.io/Logging_2184/kartor/A 56543-2020 karta.png", "A 56543-2020")</f>
        <v/>
      </c>
      <c r="V316">
        <f>HYPERLINK("https://klasma.github.io/Logging_2184/klagomål/A 56543-2020 FSC-klagomål.docx", "A 56543-2020")</f>
        <v/>
      </c>
      <c r="W316">
        <f>HYPERLINK("https://klasma.github.io/Logging_2184/klagomålsmail/A 56543-2020 FSC-klagomål mail.docx", "A 56543-2020")</f>
        <v/>
      </c>
      <c r="X316">
        <f>HYPERLINK("https://klasma.github.io/Logging_2184/tillsyn/A 56543-2020 tillsynsbegäran.docx", "A 56543-2020")</f>
        <v/>
      </c>
      <c r="Y316">
        <f>HYPERLINK("https://klasma.github.io/Logging_2184/tillsynsmail/A 56543-2020 tillsynsbegäran mail.docx", "A 56543-2020")</f>
        <v/>
      </c>
    </row>
    <row r="317" ht="15" customHeight="1">
      <c r="A317" t="inlineStr">
        <is>
          <t>A 58168-2020</t>
        </is>
      </c>
      <c r="B317" s="1" t="n">
        <v>44144</v>
      </c>
      <c r="C317" s="1" t="n">
        <v>45344</v>
      </c>
      <c r="D317" t="inlineStr">
        <is>
          <t>GÄVLEBORGS LÄN</t>
        </is>
      </c>
      <c r="E317" t="inlineStr">
        <is>
          <t>GÄVLE</t>
        </is>
      </c>
      <c r="F317" t="inlineStr">
        <is>
          <t>Bergvik skog öst AB</t>
        </is>
      </c>
      <c r="G317" t="n">
        <v>3.7</v>
      </c>
      <c r="H317" t="n">
        <v>1</v>
      </c>
      <c r="I317" t="n">
        <v>0</v>
      </c>
      <c r="J317" t="n">
        <v>0</v>
      </c>
      <c r="K317" t="n">
        <v>1</v>
      </c>
      <c r="L317" t="n">
        <v>0</v>
      </c>
      <c r="M317" t="n">
        <v>0</v>
      </c>
      <c r="N317" t="n">
        <v>0</v>
      </c>
      <c r="O317" t="n">
        <v>1</v>
      </c>
      <c r="P317" t="n">
        <v>1</v>
      </c>
      <c r="Q317" t="n">
        <v>1</v>
      </c>
      <c r="R317" s="2" t="inlineStr">
        <is>
          <t>Knärot</t>
        </is>
      </c>
      <c r="S317">
        <f>HYPERLINK("https://klasma.github.io/Logging_2180/artfynd/A 58168-2020 artfynd.xlsx", "A 58168-2020")</f>
        <v/>
      </c>
      <c r="T317">
        <f>HYPERLINK("https://klasma.github.io/Logging_2180/kartor/A 58168-2020 karta.png", "A 58168-2020")</f>
        <v/>
      </c>
      <c r="U317">
        <f>HYPERLINK("https://klasma.github.io/Logging_2180/knärot/A 58168-2020 karta knärot.png", "A 58168-2020")</f>
        <v/>
      </c>
      <c r="V317">
        <f>HYPERLINK("https://klasma.github.io/Logging_2180/klagomål/A 58168-2020 FSC-klagomål.docx", "A 58168-2020")</f>
        <v/>
      </c>
      <c r="W317">
        <f>HYPERLINK("https://klasma.github.io/Logging_2180/klagomålsmail/A 58168-2020 FSC-klagomål mail.docx", "A 58168-2020")</f>
        <v/>
      </c>
      <c r="X317">
        <f>HYPERLINK("https://klasma.github.io/Logging_2180/tillsyn/A 58168-2020 tillsynsbegäran.docx", "A 58168-2020")</f>
        <v/>
      </c>
      <c r="Y317">
        <f>HYPERLINK("https://klasma.github.io/Logging_2180/tillsynsmail/A 58168-2020 tillsynsbegäran mail.docx", "A 58168-2020")</f>
        <v/>
      </c>
    </row>
    <row r="318" ht="15" customHeight="1">
      <c r="A318" t="inlineStr">
        <is>
          <t>A 62316-2020</t>
        </is>
      </c>
      <c r="B318" s="1" t="n">
        <v>44160</v>
      </c>
      <c r="C318" s="1" t="n">
        <v>45344</v>
      </c>
      <c r="D318" t="inlineStr">
        <is>
          <t>GÄVLEBORGS LÄN</t>
        </is>
      </c>
      <c r="E318" t="inlineStr">
        <is>
          <t>GÄVLE</t>
        </is>
      </c>
      <c r="F318" t="inlineStr">
        <is>
          <t>Kommuner</t>
        </is>
      </c>
      <c r="G318" t="n">
        <v>2.5</v>
      </c>
      <c r="H318" t="n">
        <v>1</v>
      </c>
      <c r="I318" t="n">
        <v>0</v>
      </c>
      <c r="J318" t="n">
        <v>0</v>
      </c>
      <c r="K318" t="n">
        <v>0</v>
      </c>
      <c r="L318" t="n">
        <v>0</v>
      </c>
      <c r="M318" t="n">
        <v>0</v>
      </c>
      <c r="N318" t="n">
        <v>0</v>
      </c>
      <c r="O318" t="n">
        <v>0</v>
      </c>
      <c r="P318" t="n">
        <v>0</v>
      </c>
      <c r="Q318" t="n">
        <v>1</v>
      </c>
      <c r="R318" s="2" t="inlineStr">
        <is>
          <t>Blåsippa</t>
        </is>
      </c>
      <c r="S318">
        <f>HYPERLINK("https://klasma.github.io/Logging_2180/artfynd/A 62316-2020 artfynd.xlsx", "A 62316-2020")</f>
        <v/>
      </c>
      <c r="T318">
        <f>HYPERLINK("https://klasma.github.io/Logging_2180/kartor/A 62316-2020 karta.png", "A 62316-2020")</f>
        <v/>
      </c>
      <c r="V318">
        <f>HYPERLINK("https://klasma.github.io/Logging_2180/klagomål/A 62316-2020 FSC-klagomål.docx", "A 62316-2020")</f>
        <v/>
      </c>
      <c r="W318">
        <f>HYPERLINK("https://klasma.github.io/Logging_2180/klagomålsmail/A 62316-2020 FSC-klagomål mail.docx", "A 62316-2020")</f>
        <v/>
      </c>
      <c r="X318">
        <f>HYPERLINK("https://klasma.github.io/Logging_2180/tillsyn/A 62316-2020 tillsynsbegäran.docx", "A 62316-2020")</f>
        <v/>
      </c>
      <c r="Y318">
        <f>HYPERLINK("https://klasma.github.io/Logging_2180/tillsynsmail/A 62316-2020 tillsynsbegäran mail.docx", "A 62316-2020")</f>
        <v/>
      </c>
    </row>
    <row r="319" ht="15" customHeight="1">
      <c r="A319" t="inlineStr">
        <is>
          <t>A 65637-2020</t>
        </is>
      </c>
      <c r="B319" s="1" t="n">
        <v>44174</v>
      </c>
      <c r="C319" s="1" t="n">
        <v>45344</v>
      </c>
      <c r="D319" t="inlineStr">
        <is>
          <t>GÄVLEBORGS LÄN</t>
        </is>
      </c>
      <c r="E319" t="inlineStr">
        <is>
          <t>HUDIKSVALL</t>
        </is>
      </c>
      <c r="F319" t="inlineStr">
        <is>
          <t>Sveaskog</t>
        </is>
      </c>
      <c r="G319" t="n">
        <v>4.8</v>
      </c>
      <c r="H319" t="n">
        <v>0</v>
      </c>
      <c r="I319" t="n">
        <v>0</v>
      </c>
      <c r="J319" t="n">
        <v>0</v>
      </c>
      <c r="K319" t="n">
        <v>1</v>
      </c>
      <c r="L319" t="n">
        <v>0</v>
      </c>
      <c r="M319" t="n">
        <v>0</v>
      </c>
      <c r="N319" t="n">
        <v>0</v>
      </c>
      <c r="O319" t="n">
        <v>1</v>
      </c>
      <c r="P319" t="n">
        <v>1</v>
      </c>
      <c r="Q319" t="n">
        <v>1</v>
      </c>
      <c r="R319" s="2" t="inlineStr">
        <is>
          <t>Vippfibbla</t>
        </is>
      </c>
      <c r="S319">
        <f>HYPERLINK("https://klasma.github.io/Logging_2184/artfynd/A 65637-2020 artfynd.xlsx", "A 65637-2020")</f>
        <v/>
      </c>
      <c r="T319">
        <f>HYPERLINK("https://klasma.github.io/Logging_2184/kartor/A 65637-2020 karta.png", "A 65637-2020")</f>
        <v/>
      </c>
      <c r="V319">
        <f>HYPERLINK("https://klasma.github.io/Logging_2184/klagomål/A 65637-2020 FSC-klagomål.docx", "A 65637-2020")</f>
        <v/>
      </c>
      <c r="W319">
        <f>HYPERLINK("https://klasma.github.io/Logging_2184/klagomålsmail/A 65637-2020 FSC-klagomål mail.docx", "A 65637-2020")</f>
        <v/>
      </c>
      <c r="X319">
        <f>HYPERLINK("https://klasma.github.io/Logging_2184/tillsyn/A 65637-2020 tillsynsbegäran.docx", "A 65637-2020")</f>
        <v/>
      </c>
      <c r="Y319">
        <f>HYPERLINK("https://klasma.github.io/Logging_2184/tillsynsmail/A 65637-2020 tillsynsbegäran mail.docx", "A 65637-2020")</f>
        <v/>
      </c>
    </row>
    <row r="320" ht="15" customHeight="1">
      <c r="A320" t="inlineStr">
        <is>
          <t>A 13798-2021</t>
        </is>
      </c>
      <c r="B320" s="1" t="n">
        <v>44275</v>
      </c>
      <c r="C320" s="1" t="n">
        <v>45344</v>
      </c>
      <c r="D320" t="inlineStr">
        <is>
          <t>GÄVLEBORGS LÄN</t>
        </is>
      </c>
      <c r="E320" t="inlineStr">
        <is>
          <t>SÖDERHAMN</t>
        </is>
      </c>
      <c r="G320" t="n">
        <v>1.3</v>
      </c>
      <c r="H320" t="n">
        <v>0</v>
      </c>
      <c r="I320" t="n">
        <v>0</v>
      </c>
      <c r="J320" t="n">
        <v>0</v>
      </c>
      <c r="K320" t="n">
        <v>1</v>
      </c>
      <c r="L320" t="n">
        <v>0</v>
      </c>
      <c r="M320" t="n">
        <v>0</v>
      </c>
      <c r="N320" t="n">
        <v>0</v>
      </c>
      <c r="O320" t="n">
        <v>1</v>
      </c>
      <c r="P320" t="n">
        <v>1</v>
      </c>
      <c r="Q320" t="n">
        <v>1</v>
      </c>
      <c r="R320" s="2" t="inlineStr">
        <is>
          <t>Vågticka</t>
        </is>
      </c>
      <c r="S320">
        <f>HYPERLINK("https://klasma.github.io/Logging_2182/artfynd/A 13798-2021 artfynd.xlsx", "A 13798-2021")</f>
        <v/>
      </c>
      <c r="T320">
        <f>HYPERLINK("https://klasma.github.io/Logging_2182/kartor/A 13798-2021 karta.png", "A 13798-2021")</f>
        <v/>
      </c>
      <c r="V320">
        <f>HYPERLINK("https://klasma.github.io/Logging_2182/klagomål/A 13798-2021 FSC-klagomål.docx", "A 13798-2021")</f>
        <v/>
      </c>
      <c r="W320">
        <f>HYPERLINK("https://klasma.github.io/Logging_2182/klagomålsmail/A 13798-2021 FSC-klagomål mail.docx", "A 13798-2021")</f>
        <v/>
      </c>
      <c r="X320">
        <f>HYPERLINK("https://klasma.github.io/Logging_2182/tillsyn/A 13798-2021 tillsynsbegäran.docx", "A 13798-2021")</f>
        <v/>
      </c>
      <c r="Y320">
        <f>HYPERLINK("https://klasma.github.io/Logging_2182/tillsynsmail/A 13798-2021 tillsynsbegäran mail.docx", "A 13798-2021")</f>
        <v/>
      </c>
    </row>
    <row r="321" ht="15" customHeight="1">
      <c r="A321" t="inlineStr">
        <is>
          <t>A 14569-2021</t>
        </is>
      </c>
      <c r="B321" s="1" t="n">
        <v>44279</v>
      </c>
      <c r="C321" s="1" t="n">
        <v>45344</v>
      </c>
      <c r="D321" t="inlineStr">
        <is>
          <t>GÄVLEBORGS LÄN</t>
        </is>
      </c>
      <c r="E321" t="inlineStr">
        <is>
          <t>GÄVLE</t>
        </is>
      </c>
      <c r="F321" t="inlineStr">
        <is>
          <t>Bergvik skog öst AB</t>
        </is>
      </c>
      <c r="G321" t="n">
        <v>5.1</v>
      </c>
      <c r="H321" t="n">
        <v>0</v>
      </c>
      <c r="I321" t="n">
        <v>1</v>
      </c>
      <c r="J321" t="n">
        <v>0</v>
      </c>
      <c r="K321" t="n">
        <v>0</v>
      </c>
      <c r="L321" t="n">
        <v>0</v>
      </c>
      <c r="M321" t="n">
        <v>0</v>
      </c>
      <c r="N321" t="n">
        <v>0</v>
      </c>
      <c r="O321" t="n">
        <v>0</v>
      </c>
      <c r="P321" t="n">
        <v>0</v>
      </c>
      <c r="Q321" t="n">
        <v>1</v>
      </c>
      <c r="R321" s="2" t="inlineStr">
        <is>
          <t>Svavelriska</t>
        </is>
      </c>
      <c r="S321">
        <f>HYPERLINK("https://klasma.github.io/Logging_2180/artfynd/A 14569-2021 artfynd.xlsx", "A 14569-2021")</f>
        <v/>
      </c>
      <c r="T321">
        <f>HYPERLINK("https://klasma.github.io/Logging_2180/kartor/A 14569-2021 karta.png", "A 14569-2021")</f>
        <v/>
      </c>
      <c r="V321">
        <f>HYPERLINK("https://klasma.github.io/Logging_2180/klagomål/A 14569-2021 FSC-klagomål.docx", "A 14569-2021")</f>
        <v/>
      </c>
      <c r="W321">
        <f>HYPERLINK("https://klasma.github.io/Logging_2180/klagomålsmail/A 14569-2021 FSC-klagomål mail.docx", "A 14569-2021")</f>
        <v/>
      </c>
      <c r="X321">
        <f>HYPERLINK("https://klasma.github.io/Logging_2180/tillsyn/A 14569-2021 tillsynsbegäran.docx", "A 14569-2021")</f>
        <v/>
      </c>
      <c r="Y321">
        <f>HYPERLINK("https://klasma.github.io/Logging_2180/tillsynsmail/A 14569-2021 tillsynsbegäran mail.docx", "A 14569-2021")</f>
        <v/>
      </c>
    </row>
    <row r="322" ht="15" customHeight="1">
      <c r="A322" t="inlineStr">
        <is>
          <t>A 22096-2021</t>
        </is>
      </c>
      <c r="B322" s="1" t="n">
        <v>44323</v>
      </c>
      <c r="C322" s="1" t="n">
        <v>45344</v>
      </c>
      <c r="D322" t="inlineStr">
        <is>
          <t>GÄVLEBORGS LÄN</t>
        </is>
      </c>
      <c r="E322" t="inlineStr">
        <is>
          <t>HOFORS</t>
        </is>
      </c>
      <c r="F322" t="inlineStr">
        <is>
          <t>Sveaskog</t>
        </is>
      </c>
      <c r="G322" t="n">
        <v>1.7</v>
      </c>
      <c r="H322" t="n">
        <v>1</v>
      </c>
      <c r="I322" t="n">
        <v>0</v>
      </c>
      <c r="J322" t="n">
        <v>0</v>
      </c>
      <c r="K322" t="n">
        <v>1</v>
      </c>
      <c r="L322" t="n">
        <v>0</v>
      </c>
      <c r="M322" t="n">
        <v>0</v>
      </c>
      <c r="N322" t="n">
        <v>0</v>
      </c>
      <c r="O322" t="n">
        <v>1</v>
      </c>
      <c r="P322" t="n">
        <v>1</v>
      </c>
      <c r="Q322" t="n">
        <v>1</v>
      </c>
      <c r="R322" s="2" t="inlineStr">
        <is>
          <t>Knärot</t>
        </is>
      </c>
      <c r="S322">
        <f>HYPERLINK("https://klasma.github.io/Logging_2104/artfynd/A 22096-2021 artfynd.xlsx", "A 22096-2021")</f>
        <v/>
      </c>
      <c r="T322">
        <f>HYPERLINK("https://klasma.github.io/Logging_2104/kartor/A 22096-2021 karta.png", "A 22096-2021")</f>
        <v/>
      </c>
      <c r="U322">
        <f>HYPERLINK("https://klasma.github.io/Logging_2104/knärot/A 22096-2021 karta knärot.png", "A 22096-2021")</f>
        <v/>
      </c>
      <c r="V322">
        <f>HYPERLINK("https://klasma.github.io/Logging_2104/klagomål/A 22096-2021 FSC-klagomål.docx", "A 22096-2021")</f>
        <v/>
      </c>
      <c r="W322">
        <f>HYPERLINK("https://klasma.github.io/Logging_2104/klagomålsmail/A 22096-2021 FSC-klagomål mail.docx", "A 22096-2021")</f>
        <v/>
      </c>
      <c r="X322">
        <f>HYPERLINK("https://klasma.github.io/Logging_2104/tillsyn/A 22096-2021 tillsynsbegäran.docx", "A 22096-2021")</f>
        <v/>
      </c>
      <c r="Y322">
        <f>HYPERLINK("https://klasma.github.io/Logging_2104/tillsynsmail/A 22096-2021 tillsynsbegäran mail.docx", "A 22096-2021")</f>
        <v/>
      </c>
    </row>
    <row r="323" ht="15" customHeight="1">
      <c r="A323" t="inlineStr">
        <is>
          <t>A 25490-2021</t>
        </is>
      </c>
      <c r="B323" s="1" t="n">
        <v>44342</v>
      </c>
      <c r="C323" s="1" t="n">
        <v>45344</v>
      </c>
      <c r="D323" t="inlineStr">
        <is>
          <t>GÄVLEBORGS LÄN</t>
        </is>
      </c>
      <c r="E323" t="inlineStr">
        <is>
          <t>LJUSDAL</t>
        </is>
      </c>
      <c r="G323" t="n">
        <v>6.3</v>
      </c>
      <c r="H323" t="n">
        <v>1</v>
      </c>
      <c r="I323" t="n">
        <v>0</v>
      </c>
      <c r="J323" t="n">
        <v>1</v>
      </c>
      <c r="K323" t="n">
        <v>0</v>
      </c>
      <c r="L323" t="n">
        <v>0</v>
      </c>
      <c r="M323" t="n">
        <v>0</v>
      </c>
      <c r="N323" t="n">
        <v>0</v>
      </c>
      <c r="O323" t="n">
        <v>1</v>
      </c>
      <c r="P323" t="n">
        <v>0</v>
      </c>
      <c r="Q323" t="n">
        <v>1</v>
      </c>
      <c r="R323" s="2" t="inlineStr">
        <is>
          <t>Tretåig hackspett</t>
        </is>
      </c>
      <c r="S323">
        <f>HYPERLINK("https://klasma.github.io/Logging_2161/artfynd/A 25490-2021 artfynd.xlsx", "A 25490-2021")</f>
        <v/>
      </c>
      <c r="T323">
        <f>HYPERLINK("https://klasma.github.io/Logging_2161/kartor/A 25490-2021 karta.png", "A 25490-2021")</f>
        <v/>
      </c>
      <c r="U323">
        <f>HYPERLINK("https://klasma.github.io/Logging_2161/knärot/A 25490-2021 karta knärot.png", "A 25490-2021")</f>
        <v/>
      </c>
      <c r="V323">
        <f>HYPERLINK("https://klasma.github.io/Logging_2161/klagomål/A 25490-2021 FSC-klagomål.docx", "A 25490-2021")</f>
        <v/>
      </c>
      <c r="W323">
        <f>HYPERLINK("https://klasma.github.io/Logging_2161/klagomålsmail/A 25490-2021 FSC-klagomål mail.docx", "A 25490-2021")</f>
        <v/>
      </c>
      <c r="X323">
        <f>HYPERLINK("https://klasma.github.io/Logging_2161/tillsyn/A 25490-2021 tillsynsbegäran.docx", "A 25490-2021")</f>
        <v/>
      </c>
      <c r="Y323">
        <f>HYPERLINK("https://klasma.github.io/Logging_2161/tillsynsmail/A 25490-2021 tillsynsbegäran mail.docx", "A 25490-2021")</f>
        <v/>
      </c>
      <c r="Z323">
        <f>HYPERLINK("https://klasma.github.io/Logging_2161/fåglar/A 25490-2021 prioriterade fågelarter.docx", "A 25490-2021")</f>
        <v/>
      </c>
    </row>
    <row r="324" ht="15" customHeight="1">
      <c r="A324" t="inlineStr">
        <is>
          <t>A 29691-2021</t>
        </is>
      </c>
      <c r="B324" s="1" t="n">
        <v>44362</v>
      </c>
      <c r="C324" s="1" t="n">
        <v>45344</v>
      </c>
      <c r="D324" t="inlineStr">
        <is>
          <t>GÄVLEBORGS LÄN</t>
        </is>
      </c>
      <c r="E324" t="inlineStr">
        <is>
          <t>HUDIKSVALL</t>
        </is>
      </c>
      <c r="G324" t="n">
        <v>1.3</v>
      </c>
      <c r="H324" t="n">
        <v>0</v>
      </c>
      <c r="I324" t="n">
        <v>0</v>
      </c>
      <c r="J324" t="n">
        <v>0</v>
      </c>
      <c r="K324" t="n">
        <v>1</v>
      </c>
      <c r="L324" t="n">
        <v>0</v>
      </c>
      <c r="M324" t="n">
        <v>0</v>
      </c>
      <c r="N324" t="n">
        <v>0</v>
      </c>
      <c r="O324" t="n">
        <v>1</v>
      </c>
      <c r="P324" t="n">
        <v>1</v>
      </c>
      <c r="Q324" t="n">
        <v>1</v>
      </c>
      <c r="R324" s="2" t="inlineStr">
        <is>
          <t>Tallgråticka</t>
        </is>
      </c>
      <c r="S324">
        <f>HYPERLINK("https://klasma.github.io/Logging_2184/artfynd/A 29691-2021 artfynd.xlsx", "A 29691-2021")</f>
        <v/>
      </c>
      <c r="T324">
        <f>HYPERLINK("https://klasma.github.io/Logging_2184/kartor/A 29691-2021 karta.png", "A 29691-2021")</f>
        <v/>
      </c>
      <c r="V324">
        <f>HYPERLINK("https://klasma.github.io/Logging_2184/klagomål/A 29691-2021 FSC-klagomål.docx", "A 29691-2021")</f>
        <v/>
      </c>
      <c r="W324">
        <f>HYPERLINK("https://klasma.github.io/Logging_2184/klagomålsmail/A 29691-2021 FSC-klagomål mail.docx", "A 29691-2021")</f>
        <v/>
      </c>
      <c r="X324">
        <f>HYPERLINK("https://klasma.github.io/Logging_2184/tillsyn/A 29691-2021 tillsynsbegäran.docx", "A 29691-2021")</f>
        <v/>
      </c>
      <c r="Y324">
        <f>HYPERLINK("https://klasma.github.io/Logging_2184/tillsynsmail/A 29691-2021 tillsynsbegäran mail.docx", "A 29691-2021")</f>
        <v/>
      </c>
    </row>
    <row r="325" ht="15" customHeight="1">
      <c r="A325" t="inlineStr">
        <is>
          <t>A 29855-2021</t>
        </is>
      </c>
      <c r="B325" s="1" t="n">
        <v>44362</v>
      </c>
      <c r="C325" s="1" t="n">
        <v>45344</v>
      </c>
      <c r="D325" t="inlineStr">
        <is>
          <t>GÄVLEBORGS LÄN</t>
        </is>
      </c>
      <c r="E325" t="inlineStr">
        <is>
          <t>OVANÅKER</t>
        </is>
      </c>
      <c r="F325" t="inlineStr">
        <is>
          <t>Sveaskog</t>
        </is>
      </c>
      <c r="G325" t="n">
        <v>5.5</v>
      </c>
      <c r="H325" t="n">
        <v>0</v>
      </c>
      <c r="I325" t="n">
        <v>0</v>
      </c>
      <c r="J325" t="n">
        <v>1</v>
      </c>
      <c r="K325" t="n">
        <v>0</v>
      </c>
      <c r="L325" t="n">
        <v>0</v>
      </c>
      <c r="M325" t="n">
        <v>0</v>
      </c>
      <c r="N325" t="n">
        <v>0</v>
      </c>
      <c r="O325" t="n">
        <v>1</v>
      </c>
      <c r="P325" t="n">
        <v>0</v>
      </c>
      <c r="Q325" t="n">
        <v>1</v>
      </c>
      <c r="R325" s="2" t="inlineStr">
        <is>
          <t>Lunglav</t>
        </is>
      </c>
      <c r="S325">
        <f>HYPERLINK("https://klasma.github.io/Logging_2121/artfynd/A 29855-2021 artfynd.xlsx", "A 29855-2021")</f>
        <v/>
      </c>
      <c r="T325">
        <f>HYPERLINK("https://klasma.github.io/Logging_2121/kartor/A 29855-2021 karta.png", "A 29855-2021")</f>
        <v/>
      </c>
      <c r="V325">
        <f>HYPERLINK("https://klasma.github.io/Logging_2121/klagomål/A 29855-2021 FSC-klagomål.docx", "A 29855-2021")</f>
        <v/>
      </c>
      <c r="W325">
        <f>HYPERLINK("https://klasma.github.io/Logging_2121/klagomålsmail/A 29855-2021 FSC-klagomål mail.docx", "A 29855-2021")</f>
        <v/>
      </c>
      <c r="X325">
        <f>HYPERLINK("https://klasma.github.io/Logging_2121/tillsyn/A 29855-2021 tillsynsbegäran.docx", "A 29855-2021")</f>
        <v/>
      </c>
      <c r="Y325">
        <f>HYPERLINK("https://klasma.github.io/Logging_2121/tillsynsmail/A 29855-2021 tillsynsbegäran mail.docx", "A 29855-2021")</f>
        <v/>
      </c>
    </row>
    <row r="326" ht="15" customHeight="1">
      <c r="A326" t="inlineStr">
        <is>
          <t>A 29873-2021</t>
        </is>
      </c>
      <c r="B326" s="1" t="n">
        <v>44362</v>
      </c>
      <c r="C326" s="1" t="n">
        <v>45344</v>
      </c>
      <c r="D326" t="inlineStr">
        <is>
          <t>GÄVLEBORGS LÄN</t>
        </is>
      </c>
      <c r="E326" t="inlineStr">
        <is>
          <t>OVANÅKER</t>
        </is>
      </c>
      <c r="F326" t="inlineStr">
        <is>
          <t>Sveaskog</t>
        </is>
      </c>
      <c r="G326" t="n">
        <v>9.199999999999999</v>
      </c>
      <c r="H326" t="n">
        <v>0</v>
      </c>
      <c r="I326" t="n">
        <v>0</v>
      </c>
      <c r="J326" t="n">
        <v>1</v>
      </c>
      <c r="K326" t="n">
        <v>0</v>
      </c>
      <c r="L326" t="n">
        <v>0</v>
      </c>
      <c r="M326" t="n">
        <v>0</v>
      </c>
      <c r="N326" t="n">
        <v>0</v>
      </c>
      <c r="O326" t="n">
        <v>1</v>
      </c>
      <c r="P326" t="n">
        <v>0</v>
      </c>
      <c r="Q326" t="n">
        <v>1</v>
      </c>
      <c r="R326" s="2" t="inlineStr">
        <is>
          <t>Lunglav</t>
        </is>
      </c>
      <c r="S326">
        <f>HYPERLINK("https://klasma.github.io/Logging_2121/artfynd/A 29873-2021 artfynd.xlsx", "A 29873-2021")</f>
        <v/>
      </c>
      <c r="T326">
        <f>HYPERLINK("https://klasma.github.io/Logging_2121/kartor/A 29873-2021 karta.png", "A 29873-2021")</f>
        <v/>
      </c>
      <c r="V326">
        <f>HYPERLINK("https://klasma.github.io/Logging_2121/klagomål/A 29873-2021 FSC-klagomål.docx", "A 29873-2021")</f>
        <v/>
      </c>
      <c r="W326">
        <f>HYPERLINK("https://klasma.github.io/Logging_2121/klagomålsmail/A 29873-2021 FSC-klagomål mail.docx", "A 29873-2021")</f>
        <v/>
      </c>
      <c r="X326">
        <f>HYPERLINK("https://klasma.github.io/Logging_2121/tillsyn/A 29873-2021 tillsynsbegäran.docx", "A 29873-2021")</f>
        <v/>
      </c>
      <c r="Y326">
        <f>HYPERLINK("https://klasma.github.io/Logging_2121/tillsynsmail/A 29873-2021 tillsynsbegäran mail.docx", "A 29873-2021")</f>
        <v/>
      </c>
    </row>
    <row r="327" ht="15" customHeight="1">
      <c r="A327" t="inlineStr">
        <is>
          <t>A 30954-2021</t>
        </is>
      </c>
      <c r="B327" s="1" t="n">
        <v>44365</v>
      </c>
      <c r="C327" s="1" t="n">
        <v>45344</v>
      </c>
      <c r="D327" t="inlineStr">
        <is>
          <t>GÄVLEBORGS LÄN</t>
        </is>
      </c>
      <c r="E327" t="inlineStr">
        <is>
          <t>OVANÅKER</t>
        </is>
      </c>
      <c r="F327" t="inlineStr">
        <is>
          <t>Sveaskog</t>
        </is>
      </c>
      <c r="G327" t="n">
        <v>2.7</v>
      </c>
      <c r="H327" t="n">
        <v>0</v>
      </c>
      <c r="I327" t="n">
        <v>1</v>
      </c>
      <c r="J327" t="n">
        <v>0</v>
      </c>
      <c r="K327" t="n">
        <v>0</v>
      </c>
      <c r="L327" t="n">
        <v>0</v>
      </c>
      <c r="M327" t="n">
        <v>0</v>
      </c>
      <c r="N327" t="n">
        <v>0</v>
      </c>
      <c r="O327" t="n">
        <v>0</v>
      </c>
      <c r="P327" t="n">
        <v>0</v>
      </c>
      <c r="Q327" t="n">
        <v>1</v>
      </c>
      <c r="R327" s="2" t="inlineStr">
        <is>
          <t>Dropptaggsvamp</t>
        </is>
      </c>
      <c r="S327">
        <f>HYPERLINK("https://klasma.github.io/Logging_2121/artfynd/A 30954-2021 artfynd.xlsx", "A 30954-2021")</f>
        <v/>
      </c>
      <c r="T327">
        <f>HYPERLINK("https://klasma.github.io/Logging_2121/kartor/A 30954-2021 karta.png", "A 30954-2021")</f>
        <v/>
      </c>
      <c r="V327">
        <f>HYPERLINK("https://klasma.github.io/Logging_2121/klagomål/A 30954-2021 FSC-klagomål.docx", "A 30954-2021")</f>
        <v/>
      </c>
      <c r="W327">
        <f>HYPERLINK("https://klasma.github.io/Logging_2121/klagomålsmail/A 30954-2021 FSC-klagomål mail.docx", "A 30954-2021")</f>
        <v/>
      </c>
      <c r="X327">
        <f>HYPERLINK("https://klasma.github.io/Logging_2121/tillsyn/A 30954-2021 tillsynsbegäran.docx", "A 30954-2021")</f>
        <v/>
      </c>
      <c r="Y327">
        <f>HYPERLINK("https://klasma.github.io/Logging_2121/tillsynsmail/A 30954-2021 tillsynsbegäran mail.docx", "A 30954-2021")</f>
        <v/>
      </c>
    </row>
    <row r="328" ht="15" customHeight="1">
      <c r="A328" t="inlineStr">
        <is>
          <t>A 32817-2021</t>
        </is>
      </c>
      <c r="B328" s="1" t="n">
        <v>44375</v>
      </c>
      <c r="C328" s="1" t="n">
        <v>45344</v>
      </c>
      <c r="D328" t="inlineStr">
        <is>
          <t>GÄVLEBORGS LÄN</t>
        </is>
      </c>
      <c r="E328" t="inlineStr">
        <is>
          <t>HUDIKSVALL</t>
        </is>
      </c>
      <c r="F328" t="inlineStr">
        <is>
          <t>Holmen skog AB</t>
        </is>
      </c>
      <c r="G328" t="n">
        <v>2.3</v>
      </c>
      <c r="H328" t="n">
        <v>0</v>
      </c>
      <c r="I328" t="n">
        <v>1</v>
      </c>
      <c r="J328" t="n">
        <v>0</v>
      </c>
      <c r="K328" t="n">
        <v>0</v>
      </c>
      <c r="L328" t="n">
        <v>0</v>
      </c>
      <c r="M328" t="n">
        <v>0</v>
      </c>
      <c r="N328" t="n">
        <v>0</v>
      </c>
      <c r="O328" t="n">
        <v>0</v>
      </c>
      <c r="P328" t="n">
        <v>0</v>
      </c>
      <c r="Q328" t="n">
        <v>1</v>
      </c>
      <c r="R328" s="2" t="inlineStr">
        <is>
          <t>Bollvitmossa</t>
        </is>
      </c>
      <c r="S328">
        <f>HYPERLINK("https://klasma.github.io/Logging_2184/artfynd/A 32817-2021 artfynd.xlsx", "A 32817-2021")</f>
        <v/>
      </c>
      <c r="T328">
        <f>HYPERLINK("https://klasma.github.io/Logging_2184/kartor/A 32817-2021 karta.png", "A 32817-2021")</f>
        <v/>
      </c>
      <c r="V328">
        <f>HYPERLINK("https://klasma.github.io/Logging_2184/klagomål/A 32817-2021 FSC-klagomål.docx", "A 32817-2021")</f>
        <v/>
      </c>
      <c r="W328">
        <f>HYPERLINK("https://klasma.github.io/Logging_2184/klagomålsmail/A 32817-2021 FSC-klagomål mail.docx", "A 32817-2021")</f>
        <v/>
      </c>
      <c r="X328">
        <f>HYPERLINK("https://klasma.github.io/Logging_2184/tillsyn/A 32817-2021 tillsynsbegäran.docx", "A 32817-2021")</f>
        <v/>
      </c>
      <c r="Y328">
        <f>HYPERLINK("https://klasma.github.io/Logging_2184/tillsynsmail/A 32817-2021 tillsynsbegäran mail.docx", "A 32817-2021")</f>
        <v/>
      </c>
    </row>
    <row r="329" ht="15" customHeight="1">
      <c r="A329" t="inlineStr">
        <is>
          <t>A 34219-2021</t>
        </is>
      </c>
      <c r="B329" s="1" t="n">
        <v>44379</v>
      </c>
      <c r="C329" s="1" t="n">
        <v>45344</v>
      </c>
      <c r="D329" t="inlineStr">
        <is>
          <t>GÄVLEBORGS LÄN</t>
        </is>
      </c>
      <c r="E329" t="inlineStr">
        <is>
          <t>OVANÅKER</t>
        </is>
      </c>
      <c r="F329" t="inlineStr">
        <is>
          <t>Kyrkan</t>
        </is>
      </c>
      <c r="G329" t="n">
        <v>24.7</v>
      </c>
      <c r="H329" t="n">
        <v>1</v>
      </c>
      <c r="I329" t="n">
        <v>0</v>
      </c>
      <c r="J329" t="n">
        <v>1</v>
      </c>
      <c r="K329" t="n">
        <v>0</v>
      </c>
      <c r="L329" t="n">
        <v>0</v>
      </c>
      <c r="M329" t="n">
        <v>0</v>
      </c>
      <c r="N329" t="n">
        <v>0</v>
      </c>
      <c r="O329" t="n">
        <v>1</v>
      </c>
      <c r="P329" t="n">
        <v>0</v>
      </c>
      <c r="Q329" t="n">
        <v>1</v>
      </c>
      <c r="R329" s="2" t="inlineStr">
        <is>
          <t>Svartvit flugsnappare</t>
        </is>
      </c>
      <c r="S329">
        <f>HYPERLINK("https://klasma.github.io/Logging_2121/artfynd/A 34219-2021 artfynd.xlsx", "A 34219-2021")</f>
        <v/>
      </c>
      <c r="T329">
        <f>HYPERLINK("https://klasma.github.io/Logging_2121/kartor/A 34219-2021 karta.png", "A 34219-2021")</f>
        <v/>
      </c>
      <c r="V329">
        <f>HYPERLINK("https://klasma.github.io/Logging_2121/klagomål/A 34219-2021 FSC-klagomål.docx", "A 34219-2021")</f>
        <v/>
      </c>
      <c r="W329">
        <f>HYPERLINK("https://klasma.github.io/Logging_2121/klagomålsmail/A 34219-2021 FSC-klagomål mail.docx", "A 34219-2021")</f>
        <v/>
      </c>
      <c r="X329">
        <f>HYPERLINK("https://klasma.github.io/Logging_2121/tillsyn/A 34219-2021 tillsynsbegäran.docx", "A 34219-2021")</f>
        <v/>
      </c>
      <c r="Y329">
        <f>HYPERLINK("https://klasma.github.io/Logging_2121/tillsynsmail/A 34219-2021 tillsynsbegäran mail.docx", "A 34219-2021")</f>
        <v/>
      </c>
    </row>
    <row r="330" ht="15" customHeight="1">
      <c r="A330" t="inlineStr">
        <is>
          <t>A 34192-2021</t>
        </is>
      </c>
      <c r="B330" s="1" t="n">
        <v>44379</v>
      </c>
      <c r="C330" s="1" t="n">
        <v>45344</v>
      </c>
      <c r="D330" t="inlineStr">
        <is>
          <t>GÄVLEBORGS LÄN</t>
        </is>
      </c>
      <c r="E330" t="inlineStr">
        <is>
          <t>LJUSDAL</t>
        </is>
      </c>
      <c r="F330" t="inlineStr">
        <is>
          <t>Sveaskog</t>
        </is>
      </c>
      <c r="G330" t="n">
        <v>14.6</v>
      </c>
      <c r="H330" t="n">
        <v>1</v>
      </c>
      <c r="I330" t="n">
        <v>0</v>
      </c>
      <c r="J330" t="n">
        <v>0</v>
      </c>
      <c r="K330" t="n">
        <v>0</v>
      </c>
      <c r="L330" t="n">
        <v>0</v>
      </c>
      <c r="M330" t="n">
        <v>0</v>
      </c>
      <c r="N330" t="n">
        <v>0</v>
      </c>
      <c r="O330" t="n">
        <v>0</v>
      </c>
      <c r="P330" t="n">
        <v>0</v>
      </c>
      <c r="Q330" t="n">
        <v>1</v>
      </c>
      <c r="R330" s="2" t="inlineStr">
        <is>
          <t>Mattlummer</t>
        </is>
      </c>
      <c r="S330">
        <f>HYPERLINK("https://klasma.github.io/Logging_2161/artfynd/A 34192-2021 artfynd.xlsx", "A 34192-2021")</f>
        <v/>
      </c>
      <c r="T330">
        <f>HYPERLINK("https://klasma.github.io/Logging_2161/kartor/A 34192-2021 karta.png", "A 34192-2021")</f>
        <v/>
      </c>
      <c r="V330">
        <f>HYPERLINK("https://klasma.github.io/Logging_2161/klagomål/A 34192-2021 FSC-klagomål.docx", "A 34192-2021")</f>
        <v/>
      </c>
      <c r="W330">
        <f>HYPERLINK("https://klasma.github.io/Logging_2161/klagomålsmail/A 34192-2021 FSC-klagomål mail.docx", "A 34192-2021")</f>
        <v/>
      </c>
      <c r="X330">
        <f>HYPERLINK("https://klasma.github.io/Logging_2161/tillsyn/A 34192-2021 tillsynsbegäran.docx", "A 34192-2021")</f>
        <v/>
      </c>
      <c r="Y330">
        <f>HYPERLINK("https://klasma.github.io/Logging_2161/tillsynsmail/A 34192-2021 tillsynsbegäran mail.docx", "A 34192-2021")</f>
        <v/>
      </c>
    </row>
    <row r="331" ht="15" customHeight="1">
      <c r="A331" t="inlineStr">
        <is>
          <t>A 38115-2021</t>
        </is>
      </c>
      <c r="B331" s="1" t="n">
        <v>44405</v>
      </c>
      <c r="C331" s="1" t="n">
        <v>45344</v>
      </c>
      <c r="D331" t="inlineStr">
        <is>
          <t>GÄVLEBORGS LÄN</t>
        </is>
      </c>
      <c r="E331" t="inlineStr">
        <is>
          <t>LJUSDAL</t>
        </is>
      </c>
      <c r="F331" t="inlineStr">
        <is>
          <t>Sveaskog</t>
        </is>
      </c>
      <c r="G331" t="n">
        <v>2.7</v>
      </c>
      <c r="H331" t="n">
        <v>1</v>
      </c>
      <c r="I331" t="n">
        <v>0</v>
      </c>
      <c r="J331" t="n">
        <v>0</v>
      </c>
      <c r="K331" t="n">
        <v>1</v>
      </c>
      <c r="L331" t="n">
        <v>0</v>
      </c>
      <c r="M331" t="n">
        <v>0</v>
      </c>
      <c r="N331" t="n">
        <v>0</v>
      </c>
      <c r="O331" t="n">
        <v>1</v>
      </c>
      <c r="P331" t="n">
        <v>1</v>
      </c>
      <c r="Q331" t="n">
        <v>1</v>
      </c>
      <c r="R331" s="2" t="inlineStr">
        <is>
          <t>Knärot</t>
        </is>
      </c>
      <c r="S331">
        <f>HYPERLINK("https://klasma.github.io/Logging_2161/artfynd/A 38115-2021 artfynd.xlsx", "A 38115-2021")</f>
        <v/>
      </c>
      <c r="T331">
        <f>HYPERLINK("https://klasma.github.io/Logging_2161/kartor/A 38115-2021 karta.png", "A 38115-2021")</f>
        <v/>
      </c>
      <c r="U331">
        <f>HYPERLINK("https://klasma.github.io/Logging_2161/knärot/A 38115-2021 karta knärot.png", "A 38115-2021")</f>
        <v/>
      </c>
      <c r="V331">
        <f>HYPERLINK("https://klasma.github.io/Logging_2161/klagomål/A 38115-2021 FSC-klagomål.docx", "A 38115-2021")</f>
        <v/>
      </c>
      <c r="W331">
        <f>HYPERLINK("https://klasma.github.io/Logging_2161/klagomålsmail/A 38115-2021 FSC-klagomål mail.docx", "A 38115-2021")</f>
        <v/>
      </c>
      <c r="X331">
        <f>HYPERLINK("https://klasma.github.io/Logging_2161/tillsyn/A 38115-2021 tillsynsbegäran.docx", "A 38115-2021")</f>
        <v/>
      </c>
      <c r="Y331">
        <f>HYPERLINK("https://klasma.github.io/Logging_2161/tillsynsmail/A 38115-2021 tillsynsbegäran mail.docx", "A 38115-2021")</f>
        <v/>
      </c>
    </row>
    <row r="332" ht="15" customHeight="1">
      <c r="A332" t="inlineStr">
        <is>
          <t>A 38388-2021</t>
        </is>
      </c>
      <c r="B332" s="1" t="n">
        <v>44406</v>
      </c>
      <c r="C332" s="1" t="n">
        <v>45344</v>
      </c>
      <c r="D332" t="inlineStr">
        <is>
          <t>GÄVLEBORGS LÄN</t>
        </is>
      </c>
      <c r="E332" t="inlineStr">
        <is>
          <t>LJUSDAL</t>
        </is>
      </c>
      <c r="F332" t="inlineStr">
        <is>
          <t>Sveaskog</t>
        </is>
      </c>
      <c r="G332" t="n">
        <v>9.199999999999999</v>
      </c>
      <c r="H332" t="n">
        <v>1</v>
      </c>
      <c r="I332" t="n">
        <v>0</v>
      </c>
      <c r="J332" t="n">
        <v>0</v>
      </c>
      <c r="K332" t="n">
        <v>0</v>
      </c>
      <c r="L332" t="n">
        <v>1</v>
      </c>
      <c r="M332" t="n">
        <v>0</v>
      </c>
      <c r="N332" t="n">
        <v>0</v>
      </c>
      <c r="O332" t="n">
        <v>1</v>
      </c>
      <c r="P332" t="n">
        <v>1</v>
      </c>
      <c r="Q332" t="n">
        <v>1</v>
      </c>
      <c r="R332" s="2" t="inlineStr">
        <is>
          <t>Mosippa</t>
        </is>
      </c>
      <c r="S332">
        <f>HYPERLINK("https://klasma.github.io/Logging_2161/artfynd/A 38388-2021 artfynd.xlsx", "A 38388-2021")</f>
        <v/>
      </c>
      <c r="T332">
        <f>HYPERLINK("https://klasma.github.io/Logging_2161/kartor/A 38388-2021 karta.png", "A 38388-2021")</f>
        <v/>
      </c>
      <c r="V332">
        <f>HYPERLINK("https://klasma.github.io/Logging_2161/klagomål/A 38388-2021 FSC-klagomål.docx", "A 38388-2021")</f>
        <v/>
      </c>
      <c r="W332">
        <f>HYPERLINK("https://klasma.github.io/Logging_2161/klagomålsmail/A 38388-2021 FSC-klagomål mail.docx", "A 38388-2021")</f>
        <v/>
      </c>
      <c r="X332">
        <f>HYPERLINK("https://klasma.github.io/Logging_2161/tillsyn/A 38388-2021 tillsynsbegäran.docx", "A 38388-2021")</f>
        <v/>
      </c>
      <c r="Y332">
        <f>HYPERLINK("https://klasma.github.io/Logging_2161/tillsynsmail/A 38388-2021 tillsynsbegäran mail.docx", "A 38388-2021")</f>
        <v/>
      </c>
    </row>
    <row r="333" ht="15" customHeight="1">
      <c r="A333" t="inlineStr">
        <is>
          <t>A 43383-2021</t>
        </is>
      </c>
      <c r="B333" s="1" t="n">
        <v>44432</v>
      </c>
      <c r="C333" s="1" t="n">
        <v>45344</v>
      </c>
      <c r="D333" t="inlineStr">
        <is>
          <t>GÄVLEBORGS LÄN</t>
        </is>
      </c>
      <c r="E333" t="inlineStr">
        <is>
          <t>LJUSDAL</t>
        </is>
      </c>
      <c r="F333" t="inlineStr">
        <is>
          <t>Sveaskog</t>
        </is>
      </c>
      <c r="G333" t="n">
        <v>5.9</v>
      </c>
      <c r="H333" t="n">
        <v>0</v>
      </c>
      <c r="I333" t="n">
        <v>0</v>
      </c>
      <c r="J333" t="n">
        <v>1</v>
      </c>
      <c r="K333" t="n">
        <v>0</v>
      </c>
      <c r="L333" t="n">
        <v>0</v>
      </c>
      <c r="M333" t="n">
        <v>0</v>
      </c>
      <c r="N333" t="n">
        <v>0</v>
      </c>
      <c r="O333" t="n">
        <v>1</v>
      </c>
      <c r="P333" t="n">
        <v>0</v>
      </c>
      <c r="Q333" t="n">
        <v>1</v>
      </c>
      <c r="R333" s="2" t="inlineStr">
        <is>
          <t>Violettgrå tagellav</t>
        </is>
      </c>
      <c r="S333">
        <f>HYPERLINK("https://klasma.github.io/Logging_2161/artfynd/A 43383-2021 artfynd.xlsx", "A 43383-2021")</f>
        <v/>
      </c>
      <c r="T333">
        <f>HYPERLINK("https://klasma.github.io/Logging_2161/kartor/A 43383-2021 karta.png", "A 43383-2021")</f>
        <v/>
      </c>
      <c r="V333">
        <f>HYPERLINK("https://klasma.github.io/Logging_2161/klagomål/A 43383-2021 FSC-klagomål.docx", "A 43383-2021")</f>
        <v/>
      </c>
      <c r="W333">
        <f>HYPERLINK("https://klasma.github.io/Logging_2161/klagomålsmail/A 43383-2021 FSC-klagomål mail.docx", "A 43383-2021")</f>
        <v/>
      </c>
      <c r="X333">
        <f>HYPERLINK("https://klasma.github.io/Logging_2161/tillsyn/A 43383-2021 tillsynsbegäran.docx", "A 43383-2021")</f>
        <v/>
      </c>
      <c r="Y333">
        <f>HYPERLINK("https://klasma.github.io/Logging_2161/tillsynsmail/A 43383-2021 tillsynsbegäran mail.docx", "A 43383-2021")</f>
        <v/>
      </c>
    </row>
    <row r="334" ht="15" customHeight="1">
      <c r="A334" t="inlineStr">
        <is>
          <t>A 44694-2021</t>
        </is>
      </c>
      <c r="B334" s="1" t="n">
        <v>44438</v>
      </c>
      <c r="C334" s="1" t="n">
        <v>45344</v>
      </c>
      <c r="D334" t="inlineStr">
        <is>
          <t>GÄVLEBORGS LÄN</t>
        </is>
      </c>
      <c r="E334" t="inlineStr">
        <is>
          <t>LJUSDAL</t>
        </is>
      </c>
      <c r="F334" t="inlineStr">
        <is>
          <t>Sveaskog</t>
        </is>
      </c>
      <c r="G334" t="n">
        <v>3.2</v>
      </c>
      <c r="H334" t="n">
        <v>0</v>
      </c>
      <c r="I334" t="n">
        <v>0</v>
      </c>
      <c r="J334" t="n">
        <v>1</v>
      </c>
      <c r="K334" t="n">
        <v>0</v>
      </c>
      <c r="L334" t="n">
        <v>0</v>
      </c>
      <c r="M334" t="n">
        <v>0</v>
      </c>
      <c r="N334" t="n">
        <v>0</v>
      </c>
      <c r="O334" t="n">
        <v>1</v>
      </c>
      <c r="P334" t="n">
        <v>0</v>
      </c>
      <c r="Q334" t="n">
        <v>1</v>
      </c>
      <c r="R334" s="2" t="inlineStr">
        <is>
          <t>Granticka</t>
        </is>
      </c>
      <c r="S334">
        <f>HYPERLINK("https://klasma.github.io/Logging_2161/artfynd/A 44694-2021 artfynd.xlsx", "A 44694-2021")</f>
        <v/>
      </c>
      <c r="T334">
        <f>HYPERLINK("https://klasma.github.io/Logging_2161/kartor/A 44694-2021 karta.png", "A 44694-2021")</f>
        <v/>
      </c>
      <c r="V334">
        <f>HYPERLINK("https://klasma.github.io/Logging_2161/klagomål/A 44694-2021 FSC-klagomål.docx", "A 44694-2021")</f>
        <v/>
      </c>
      <c r="W334">
        <f>HYPERLINK("https://klasma.github.io/Logging_2161/klagomålsmail/A 44694-2021 FSC-klagomål mail.docx", "A 44694-2021")</f>
        <v/>
      </c>
      <c r="X334">
        <f>HYPERLINK("https://klasma.github.io/Logging_2161/tillsyn/A 44694-2021 tillsynsbegäran.docx", "A 44694-2021")</f>
        <v/>
      </c>
      <c r="Y334">
        <f>HYPERLINK("https://klasma.github.io/Logging_2161/tillsynsmail/A 44694-2021 tillsynsbegäran mail.docx", "A 44694-2021")</f>
        <v/>
      </c>
    </row>
    <row r="335" ht="15" customHeight="1">
      <c r="A335" t="inlineStr">
        <is>
          <t>A 48180-2021</t>
        </is>
      </c>
      <c r="B335" s="1" t="n">
        <v>44449</v>
      </c>
      <c r="C335" s="1" t="n">
        <v>45344</v>
      </c>
      <c r="D335" t="inlineStr">
        <is>
          <t>GÄVLEBORGS LÄN</t>
        </is>
      </c>
      <c r="E335" t="inlineStr">
        <is>
          <t>LJUSDAL</t>
        </is>
      </c>
      <c r="F335" t="inlineStr">
        <is>
          <t>Sveaskog</t>
        </is>
      </c>
      <c r="G335" t="n">
        <v>1.4</v>
      </c>
      <c r="H335" t="n">
        <v>0</v>
      </c>
      <c r="I335" t="n">
        <v>0</v>
      </c>
      <c r="J335" t="n">
        <v>1</v>
      </c>
      <c r="K335" t="n">
        <v>0</v>
      </c>
      <c r="L335" t="n">
        <v>0</v>
      </c>
      <c r="M335" t="n">
        <v>0</v>
      </c>
      <c r="N335" t="n">
        <v>0</v>
      </c>
      <c r="O335" t="n">
        <v>1</v>
      </c>
      <c r="P335" t="n">
        <v>0</v>
      </c>
      <c r="Q335" t="n">
        <v>1</v>
      </c>
      <c r="R335" s="2" t="inlineStr">
        <is>
          <t>Garnlav</t>
        </is>
      </c>
      <c r="S335">
        <f>HYPERLINK("https://klasma.github.io/Logging_2161/artfynd/A 48180-2021 artfynd.xlsx", "A 48180-2021")</f>
        <v/>
      </c>
      <c r="T335">
        <f>HYPERLINK("https://klasma.github.io/Logging_2161/kartor/A 48180-2021 karta.png", "A 48180-2021")</f>
        <v/>
      </c>
      <c r="V335">
        <f>HYPERLINK("https://klasma.github.io/Logging_2161/klagomål/A 48180-2021 FSC-klagomål.docx", "A 48180-2021")</f>
        <v/>
      </c>
      <c r="W335">
        <f>HYPERLINK("https://klasma.github.io/Logging_2161/klagomålsmail/A 48180-2021 FSC-klagomål mail.docx", "A 48180-2021")</f>
        <v/>
      </c>
      <c r="X335">
        <f>HYPERLINK("https://klasma.github.io/Logging_2161/tillsyn/A 48180-2021 tillsynsbegäran.docx", "A 48180-2021")</f>
        <v/>
      </c>
      <c r="Y335">
        <f>HYPERLINK("https://klasma.github.io/Logging_2161/tillsynsmail/A 48180-2021 tillsynsbegäran mail.docx", "A 48180-2021")</f>
        <v/>
      </c>
    </row>
    <row r="336" ht="15" customHeight="1">
      <c r="A336" t="inlineStr">
        <is>
          <t>A 48805-2021</t>
        </is>
      </c>
      <c r="B336" s="1" t="n">
        <v>44452</v>
      </c>
      <c r="C336" s="1" t="n">
        <v>45344</v>
      </c>
      <c r="D336" t="inlineStr">
        <is>
          <t>GÄVLEBORGS LÄN</t>
        </is>
      </c>
      <c r="E336" t="inlineStr">
        <is>
          <t>SANDVIKEN</t>
        </is>
      </c>
      <c r="F336" t="inlineStr">
        <is>
          <t>Sveaskog</t>
        </is>
      </c>
      <c r="G336" t="n">
        <v>1.9</v>
      </c>
      <c r="H336" t="n">
        <v>1</v>
      </c>
      <c r="I336" t="n">
        <v>0</v>
      </c>
      <c r="J336" t="n">
        <v>0</v>
      </c>
      <c r="K336" t="n">
        <v>1</v>
      </c>
      <c r="L336" t="n">
        <v>0</v>
      </c>
      <c r="M336" t="n">
        <v>0</v>
      </c>
      <c r="N336" t="n">
        <v>0</v>
      </c>
      <c r="O336" t="n">
        <v>1</v>
      </c>
      <c r="P336" t="n">
        <v>1</v>
      </c>
      <c r="Q336" t="n">
        <v>1</v>
      </c>
      <c r="R336" s="2" t="inlineStr">
        <is>
          <t>Knärot</t>
        </is>
      </c>
      <c r="S336">
        <f>HYPERLINK("https://klasma.github.io/Logging_2181/artfynd/A 48805-2021 artfynd.xlsx", "A 48805-2021")</f>
        <v/>
      </c>
      <c r="T336">
        <f>HYPERLINK("https://klasma.github.io/Logging_2181/kartor/A 48805-2021 karta.png", "A 48805-2021")</f>
        <v/>
      </c>
      <c r="U336">
        <f>HYPERLINK("https://klasma.github.io/Logging_2181/knärot/A 48805-2021 karta knärot.png", "A 48805-2021")</f>
        <v/>
      </c>
      <c r="V336">
        <f>HYPERLINK("https://klasma.github.io/Logging_2181/klagomål/A 48805-2021 FSC-klagomål.docx", "A 48805-2021")</f>
        <v/>
      </c>
      <c r="W336">
        <f>HYPERLINK("https://klasma.github.io/Logging_2181/klagomålsmail/A 48805-2021 FSC-klagomål mail.docx", "A 48805-2021")</f>
        <v/>
      </c>
      <c r="X336">
        <f>HYPERLINK("https://klasma.github.io/Logging_2181/tillsyn/A 48805-2021 tillsynsbegäran.docx", "A 48805-2021")</f>
        <v/>
      </c>
      <c r="Y336">
        <f>HYPERLINK("https://klasma.github.io/Logging_2181/tillsynsmail/A 48805-2021 tillsynsbegäran mail.docx", "A 48805-2021")</f>
        <v/>
      </c>
    </row>
    <row r="337" ht="15" customHeight="1">
      <c r="A337" t="inlineStr">
        <is>
          <t>A 51574-2021</t>
        </is>
      </c>
      <c r="B337" s="1" t="n">
        <v>44462</v>
      </c>
      <c r="C337" s="1" t="n">
        <v>45344</v>
      </c>
      <c r="D337" t="inlineStr">
        <is>
          <t>GÄVLEBORGS LÄN</t>
        </is>
      </c>
      <c r="E337" t="inlineStr">
        <is>
          <t>OCKELBO</t>
        </is>
      </c>
      <c r="F337" t="inlineStr">
        <is>
          <t>Bergvik skog väst AB</t>
        </is>
      </c>
      <c r="G337" t="n">
        <v>3.2</v>
      </c>
      <c r="H337" t="n">
        <v>0</v>
      </c>
      <c r="I337" t="n">
        <v>1</v>
      </c>
      <c r="J337" t="n">
        <v>0</v>
      </c>
      <c r="K337" t="n">
        <v>0</v>
      </c>
      <c r="L337" t="n">
        <v>0</v>
      </c>
      <c r="M337" t="n">
        <v>0</v>
      </c>
      <c r="N337" t="n">
        <v>0</v>
      </c>
      <c r="O337" t="n">
        <v>0</v>
      </c>
      <c r="P337" t="n">
        <v>0</v>
      </c>
      <c r="Q337" t="n">
        <v>1</v>
      </c>
      <c r="R337" s="2" t="inlineStr">
        <is>
          <t>Tibast</t>
        </is>
      </c>
      <c r="S337">
        <f>HYPERLINK("https://klasma.github.io/Logging_2101/artfynd/A 51574-2021 artfynd.xlsx", "A 51574-2021")</f>
        <v/>
      </c>
      <c r="T337">
        <f>HYPERLINK("https://klasma.github.io/Logging_2101/kartor/A 51574-2021 karta.png", "A 51574-2021")</f>
        <v/>
      </c>
      <c r="V337">
        <f>HYPERLINK("https://klasma.github.io/Logging_2101/klagomål/A 51574-2021 FSC-klagomål.docx", "A 51574-2021")</f>
        <v/>
      </c>
      <c r="W337">
        <f>HYPERLINK("https://klasma.github.io/Logging_2101/klagomålsmail/A 51574-2021 FSC-klagomål mail.docx", "A 51574-2021")</f>
        <v/>
      </c>
      <c r="X337">
        <f>HYPERLINK("https://klasma.github.io/Logging_2101/tillsyn/A 51574-2021 tillsynsbegäran.docx", "A 51574-2021")</f>
        <v/>
      </c>
      <c r="Y337">
        <f>HYPERLINK("https://klasma.github.io/Logging_2101/tillsynsmail/A 51574-2021 tillsynsbegäran mail.docx", "A 51574-2021")</f>
        <v/>
      </c>
    </row>
    <row r="338" ht="15" customHeight="1">
      <c r="A338" t="inlineStr">
        <is>
          <t>A 52166-2021</t>
        </is>
      </c>
      <c r="B338" s="1" t="n">
        <v>44463</v>
      </c>
      <c r="C338" s="1" t="n">
        <v>45344</v>
      </c>
      <c r="D338" t="inlineStr">
        <is>
          <t>GÄVLEBORGS LÄN</t>
        </is>
      </c>
      <c r="E338" t="inlineStr">
        <is>
          <t>OVANÅKER</t>
        </is>
      </c>
      <c r="F338" t="inlineStr">
        <is>
          <t>Sveaskog</t>
        </is>
      </c>
      <c r="G338" t="n">
        <v>0.4</v>
      </c>
      <c r="H338" t="n">
        <v>0</v>
      </c>
      <c r="I338" t="n">
        <v>1</v>
      </c>
      <c r="J338" t="n">
        <v>0</v>
      </c>
      <c r="K338" t="n">
        <v>0</v>
      </c>
      <c r="L338" t="n">
        <v>0</v>
      </c>
      <c r="M338" t="n">
        <v>0</v>
      </c>
      <c r="N338" t="n">
        <v>0</v>
      </c>
      <c r="O338" t="n">
        <v>0</v>
      </c>
      <c r="P338" t="n">
        <v>0</v>
      </c>
      <c r="Q338" t="n">
        <v>1</v>
      </c>
      <c r="R338" s="2" t="inlineStr">
        <is>
          <t>Dropptaggsvamp</t>
        </is>
      </c>
      <c r="S338">
        <f>HYPERLINK("https://klasma.github.io/Logging_2121/artfynd/A 52166-2021 artfynd.xlsx", "A 52166-2021")</f>
        <v/>
      </c>
      <c r="T338">
        <f>HYPERLINK("https://klasma.github.io/Logging_2121/kartor/A 52166-2021 karta.png", "A 52166-2021")</f>
        <v/>
      </c>
      <c r="V338">
        <f>HYPERLINK("https://klasma.github.io/Logging_2121/klagomål/A 52166-2021 FSC-klagomål.docx", "A 52166-2021")</f>
        <v/>
      </c>
      <c r="W338">
        <f>HYPERLINK("https://klasma.github.io/Logging_2121/klagomålsmail/A 52166-2021 FSC-klagomål mail.docx", "A 52166-2021")</f>
        <v/>
      </c>
      <c r="X338">
        <f>HYPERLINK("https://klasma.github.io/Logging_2121/tillsyn/A 52166-2021 tillsynsbegäran.docx", "A 52166-2021")</f>
        <v/>
      </c>
      <c r="Y338">
        <f>HYPERLINK("https://klasma.github.io/Logging_2121/tillsynsmail/A 52166-2021 tillsynsbegäran mail.docx", "A 52166-2021")</f>
        <v/>
      </c>
    </row>
    <row r="339" ht="15" customHeight="1">
      <c r="A339" t="inlineStr">
        <is>
          <t>A 54828-2021</t>
        </is>
      </c>
      <c r="B339" s="1" t="n">
        <v>44473</v>
      </c>
      <c r="C339" s="1" t="n">
        <v>45344</v>
      </c>
      <c r="D339" t="inlineStr">
        <is>
          <t>GÄVLEBORGS LÄN</t>
        </is>
      </c>
      <c r="E339" t="inlineStr">
        <is>
          <t>HOFORS</t>
        </is>
      </c>
      <c r="F339" t="inlineStr">
        <is>
          <t>Bergvik skog väst AB</t>
        </is>
      </c>
      <c r="G339" t="n">
        <v>5.1</v>
      </c>
      <c r="H339" t="n">
        <v>1</v>
      </c>
      <c r="I339" t="n">
        <v>0</v>
      </c>
      <c r="J339" t="n">
        <v>0</v>
      </c>
      <c r="K339" t="n">
        <v>1</v>
      </c>
      <c r="L339" t="n">
        <v>0</v>
      </c>
      <c r="M339" t="n">
        <v>0</v>
      </c>
      <c r="N339" t="n">
        <v>0</v>
      </c>
      <c r="O339" t="n">
        <v>1</v>
      </c>
      <c r="P339" t="n">
        <v>1</v>
      </c>
      <c r="Q339" t="n">
        <v>1</v>
      </c>
      <c r="R339" s="2" t="inlineStr">
        <is>
          <t>Knärot</t>
        </is>
      </c>
      <c r="S339">
        <f>HYPERLINK("https://klasma.github.io/Logging_2104/artfynd/A 54828-2021 artfynd.xlsx", "A 54828-2021")</f>
        <v/>
      </c>
      <c r="T339">
        <f>HYPERLINK("https://klasma.github.io/Logging_2104/kartor/A 54828-2021 karta.png", "A 54828-2021")</f>
        <v/>
      </c>
      <c r="U339">
        <f>HYPERLINK("https://klasma.github.io/Logging_2104/knärot/A 54828-2021 karta knärot.png", "A 54828-2021")</f>
        <v/>
      </c>
      <c r="V339">
        <f>HYPERLINK("https://klasma.github.io/Logging_2104/klagomål/A 54828-2021 FSC-klagomål.docx", "A 54828-2021")</f>
        <v/>
      </c>
      <c r="W339">
        <f>HYPERLINK("https://klasma.github.io/Logging_2104/klagomålsmail/A 54828-2021 FSC-klagomål mail.docx", "A 54828-2021")</f>
        <v/>
      </c>
      <c r="X339">
        <f>HYPERLINK("https://klasma.github.io/Logging_2104/tillsyn/A 54828-2021 tillsynsbegäran.docx", "A 54828-2021")</f>
        <v/>
      </c>
      <c r="Y339">
        <f>HYPERLINK("https://klasma.github.io/Logging_2104/tillsynsmail/A 54828-2021 tillsynsbegäran mail.docx", "A 54828-2021")</f>
        <v/>
      </c>
    </row>
    <row r="340" ht="15" customHeight="1">
      <c r="A340" t="inlineStr">
        <is>
          <t>A 56589-2021</t>
        </is>
      </c>
      <c r="B340" s="1" t="n">
        <v>44480</v>
      </c>
      <c r="C340" s="1" t="n">
        <v>45344</v>
      </c>
      <c r="D340" t="inlineStr">
        <is>
          <t>GÄVLEBORGS LÄN</t>
        </is>
      </c>
      <c r="E340" t="inlineStr">
        <is>
          <t>LJUSDAL</t>
        </is>
      </c>
      <c r="G340" t="n">
        <v>11.4</v>
      </c>
      <c r="H340" t="n">
        <v>1</v>
      </c>
      <c r="I340" t="n">
        <v>0</v>
      </c>
      <c r="J340" t="n">
        <v>0</v>
      </c>
      <c r="K340" t="n">
        <v>1</v>
      </c>
      <c r="L340" t="n">
        <v>0</v>
      </c>
      <c r="M340" t="n">
        <v>0</v>
      </c>
      <c r="N340" t="n">
        <v>0</v>
      </c>
      <c r="O340" t="n">
        <v>1</v>
      </c>
      <c r="P340" t="n">
        <v>1</v>
      </c>
      <c r="Q340" t="n">
        <v>1</v>
      </c>
      <c r="R340" s="2" t="inlineStr">
        <is>
          <t>Tallbit</t>
        </is>
      </c>
      <c r="S340">
        <f>HYPERLINK("https://klasma.github.io/Logging_2161/artfynd/A 56589-2021 artfynd.xlsx", "A 56589-2021")</f>
        <v/>
      </c>
      <c r="T340">
        <f>HYPERLINK("https://klasma.github.io/Logging_2161/kartor/A 56589-2021 karta.png", "A 56589-2021")</f>
        <v/>
      </c>
      <c r="V340">
        <f>HYPERLINK("https://klasma.github.io/Logging_2161/klagomål/A 56589-2021 FSC-klagomål.docx", "A 56589-2021")</f>
        <v/>
      </c>
      <c r="W340">
        <f>HYPERLINK("https://klasma.github.io/Logging_2161/klagomålsmail/A 56589-2021 FSC-klagomål mail.docx", "A 56589-2021")</f>
        <v/>
      </c>
      <c r="X340">
        <f>HYPERLINK("https://klasma.github.io/Logging_2161/tillsyn/A 56589-2021 tillsynsbegäran.docx", "A 56589-2021")</f>
        <v/>
      </c>
      <c r="Y340">
        <f>HYPERLINK("https://klasma.github.io/Logging_2161/tillsynsmail/A 56589-2021 tillsynsbegäran mail.docx", "A 56589-2021")</f>
        <v/>
      </c>
      <c r="Z340">
        <f>HYPERLINK("https://klasma.github.io/Logging_2161/fåglar/A 56589-2021 prioriterade fågelarter.docx", "A 56589-2021")</f>
        <v/>
      </c>
    </row>
    <row r="341" ht="15" customHeight="1">
      <c r="A341" t="inlineStr">
        <is>
          <t>A 58900-2021</t>
        </is>
      </c>
      <c r="B341" s="1" t="n">
        <v>44489</v>
      </c>
      <c r="C341" s="1" t="n">
        <v>45344</v>
      </c>
      <c r="D341" t="inlineStr">
        <is>
          <t>GÄVLEBORGS LÄN</t>
        </is>
      </c>
      <c r="E341" t="inlineStr">
        <is>
          <t>LJUSDAL</t>
        </is>
      </c>
      <c r="F341" t="inlineStr">
        <is>
          <t>Sveaskog</t>
        </is>
      </c>
      <c r="G341" t="n">
        <v>5.2</v>
      </c>
      <c r="H341" t="n">
        <v>0</v>
      </c>
      <c r="I341" t="n">
        <v>1</v>
      </c>
      <c r="J341" t="n">
        <v>0</v>
      </c>
      <c r="K341" t="n">
        <v>0</v>
      </c>
      <c r="L341" t="n">
        <v>0</v>
      </c>
      <c r="M341" t="n">
        <v>0</v>
      </c>
      <c r="N341" t="n">
        <v>0</v>
      </c>
      <c r="O341" t="n">
        <v>0</v>
      </c>
      <c r="P341" t="n">
        <v>0</v>
      </c>
      <c r="Q341" t="n">
        <v>1</v>
      </c>
      <c r="R341" s="2" t="inlineStr">
        <is>
          <t>Skuggblåslav</t>
        </is>
      </c>
      <c r="S341">
        <f>HYPERLINK("https://klasma.github.io/Logging_2161/artfynd/A 58900-2021 artfynd.xlsx", "A 58900-2021")</f>
        <v/>
      </c>
      <c r="T341">
        <f>HYPERLINK("https://klasma.github.io/Logging_2161/kartor/A 58900-2021 karta.png", "A 58900-2021")</f>
        <v/>
      </c>
      <c r="V341">
        <f>HYPERLINK("https://klasma.github.io/Logging_2161/klagomål/A 58900-2021 FSC-klagomål.docx", "A 58900-2021")</f>
        <v/>
      </c>
      <c r="W341">
        <f>HYPERLINK("https://klasma.github.io/Logging_2161/klagomålsmail/A 58900-2021 FSC-klagomål mail.docx", "A 58900-2021")</f>
        <v/>
      </c>
      <c r="X341">
        <f>HYPERLINK("https://klasma.github.io/Logging_2161/tillsyn/A 58900-2021 tillsynsbegäran.docx", "A 58900-2021")</f>
        <v/>
      </c>
      <c r="Y341">
        <f>HYPERLINK("https://klasma.github.io/Logging_2161/tillsynsmail/A 58900-2021 tillsynsbegäran mail.docx", "A 58900-2021")</f>
        <v/>
      </c>
    </row>
    <row r="342" ht="15" customHeight="1">
      <c r="A342" t="inlineStr">
        <is>
          <t>A 58828-2021</t>
        </is>
      </c>
      <c r="B342" s="1" t="n">
        <v>44489</v>
      </c>
      <c r="C342" s="1" t="n">
        <v>45344</v>
      </c>
      <c r="D342" t="inlineStr">
        <is>
          <t>GÄVLEBORGS LÄN</t>
        </is>
      </c>
      <c r="E342" t="inlineStr">
        <is>
          <t>NORDANSTIG</t>
        </is>
      </c>
      <c r="G342" t="n">
        <v>1.3</v>
      </c>
      <c r="H342" t="n">
        <v>0</v>
      </c>
      <c r="I342" t="n">
        <v>0</v>
      </c>
      <c r="J342" t="n">
        <v>1</v>
      </c>
      <c r="K342" t="n">
        <v>0</v>
      </c>
      <c r="L342" t="n">
        <v>0</v>
      </c>
      <c r="M342" t="n">
        <v>0</v>
      </c>
      <c r="N342" t="n">
        <v>0</v>
      </c>
      <c r="O342" t="n">
        <v>1</v>
      </c>
      <c r="P342" t="n">
        <v>0</v>
      </c>
      <c r="Q342" t="n">
        <v>1</v>
      </c>
      <c r="R342" s="2" t="inlineStr">
        <is>
          <t>Lunglav</t>
        </is>
      </c>
      <c r="S342">
        <f>HYPERLINK("https://klasma.github.io/Logging_2132/artfynd/A 58828-2021 artfynd.xlsx", "A 58828-2021")</f>
        <v/>
      </c>
      <c r="T342">
        <f>HYPERLINK("https://klasma.github.io/Logging_2132/kartor/A 58828-2021 karta.png", "A 58828-2021")</f>
        <v/>
      </c>
      <c r="V342">
        <f>HYPERLINK("https://klasma.github.io/Logging_2132/klagomål/A 58828-2021 FSC-klagomål.docx", "A 58828-2021")</f>
        <v/>
      </c>
      <c r="W342">
        <f>HYPERLINK("https://klasma.github.io/Logging_2132/klagomålsmail/A 58828-2021 FSC-klagomål mail.docx", "A 58828-2021")</f>
        <v/>
      </c>
      <c r="X342">
        <f>HYPERLINK("https://klasma.github.io/Logging_2132/tillsyn/A 58828-2021 tillsynsbegäran.docx", "A 58828-2021")</f>
        <v/>
      </c>
      <c r="Y342">
        <f>HYPERLINK("https://klasma.github.io/Logging_2132/tillsynsmail/A 58828-2021 tillsynsbegäran mail.docx", "A 58828-2021")</f>
        <v/>
      </c>
    </row>
    <row r="343" ht="15" customHeight="1">
      <c r="A343" t="inlineStr">
        <is>
          <t>A 59225-2021</t>
        </is>
      </c>
      <c r="B343" s="1" t="n">
        <v>44490</v>
      </c>
      <c r="C343" s="1" t="n">
        <v>45344</v>
      </c>
      <c r="D343" t="inlineStr">
        <is>
          <t>GÄVLEBORGS LÄN</t>
        </is>
      </c>
      <c r="E343" t="inlineStr">
        <is>
          <t>GÄVLE</t>
        </is>
      </c>
      <c r="F343" t="inlineStr">
        <is>
          <t>Bergvik skog öst AB</t>
        </is>
      </c>
      <c r="G343" t="n">
        <v>0.7</v>
      </c>
      <c r="H343" t="n">
        <v>1</v>
      </c>
      <c r="I343" t="n">
        <v>0</v>
      </c>
      <c r="J343" t="n">
        <v>0</v>
      </c>
      <c r="K343" t="n">
        <v>0</v>
      </c>
      <c r="L343" t="n">
        <v>0</v>
      </c>
      <c r="M343" t="n">
        <v>0</v>
      </c>
      <c r="N343" t="n">
        <v>0</v>
      </c>
      <c r="O343" t="n">
        <v>0</v>
      </c>
      <c r="P343" t="n">
        <v>0</v>
      </c>
      <c r="Q343" t="n">
        <v>1</v>
      </c>
      <c r="R343" s="2" t="inlineStr">
        <is>
          <t>Blåsippa</t>
        </is>
      </c>
      <c r="S343">
        <f>HYPERLINK("https://klasma.github.io/Logging_2180/artfynd/A 59225-2021 artfynd.xlsx", "A 59225-2021")</f>
        <v/>
      </c>
      <c r="T343">
        <f>HYPERLINK("https://klasma.github.io/Logging_2180/kartor/A 59225-2021 karta.png", "A 59225-2021")</f>
        <v/>
      </c>
      <c r="V343">
        <f>HYPERLINK("https://klasma.github.io/Logging_2180/klagomål/A 59225-2021 FSC-klagomål.docx", "A 59225-2021")</f>
        <v/>
      </c>
      <c r="W343">
        <f>HYPERLINK("https://klasma.github.io/Logging_2180/klagomålsmail/A 59225-2021 FSC-klagomål mail.docx", "A 59225-2021")</f>
        <v/>
      </c>
      <c r="X343">
        <f>HYPERLINK("https://klasma.github.io/Logging_2180/tillsyn/A 59225-2021 tillsynsbegäran.docx", "A 59225-2021")</f>
        <v/>
      </c>
      <c r="Y343">
        <f>HYPERLINK("https://klasma.github.io/Logging_2180/tillsynsmail/A 59225-2021 tillsynsbegäran mail.docx", "A 59225-2021")</f>
        <v/>
      </c>
    </row>
    <row r="344" ht="15" customHeight="1">
      <c r="A344" t="inlineStr">
        <is>
          <t>A 59607-2021</t>
        </is>
      </c>
      <c r="B344" s="1" t="n">
        <v>44491</v>
      </c>
      <c r="C344" s="1" t="n">
        <v>45344</v>
      </c>
      <c r="D344" t="inlineStr">
        <is>
          <t>GÄVLEBORGS LÄN</t>
        </is>
      </c>
      <c r="E344" t="inlineStr">
        <is>
          <t>LJUSDAL</t>
        </is>
      </c>
      <c r="F344" t="inlineStr">
        <is>
          <t>Sveaskog</t>
        </is>
      </c>
      <c r="G344" t="n">
        <v>1.7</v>
      </c>
      <c r="H344" t="n">
        <v>1</v>
      </c>
      <c r="I344" t="n">
        <v>0</v>
      </c>
      <c r="J344" t="n">
        <v>0</v>
      </c>
      <c r="K344" t="n">
        <v>1</v>
      </c>
      <c r="L344" t="n">
        <v>0</v>
      </c>
      <c r="M344" t="n">
        <v>0</v>
      </c>
      <c r="N344" t="n">
        <v>0</v>
      </c>
      <c r="O344" t="n">
        <v>1</v>
      </c>
      <c r="P344" t="n">
        <v>1</v>
      </c>
      <c r="Q344" t="n">
        <v>1</v>
      </c>
      <c r="R344" s="2" t="inlineStr">
        <is>
          <t>Knärot</t>
        </is>
      </c>
      <c r="S344">
        <f>HYPERLINK("https://klasma.github.io/Logging_2161/artfynd/A 59607-2021 artfynd.xlsx", "A 59607-2021")</f>
        <v/>
      </c>
      <c r="T344">
        <f>HYPERLINK("https://klasma.github.io/Logging_2161/kartor/A 59607-2021 karta.png", "A 59607-2021")</f>
        <v/>
      </c>
      <c r="U344">
        <f>HYPERLINK("https://klasma.github.io/Logging_2161/knärot/A 59607-2021 karta knärot.png", "A 59607-2021")</f>
        <v/>
      </c>
      <c r="V344">
        <f>HYPERLINK("https://klasma.github.io/Logging_2161/klagomål/A 59607-2021 FSC-klagomål.docx", "A 59607-2021")</f>
        <v/>
      </c>
      <c r="W344">
        <f>HYPERLINK("https://klasma.github.io/Logging_2161/klagomålsmail/A 59607-2021 FSC-klagomål mail.docx", "A 59607-2021")</f>
        <v/>
      </c>
      <c r="X344">
        <f>HYPERLINK("https://klasma.github.io/Logging_2161/tillsyn/A 59607-2021 tillsynsbegäran.docx", "A 59607-2021")</f>
        <v/>
      </c>
      <c r="Y344">
        <f>HYPERLINK("https://klasma.github.io/Logging_2161/tillsynsmail/A 59607-2021 tillsynsbegäran mail.docx", "A 59607-2021")</f>
        <v/>
      </c>
    </row>
    <row r="345" ht="15" customHeight="1">
      <c r="A345" t="inlineStr">
        <is>
          <t>A 60615-2021</t>
        </is>
      </c>
      <c r="B345" s="1" t="n">
        <v>44496</v>
      </c>
      <c r="C345" s="1" t="n">
        <v>45344</v>
      </c>
      <c r="D345" t="inlineStr">
        <is>
          <t>GÄVLEBORGS LÄN</t>
        </is>
      </c>
      <c r="E345" t="inlineStr">
        <is>
          <t>OCKELBO</t>
        </is>
      </c>
      <c r="F345" t="inlineStr">
        <is>
          <t>Bergvik skog väst AB</t>
        </is>
      </c>
      <c r="G345" t="n">
        <v>1.4</v>
      </c>
      <c r="H345" t="n">
        <v>1</v>
      </c>
      <c r="I345" t="n">
        <v>0</v>
      </c>
      <c r="J345" t="n">
        <v>0</v>
      </c>
      <c r="K345" t="n">
        <v>0</v>
      </c>
      <c r="L345" t="n">
        <v>0</v>
      </c>
      <c r="M345" t="n">
        <v>0</v>
      </c>
      <c r="N345" t="n">
        <v>0</v>
      </c>
      <c r="O345" t="n">
        <v>0</v>
      </c>
      <c r="P345" t="n">
        <v>0</v>
      </c>
      <c r="Q345" t="n">
        <v>1</v>
      </c>
      <c r="R345" s="2" t="inlineStr">
        <is>
          <t>Vanlig padda</t>
        </is>
      </c>
      <c r="S345">
        <f>HYPERLINK("https://klasma.github.io/Logging_2101/artfynd/A 60615-2021 artfynd.xlsx", "A 60615-2021")</f>
        <v/>
      </c>
      <c r="T345">
        <f>HYPERLINK("https://klasma.github.io/Logging_2101/kartor/A 60615-2021 karta.png", "A 60615-2021")</f>
        <v/>
      </c>
      <c r="V345">
        <f>HYPERLINK("https://klasma.github.io/Logging_2101/klagomål/A 60615-2021 FSC-klagomål.docx", "A 60615-2021")</f>
        <v/>
      </c>
      <c r="W345">
        <f>HYPERLINK("https://klasma.github.io/Logging_2101/klagomålsmail/A 60615-2021 FSC-klagomål mail.docx", "A 60615-2021")</f>
        <v/>
      </c>
      <c r="X345">
        <f>HYPERLINK("https://klasma.github.io/Logging_2101/tillsyn/A 60615-2021 tillsynsbegäran.docx", "A 60615-2021")</f>
        <v/>
      </c>
      <c r="Y345">
        <f>HYPERLINK("https://klasma.github.io/Logging_2101/tillsynsmail/A 60615-2021 tillsynsbegäran mail.docx", "A 60615-2021")</f>
        <v/>
      </c>
    </row>
    <row r="346" ht="15" customHeight="1">
      <c r="A346" t="inlineStr">
        <is>
          <t>A 64604-2021</t>
        </is>
      </c>
      <c r="B346" s="1" t="n">
        <v>44511</v>
      </c>
      <c r="C346" s="1" t="n">
        <v>45344</v>
      </c>
      <c r="D346" t="inlineStr">
        <is>
          <t>GÄVLEBORGS LÄN</t>
        </is>
      </c>
      <c r="E346" t="inlineStr">
        <is>
          <t>HOFORS</t>
        </is>
      </c>
      <c r="F346" t="inlineStr">
        <is>
          <t>Kyrkan</t>
        </is>
      </c>
      <c r="G346" t="n">
        <v>1.7</v>
      </c>
      <c r="H346" t="n">
        <v>0</v>
      </c>
      <c r="I346" t="n">
        <v>1</v>
      </c>
      <c r="J346" t="n">
        <v>0</v>
      </c>
      <c r="K346" t="n">
        <v>0</v>
      </c>
      <c r="L346" t="n">
        <v>0</v>
      </c>
      <c r="M346" t="n">
        <v>0</v>
      </c>
      <c r="N346" t="n">
        <v>0</v>
      </c>
      <c r="O346" t="n">
        <v>0</v>
      </c>
      <c r="P346" t="n">
        <v>0</v>
      </c>
      <c r="Q346" t="n">
        <v>1</v>
      </c>
      <c r="R346" s="2" t="inlineStr">
        <is>
          <t>Bågpraktmossa</t>
        </is>
      </c>
      <c r="S346">
        <f>HYPERLINK("https://klasma.github.io/Logging_2104/artfynd/A 64604-2021 artfynd.xlsx", "A 64604-2021")</f>
        <v/>
      </c>
      <c r="T346">
        <f>HYPERLINK("https://klasma.github.io/Logging_2104/kartor/A 64604-2021 karta.png", "A 64604-2021")</f>
        <v/>
      </c>
      <c r="V346">
        <f>HYPERLINK("https://klasma.github.io/Logging_2104/klagomål/A 64604-2021 FSC-klagomål.docx", "A 64604-2021")</f>
        <v/>
      </c>
      <c r="W346">
        <f>HYPERLINK("https://klasma.github.io/Logging_2104/klagomålsmail/A 64604-2021 FSC-klagomål mail.docx", "A 64604-2021")</f>
        <v/>
      </c>
      <c r="X346">
        <f>HYPERLINK("https://klasma.github.io/Logging_2104/tillsyn/A 64604-2021 tillsynsbegäran.docx", "A 64604-2021")</f>
        <v/>
      </c>
      <c r="Y346">
        <f>HYPERLINK("https://klasma.github.io/Logging_2104/tillsynsmail/A 64604-2021 tillsynsbegäran mail.docx", "A 64604-2021")</f>
        <v/>
      </c>
    </row>
    <row r="347" ht="15" customHeight="1">
      <c r="A347" t="inlineStr">
        <is>
          <t>A 65446-2021</t>
        </is>
      </c>
      <c r="B347" s="1" t="n">
        <v>44515</v>
      </c>
      <c r="C347" s="1" t="n">
        <v>45344</v>
      </c>
      <c r="D347" t="inlineStr">
        <is>
          <t>GÄVLEBORGS LÄN</t>
        </is>
      </c>
      <c r="E347" t="inlineStr">
        <is>
          <t>BOLLNÄS</t>
        </is>
      </c>
      <c r="F347" t="inlineStr">
        <is>
          <t>Bergvik skog väst AB</t>
        </is>
      </c>
      <c r="G347" t="n">
        <v>14.4</v>
      </c>
      <c r="H347" t="n">
        <v>0</v>
      </c>
      <c r="I347" t="n">
        <v>0</v>
      </c>
      <c r="J347" t="n">
        <v>0</v>
      </c>
      <c r="K347" t="n">
        <v>0</v>
      </c>
      <c r="L347" t="n">
        <v>1</v>
      </c>
      <c r="M347" t="n">
        <v>0</v>
      </c>
      <c r="N347" t="n">
        <v>0</v>
      </c>
      <c r="O347" t="n">
        <v>1</v>
      </c>
      <c r="P347" t="n">
        <v>1</v>
      </c>
      <c r="Q347" t="n">
        <v>1</v>
      </c>
      <c r="R347" s="2" t="inlineStr">
        <is>
          <t>Bredgentiana</t>
        </is>
      </c>
      <c r="S347">
        <f>HYPERLINK("https://klasma.github.io/Logging_2183/artfynd/A 65446-2021 artfynd.xlsx", "A 65446-2021")</f>
        <v/>
      </c>
      <c r="T347">
        <f>HYPERLINK("https://klasma.github.io/Logging_2183/kartor/A 65446-2021 karta.png", "A 65446-2021")</f>
        <v/>
      </c>
      <c r="V347">
        <f>HYPERLINK("https://klasma.github.io/Logging_2183/klagomål/A 65446-2021 FSC-klagomål.docx", "A 65446-2021")</f>
        <v/>
      </c>
      <c r="W347">
        <f>HYPERLINK("https://klasma.github.io/Logging_2183/klagomålsmail/A 65446-2021 FSC-klagomål mail.docx", "A 65446-2021")</f>
        <v/>
      </c>
      <c r="X347">
        <f>HYPERLINK("https://klasma.github.io/Logging_2183/tillsyn/A 65446-2021 tillsynsbegäran.docx", "A 65446-2021")</f>
        <v/>
      </c>
      <c r="Y347">
        <f>HYPERLINK("https://klasma.github.io/Logging_2183/tillsynsmail/A 65446-2021 tillsynsbegäran mail.docx", "A 65446-2021")</f>
        <v/>
      </c>
    </row>
    <row r="348" ht="15" customHeight="1">
      <c r="A348" t="inlineStr">
        <is>
          <t>A 66495-2021</t>
        </is>
      </c>
      <c r="B348" s="1" t="n">
        <v>44519</v>
      </c>
      <c r="C348" s="1" t="n">
        <v>45344</v>
      </c>
      <c r="D348" t="inlineStr">
        <is>
          <t>GÄVLEBORGS LÄN</t>
        </is>
      </c>
      <c r="E348" t="inlineStr">
        <is>
          <t>GÄVLE</t>
        </is>
      </c>
      <c r="G348" t="n">
        <v>2</v>
      </c>
      <c r="H348" t="n">
        <v>0</v>
      </c>
      <c r="I348" t="n">
        <v>0</v>
      </c>
      <c r="J348" t="n">
        <v>1</v>
      </c>
      <c r="K348" t="n">
        <v>0</v>
      </c>
      <c r="L348" t="n">
        <v>0</v>
      </c>
      <c r="M348" t="n">
        <v>0</v>
      </c>
      <c r="N348" t="n">
        <v>0</v>
      </c>
      <c r="O348" t="n">
        <v>1</v>
      </c>
      <c r="P348" t="n">
        <v>0</v>
      </c>
      <c r="Q348" t="n">
        <v>1</v>
      </c>
      <c r="R348" s="2" t="inlineStr">
        <is>
          <t>Sumpviol</t>
        </is>
      </c>
      <c r="S348">
        <f>HYPERLINK("https://klasma.github.io/Logging_2180/artfynd/A 66495-2021 artfynd.xlsx", "A 66495-2021")</f>
        <v/>
      </c>
      <c r="T348">
        <f>HYPERLINK("https://klasma.github.io/Logging_2180/kartor/A 66495-2021 karta.png", "A 66495-2021")</f>
        <v/>
      </c>
      <c r="V348">
        <f>HYPERLINK("https://klasma.github.io/Logging_2180/klagomål/A 66495-2021 FSC-klagomål.docx", "A 66495-2021")</f>
        <v/>
      </c>
      <c r="W348">
        <f>HYPERLINK("https://klasma.github.io/Logging_2180/klagomålsmail/A 66495-2021 FSC-klagomål mail.docx", "A 66495-2021")</f>
        <v/>
      </c>
      <c r="X348">
        <f>HYPERLINK("https://klasma.github.io/Logging_2180/tillsyn/A 66495-2021 tillsynsbegäran.docx", "A 66495-2021")</f>
        <v/>
      </c>
      <c r="Y348">
        <f>HYPERLINK("https://klasma.github.io/Logging_2180/tillsynsmail/A 66495-2021 tillsynsbegäran mail.docx", "A 66495-2021")</f>
        <v/>
      </c>
    </row>
    <row r="349" ht="15" customHeight="1">
      <c r="A349" t="inlineStr">
        <is>
          <t>A 68162-2021</t>
        </is>
      </c>
      <c r="B349" s="1" t="n">
        <v>44526</v>
      </c>
      <c r="C349" s="1" t="n">
        <v>45344</v>
      </c>
      <c r="D349" t="inlineStr">
        <is>
          <t>GÄVLEBORGS LÄN</t>
        </is>
      </c>
      <c r="E349" t="inlineStr">
        <is>
          <t>HUDIKSVALL</t>
        </is>
      </c>
      <c r="G349" t="n">
        <v>1.1</v>
      </c>
      <c r="H349" t="n">
        <v>1</v>
      </c>
      <c r="I349" t="n">
        <v>0</v>
      </c>
      <c r="J349" t="n">
        <v>0</v>
      </c>
      <c r="K349" t="n">
        <v>0</v>
      </c>
      <c r="L349" t="n">
        <v>0</v>
      </c>
      <c r="M349" t="n">
        <v>0</v>
      </c>
      <c r="N349" t="n">
        <v>0</v>
      </c>
      <c r="O349" t="n">
        <v>0</v>
      </c>
      <c r="P349" t="n">
        <v>0</v>
      </c>
      <c r="Q349" t="n">
        <v>1</v>
      </c>
      <c r="R349" s="2" t="inlineStr">
        <is>
          <t>Större vattensalamander</t>
        </is>
      </c>
      <c r="S349">
        <f>HYPERLINK("https://klasma.github.io/Logging_2184/artfynd/A 68162-2021 artfynd.xlsx", "A 68162-2021")</f>
        <v/>
      </c>
      <c r="T349">
        <f>HYPERLINK("https://klasma.github.io/Logging_2184/kartor/A 68162-2021 karta.png", "A 68162-2021")</f>
        <v/>
      </c>
      <c r="V349">
        <f>HYPERLINK("https://klasma.github.io/Logging_2184/klagomål/A 68162-2021 FSC-klagomål.docx", "A 68162-2021")</f>
        <v/>
      </c>
      <c r="W349">
        <f>HYPERLINK("https://klasma.github.io/Logging_2184/klagomålsmail/A 68162-2021 FSC-klagomål mail.docx", "A 68162-2021")</f>
        <v/>
      </c>
      <c r="X349">
        <f>HYPERLINK("https://klasma.github.io/Logging_2184/tillsyn/A 68162-2021 tillsynsbegäran.docx", "A 68162-2021")</f>
        <v/>
      </c>
      <c r="Y349">
        <f>HYPERLINK("https://klasma.github.io/Logging_2184/tillsynsmail/A 68162-2021 tillsynsbegäran mail.docx", "A 68162-2021")</f>
        <v/>
      </c>
    </row>
    <row r="350" ht="15" customHeight="1">
      <c r="A350" t="inlineStr">
        <is>
          <t>A 6779-2022</t>
        </is>
      </c>
      <c r="B350" s="1" t="n">
        <v>44602</v>
      </c>
      <c r="C350" s="1" t="n">
        <v>45344</v>
      </c>
      <c r="D350" t="inlineStr">
        <is>
          <t>GÄVLEBORGS LÄN</t>
        </is>
      </c>
      <c r="E350" t="inlineStr">
        <is>
          <t>GÄVLE</t>
        </is>
      </c>
      <c r="F350" t="inlineStr">
        <is>
          <t>Bergvik skog öst AB</t>
        </is>
      </c>
      <c r="G350" t="n">
        <v>2.8</v>
      </c>
      <c r="H350" t="n">
        <v>0</v>
      </c>
      <c r="I350" t="n">
        <v>0</v>
      </c>
      <c r="J350" t="n">
        <v>1</v>
      </c>
      <c r="K350" t="n">
        <v>0</v>
      </c>
      <c r="L350" t="n">
        <v>0</v>
      </c>
      <c r="M350" t="n">
        <v>0</v>
      </c>
      <c r="N350" t="n">
        <v>0</v>
      </c>
      <c r="O350" t="n">
        <v>1</v>
      </c>
      <c r="P350" t="n">
        <v>0</v>
      </c>
      <c r="Q350" t="n">
        <v>1</v>
      </c>
      <c r="R350" s="2" t="inlineStr">
        <is>
          <t>Skogsklocka</t>
        </is>
      </c>
      <c r="S350">
        <f>HYPERLINK("https://klasma.github.io/Logging_2180/artfynd/A 6779-2022 artfynd.xlsx", "A 6779-2022")</f>
        <v/>
      </c>
      <c r="T350">
        <f>HYPERLINK("https://klasma.github.io/Logging_2180/kartor/A 6779-2022 karta.png", "A 6779-2022")</f>
        <v/>
      </c>
      <c r="V350">
        <f>HYPERLINK("https://klasma.github.io/Logging_2180/klagomål/A 6779-2022 FSC-klagomål.docx", "A 6779-2022")</f>
        <v/>
      </c>
      <c r="W350">
        <f>HYPERLINK("https://klasma.github.io/Logging_2180/klagomålsmail/A 6779-2022 FSC-klagomål mail.docx", "A 6779-2022")</f>
        <v/>
      </c>
      <c r="X350">
        <f>HYPERLINK("https://klasma.github.io/Logging_2180/tillsyn/A 6779-2022 tillsynsbegäran.docx", "A 6779-2022")</f>
        <v/>
      </c>
      <c r="Y350">
        <f>HYPERLINK("https://klasma.github.io/Logging_2180/tillsynsmail/A 6779-2022 tillsynsbegäran mail.docx", "A 6779-2022")</f>
        <v/>
      </c>
    </row>
    <row r="351" ht="15" customHeight="1">
      <c r="A351" t="inlineStr">
        <is>
          <t>A 15102-2022</t>
        </is>
      </c>
      <c r="B351" s="1" t="n">
        <v>44658</v>
      </c>
      <c r="C351" s="1" t="n">
        <v>45344</v>
      </c>
      <c r="D351" t="inlineStr">
        <is>
          <t>GÄVLEBORGS LÄN</t>
        </is>
      </c>
      <c r="E351" t="inlineStr">
        <is>
          <t>GÄVLE</t>
        </is>
      </c>
      <c r="F351" t="inlineStr">
        <is>
          <t>Bergvik skog öst AB</t>
        </is>
      </c>
      <c r="G351" t="n">
        <v>4.5</v>
      </c>
      <c r="H351" t="n">
        <v>0</v>
      </c>
      <c r="I351" t="n">
        <v>0</v>
      </c>
      <c r="J351" t="n">
        <v>1</v>
      </c>
      <c r="K351" t="n">
        <v>0</v>
      </c>
      <c r="L351" t="n">
        <v>0</v>
      </c>
      <c r="M351" t="n">
        <v>0</v>
      </c>
      <c r="N351" t="n">
        <v>0</v>
      </c>
      <c r="O351" t="n">
        <v>1</v>
      </c>
      <c r="P351" t="n">
        <v>0</v>
      </c>
      <c r="Q351" t="n">
        <v>1</v>
      </c>
      <c r="R351" s="2" t="inlineStr">
        <is>
          <t>Sumpviol</t>
        </is>
      </c>
      <c r="S351">
        <f>HYPERLINK("https://klasma.github.io/Logging_2180/artfynd/A 15102-2022 artfynd.xlsx", "A 15102-2022")</f>
        <v/>
      </c>
      <c r="T351">
        <f>HYPERLINK("https://klasma.github.io/Logging_2180/kartor/A 15102-2022 karta.png", "A 15102-2022")</f>
        <v/>
      </c>
      <c r="V351">
        <f>HYPERLINK("https://klasma.github.io/Logging_2180/klagomål/A 15102-2022 FSC-klagomål.docx", "A 15102-2022")</f>
        <v/>
      </c>
      <c r="W351">
        <f>HYPERLINK("https://klasma.github.io/Logging_2180/klagomålsmail/A 15102-2022 FSC-klagomål mail.docx", "A 15102-2022")</f>
        <v/>
      </c>
      <c r="X351">
        <f>HYPERLINK("https://klasma.github.io/Logging_2180/tillsyn/A 15102-2022 tillsynsbegäran.docx", "A 15102-2022")</f>
        <v/>
      </c>
      <c r="Y351">
        <f>HYPERLINK("https://klasma.github.io/Logging_2180/tillsynsmail/A 15102-2022 tillsynsbegäran mail.docx", "A 15102-2022")</f>
        <v/>
      </c>
    </row>
    <row r="352" ht="15" customHeight="1">
      <c r="A352" t="inlineStr">
        <is>
          <t>A 15470-2022</t>
        </is>
      </c>
      <c r="B352" s="1" t="n">
        <v>44662</v>
      </c>
      <c r="C352" s="1" t="n">
        <v>45344</v>
      </c>
      <c r="D352" t="inlineStr">
        <is>
          <t>GÄVLEBORGS LÄN</t>
        </is>
      </c>
      <c r="E352" t="inlineStr">
        <is>
          <t>LJUSDAL</t>
        </is>
      </c>
      <c r="F352" t="inlineStr">
        <is>
          <t>Kyrkan</t>
        </is>
      </c>
      <c r="G352" t="n">
        <v>35</v>
      </c>
      <c r="H352" t="n">
        <v>1</v>
      </c>
      <c r="I352" t="n">
        <v>0</v>
      </c>
      <c r="J352" t="n">
        <v>0</v>
      </c>
      <c r="K352" t="n">
        <v>1</v>
      </c>
      <c r="L352" t="n">
        <v>0</v>
      </c>
      <c r="M352" t="n">
        <v>0</v>
      </c>
      <c r="N352" t="n">
        <v>0</v>
      </c>
      <c r="O352" t="n">
        <v>1</v>
      </c>
      <c r="P352" t="n">
        <v>1</v>
      </c>
      <c r="Q352" t="n">
        <v>1</v>
      </c>
      <c r="R352" s="2" t="inlineStr">
        <is>
          <t>Knärot</t>
        </is>
      </c>
      <c r="S352">
        <f>HYPERLINK("https://klasma.github.io/Logging_2161/artfynd/A 15470-2022 artfynd.xlsx", "A 15470-2022")</f>
        <v/>
      </c>
      <c r="T352">
        <f>HYPERLINK("https://klasma.github.io/Logging_2161/kartor/A 15470-2022 karta.png", "A 15470-2022")</f>
        <v/>
      </c>
      <c r="U352">
        <f>HYPERLINK("https://klasma.github.io/Logging_2161/knärot/A 15470-2022 karta knärot.png", "A 15470-2022")</f>
        <v/>
      </c>
      <c r="V352">
        <f>HYPERLINK("https://klasma.github.io/Logging_2161/klagomål/A 15470-2022 FSC-klagomål.docx", "A 15470-2022")</f>
        <v/>
      </c>
      <c r="W352">
        <f>HYPERLINK("https://klasma.github.io/Logging_2161/klagomålsmail/A 15470-2022 FSC-klagomål mail.docx", "A 15470-2022")</f>
        <v/>
      </c>
      <c r="X352">
        <f>HYPERLINK("https://klasma.github.io/Logging_2161/tillsyn/A 15470-2022 tillsynsbegäran.docx", "A 15470-2022")</f>
        <v/>
      </c>
      <c r="Y352">
        <f>HYPERLINK("https://klasma.github.io/Logging_2161/tillsynsmail/A 15470-2022 tillsynsbegäran mail.docx", "A 15470-2022")</f>
        <v/>
      </c>
    </row>
    <row r="353" ht="15" customHeight="1">
      <c r="A353" t="inlineStr">
        <is>
          <t>A 15729-2022</t>
        </is>
      </c>
      <c r="B353" s="1" t="n">
        <v>44663</v>
      </c>
      <c r="C353" s="1" t="n">
        <v>45344</v>
      </c>
      <c r="D353" t="inlineStr">
        <is>
          <t>GÄVLEBORGS LÄN</t>
        </is>
      </c>
      <c r="E353" t="inlineStr">
        <is>
          <t>SANDVIKEN</t>
        </is>
      </c>
      <c r="G353" t="n">
        <v>2.1</v>
      </c>
      <c r="H353" t="n">
        <v>1</v>
      </c>
      <c r="I353" t="n">
        <v>0</v>
      </c>
      <c r="J353" t="n">
        <v>0</v>
      </c>
      <c r="K353" t="n">
        <v>1</v>
      </c>
      <c r="L353" t="n">
        <v>0</v>
      </c>
      <c r="M353" t="n">
        <v>0</v>
      </c>
      <c r="N353" t="n">
        <v>0</v>
      </c>
      <c r="O353" t="n">
        <v>1</v>
      </c>
      <c r="P353" t="n">
        <v>1</v>
      </c>
      <c r="Q353" t="n">
        <v>1</v>
      </c>
      <c r="R353" s="2" t="inlineStr">
        <is>
          <t>Knärot</t>
        </is>
      </c>
      <c r="S353">
        <f>HYPERLINK("https://klasma.github.io/Logging_2181/artfynd/A 15729-2022 artfynd.xlsx", "A 15729-2022")</f>
        <v/>
      </c>
      <c r="T353">
        <f>HYPERLINK("https://klasma.github.io/Logging_2181/kartor/A 15729-2022 karta.png", "A 15729-2022")</f>
        <v/>
      </c>
      <c r="U353">
        <f>HYPERLINK("https://klasma.github.io/Logging_2181/knärot/A 15729-2022 karta knärot.png", "A 15729-2022")</f>
        <v/>
      </c>
      <c r="V353">
        <f>HYPERLINK("https://klasma.github.io/Logging_2181/klagomål/A 15729-2022 FSC-klagomål.docx", "A 15729-2022")</f>
        <v/>
      </c>
      <c r="W353">
        <f>HYPERLINK("https://klasma.github.io/Logging_2181/klagomålsmail/A 15729-2022 FSC-klagomål mail.docx", "A 15729-2022")</f>
        <v/>
      </c>
      <c r="X353">
        <f>HYPERLINK("https://klasma.github.io/Logging_2181/tillsyn/A 15729-2022 tillsynsbegäran.docx", "A 15729-2022")</f>
        <v/>
      </c>
      <c r="Y353">
        <f>HYPERLINK("https://klasma.github.io/Logging_2181/tillsynsmail/A 15729-2022 tillsynsbegäran mail.docx", "A 15729-2022")</f>
        <v/>
      </c>
    </row>
    <row r="354" ht="15" customHeight="1">
      <c r="A354" t="inlineStr">
        <is>
          <t>A 16809-2022</t>
        </is>
      </c>
      <c r="B354" s="1" t="n">
        <v>44673</v>
      </c>
      <c r="C354" s="1" t="n">
        <v>45344</v>
      </c>
      <c r="D354" t="inlineStr">
        <is>
          <t>GÄVLEBORGS LÄN</t>
        </is>
      </c>
      <c r="E354" t="inlineStr">
        <is>
          <t>NORDANSTIG</t>
        </is>
      </c>
      <c r="G354" t="n">
        <v>4.4</v>
      </c>
      <c r="H354" t="n">
        <v>0</v>
      </c>
      <c r="I354" t="n">
        <v>0</v>
      </c>
      <c r="J354" t="n">
        <v>1</v>
      </c>
      <c r="K354" t="n">
        <v>0</v>
      </c>
      <c r="L354" t="n">
        <v>0</v>
      </c>
      <c r="M354" t="n">
        <v>0</v>
      </c>
      <c r="N354" t="n">
        <v>0</v>
      </c>
      <c r="O354" t="n">
        <v>1</v>
      </c>
      <c r="P354" t="n">
        <v>0</v>
      </c>
      <c r="Q354" t="n">
        <v>1</v>
      </c>
      <c r="R354" s="2" t="inlineStr">
        <is>
          <t>Garnlav</t>
        </is>
      </c>
      <c r="S354">
        <f>HYPERLINK("https://klasma.github.io/Logging_2132/artfynd/A 16809-2022 artfynd.xlsx", "A 16809-2022")</f>
        <v/>
      </c>
      <c r="T354">
        <f>HYPERLINK("https://klasma.github.io/Logging_2132/kartor/A 16809-2022 karta.png", "A 16809-2022")</f>
        <v/>
      </c>
      <c r="V354">
        <f>HYPERLINK("https://klasma.github.io/Logging_2132/klagomål/A 16809-2022 FSC-klagomål.docx", "A 16809-2022")</f>
        <v/>
      </c>
      <c r="W354">
        <f>HYPERLINK("https://klasma.github.io/Logging_2132/klagomålsmail/A 16809-2022 FSC-klagomål mail.docx", "A 16809-2022")</f>
        <v/>
      </c>
      <c r="X354">
        <f>HYPERLINK("https://klasma.github.io/Logging_2132/tillsyn/A 16809-2022 tillsynsbegäran.docx", "A 16809-2022")</f>
        <v/>
      </c>
      <c r="Y354">
        <f>HYPERLINK("https://klasma.github.io/Logging_2132/tillsynsmail/A 16809-2022 tillsynsbegäran mail.docx", "A 16809-2022")</f>
        <v/>
      </c>
    </row>
    <row r="355" ht="15" customHeight="1">
      <c r="A355" t="inlineStr">
        <is>
          <t>A 17382-2022</t>
        </is>
      </c>
      <c r="B355" s="1" t="n">
        <v>44678</v>
      </c>
      <c r="C355" s="1" t="n">
        <v>45344</v>
      </c>
      <c r="D355" t="inlineStr">
        <is>
          <t>GÄVLEBORGS LÄN</t>
        </is>
      </c>
      <c r="E355" t="inlineStr">
        <is>
          <t>HUDIKSVALL</t>
        </is>
      </c>
      <c r="G355" t="n">
        <v>9.300000000000001</v>
      </c>
      <c r="H355" t="n">
        <v>0</v>
      </c>
      <c r="I355" t="n">
        <v>0</v>
      </c>
      <c r="J355" t="n">
        <v>1</v>
      </c>
      <c r="K355" t="n">
        <v>0</v>
      </c>
      <c r="L355" t="n">
        <v>0</v>
      </c>
      <c r="M355" t="n">
        <v>0</v>
      </c>
      <c r="N355" t="n">
        <v>0</v>
      </c>
      <c r="O355" t="n">
        <v>1</v>
      </c>
      <c r="P355" t="n">
        <v>0</v>
      </c>
      <c r="Q355" t="n">
        <v>1</v>
      </c>
      <c r="R355" s="2" t="inlineStr">
        <is>
          <t>Månlåsbräken</t>
        </is>
      </c>
      <c r="S355">
        <f>HYPERLINK("https://klasma.github.io/Logging_2184/artfynd/A 17382-2022 artfynd.xlsx", "A 17382-2022")</f>
        <v/>
      </c>
      <c r="T355">
        <f>HYPERLINK("https://klasma.github.io/Logging_2184/kartor/A 17382-2022 karta.png", "A 17382-2022")</f>
        <v/>
      </c>
      <c r="V355">
        <f>HYPERLINK("https://klasma.github.io/Logging_2184/klagomål/A 17382-2022 FSC-klagomål.docx", "A 17382-2022")</f>
        <v/>
      </c>
      <c r="W355">
        <f>HYPERLINK("https://klasma.github.io/Logging_2184/klagomålsmail/A 17382-2022 FSC-klagomål mail.docx", "A 17382-2022")</f>
        <v/>
      </c>
      <c r="X355">
        <f>HYPERLINK("https://klasma.github.io/Logging_2184/tillsyn/A 17382-2022 tillsynsbegäran.docx", "A 17382-2022")</f>
        <v/>
      </c>
      <c r="Y355">
        <f>HYPERLINK("https://klasma.github.io/Logging_2184/tillsynsmail/A 17382-2022 tillsynsbegäran mail.docx", "A 17382-2022")</f>
        <v/>
      </c>
    </row>
    <row r="356" ht="15" customHeight="1">
      <c r="A356" t="inlineStr">
        <is>
          <t>A 18058-2022</t>
        </is>
      </c>
      <c r="B356" s="1" t="n">
        <v>44684</v>
      </c>
      <c r="C356" s="1" t="n">
        <v>45344</v>
      </c>
      <c r="D356" t="inlineStr">
        <is>
          <t>GÄVLEBORGS LÄN</t>
        </is>
      </c>
      <c r="E356" t="inlineStr">
        <is>
          <t>LJUSDAL</t>
        </is>
      </c>
      <c r="F356" t="inlineStr">
        <is>
          <t>Sveaskog</t>
        </is>
      </c>
      <c r="G356" t="n">
        <v>8.5</v>
      </c>
      <c r="H356" t="n">
        <v>0</v>
      </c>
      <c r="I356" t="n">
        <v>0</v>
      </c>
      <c r="J356" t="n">
        <v>1</v>
      </c>
      <c r="K356" t="n">
        <v>0</v>
      </c>
      <c r="L356" t="n">
        <v>0</v>
      </c>
      <c r="M356" t="n">
        <v>0</v>
      </c>
      <c r="N356" t="n">
        <v>0</v>
      </c>
      <c r="O356" t="n">
        <v>1</v>
      </c>
      <c r="P356" t="n">
        <v>0</v>
      </c>
      <c r="Q356" t="n">
        <v>1</v>
      </c>
      <c r="R356" s="2" t="inlineStr">
        <is>
          <t>Lunglav</t>
        </is>
      </c>
      <c r="S356">
        <f>HYPERLINK("https://klasma.github.io/Logging_2161/artfynd/A 18058-2022 artfynd.xlsx", "A 18058-2022")</f>
        <v/>
      </c>
      <c r="T356">
        <f>HYPERLINK("https://klasma.github.io/Logging_2161/kartor/A 18058-2022 karta.png", "A 18058-2022")</f>
        <v/>
      </c>
      <c r="V356">
        <f>HYPERLINK("https://klasma.github.io/Logging_2161/klagomål/A 18058-2022 FSC-klagomål.docx", "A 18058-2022")</f>
        <v/>
      </c>
      <c r="W356">
        <f>HYPERLINK("https://klasma.github.io/Logging_2161/klagomålsmail/A 18058-2022 FSC-klagomål mail.docx", "A 18058-2022")</f>
        <v/>
      </c>
      <c r="X356">
        <f>HYPERLINK("https://klasma.github.io/Logging_2161/tillsyn/A 18058-2022 tillsynsbegäran.docx", "A 18058-2022")</f>
        <v/>
      </c>
      <c r="Y356">
        <f>HYPERLINK("https://klasma.github.io/Logging_2161/tillsynsmail/A 18058-2022 tillsynsbegäran mail.docx", "A 18058-2022")</f>
        <v/>
      </c>
    </row>
    <row r="357" ht="15" customHeight="1">
      <c r="A357" t="inlineStr">
        <is>
          <t>A 20211-2022</t>
        </is>
      </c>
      <c r="B357" s="1" t="n">
        <v>44698</v>
      </c>
      <c r="C357" s="1" t="n">
        <v>45344</v>
      </c>
      <c r="D357" t="inlineStr">
        <is>
          <t>GÄVLEBORGS LÄN</t>
        </is>
      </c>
      <c r="E357" t="inlineStr">
        <is>
          <t>LJUSDAL</t>
        </is>
      </c>
      <c r="F357" t="inlineStr">
        <is>
          <t>Sveaskog</t>
        </is>
      </c>
      <c r="G357" t="n">
        <v>4.4</v>
      </c>
      <c r="H357" t="n">
        <v>0</v>
      </c>
      <c r="I357" t="n">
        <v>1</v>
      </c>
      <c r="J357" t="n">
        <v>0</v>
      </c>
      <c r="K357" t="n">
        <v>0</v>
      </c>
      <c r="L357" t="n">
        <v>0</v>
      </c>
      <c r="M357" t="n">
        <v>0</v>
      </c>
      <c r="N357" t="n">
        <v>0</v>
      </c>
      <c r="O357" t="n">
        <v>0</v>
      </c>
      <c r="P357" t="n">
        <v>0</v>
      </c>
      <c r="Q357" t="n">
        <v>1</v>
      </c>
      <c r="R357" s="2" t="inlineStr">
        <is>
          <t>Dropptaggsvamp</t>
        </is>
      </c>
      <c r="S357">
        <f>HYPERLINK("https://klasma.github.io/Logging_2161/artfynd/A 20211-2022 artfynd.xlsx", "A 20211-2022")</f>
        <v/>
      </c>
      <c r="T357">
        <f>HYPERLINK("https://klasma.github.io/Logging_2161/kartor/A 20211-2022 karta.png", "A 20211-2022")</f>
        <v/>
      </c>
      <c r="V357">
        <f>HYPERLINK("https://klasma.github.io/Logging_2161/klagomål/A 20211-2022 FSC-klagomål.docx", "A 20211-2022")</f>
        <v/>
      </c>
      <c r="W357">
        <f>HYPERLINK("https://klasma.github.io/Logging_2161/klagomålsmail/A 20211-2022 FSC-klagomål mail.docx", "A 20211-2022")</f>
        <v/>
      </c>
      <c r="X357">
        <f>HYPERLINK("https://klasma.github.io/Logging_2161/tillsyn/A 20211-2022 tillsynsbegäran.docx", "A 20211-2022")</f>
        <v/>
      </c>
      <c r="Y357">
        <f>HYPERLINK("https://klasma.github.io/Logging_2161/tillsynsmail/A 20211-2022 tillsynsbegäran mail.docx", "A 20211-2022")</f>
        <v/>
      </c>
    </row>
    <row r="358" ht="15" customHeight="1">
      <c r="A358" t="inlineStr">
        <is>
          <t>A 20782-2022</t>
        </is>
      </c>
      <c r="B358" s="1" t="n">
        <v>44701</v>
      </c>
      <c r="C358" s="1" t="n">
        <v>45344</v>
      </c>
      <c r="D358" t="inlineStr">
        <is>
          <t>GÄVLEBORGS LÄN</t>
        </is>
      </c>
      <c r="E358" t="inlineStr">
        <is>
          <t>NORDANSTIG</t>
        </is>
      </c>
      <c r="F358" t="inlineStr">
        <is>
          <t>Holmen skog AB</t>
        </is>
      </c>
      <c r="G358" t="n">
        <v>4.5</v>
      </c>
      <c r="H358" t="n">
        <v>1</v>
      </c>
      <c r="I358" t="n">
        <v>0</v>
      </c>
      <c r="J358" t="n">
        <v>0</v>
      </c>
      <c r="K358" t="n">
        <v>1</v>
      </c>
      <c r="L358" t="n">
        <v>0</v>
      </c>
      <c r="M358" t="n">
        <v>0</v>
      </c>
      <c r="N358" t="n">
        <v>0</v>
      </c>
      <c r="O358" t="n">
        <v>1</v>
      </c>
      <c r="P358" t="n">
        <v>1</v>
      </c>
      <c r="Q358" t="n">
        <v>1</v>
      </c>
      <c r="R358" s="2" t="inlineStr">
        <is>
          <t>Knärot</t>
        </is>
      </c>
      <c r="S358">
        <f>HYPERLINK("https://klasma.github.io/Logging_2132/artfynd/A 20782-2022 artfynd.xlsx", "A 20782-2022")</f>
        <v/>
      </c>
      <c r="T358">
        <f>HYPERLINK("https://klasma.github.io/Logging_2132/kartor/A 20782-2022 karta.png", "A 20782-2022")</f>
        <v/>
      </c>
      <c r="U358">
        <f>HYPERLINK("https://klasma.github.io/Logging_2132/knärot/A 20782-2022 karta knärot.png", "A 20782-2022")</f>
        <v/>
      </c>
      <c r="V358">
        <f>HYPERLINK("https://klasma.github.io/Logging_2132/klagomål/A 20782-2022 FSC-klagomål.docx", "A 20782-2022")</f>
        <v/>
      </c>
      <c r="W358">
        <f>HYPERLINK("https://klasma.github.io/Logging_2132/klagomålsmail/A 20782-2022 FSC-klagomål mail.docx", "A 20782-2022")</f>
        <v/>
      </c>
      <c r="X358">
        <f>HYPERLINK("https://klasma.github.io/Logging_2132/tillsyn/A 20782-2022 tillsynsbegäran.docx", "A 20782-2022")</f>
        <v/>
      </c>
      <c r="Y358">
        <f>HYPERLINK("https://klasma.github.io/Logging_2132/tillsynsmail/A 20782-2022 tillsynsbegäran mail.docx", "A 20782-2022")</f>
        <v/>
      </c>
    </row>
    <row r="359" ht="15" customHeight="1">
      <c r="A359" t="inlineStr">
        <is>
          <t>A 21786-2022</t>
        </is>
      </c>
      <c r="B359" s="1" t="n">
        <v>44708</v>
      </c>
      <c r="C359" s="1" t="n">
        <v>45344</v>
      </c>
      <c r="D359" t="inlineStr">
        <is>
          <t>GÄVLEBORGS LÄN</t>
        </is>
      </c>
      <c r="E359" t="inlineStr">
        <is>
          <t>LJUSDAL</t>
        </is>
      </c>
      <c r="F359" t="inlineStr">
        <is>
          <t>Holmen skog AB</t>
        </is>
      </c>
      <c r="G359" t="n">
        <v>1</v>
      </c>
      <c r="H359" t="n">
        <v>0</v>
      </c>
      <c r="I359" t="n">
        <v>1</v>
      </c>
      <c r="J359" t="n">
        <v>0</v>
      </c>
      <c r="K359" t="n">
        <v>0</v>
      </c>
      <c r="L359" t="n">
        <v>0</v>
      </c>
      <c r="M359" t="n">
        <v>0</v>
      </c>
      <c r="N359" t="n">
        <v>0</v>
      </c>
      <c r="O359" t="n">
        <v>0</v>
      </c>
      <c r="P359" t="n">
        <v>0</v>
      </c>
      <c r="Q359" t="n">
        <v>1</v>
      </c>
      <c r="R359" s="2" t="inlineStr">
        <is>
          <t>Vågbandad barkbock</t>
        </is>
      </c>
      <c r="S359">
        <f>HYPERLINK("https://klasma.github.io/Logging_2161/artfynd/A 21786-2022 artfynd.xlsx", "A 21786-2022")</f>
        <v/>
      </c>
      <c r="T359">
        <f>HYPERLINK("https://klasma.github.io/Logging_2161/kartor/A 21786-2022 karta.png", "A 21786-2022")</f>
        <v/>
      </c>
      <c r="V359">
        <f>HYPERLINK("https://klasma.github.io/Logging_2161/klagomål/A 21786-2022 FSC-klagomål.docx", "A 21786-2022")</f>
        <v/>
      </c>
      <c r="W359">
        <f>HYPERLINK("https://klasma.github.io/Logging_2161/klagomålsmail/A 21786-2022 FSC-klagomål mail.docx", "A 21786-2022")</f>
        <v/>
      </c>
      <c r="X359">
        <f>HYPERLINK("https://klasma.github.io/Logging_2161/tillsyn/A 21786-2022 tillsynsbegäran.docx", "A 21786-2022")</f>
        <v/>
      </c>
      <c r="Y359">
        <f>HYPERLINK("https://klasma.github.io/Logging_2161/tillsynsmail/A 21786-2022 tillsynsbegäran mail.docx", "A 21786-2022")</f>
        <v/>
      </c>
    </row>
    <row r="360" ht="15" customHeight="1">
      <c r="A360" t="inlineStr">
        <is>
          <t>A 23511-2022</t>
        </is>
      </c>
      <c r="B360" s="1" t="n">
        <v>44721</v>
      </c>
      <c r="C360" s="1" t="n">
        <v>45344</v>
      </c>
      <c r="D360" t="inlineStr">
        <is>
          <t>GÄVLEBORGS LÄN</t>
        </is>
      </c>
      <c r="E360" t="inlineStr">
        <is>
          <t>GÄVLE</t>
        </is>
      </c>
      <c r="F360" t="inlineStr">
        <is>
          <t>Bergvik skog väst AB</t>
        </is>
      </c>
      <c r="G360" t="n">
        <v>7.9</v>
      </c>
      <c r="H360" t="n">
        <v>0</v>
      </c>
      <c r="I360" t="n">
        <v>0</v>
      </c>
      <c r="J360" t="n">
        <v>1</v>
      </c>
      <c r="K360" t="n">
        <v>0</v>
      </c>
      <c r="L360" t="n">
        <v>0</v>
      </c>
      <c r="M360" t="n">
        <v>0</v>
      </c>
      <c r="N360" t="n">
        <v>0</v>
      </c>
      <c r="O360" t="n">
        <v>1</v>
      </c>
      <c r="P360" t="n">
        <v>0</v>
      </c>
      <c r="Q360" t="n">
        <v>1</v>
      </c>
      <c r="R360" s="2" t="inlineStr">
        <is>
          <t>Grantaggsvamp</t>
        </is>
      </c>
      <c r="S360">
        <f>HYPERLINK("https://klasma.github.io/Logging_2180/artfynd/A 23511-2022 artfynd.xlsx", "A 23511-2022")</f>
        <v/>
      </c>
      <c r="T360">
        <f>HYPERLINK("https://klasma.github.io/Logging_2180/kartor/A 23511-2022 karta.png", "A 23511-2022")</f>
        <v/>
      </c>
      <c r="V360">
        <f>HYPERLINK("https://klasma.github.io/Logging_2180/klagomål/A 23511-2022 FSC-klagomål.docx", "A 23511-2022")</f>
        <v/>
      </c>
      <c r="W360">
        <f>HYPERLINK("https://klasma.github.io/Logging_2180/klagomålsmail/A 23511-2022 FSC-klagomål mail.docx", "A 23511-2022")</f>
        <v/>
      </c>
      <c r="X360">
        <f>HYPERLINK("https://klasma.github.io/Logging_2180/tillsyn/A 23511-2022 tillsynsbegäran.docx", "A 23511-2022")</f>
        <v/>
      </c>
      <c r="Y360">
        <f>HYPERLINK("https://klasma.github.io/Logging_2180/tillsynsmail/A 23511-2022 tillsynsbegäran mail.docx", "A 23511-2022")</f>
        <v/>
      </c>
    </row>
    <row r="361" ht="15" customHeight="1">
      <c r="A361" t="inlineStr">
        <is>
          <t>A 23857-2022</t>
        </is>
      </c>
      <c r="B361" s="1" t="n">
        <v>44722</v>
      </c>
      <c r="C361" s="1" t="n">
        <v>45344</v>
      </c>
      <c r="D361" t="inlineStr">
        <is>
          <t>GÄVLEBORGS LÄN</t>
        </is>
      </c>
      <c r="E361" t="inlineStr">
        <is>
          <t>LJUSDAL</t>
        </is>
      </c>
      <c r="F361" t="inlineStr">
        <is>
          <t>Sveaskog</t>
        </is>
      </c>
      <c r="G361" t="n">
        <v>5.5</v>
      </c>
      <c r="H361" t="n">
        <v>0</v>
      </c>
      <c r="I361" t="n">
        <v>0</v>
      </c>
      <c r="J361" t="n">
        <v>1</v>
      </c>
      <c r="K361" t="n">
        <v>0</v>
      </c>
      <c r="L361" t="n">
        <v>0</v>
      </c>
      <c r="M361" t="n">
        <v>0</v>
      </c>
      <c r="N361" t="n">
        <v>0</v>
      </c>
      <c r="O361" t="n">
        <v>1</v>
      </c>
      <c r="P361" t="n">
        <v>0</v>
      </c>
      <c r="Q361" t="n">
        <v>1</v>
      </c>
      <c r="R361" s="2" t="inlineStr">
        <is>
          <t>Lunglav</t>
        </is>
      </c>
      <c r="S361">
        <f>HYPERLINK("https://klasma.github.io/Logging_2161/artfynd/A 23857-2022 artfynd.xlsx", "A 23857-2022")</f>
        <v/>
      </c>
      <c r="T361">
        <f>HYPERLINK("https://klasma.github.io/Logging_2161/kartor/A 23857-2022 karta.png", "A 23857-2022")</f>
        <v/>
      </c>
      <c r="V361">
        <f>HYPERLINK("https://klasma.github.io/Logging_2161/klagomål/A 23857-2022 FSC-klagomål.docx", "A 23857-2022")</f>
        <v/>
      </c>
      <c r="W361">
        <f>HYPERLINK("https://klasma.github.io/Logging_2161/klagomålsmail/A 23857-2022 FSC-klagomål mail.docx", "A 23857-2022")</f>
        <v/>
      </c>
      <c r="X361">
        <f>HYPERLINK("https://klasma.github.io/Logging_2161/tillsyn/A 23857-2022 tillsynsbegäran.docx", "A 23857-2022")</f>
        <v/>
      </c>
      <c r="Y361">
        <f>HYPERLINK("https://klasma.github.io/Logging_2161/tillsynsmail/A 23857-2022 tillsynsbegäran mail.docx", "A 23857-2022")</f>
        <v/>
      </c>
    </row>
    <row r="362" ht="15" customHeight="1">
      <c r="A362" t="inlineStr">
        <is>
          <t>A 24451-2022</t>
        </is>
      </c>
      <c r="B362" s="1" t="n">
        <v>44726</v>
      </c>
      <c r="C362" s="1" t="n">
        <v>45344</v>
      </c>
      <c r="D362" t="inlineStr">
        <is>
          <t>GÄVLEBORGS LÄN</t>
        </is>
      </c>
      <c r="E362" t="inlineStr">
        <is>
          <t>HUDIKSVALL</t>
        </is>
      </c>
      <c r="F362" t="inlineStr">
        <is>
          <t>Holmen skog AB</t>
        </is>
      </c>
      <c r="G362" t="n">
        <v>3</v>
      </c>
      <c r="H362" t="n">
        <v>0</v>
      </c>
      <c r="I362" t="n">
        <v>0</v>
      </c>
      <c r="J362" t="n">
        <v>1</v>
      </c>
      <c r="K362" t="n">
        <v>0</v>
      </c>
      <c r="L362" t="n">
        <v>0</v>
      </c>
      <c r="M362" t="n">
        <v>0</v>
      </c>
      <c r="N362" t="n">
        <v>0</v>
      </c>
      <c r="O362" t="n">
        <v>1</v>
      </c>
      <c r="P362" t="n">
        <v>0</v>
      </c>
      <c r="Q362" t="n">
        <v>1</v>
      </c>
      <c r="R362" s="2" t="inlineStr">
        <is>
          <t>Vitgrynig nållav</t>
        </is>
      </c>
      <c r="S362">
        <f>HYPERLINK("https://klasma.github.io/Logging_2184/artfynd/A 24451-2022 artfynd.xlsx", "A 24451-2022")</f>
        <v/>
      </c>
      <c r="T362">
        <f>HYPERLINK("https://klasma.github.io/Logging_2184/kartor/A 24451-2022 karta.png", "A 24451-2022")</f>
        <v/>
      </c>
      <c r="V362">
        <f>HYPERLINK("https://klasma.github.io/Logging_2184/klagomål/A 24451-2022 FSC-klagomål.docx", "A 24451-2022")</f>
        <v/>
      </c>
      <c r="W362">
        <f>HYPERLINK("https://klasma.github.io/Logging_2184/klagomålsmail/A 24451-2022 FSC-klagomål mail.docx", "A 24451-2022")</f>
        <v/>
      </c>
      <c r="X362">
        <f>HYPERLINK("https://klasma.github.io/Logging_2184/tillsyn/A 24451-2022 tillsynsbegäran.docx", "A 24451-2022")</f>
        <v/>
      </c>
      <c r="Y362">
        <f>HYPERLINK("https://klasma.github.io/Logging_2184/tillsynsmail/A 24451-2022 tillsynsbegäran mail.docx", "A 24451-2022")</f>
        <v/>
      </c>
    </row>
    <row r="363" ht="15" customHeight="1">
      <c r="A363" t="inlineStr">
        <is>
          <t>A 24698-2022</t>
        </is>
      </c>
      <c r="B363" s="1" t="n">
        <v>44727</v>
      </c>
      <c r="C363" s="1" t="n">
        <v>45344</v>
      </c>
      <c r="D363" t="inlineStr">
        <is>
          <t>GÄVLEBORGS LÄN</t>
        </is>
      </c>
      <c r="E363" t="inlineStr">
        <is>
          <t>SANDVIKEN</t>
        </is>
      </c>
      <c r="F363" t="inlineStr">
        <is>
          <t>Sveaskog</t>
        </is>
      </c>
      <c r="G363" t="n">
        <v>14.8</v>
      </c>
      <c r="H363" t="n">
        <v>1</v>
      </c>
      <c r="I363" t="n">
        <v>0</v>
      </c>
      <c r="J363" t="n">
        <v>0</v>
      </c>
      <c r="K363" t="n">
        <v>0</v>
      </c>
      <c r="L363" t="n">
        <v>0</v>
      </c>
      <c r="M363" t="n">
        <v>0</v>
      </c>
      <c r="N363" t="n">
        <v>0</v>
      </c>
      <c r="O363" t="n">
        <v>0</v>
      </c>
      <c r="P363" t="n">
        <v>0</v>
      </c>
      <c r="Q363" t="n">
        <v>1</v>
      </c>
      <c r="R363" s="2" t="inlineStr">
        <is>
          <t>Nattviol</t>
        </is>
      </c>
      <c r="S363">
        <f>HYPERLINK("https://klasma.github.io/Logging_2181/artfynd/A 24698-2022 artfynd.xlsx", "A 24698-2022")</f>
        <v/>
      </c>
      <c r="T363">
        <f>HYPERLINK("https://klasma.github.io/Logging_2181/kartor/A 24698-2022 karta.png", "A 24698-2022")</f>
        <v/>
      </c>
      <c r="V363">
        <f>HYPERLINK("https://klasma.github.io/Logging_2181/klagomål/A 24698-2022 FSC-klagomål.docx", "A 24698-2022")</f>
        <v/>
      </c>
      <c r="W363">
        <f>HYPERLINK("https://klasma.github.io/Logging_2181/klagomålsmail/A 24698-2022 FSC-klagomål mail.docx", "A 24698-2022")</f>
        <v/>
      </c>
      <c r="X363">
        <f>HYPERLINK("https://klasma.github.io/Logging_2181/tillsyn/A 24698-2022 tillsynsbegäran.docx", "A 24698-2022")</f>
        <v/>
      </c>
      <c r="Y363">
        <f>HYPERLINK("https://klasma.github.io/Logging_2181/tillsynsmail/A 24698-2022 tillsynsbegäran mail.docx", "A 24698-2022")</f>
        <v/>
      </c>
    </row>
    <row r="364" ht="15" customHeight="1">
      <c r="A364" t="inlineStr">
        <is>
          <t>A 25688-2022</t>
        </is>
      </c>
      <c r="B364" s="1" t="n">
        <v>44733</v>
      </c>
      <c r="C364" s="1" t="n">
        <v>45344</v>
      </c>
      <c r="D364" t="inlineStr">
        <is>
          <t>GÄVLEBORGS LÄN</t>
        </is>
      </c>
      <c r="E364" t="inlineStr">
        <is>
          <t>SANDVIKEN</t>
        </is>
      </c>
      <c r="G364" t="n">
        <v>5.8</v>
      </c>
      <c r="H364" t="n">
        <v>1</v>
      </c>
      <c r="I364" t="n">
        <v>0</v>
      </c>
      <c r="J364" t="n">
        <v>0</v>
      </c>
      <c r="K364" t="n">
        <v>0</v>
      </c>
      <c r="L364" t="n">
        <v>0</v>
      </c>
      <c r="M364" t="n">
        <v>0</v>
      </c>
      <c r="N364" t="n">
        <v>0</v>
      </c>
      <c r="O364" t="n">
        <v>0</v>
      </c>
      <c r="P364" t="n">
        <v>0</v>
      </c>
      <c r="Q364" t="n">
        <v>1</v>
      </c>
      <c r="R364" s="2" t="inlineStr">
        <is>
          <t>Revlummer</t>
        </is>
      </c>
      <c r="S364">
        <f>HYPERLINK("https://klasma.github.io/Logging_2181/artfynd/A 25688-2022 artfynd.xlsx", "A 25688-2022")</f>
        <v/>
      </c>
      <c r="T364">
        <f>HYPERLINK("https://klasma.github.io/Logging_2181/kartor/A 25688-2022 karta.png", "A 25688-2022")</f>
        <v/>
      </c>
      <c r="V364">
        <f>HYPERLINK("https://klasma.github.io/Logging_2181/klagomål/A 25688-2022 FSC-klagomål.docx", "A 25688-2022")</f>
        <v/>
      </c>
      <c r="W364">
        <f>HYPERLINK("https://klasma.github.io/Logging_2181/klagomålsmail/A 25688-2022 FSC-klagomål mail.docx", "A 25688-2022")</f>
        <v/>
      </c>
      <c r="X364">
        <f>HYPERLINK("https://klasma.github.io/Logging_2181/tillsyn/A 25688-2022 tillsynsbegäran.docx", "A 25688-2022")</f>
        <v/>
      </c>
      <c r="Y364">
        <f>HYPERLINK("https://klasma.github.io/Logging_2181/tillsynsmail/A 25688-2022 tillsynsbegäran mail.docx", "A 25688-2022")</f>
        <v/>
      </c>
    </row>
    <row r="365" ht="15" customHeight="1">
      <c r="A365" t="inlineStr">
        <is>
          <t>A 27508-2022</t>
        </is>
      </c>
      <c r="B365" s="1" t="n">
        <v>44742</v>
      </c>
      <c r="C365" s="1" t="n">
        <v>45344</v>
      </c>
      <c r="D365" t="inlineStr">
        <is>
          <t>GÄVLEBORGS LÄN</t>
        </is>
      </c>
      <c r="E365" t="inlineStr">
        <is>
          <t>LJUSDAL</t>
        </is>
      </c>
      <c r="F365" t="inlineStr">
        <is>
          <t>Kommuner</t>
        </is>
      </c>
      <c r="G365" t="n">
        <v>1.8</v>
      </c>
      <c r="H365" t="n">
        <v>0</v>
      </c>
      <c r="I365" t="n">
        <v>0</v>
      </c>
      <c r="J365" t="n">
        <v>1</v>
      </c>
      <c r="K365" t="n">
        <v>0</v>
      </c>
      <c r="L365" t="n">
        <v>0</v>
      </c>
      <c r="M365" t="n">
        <v>0</v>
      </c>
      <c r="N365" t="n">
        <v>0</v>
      </c>
      <c r="O365" t="n">
        <v>1</v>
      </c>
      <c r="P365" t="n">
        <v>0</v>
      </c>
      <c r="Q365" t="n">
        <v>1</v>
      </c>
      <c r="R365" s="2" t="inlineStr">
        <is>
          <t>Violettgrå tagellav</t>
        </is>
      </c>
      <c r="S365">
        <f>HYPERLINK("https://klasma.github.io/Logging_2161/artfynd/A 27508-2022 artfynd.xlsx", "A 27508-2022")</f>
        <v/>
      </c>
      <c r="T365">
        <f>HYPERLINK("https://klasma.github.io/Logging_2161/kartor/A 27508-2022 karta.png", "A 27508-2022")</f>
        <v/>
      </c>
      <c r="V365">
        <f>HYPERLINK("https://klasma.github.io/Logging_2161/klagomål/A 27508-2022 FSC-klagomål.docx", "A 27508-2022")</f>
        <v/>
      </c>
      <c r="W365">
        <f>HYPERLINK("https://klasma.github.io/Logging_2161/klagomålsmail/A 27508-2022 FSC-klagomål mail.docx", "A 27508-2022")</f>
        <v/>
      </c>
      <c r="X365">
        <f>HYPERLINK("https://klasma.github.io/Logging_2161/tillsyn/A 27508-2022 tillsynsbegäran.docx", "A 27508-2022")</f>
        <v/>
      </c>
      <c r="Y365">
        <f>HYPERLINK("https://klasma.github.io/Logging_2161/tillsynsmail/A 27508-2022 tillsynsbegäran mail.docx", "A 27508-2022")</f>
        <v/>
      </c>
    </row>
    <row r="366" ht="15" customHeight="1">
      <c r="A366" t="inlineStr">
        <is>
          <t>A 27896-2022</t>
        </is>
      </c>
      <c r="B366" s="1" t="n">
        <v>44743</v>
      </c>
      <c r="C366" s="1" t="n">
        <v>45344</v>
      </c>
      <c r="D366" t="inlineStr">
        <is>
          <t>GÄVLEBORGS LÄN</t>
        </is>
      </c>
      <c r="E366" t="inlineStr">
        <is>
          <t>LJUSDAL</t>
        </is>
      </c>
      <c r="F366" t="inlineStr">
        <is>
          <t>Bergvik skog väst AB</t>
        </is>
      </c>
      <c r="G366" t="n">
        <v>5.4</v>
      </c>
      <c r="H366" t="n">
        <v>0</v>
      </c>
      <c r="I366" t="n">
        <v>0</v>
      </c>
      <c r="J366" t="n">
        <v>1</v>
      </c>
      <c r="K366" t="n">
        <v>0</v>
      </c>
      <c r="L366" t="n">
        <v>0</v>
      </c>
      <c r="M366" t="n">
        <v>0</v>
      </c>
      <c r="N366" t="n">
        <v>0</v>
      </c>
      <c r="O366" t="n">
        <v>1</v>
      </c>
      <c r="P366" t="n">
        <v>0</v>
      </c>
      <c r="Q366" t="n">
        <v>1</v>
      </c>
      <c r="R366" s="2" t="inlineStr">
        <is>
          <t>Stiftgelélav</t>
        </is>
      </c>
      <c r="S366">
        <f>HYPERLINK("https://klasma.github.io/Logging_2161/artfynd/A 27896-2022 artfynd.xlsx", "A 27896-2022")</f>
        <v/>
      </c>
      <c r="T366">
        <f>HYPERLINK("https://klasma.github.io/Logging_2161/kartor/A 27896-2022 karta.png", "A 27896-2022")</f>
        <v/>
      </c>
      <c r="V366">
        <f>HYPERLINK("https://klasma.github.io/Logging_2161/klagomål/A 27896-2022 FSC-klagomål.docx", "A 27896-2022")</f>
        <v/>
      </c>
      <c r="W366">
        <f>HYPERLINK("https://klasma.github.io/Logging_2161/klagomålsmail/A 27896-2022 FSC-klagomål mail.docx", "A 27896-2022")</f>
        <v/>
      </c>
      <c r="X366">
        <f>HYPERLINK("https://klasma.github.io/Logging_2161/tillsyn/A 27896-2022 tillsynsbegäran.docx", "A 27896-2022")</f>
        <v/>
      </c>
      <c r="Y366">
        <f>HYPERLINK("https://klasma.github.io/Logging_2161/tillsynsmail/A 27896-2022 tillsynsbegäran mail.docx", "A 27896-2022")</f>
        <v/>
      </c>
    </row>
    <row r="367" ht="15" customHeight="1">
      <c r="A367" t="inlineStr">
        <is>
          <t>A 30963-2022</t>
        </is>
      </c>
      <c r="B367" s="1" t="n">
        <v>44768</v>
      </c>
      <c r="C367" s="1" t="n">
        <v>45344</v>
      </c>
      <c r="D367" t="inlineStr">
        <is>
          <t>GÄVLEBORGS LÄN</t>
        </is>
      </c>
      <c r="E367" t="inlineStr">
        <is>
          <t>HUDIKSVALL</t>
        </is>
      </c>
      <c r="F367" t="inlineStr">
        <is>
          <t>Holmen skog AB</t>
        </is>
      </c>
      <c r="G367" t="n">
        <v>9.9</v>
      </c>
      <c r="H367" t="n">
        <v>1</v>
      </c>
      <c r="I367" t="n">
        <v>0</v>
      </c>
      <c r="J367" t="n">
        <v>0</v>
      </c>
      <c r="K367" t="n">
        <v>0</v>
      </c>
      <c r="L367" t="n">
        <v>0</v>
      </c>
      <c r="M367" t="n">
        <v>0</v>
      </c>
      <c r="N367" t="n">
        <v>0</v>
      </c>
      <c r="O367" t="n">
        <v>0</v>
      </c>
      <c r="P367" t="n">
        <v>0</v>
      </c>
      <c r="Q367" t="n">
        <v>1</v>
      </c>
      <c r="R367" s="2" t="inlineStr">
        <is>
          <t>Revlummer</t>
        </is>
      </c>
      <c r="S367">
        <f>HYPERLINK("https://klasma.github.io/Logging_2184/artfynd/A 30963-2022 artfynd.xlsx", "A 30963-2022")</f>
        <v/>
      </c>
      <c r="T367">
        <f>HYPERLINK("https://klasma.github.io/Logging_2184/kartor/A 30963-2022 karta.png", "A 30963-2022")</f>
        <v/>
      </c>
      <c r="V367">
        <f>HYPERLINK("https://klasma.github.io/Logging_2184/klagomål/A 30963-2022 FSC-klagomål.docx", "A 30963-2022")</f>
        <v/>
      </c>
      <c r="W367">
        <f>HYPERLINK("https://klasma.github.io/Logging_2184/klagomålsmail/A 30963-2022 FSC-klagomål mail.docx", "A 30963-2022")</f>
        <v/>
      </c>
      <c r="X367">
        <f>HYPERLINK("https://klasma.github.io/Logging_2184/tillsyn/A 30963-2022 tillsynsbegäran.docx", "A 30963-2022")</f>
        <v/>
      </c>
      <c r="Y367">
        <f>HYPERLINK("https://klasma.github.io/Logging_2184/tillsynsmail/A 30963-2022 tillsynsbegäran mail.docx", "A 30963-2022")</f>
        <v/>
      </c>
    </row>
    <row r="368" ht="15" customHeight="1">
      <c r="A368" t="inlineStr">
        <is>
          <t>A 31023-2022</t>
        </is>
      </c>
      <c r="B368" s="1" t="n">
        <v>44768</v>
      </c>
      <c r="C368" s="1" t="n">
        <v>45344</v>
      </c>
      <c r="D368" t="inlineStr">
        <is>
          <t>GÄVLEBORGS LÄN</t>
        </is>
      </c>
      <c r="E368" t="inlineStr">
        <is>
          <t>SANDVIKEN</t>
        </is>
      </c>
      <c r="F368" t="inlineStr">
        <is>
          <t>Sveaskog</t>
        </is>
      </c>
      <c r="G368" t="n">
        <v>2.4</v>
      </c>
      <c r="H368" t="n">
        <v>0</v>
      </c>
      <c r="I368" t="n">
        <v>1</v>
      </c>
      <c r="J368" t="n">
        <v>0</v>
      </c>
      <c r="K368" t="n">
        <v>0</v>
      </c>
      <c r="L368" t="n">
        <v>0</v>
      </c>
      <c r="M368" t="n">
        <v>0</v>
      </c>
      <c r="N368" t="n">
        <v>0</v>
      </c>
      <c r="O368" t="n">
        <v>0</v>
      </c>
      <c r="P368" t="n">
        <v>0</v>
      </c>
      <c r="Q368" t="n">
        <v>1</v>
      </c>
      <c r="R368" s="2" t="inlineStr">
        <is>
          <t>Bronshjon</t>
        </is>
      </c>
      <c r="S368">
        <f>HYPERLINK("https://klasma.github.io/Logging_2181/artfynd/A 31023-2022 artfynd.xlsx", "A 31023-2022")</f>
        <v/>
      </c>
      <c r="T368">
        <f>HYPERLINK("https://klasma.github.io/Logging_2181/kartor/A 31023-2022 karta.png", "A 31023-2022")</f>
        <v/>
      </c>
      <c r="V368">
        <f>HYPERLINK("https://klasma.github.io/Logging_2181/klagomål/A 31023-2022 FSC-klagomål.docx", "A 31023-2022")</f>
        <v/>
      </c>
      <c r="W368">
        <f>HYPERLINK("https://klasma.github.io/Logging_2181/klagomålsmail/A 31023-2022 FSC-klagomål mail.docx", "A 31023-2022")</f>
        <v/>
      </c>
      <c r="X368">
        <f>HYPERLINK("https://klasma.github.io/Logging_2181/tillsyn/A 31023-2022 tillsynsbegäran.docx", "A 31023-2022")</f>
        <v/>
      </c>
      <c r="Y368">
        <f>HYPERLINK("https://klasma.github.io/Logging_2181/tillsynsmail/A 31023-2022 tillsynsbegäran mail.docx", "A 31023-2022")</f>
        <v/>
      </c>
    </row>
    <row r="369" ht="15" customHeight="1">
      <c r="A369" t="inlineStr">
        <is>
          <t>A 32036-2022</t>
        </is>
      </c>
      <c r="B369" s="1" t="n">
        <v>44778</v>
      </c>
      <c r="C369" s="1" t="n">
        <v>45344</v>
      </c>
      <c r="D369" t="inlineStr">
        <is>
          <t>GÄVLEBORGS LÄN</t>
        </is>
      </c>
      <c r="E369" t="inlineStr">
        <is>
          <t>LJUSDAL</t>
        </is>
      </c>
      <c r="F369" t="inlineStr">
        <is>
          <t>Sveaskog</t>
        </is>
      </c>
      <c r="G369" t="n">
        <v>2.9</v>
      </c>
      <c r="H369" t="n">
        <v>0</v>
      </c>
      <c r="I369" t="n">
        <v>0</v>
      </c>
      <c r="J369" t="n">
        <v>1</v>
      </c>
      <c r="K369" t="n">
        <v>0</v>
      </c>
      <c r="L369" t="n">
        <v>0</v>
      </c>
      <c r="M369" t="n">
        <v>0</v>
      </c>
      <c r="N369" t="n">
        <v>0</v>
      </c>
      <c r="O369" t="n">
        <v>1</v>
      </c>
      <c r="P369" t="n">
        <v>0</v>
      </c>
      <c r="Q369" t="n">
        <v>1</v>
      </c>
      <c r="R369" s="2" t="inlineStr">
        <is>
          <t>Kolflarnlav</t>
        </is>
      </c>
      <c r="S369">
        <f>HYPERLINK("https://klasma.github.io/Logging_2161/artfynd/A 32036-2022 artfynd.xlsx", "A 32036-2022")</f>
        <v/>
      </c>
      <c r="T369">
        <f>HYPERLINK("https://klasma.github.io/Logging_2161/kartor/A 32036-2022 karta.png", "A 32036-2022")</f>
        <v/>
      </c>
      <c r="V369">
        <f>HYPERLINK("https://klasma.github.io/Logging_2161/klagomål/A 32036-2022 FSC-klagomål.docx", "A 32036-2022")</f>
        <v/>
      </c>
      <c r="W369">
        <f>HYPERLINK("https://klasma.github.io/Logging_2161/klagomålsmail/A 32036-2022 FSC-klagomål mail.docx", "A 32036-2022")</f>
        <v/>
      </c>
      <c r="X369">
        <f>HYPERLINK("https://klasma.github.io/Logging_2161/tillsyn/A 32036-2022 tillsynsbegäran.docx", "A 32036-2022")</f>
        <v/>
      </c>
      <c r="Y369">
        <f>HYPERLINK("https://klasma.github.io/Logging_2161/tillsynsmail/A 32036-2022 tillsynsbegäran mail.docx", "A 32036-2022")</f>
        <v/>
      </c>
    </row>
    <row r="370" ht="15" customHeight="1">
      <c r="A370" t="inlineStr">
        <is>
          <t>A 32783-2022</t>
        </is>
      </c>
      <c r="B370" s="1" t="n">
        <v>44784</v>
      </c>
      <c r="C370" s="1" t="n">
        <v>45344</v>
      </c>
      <c r="D370" t="inlineStr">
        <is>
          <t>GÄVLEBORGS LÄN</t>
        </is>
      </c>
      <c r="E370" t="inlineStr">
        <is>
          <t>LJUSDAL</t>
        </is>
      </c>
      <c r="F370" t="inlineStr">
        <is>
          <t>Sveaskog</t>
        </is>
      </c>
      <c r="G370" t="n">
        <v>12.7</v>
      </c>
      <c r="H370" t="n">
        <v>0</v>
      </c>
      <c r="I370" t="n">
        <v>1</v>
      </c>
      <c r="J370" t="n">
        <v>0</v>
      </c>
      <c r="K370" t="n">
        <v>0</v>
      </c>
      <c r="L370" t="n">
        <v>0</v>
      </c>
      <c r="M370" t="n">
        <v>0</v>
      </c>
      <c r="N370" t="n">
        <v>0</v>
      </c>
      <c r="O370" t="n">
        <v>0</v>
      </c>
      <c r="P370" t="n">
        <v>0</v>
      </c>
      <c r="Q370" t="n">
        <v>1</v>
      </c>
      <c r="R370" s="2" t="inlineStr">
        <is>
          <t>Skarp dropptaggsvamp</t>
        </is>
      </c>
      <c r="S370">
        <f>HYPERLINK("https://klasma.github.io/Logging_2161/artfynd/A 32783-2022 artfynd.xlsx", "A 32783-2022")</f>
        <v/>
      </c>
      <c r="T370">
        <f>HYPERLINK("https://klasma.github.io/Logging_2161/kartor/A 32783-2022 karta.png", "A 32783-2022")</f>
        <v/>
      </c>
      <c r="V370">
        <f>HYPERLINK("https://klasma.github.io/Logging_2161/klagomål/A 32783-2022 FSC-klagomål.docx", "A 32783-2022")</f>
        <v/>
      </c>
      <c r="W370">
        <f>HYPERLINK("https://klasma.github.io/Logging_2161/klagomålsmail/A 32783-2022 FSC-klagomål mail.docx", "A 32783-2022")</f>
        <v/>
      </c>
      <c r="X370">
        <f>HYPERLINK("https://klasma.github.io/Logging_2161/tillsyn/A 32783-2022 tillsynsbegäran.docx", "A 32783-2022")</f>
        <v/>
      </c>
      <c r="Y370">
        <f>HYPERLINK("https://klasma.github.io/Logging_2161/tillsynsmail/A 32783-2022 tillsynsbegäran mail.docx", "A 32783-2022")</f>
        <v/>
      </c>
    </row>
    <row r="371" ht="15" customHeight="1">
      <c r="A371" t="inlineStr">
        <is>
          <t>A 33649-2022</t>
        </is>
      </c>
      <c r="B371" s="1" t="n">
        <v>44789</v>
      </c>
      <c r="C371" s="1" t="n">
        <v>45344</v>
      </c>
      <c r="D371" t="inlineStr">
        <is>
          <t>GÄVLEBORGS LÄN</t>
        </is>
      </c>
      <c r="E371" t="inlineStr">
        <is>
          <t>HOFORS</t>
        </is>
      </c>
      <c r="F371" t="inlineStr">
        <is>
          <t>Sveaskog</t>
        </is>
      </c>
      <c r="G371" t="n">
        <v>19.1</v>
      </c>
      <c r="H371" t="n">
        <v>1</v>
      </c>
      <c r="I371" t="n">
        <v>1</v>
      </c>
      <c r="J371" t="n">
        <v>0</v>
      </c>
      <c r="K371" t="n">
        <v>0</v>
      </c>
      <c r="L371" t="n">
        <v>0</v>
      </c>
      <c r="M371" t="n">
        <v>0</v>
      </c>
      <c r="N371" t="n">
        <v>0</v>
      </c>
      <c r="O371" t="n">
        <v>0</v>
      </c>
      <c r="P371" t="n">
        <v>0</v>
      </c>
      <c r="Q371" t="n">
        <v>1</v>
      </c>
      <c r="R371" s="2" t="inlineStr">
        <is>
          <t>Grönkulla</t>
        </is>
      </c>
      <c r="S371">
        <f>HYPERLINK("https://klasma.github.io/Logging_2104/artfynd/A 33649-2022 artfynd.xlsx", "A 33649-2022")</f>
        <v/>
      </c>
      <c r="T371">
        <f>HYPERLINK("https://klasma.github.io/Logging_2104/kartor/A 33649-2022 karta.png", "A 33649-2022")</f>
        <v/>
      </c>
      <c r="V371">
        <f>HYPERLINK("https://klasma.github.io/Logging_2104/klagomål/A 33649-2022 FSC-klagomål.docx", "A 33649-2022")</f>
        <v/>
      </c>
      <c r="W371">
        <f>HYPERLINK("https://klasma.github.io/Logging_2104/klagomålsmail/A 33649-2022 FSC-klagomål mail.docx", "A 33649-2022")</f>
        <v/>
      </c>
      <c r="X371">
        <f>HYPERLINK("https://klasma.github.io/Logging_2104/tillsyn/A 33649-2022 tillsynsbegäran.docx", "A 33649-2022")</f>
        <v/>
      </c>
      <c r="Y371">
        <f>HYPERLINK("https://klasma.github.io/Logging_2104/tillsynsmail/A 33649-2022 tillsynsbegäran mail.docx", "A 33649-2022")</f>
        <v/>
      </c>
    </row>
    <row r="372" ht="15" customHeight="1">
      <c r="A372" t="inlineStr">
        <is>
          <t>A 33812-2022</t>
        </is>
      </c>
      <c r="B372" s="1" t="n">
        <v>44790</v>
      </c>
      <c r="C372" s="1" t="n">
        <v>45344</v>
      </c>
      <c r="D372" t="inlineStr">
        <is>
          <t>GÄVLEBORGS LÄN</t>
        </is>
      </c>
      <c r="E372" t="inlineStr">
        <is>
          <t>GÄVLE</t>
        </is>
      </c>
      <c r="G372" t="n">
        <v>2.1</v>
      </c>
      <c r="H372" t="n">
        <v>0</v>
      </c>
      <c r="I372" t="n">
        <v>1</v>
      </c>
      <c r="J372" t="n">
        <v>0</v>
      </c>
      <c r="K372" t="n">
        <v>0</v>
      </c>
      <c r="L372" t="n">
        <v>0</v>
      </c>
      <c r="M372" t="n">
        <v>0</v>
      </c>
      <c r="N372" t="n">
        <v>0</v>
      </c>
      <c r="O372" t="n">
        <v>0</v>
      </c>
      <c r="P372" t="n">
        <v>0</v>
      </c>
      <c r="Q372" t="n">
        <v>1</v>
      </c>
      <c r="R372" s="2" t="inlineStr">
        <is>
          <t>Myskmadra</t>
        </is>
      </c>
      <c r="S372">
        <f>HYPERLINK("https://klasma.github.io/Logging_2180/artfynd/A 33812-2022 artfynd.xlsx", "A 33812-2022")</f>
        <v/>
      </c>
      <c r="T372">
        <f>HYPERLINK("https://klasma.github.io/Logging_2180/kartor/A 33812-2022 karta.png", "A 33812-2022")</f>
        <v/>
      </c>
      <c r="V372">
        <f>HYPERLINK("https://klasma.github.io/Logging_2180/klagomål/A 33812-2022 FSC-klagomål.docx", "A 33812-2022")</f>
        <v/>
      </c>
      <c r="W372">
        <f>HYPERLINK("https://klasma.github.io/Logging_2180/klagomålsmail/A 33812-2022 FSC-klagomål mail.docx", "A 33812-2022")</f>
        <v/>
      </c>
      <c r="X372">
        <f>HYPERLINK("https://klasma.github.io/Logging_2180/tillsyn/A 33812-2022 tillsynsbegäran.docx", "A 33812-2022")</f>
        <v/>
      </c>
      <c r="Y372">
        <f>HYPERLINK("https://klasma.github.io/Logging_2180/tillsynsmail/A 33812-2022 tillsynsbegäran mail.docx", "A 33812-2022")</f>
        <v/>
      </c>
    </row>
    <row r="373" ht="15" customHeight="1">
      <c r="A373" t="inlineStr">
        <is>
          <t>A 34345-2022</t>
        </is>
      </c>
      <c r="B373" s="1" t="n">
        <v>44792</v>
      </c>
      <c r="C373" s="1" t="n">
        <v>45344</v>
      </c>
      <c r="D373" t="inlineStr">
        <is>
          <t>GÄVLEBORGS LÄN</t>
        </is>
      </c>
      <c r="E373" t="inlineStr">
        <is>
          <t>HUDIKSVALL</t>
        </is>
      </c>
      <c r="F373" t="inlineStr">
        <is>
          <t>Holmen skog AB</t>
        </is>
      </c>
      <c r="G373" t="n">
        <v>4.4</v>
      </c>
      <c r="H373" t="n">
        <v>0</v>
      </c>
      <c r="I373" t="n">
        <v>1</v>
      </c>
      <c r="J373" t="n">
        <v>0</v>
      </c>
      <c r="K373" t="n">
        <v>0</v>
      </c>
      <c r="L373" t="n">
        <v>0</v>
      </c>
      <c r="M373" t="n">
        <v>0</v>
      </c>
      <c r="N373" t="n">
        <v>0</v>
      </c>
      <c r="O373" t="n">
        <v>0</v>
      </c>
      <c r="P373" t="n">
        <v>0</v>
      </c>
      <c r="Q373" t="n">
        <v>1</v>
      </c>
      <c r="R373" s="2" t="inlineStr">
        <is>
          <t>Stuplav</t>
        </is>
      </c>
      <c r="S373">
        <f>HYPERLINK("https://klasma.github.io/Logging_2184/artfynd/A 34345-2022 artfynd.xlsx", "A 34345-2022")</f>
        <v/>
      </c>
      <c r="T373">
        <f>HYPERLINK("https://klasma.github.io/Logging_2184/kartor/A 34345-2022 karta.png", "A 34345-2022")</f>
        <v/>
      </c>
      <c r="V373">
        <f>HYPERLINK("https://klasma.github.io/Logging_2184/klagomål/A 34345-2022 FSC-klagomål.docx", "A 34345-2022")</f>
        <v/>
      </c>
      <c r="W373">
        <f>HYPERLINK("https://klasma.github.io/Logging_2184/klagomålsmail/A 34345-2022 FSC-klagomål mail.docx", "A 34345-2022")</f>
        <v/>
      </c>
      <c r="X373">
        <f>HYPERLINK("https://klasma.github.io/Logging_2184/tillsyn/A 34345-2022 tillsynsbegäran.docx", "A 34345-2022")</f>
        <v/>
      </c>
      <c r="Y373">
        <f>HYPERLINK("https://klasma.github.io/Logging_2184/tillsynsmail/A 34345-2022 tillsynsbegäran mail.docx", "A 34345-2022")</f>
        <v/>
      </c>
    </row>
    <row r="374" ht="15" customHeight="1">
      <c r="A374" t="inlineStr">
        <is>
          <t>A 34414-2022</t>
        </is>
      </c>
      <c r="B374" s="1" t="n">
        <v>44792</v>
      </c>
      <c r="C374" s="1" t="n">
        <v>45344</v>
      </c>
      <c r="D374" t="inlineStr">
        <is>
          <t>GÄVLEBORGS LÄN</t>
        </is>
      </c>
      <c r="E374" t="inlineStr">
        <is>
          <t>OVANÅKER</t>
        </is>
      </c>
      <c r="F374" t="inlineStr">
        <is>
          <t>Sveaskog</t>
        </is>
      </c>
      <c r="G374" t="n">
        <v>1.9</v>
      </c>
      <c r="H374" t="n">
        <v>0</v>
      </c>
      <c r="I374" t="n">
        <v>0</v>
      </c>
      <c r="J374" t="n">
        <v>1</v>
      </c>
      <c r="K374" t="n">
        <v>0</v>
      </c>
      <c r="L374" t="n">
        <v>0</v>
      </c>
      <c r="M374" t="n">
        <v>0</v>
      </c>
      <c r="N374" t="n">
        <v>0</v>
      </c>
      <c r="O374" t="n">
        <v>1</v>
      </c>
      <c r="P374" t="n">
        <v>0</v>
      </c>
      <c r="Q374" t="n">
        <v>1</v>
      </c>
      <c r="R374" s="2" t="inlineStr">
        <is>
          <t>Lunglav</t>
        </is>
      </c>
      <c r="S374">
        <f>HYPERLINK("https://klasma.github.io/Logging_2121/artfynd/A 34414-2022 artfynd.xlsx", "A 34414-2022")</f>
        <v/>
      </c>
      <c r="T374">
        <f>HYPERLINK("https://klasma.github.io/Logging_2121/kartor/A 34414-2022 karta.png", "A 34414-2022")</f>
        <v/>
      </c>
      <c r="V374">
        <f>HYPERLINK("https://klasma.github.io/Logging_2121/klagomål/A 34414-2022 FSC-klagomål.docx", "A 34414-2022")</f>
        <v/>
      </c>
      <c r="W374">
        <f>HYPERLINK("https://klasma.github.io/Logging_2121/klagomålsmail/A 34414-2022 FSC-klagomål mail.docx", "A 34414-2022")</f>
        <v/>
      </c>
      <c r="X374">
        <f>HYPERLINK("https://klasma.github.io/Logging_2121/tillsyn/A 34414-2022 tillsynsbegäran.docx", "A 34414-2022")</f>
        <v/>
      </c>
      <c r="Y374">
        <f>HYPERLINK("https://klasma.github.io/Logging_2121/tillsynsmail/A 34414-2022 tillsynsbegäran mail.docx", "A 34414-2022")</f>
        <v/>
      </c>
    </row>
    <row r="375" ht="15" customHeight="1">
      <c r="A375" t="inlineStr">
        <is>
          <t>A 34415-2022</t>
        </is>
      </c>
      <c r="B375" s="1" t="n">
        <v>44792</v>
      </c>
      <c r="C375" s="1" t="n">
        <v>45344</v>
      </c>
      <c r="D375" t="inlineStr">
        <is>
          <t>GÄVLEBORGS LÄN</t>
        </is>
      </c>
      <c r="E375" t="inlineStr">
        <is>
          <t>OVANÅKER</t>
        </is>
      </c>
      <c r="F375" t="inlineStr">
        <is>
          <t>Sveaskog</t>
        </is>
      </c>
      <c r="G375" t="n">
        <v>2.3</v>
      </c>
      <c r="H375" t="n">
        <v>0</v>
      </c>
      <c r="I375" t="n">
        <v>0</v>
      </c>
      <c r="J375" t="n">
        <v>1</v>
      </c>
      <c r="K375" t="n">
        <v>0</v>
      </c>
      <c r="L375" t="n">
        <v>0</v>
      </c>
      <c r="M375" t="n">
        <v>0</v>
      </c>
      <c r="N375" t="n">
        <v>0</v>
      </c>
      <c r="O375" t="n">
        <v>1</v>
      </c>
      <c r="P375" t="n">
        <v>0</v>
      </c>
      <c r="Q375" t="n">
        <v>1</v>
      </c>
      <c r="R375" s="2" t="inlineStr">
        <is>
          <t>Lunglav</t>
        </is>
      </c>
      <c r="S375">
        <f>HYPERLINK("https://klasma.github.io/Logging_2121/artfynd/A 34415-2022 artfynd.xlsx", "A 34415-2022")</f>
        <v/>
      </c>
      <c r="T375">
        <f>HYPERLINK("https://klasma.github.io/Logging_2121/kartor/A 34415-2022 karta.png", "A 34415-2022")</f>
        <v/>
      </c>
      <c r="V375">
        <f>HYPERLINK("https://klasma.github.io/Logging_2121/klagomål/A 34415-2022 FSC-klagomål.docx", "A 34415-2022")</f>
        <v/>
      </c>
      <c r="W375">
        <f>HYPERLINK("https://klasma.github.io/Logging_2121/klagomålsmail/A 34415-2022 FSC-klagomål mail.docx", "A 34415-2022")</f>
        <v/>
      </c>
      <c r="X375">
        <f>HYPERLINK("https://klasma.github.io/Logging_2121/tillsyn/A 34415-2022 tillsynsbegäran.docx", "A 34415-2022")</f>
        <v/>
      </c>
      <c r="Y375">
        <f>HYPERLINK("https://klasma.github.io/Logging_2121/tillsynsmail/A 34415-2022 tillsynsbegäran mail.docx", "A 34415-2022")</f>
        <v/>
      </c>
    </row>
    <row r="376" ht="15" customHeight="1">
      <c r="A376" t="inlineStr">
        <is>
          <t>A 35582-2022</t>
        </is>
      </c>
      <c r="B376" s="1" t="n">
        <v>44799</v>
      </c>
      <c r="C376" s="1" t="n">
        <v>45344</v>
      </c>
      <c r="D376" t="inlineStr">
        <is>
          <t>GÄVLEBORGS LÄN</t>
        </is>
      </c>
      <c r="E376" t="inlineStr">
        <is>
          <t>LJUSDAL</t>
        </is>
      </c>
      <c r="F376" t="inlineStr">
        <is>
          <t>Sveaskog</t>
        </is>
      </c>
      <c r="G376" t="n">
        <v>3.3</v>
      </c>
      <c r="H376" t="n">
        <v>0</v>
      </c>
      <c r="I376" t="n">
        <v>0</v>
      </c>
      <c r="J376" t="n">
        <v>1</v>
      </c>
      <c r="K376" t="n">
        <v>0</v>
      </c>
      <c r="L376" t="n">
        <v>0</v>
      </c>
      <c r="M376" t="n">
        <v>0</v>
      </c>
      <c r="N376" t="n">
        <v>0</v>
      </c>
      <c r="O376" t="n">
        <v>1</v>
      </c>
      <c r="P376" t="n">
        <v>0</v>
      </c>
      <c r="Q376" t="n">
        <v>1</v>
      </c>
      <c r="R376" s="2" t="inlineStr">
        <is>
          <t>Lunglav</t>
        </is>
      </c>
      <c r="S376">
        <f>HYPERLINK("https://klasma.github.io/Logging_2161/artfynd/A 35582-2022 artfynd.xlsx", "A 35582-2022")</f>
        <v/>
      </c>
      <c r="T376">
        <f>HYPERLINK("https://klasma.github.io/Logging_2161/kartor/A 35582-2022 karta.png", "A 35582-2022")</f>
        <v/>
      </c>
      <c r="V376">
        <f>HYPERLINK("https://klasma.github.io/Logging_2161/klagomål/A 35582-2022 FSC-klagomål.docx", "A 35582-2022")</f>
        <v/>
      </c>
      <c r="W376">
        <f>HYPERLINK("https://klasma.github.io/Logging_2161/klagomålsmail/A 35582-2022 FSC-klagomål mail.docx", "A 35582-2022")</f>
        <v/>
      </c>
      <c r="X376">
        <f>HYPERLINK("https://klasma.github.io/Logging_2161/tillsyn/A 35582-2022 tillsynsbegäran.docx", "A 35582-2022")</f>
        <v/>
      </c>
      <c r="Y376">
        <f>HYPERLINK("https://klasma.github.io/Logging_2161/tillsynsmail/A 35582-2022 tillsynsbegäran mail.docx", "A 35582-2022")</f>
        <v/>
      </c>
    </row>
    <row r="377" ht="15" customHeight="1">
      <c r="A377" t="inlineStr">
        <is>
          <t>A 35525-2022</t>
        </is>
      </c>
      <c r="B377" s="1" t="n">
        <v>44799</v>
      </c>
      <c r="C377" s="1" t="n">
        <v>45344</v>
      </c>
      <c r="D377" t="inlineStr">
        <is>
          <t>GÄVLEBORGS LÄN</t>
        </is>
      </c>
      <c r="E377" t="inlineStr">
        <is>
          <t>SANDVIKEN</t>
        </is>
      </c>
      <c r="G377" t="n">
        <v>0.7</v>
      </c>
      <c r="H377" t="n">
        <v>1</v>
      </c>
      <c r="I377" t="n">
        <v>0</v>
      </c>
      <c r="J377" t="n">
        <v>0</v>
      </c>
      <c r="K377" t="n">
        <v>0</v>
      </c>
      <c r="L377" t="n">
        <v>0</v>
      </c>
      <c r="M377" t="n">
        <v>0</v>
      </c>
      <c r="N377" t="n">
        <v>0</v>
      </c>
      <c r="O377" t="n">
        <v>0</v>
      </c>
      <c r="P377" t="n">
        <v>0</v>
      </c>
      <c r="Q377" t="n">
        <v>1</v>
      </c>
      <c r="R377" s="2" t="inlineStr">
        <is>
          <t>Lopplummer</t>
        </is>
      </c>
      <c r="S377">
        <f>HYPERLINK("https://klasma.github.io/Logging_2181/artfynd/A 35525-2022 artfynd.xlsx", "A 35525-2022")</f>
        <v/>
      </c>
      <c r="T377">
        <f>HYPERLINK("https://klasma.github.io/Logging_2181/kartor/A 35525-2022 karta.png", "A 35525-2022")</f>
        <v/>
      </c>
      <c r="V377">
        <f>HYPERLINK("https://klasma.github.io/Logging_2181/klagomål/A 35525-2022 FSC-klagomål.docx", "A 35525-2022")</f>
        <v/>
      </c>
      <c r="W377">
        <f>HYPERLINK("https://klasma.github.io/Logging_2181/klagomålsmail/A 35525-2022 FSC-klagomål mail.docx", "A 35525-2022")</f>
        <v/>
      </c>
      <c r="X377">
        <f>HYPERLINK("https://klasma.github.io/Logging_2181/tillsyn/A 35525-2022 tillsynsbegäran.docx", "A 35525-2022")</f>
        <v/>
      </c>
      <c r="Y377">
        <f>HYPERLINK("https://klasma.github.io/Logging_2181/tillsynsmail/A 35525-2022 tillsynsbegäran mail.docx", "A 35525-2022")</f>
        <v/>
      </c>
    </row>
    <row r="378" ht="15" customHeight="1">
      <c r="A378" t="inlineStr">
        <is>
          <t>A 37927-2022</t>
        </is>
      </c>
      <c r="B378" s="1" t="n">
        <v>44811</v>
      </c>
      <c r="C378" s="1" t="n">
        <v>45344</v>
      </c>
      <c r="D378" t="inlineStr">
        <is>
          <t>GÄVLEBORGS LÄN</t>
        </is>
      </c>
      <c r="E378" t="inlineStr">
        <is>
          <t>GÄVLE</t>
        </is>
      </c>
      <c r="G378" t="n">
        <v>1.6</v>
      </c>
      <c r="H378" t="n">
        <v>1</v>
      </c>
      <c r="I378" t="n">
        <v>0</v>
      </c>
      <c r="J378" t="n">
        <v>0</v>
      </c>
      <c r="K378" t="n">
        <v>1</v>
      </c>
      <c r="L378" t="n">
        <v>0</v>
      </c>
      <c r="M378" t="n">
        <v>0</v>
      </c>
      <c r="N378" t="n">
        <v>0</v>
      </c>
      <c r="O378" t="n">
        <v>1</v>
      </c>
      <c r="P378" t="n">
        <v>1</v>
      </c>
      <c r="Q378" t="n">
        <v>1</v>
      </c>
      <c r="R378" s="2" t="inlineStr">
        <is>
          <t>Knärot</t>
        </is>
      </c>
      <c r="S378">
        <f>HYPERLINK("https://klasma.github.io/Logging_2180/artfynd/A 37927-2022 artfynd.xlsx", "A 37927-2022")</f>
        <v/>
      </c>
      <c r="T378">
        <f>HYPERLINK("https://klasma.github.io/Logging_2180/kartor/A 37927-2022 karta.png", "A 37927-2022")</f>
        <v/>
      </c>
      <c r="U378">
        <f>HYPERLINK("https://klasma.github.io/Logging_2180/knärot/A 37927-2022 karta knärot.png", "A 37927-2022")</f>
        <v/>
      </c>
      <c r="V378">
        <f>HYPERLINK("https://klasma.github.io/Logging_2180/klagomål/A 37927-2022 FSC-klagomål.docx", "A 37927-2022")</f>
        <v/>
      </c>
      <c r="W378">
        <f>HYPERLINK("https://klasma.github.io/Logging_2180/klagomålsmail/A 37927-2022 FSC-klagomål mail.docx", "A 37927-2022")</f>
        <v/>
      </c>
      <c r="X378">
        <f>HYPERLINK("https://klasma.github.io/Logging_2180/tillsyn/A 37927-2022 tillsynsbegäran.docx", "A 37927-2022")</f>
        <v/>
      </c>
      <c r="Y378">
        <f>HYPERLINK("https://klasma.github.io/Logging_2180/tillsynsmail/A 37927-2022 tillsynsbegäran mail.docx", "A 37927-2022")</f>
        <v/>
      </c>
    </row>
    <row r="379" ht="15" customHeight="1">
      <c r="A379" t="inlineStr">
        <is>
          <t>A 38159-2022</t>
        </is>
      </c>
      <c r="B379" s="1" t="n">
        <v>44812</v>
      </c>
      <c r="C379" s="1" t="n">
        <v>45344</v>
      </c>
      <c r="D379" t="inlineStr">
        <is>
          <t>GÄVLEBORGS LÄN</t>
        </is>
      </c>
      <c r="E379" t="inlineStr">
        <is>
          <t>NORDANSTIG</t>
        </is>
      </c>
      <c r="F379" t="inlineStr">
        <is>
          <t>Holmen skog AB</t>
        </is>
      </c>
      <c r="G379" t="n">
        <v>1.4</v>
      </c>
      <c r="H379" t="n">
        <v>0</v>
      </c>
      <c r="I379" t="n">
        <v>0</v>
      </c>
      <c r="J379" t="n">
        <v>1</v>
      </c>
      <c r="K379" t="n">
        <v>0</v>
      </c>
      <c r="L379" t="n">
        <v>0</v>
      </c>
      <c r="M379" t="n">
        <v>0</v>
      </c>
      <c r="N379" t="n">
        <v>0</v>
      </c>
      <c r="O379" t="n">
        <v>1</v>
      </c>
      <c r="P379" t="n">
        <v>0</v>
      </c>
      <c r="Q379" t="n">
        <v>1</v>
      </c>
      <c r="R379" s="2" t="inlineStr">
        <is>
          <t>Granticka</t>
        </is>
      </c>
      <c r="S379">
        <f>HYPERLINK("https://klasma.github.io/Logging_2132/artfynd/A 38159-2022 artfynd.xlsx", "A 38159-2022")</f>
        <v/>
      </c>
      <c r="T379">
        <f>HYPERLINK("https://klasma.github.io/Logging_2132/kartor/A 38159-2022 karta.png", "A 38159-2022")</f>
        <v/>
      </c>
      <c r="V379">
        <f>HYPERLINK("https://klasma.github.io/Logging_2132/klagomål/A 38159-2022 FSC-klagomål.docx", "A 38159-2022")</f>
        <v/>
      </c>
      <c r="W379">
        <f>HYPERLINK("https://klasma.github.io/Logging_2132/klagomålsmail/A 38159-2022 FSC-klagomål mail.docx", "A 38159-2022")</f>
        <v/>
      </c>
      <c r="X379">
        <f>HYPERLINK("https://klasma.github.io/Logging_2132/tillsyn/A 38159-2022 tillsynsbegäran.docx", "A 38159-2022")</f>
        <v/>
      </c>
      <c r="Y379">
        <f>HYPERLINK("https://klasma.github.io/Logging_2132/tillsynsmail/A 38159-2022 tillsynsbegäran mail.docx", "A 38159-2022")</f>
        <v/>
      </c>
    </row>
    <row r="380" ht="15" customHeight="1">
      <c r="A380" t="inlineStr">
        <is>
          <t>A 38529-2022</t>
        </is>
      </c>
      <c r="B380" s="1" t="n">
        <v>44813</v>
      </c>
      <c r="C380" s="1" t="n">
        <v>45344</v>
      </c>
      <c r="D380" t="inlineStr">
        <is>
          <t>GÄVLEBORGS LÄN</t>
        </is>
      </c>
      <c r="E380" t="inlineStr">
        <is>
          <t>BOLLNÄS</t>
        </is>
      </c>
      <c r="G380" t="n">
        <v>0.9</v>
      </c>
      <c r="H380" t="n">
        <v>0</v>
      </c>
      <c r="I380" t="n">
        <v>0</v>
      </c>
      <c r="J380" t="n">
        <v>1</v>
      </c>
      <c r="K380" t="n">
        <v>0</v>
      </c>
      <c r="L380" t="n">
        <v>0</v>
      </c>
      <c r="M380" t="n">
        <v>0</v>
      </c>
      <c r="N380" t="n">
        <v>0</v>
      </c>
      <c r="O380" t="n">
        <v>1</v>
      </c>
      <c r="P380" t="n">
        <v>0</v>
      </c>
      <c r="Q380" t="n">
        <v>1</v>
      </c>
      <c r="R380" s="2" t="inlineStr">
        <is>
          <t>Skrovlig taggsvamp</t>
        </is>
      </c>
      <c r="S380">
        <f>HYPERLINK("https://klasma.github.io/Logging_2183/artfynd/A 38529-2022 artfynd.xlsx", "A 38529-2022")</f>
        <v/>
      </c>
      <c r="T380">
        <f>HYPERLINK("https://klasma.github.io/Logging_2183/kartor/A 38529-2022 karta.png", "A 38529-2022")</f>
        <v/>
      </c>
      <c r="V380">
        <f>HYPERLINK("https://klasma.github.io/Logging_2183/klagomål/A 38529-2022 FSC-klagomål.docx", "A 38529-2022")</f>
        <v/>
      </c>
      <c r="W380">
        <f>HYPERLINK("https://klasma.github.io/Logging_2183/klagomålsmail/A 38529-2022 FSC-klagomål mail.docx", "A 38529-2022")</f>
        <v/>
      </c>
      <c r="X380">
        <f>HYPERLINK("https://klasma.github.io/Logging_2183/tillsyn/A 38529-2022 tillsynsbegäran.docx", "A 38529-2022")</f>
        <v/>
      </c>
      <c r="Y380">
        <f>HYPERLINK("https://klasma.github.io/Logging_2183/tillsynsmail/A 38529-2022 tillsynsbegäran mail.docx", "A 38529-2022")</f>
        <v/>
      </c>
    </row>
    <row r="381" ht="15" customHeight="1">
      <c r="A381" t="inlineStr">
        <is>
          <t>A 41258-2022</t>
        </is>
      </c>
      <c r="B381" s="1" t="n">
        <v>44826</v>
      </c>
      <c r="C381" s="1" t="n">
        <v>45344</v>
      </c>
      <c r="D381" t="inlineStr">
        <is>
          <t>GÄVLEBORGS LÄN</t>
        </is>
      </c>
      <c r="E381" t="inlineStr">
        <is>
          <t>SÖDERHAMN</t>
        </is>
      </c>
      <c r="G381" t="n">
        <v>0.8</v>
      </c>
      <c r="H381" t="n">
        <v>0</v>
      </c>
      <c r="I381" t="n">
        <v>0</v>
      </c>
      <c r="J381" t="n">
        <v>1</v>
      </c>
      <c r="K381" t="n">
        <v>0</v>
      </c>
      <c r="L381" t="n">
        <v>0</v>
      </c>
      <c r="M381" t="n">
        <v>0</v>
      </c>
      <c r="N381" t="n">
        <v>0</v>
      </c>
      <c r="O381" t="n">
        <v>1</v>
      </c>
      <c r="P381" t="n">
        <v>0</v>
      </c>
      <c r="Q381" t="n">
        <v>1</v>
      </c>
      <c r="R381" s="2" t="inlineStr">
        <is>
          <t>Rosenticka</t>
        </is>
      </c>
      <c r="S381">
        <f>HYPERLINK("https://klasma.github.io/Logging_2182/artfynd/A 41258-2022 artfynd.xlsx", "A 41258-2022")</f>
        <v/>
      </c>
      <c r="T381">
        <f>HYPERLINK("https://klasma.github.io/Logging_2182/kartor/A 41258-2022 karta.png", "A 41258-2022")</f>
        <v/>
      </c>
      <c r="V381">
        <f>HYPERLINK("https://klasma.github.io/Logging_2182/klagomål/A 41258-2022 FSC-klagomål.docx", "A 41258-2022")</f>
        <v/>
      </c>
      <c r="W381">
        <f>HYPERLINK("https://klasma.github.io/Logging_2182/klagomålsmail/A 41258-2022 FSC-klagomål mail.docx", "A 41258-2022")</f>
        <v/>
      </c>
      <c r="X381">
        <f>HYPERLINK("https://klasma.github.io/Logging_2182/tillsyn/A 41258-2022 tillsynsbegäran.docx", "A 41258-2022")</f>
        <v/>
      </c>
      <c r="Y381">
        <f>HYPERLINK("https://klasma.github.io/Logging_2182/tillsynsmail/A 41258-2022 tillsynsbegäran mail.docx", "A 41258-2022")</f>
        <v/>
      </c>
    </row>
    <row r="382" ht="15" customHeight="1">
      <c r="A382" t="inlineStr">
        <is>
          <t>A 42937-2022</t>
        </is>
      </c>
      <c r="B382" s="1" t="n">
        <v>44833</v>
      </c>
      <c r="C382" s="1" t="n">
        <v>45344</v>
      </c>
      <c r="D382" t="inlineStr">
        <is>
          <t>GÄVLEBORGS LÄN</t>
        </is>
      </c>
      <c r="E382" t="inlineStr">
        <is>
          <t>LJUSDAL</t>
        </is>
      </c>
      <c r="G382" t="n">
        <v>0.7</v>
      </c>
      <c r="H382" t="n">
        <v>0</v>
      </c>
      <c r="I382" t="n">
        <v>0</v>
      </c>
      <c r="J382" t="n">
        <v>1</v>
      </c>
      <c r="K382" t="n">
        <v>0</v>
      </c>
      <c r="L382" t="n">
        <v>0</v>
      </c>
      <c r="M382" t="n">
        <v>0</v>
      </c>
      <c r="N382" t="n">
        <v>0</v>
      </c>
      <c r="O382" t="n">
        <v>1</v>
      </c>
      <c r="P382" t="n">
        <v>0</v>
      </c>
      <c r="Q382" t="n">
        <v>1</v>
      </c>
      <c r="R382" s="2" t="inlineStr">
        <is>
          <t>Lunglav</t>
        </is>
      </c>
      <c r="S382">
        <f>HYPERLINK("https://klasma.github.io/Logging_2161/artfynd/A 42937-2022 artfynd.xlsx", "A 42937-2022")</f>
        <v/>
      </c>
      <c r="T382">
        <f>HYPERLINK("https://klasma.github.io/Logging_2161/kartor/A 42937-2022 karta.png", "A 42937-2022")</f>
        <v/>
      </c>
      <c r="V382">
        <f>HYPERLINK("https://klasma.github.io/Logging_2161/klagomål/A 42937-2022 FSC-klagomål.docx", "A 42937-2022")</f>
        <v/>
      </c>
      <c r="W382">
        <f>HYPERLINK("https://klasma.github.io/Logging_2161/klagomålsmail/A 42937-2022 FSC-klagomål mail.docx", "A 42937-2022")</f>
        <v/>
      </c>
      <c r="X382">
        <f>HYPERLINK("https://klasma.github.io/Logging_2161/tillsyn/A 42937-2022 tillsynsbegäran.docx", "A 42937-2022")</f>
        <v/>
      </c>
      <c r="Y382">
        <f>HYPERLINK("https://klasma.github.io/Logging_2161/tillsynsmail/A 42937-2022 tillsynsbegäran mail.docx", "A 42937-2022")</f>
        <v/>
      </c>
    </row>
    <row r="383" ht="15" customHeight="1">
      <c r="A383" t="inlineStr">
        <is>
          <t>A 45241-2022</t>
        </is>
      </c>
      <c r="B383" s="1" t="n">
        <v>44840</v>
      </c>
      <c r="C383" s="1" t="n">
        <v>45344</v>
      </c>
      <c r="D383" t="inlineStr">
        <is>
          <t>GÄVLEBORGS LÄN</t>
        </is>
      </c>
      <c r="E383" t="inlineStr">
        <is>
          <t>GÄVLE</t>
        </is>
      </c>
      <c r="F383" t="inlineStr">
        <is>
          <t>Bergvik skog väst AB</t>
        </is>
      </c>
      <c r="G383" t="n">
        <v>22</v>
      </c>
      <c r="H383" t="n">
        <v>1</v>
      </c>
      <c r="I383" t="n">
        <v>0</v>
      </c>
      <c r="J383" t="n">
        <v>0</v>
      </c>
      <c r="K383" t="n">
        <v>0</v>
      </c>
      <c r="L383" t="n">
        <v>0</v>
      </c>
      <c r="M383" t="n">
        <v>0</v>
      </c>
      <c r="N383" t="n">
        <v>0</v>
      </c>
      <c r="O383" t="n">
        <v>0</v>
      </c>
      <c r="P383" t="n">
        <v>0</v>
      </c>
      <c r="Q383" t="n">
        <v>1</v>
      </c>
      <c r="R383" s="2" t="inlineStr">
        <is>
          <t>Blåsippa</t>
        </is>
      </c>
      <c r="S383">
        <f>HYPERLINK("https://klasma.github.io/Logging_2180/artfynd/A 45241-2022 artfynd.xlsx", "A 45241-2022")</f>
        <v/>
      </c>
      <c r="T383">
        <f>HYPERLINK("https://klasma.github.io/Logging_2180/kartor/A 45241-2022 karta.png", "A 45241-2022")</f>
        <v/>
      </c>
      <c r="V383">
        <f>HYPERLINK("https://klasma.github.io/Logging_2180/klagomål/A 45241-2022 FSC-klagomål.docx", "A 45241-2022")</f>
        <v/>
      </c>
      <c r="W383">
        <f>HYPERLINK("https://klasma.github.io/Logging_2180/klagomålsmail/A 45241-2022 FSC-klagomål mail.docx", "A 45241-2022")</f>
        <v/>
      </c>
      <c r="X383">
        <f>HYPERLINK("https://klasma.github.io/Logging_2180/tillsyn/A 45241-2022 tillsynsbegäran.docx", "A 45241-2022")</f>
        <v/>
      </c>
      <c r="Y383">
        <f>HYPERLINK("https://klasma.github.io/Logging_2180/tillsynsmail/A 45241-2022 tillsynsbegäran mail.docx", "A 45241-2022")</f>
        <v/>
      </c>
    </row>
    <row r="384" ht="15" customHeight="1">
      <c r="A384" t="inlineStr">
        <is>
          <t>A 45909-2022</t>
        </is>
      </c>
      <c r="B384" s="1" t="n">
        <v>44846</v>
      </c>
      <c r="C384" s="1" t="n">
        <v>45344</v>
      </c>
      <c r="D384" t="inlineStr">
        <is>
          <t>GÄVLEBORGS LÄN</t>
        </is>
      </c>
      <c r="E384" t="inlineStr">
        <is>
          <t>SANDVIKEN</t>
        </is>
      </c>
      <c r="G384" t="n">
        <v>2.5</v>
      </c>
      <c r="H384" t="n">
        <v>0</v>
      </c>
      <c r="I384" t="n">
        <v>0</v>
      </c>
      <c r="J384" t="n">
        <v>1</v>
      </c>
      <c r="K384" t="n">
        <v>0</v>
      </c>
      <c r="L384" t="n">
        <v>0</v>
      </c>
      <c r="M384" t="n">
        <v>0</v>
      </c>
      <c r="N384" t="n">
        <v>0</v>
      </c>
      <c r="O384" t="n">
        <v>1</v>
      </c>
      <c r="P384" t="n">
        <v>0</v>
      </c>
      <c r="Q384" t="n">
        <v>1</v>
      </c>
      <c r="R384" s="2" t="inlineStr">
        <is>
          <t>Brunklöver</t>
        </is>
      </c>
      <c r="S384">
        <f>HYPERLINK("https://klasma.github.io/Logging_2181/artfynd/A 45909-2022 artfynd.xlsx", "A 45909-2022")</f>
        <v/>
      </c>
      <c r="T384">
        <f>HYPERLINK("https://klasma.github.io/Logging_2181/kartor/A 45909-2022 karta.png", "A 45909-2022")</f>
        <v/>
      </c>
      <c r="V384">
        <f>HYPERLINK("https://klasma.github.io/Logging_2181/klagomål/A 45909-2022 FSC-klagomål.docx", "A 45909-2022")</f>
        <v/>
      </c>
      <c r="W384">
        <f>HYPERLINK("https://klasma.github.io/Logging_2181/klagomålsmail/A 45909-2022 FSC-klagomål mail.docx", "A 45909-2022")</f>
        <v/>
      </c>
      <c r="X384">
        <f>HYPERLINK("https://klasma.github.io/Logging_2181/tillsyn/A 45909-2022 tillsynsbegäran.docx", "A 45909-2022")</f>
        <v/>
      </c>
      <c r="Y384">
        <f>HYPERLINK("https://klasma.github.io/Logging_2181/tillsynsmail/A 45909-2022 tillsynsbegäran mail.docx", "A 45909-2022")</f>
        <v/>
      </c>
    </row>
    <row r="385" ht="15" customHeight="1">
      <c r="A385" t="inlineStr">
        <is>
          <t>A 53259-2022</t>
        </is>
      </c>
      <c r="B385" s="1" t="n">
        <v>44876</v>
      </c>
      <c r="C385" s="1" t="n">
        <v>45344</v>
      </c>
      <c r="D385" t="inlineStr">
        <is>
          <t>GÄVLEBORGS LÄN</t>
        </is>
      </c>
      <c r="E385" t="inlineStr">
        <is>
          <t>SANDVIKEN</t>
        </is>
      </c>
      <c r="F385" t="inlineStr">
        <is>
          <t>Sveaskog</t>
        </is>
      </c>
      <c r="G385" t="n">
        <v>3.2</v>
      </c>
      <c r="H385" t="n">
        <v>1</v>
      </c>
      <c r="I385" t="n">
        <v>0</v>
      </c>
      <c r="J385" t="n">
        <v>0</v>
      </c>
      <c r="K385" t="n">
        <v>1</v>
      </c>
      <c r="L385" t="n">
        <v>0</v>
      </c>
      <c r="M385" t="n">
        <v>0</v>
      </c>
      <c r="N385" t="n">
        <v>0</v>
      </c>
      <c r="O385" t="n">
        <v>1</v>
      </c>
      <c r="P385" t="n">
        <v>1</v>
      </c>
      <c r="Q385" t="n">
        <v>1</v>
      </c>
      <c r="R385" s="2" t="inlineStr">
        <is>
          <t>Knärot</t>
        </is>
      </c>
      <c r="S385">
        <f>HYPERLINK("https://klasma.github.io/Logging_2181/artfynd/A 53259-2022 artfynd.xlsx", "A 53259-2022")</f>
        <v/>
      </c>
      <c r="T385">
        <f>HYPERLINK("https://klasma.github.io/Logging_2181/kartor/A 53259-2022 karta.png", "A 53259-2022")</f>
        <v/>
      </c>
      <c r="U385">
        <f>HYPERLINK("https://klasma.github.io/Logging_2181/knärot/A 53259-2022 karta knärot.png", "A 53259-2022")</f>
        <v/>
      </c>
      <c r="V385">
        <f>HYPERLINK("https://klasma.github.io/Logging_2181/klagomål/A 53259-2022 FSC-klagomål.docx", "A 53259-2022")</f>
        <v/>
      </c>
      <c r="W385">
        <f>HYPERLINK("https://klasma.github.io/Logging_2181/klagomålsmail/A 53259-2022 FSC-klagomål mail.docx", "A 53259-2022")</f>
        <v/>
      </c>
      <c r="X385">
        <f>HYPERLINK("https://klasma.github.io/Logging_2181/tillsyn/A 53259-2022 tillsynsbegäran.docx", "A 53259-2022")</f>
        <v/>
      </c>
      <c r="Y385">
        <f>HYPERLINK("https://klasma.github.io/Logging_2181/tillsynsmail/A 53259-2022 tillsynsbegäran mail.docx", "A 53259-2022")</f>
        <v/>
      </c>
    </row>
    <row r="386" ht="15" customHeight="1">
      <c r="A386" t="inlineStr">
        <is>
          <t>A 53457-2022</t>
        </is>
      </c>
      <c r="B386" s="1" t="n">
        <v>44879</v>
      </c>
      <c r="C386" s="1" t="n">
        <v>45344</v>
      </c>
      <c r="D386" t="inlineStr">
        <is>
          <t>GÄVLEBORGS LÄN</t>
        </is>
      </c>
      <c r="E386" t="inlineStr">
        <is>
          <t>LJUSDAL</t>
        </is>
      </c>
      <c r="F386" t="inlineStr">
        <is>
          <t>Sveaskog</t>
        </is>
      </c>
      <c r="G386" t="n">
        <v>17</v>
      </c>
      <c r="H386" t="n">
        <v>0</v>
      </c>
      <c r="I386" t="n">
        <v>0</v>
      </c>
      <c r="J386" t="n">
        <v>1</v>
      </c>
      <c r="K386" t="n">
        <v>0</v>
      </c>
      <c r="L386" t="n">
        <v>0</v>
      </c>
      <c r="M386" t="n">
        <v>0</v>
      </c>
      <c r="N386" t="n">
        <v>0</v>
      </c>
      <c r="O386" t="n">
        <v>1</v>
      </c>
      <c r="P386" t="n">
        <v>0</v>
      </c>
      <c r="Q386" t="n">
        <v>1</v>
      </c>
      <c r="R386" s="2" t="inlineStr">
        <is>
          <t>Kolflarnlav</t>
        </is>
      </c>
      <c r="S386">
        <f>HYPERLINK("https://klasma.github.io/Logging_2161/artfynd/A 53457-2022 artfynd.xlsx", "A 53457-2022")</f>
        <v/>
      </c>
      <c r="T386">
        <f>HYPERLINK("https://klasma.github.io/Logging_2161/kartor/A 53457-2022 karta.png", "A 53457-2022")</f>
        <v/>
      </c>
      <c r="V386">
        <f>HYPERLINK("https://klasma.github.io/Logging_2161/klagomål/A 53457-2022 FSC-klagomål.docx", "A 53457-2022")</f>
        <v/>
      </c>
      <c r="W386">
        <f>HYPERLINK("https://klasma.github.io/Logging_2161/klagomålsmail/A 53457-2022 FSC-klagomål mail.docx", "A 53457-2022")</f>
        <v/>
      </c>
      <c r="X386">
        <f>HYPERLINK("https://klasma.github.io/Logging_2161/tillsyn/A 53457-2022 tillsynsbegäran.docx", "A 53457-2022")</f>
        <v/>
      </c>
      <c r="Y386">
        <f>HYPERLINK("https://klasma.github.io/Logging_2161/tillsynsmail/A 53457-2022 tillsynsbegäran mail.docx", "A 53457-2022")</f>
        <v/>
      </c>
    </row>
    <row r="387" ht="15" customHeight="1">
      <c r="A387" t="inlineStr">
        <is>
          <t>A 53926-2022</t>
        </is>
      </c>
      <c r="B387" s="1" t="n">
        <v>44880</v>
      </c>
      <c r="C387" s="1" t="n">
        <v>45344</v>
      </c>
      <c r="D387" t="inlineStr">
        <is>
          <t>GÄVLEBORGS LÄN</t>
        </is>
      </c>
      <c r="E387" t="inlineStr">
        <is>
          <t>LJUSDAL</t>
        </is>
      </c>
      <c r="F387" t="inlineStr">
        <is>
          <t>Naturvårdsverket</t>
        </is>
      </c>
      <c r="G387" t="n">
        <v>9.1</v>
      </c>
      <c r="H387" t="n">
        <v>1</v>
      </c>
      <c r="I387" t="n">
        <v>0</v>
      </c>
      <c r="J387" t="n">
        <v>0</v>
      </c>
      <c r="K387" t="n">
        <v>0</v>
      </c>
      <c r="L387" t="n">
        <v>0</v>
      </c>
      <c r="M387" t="n">
        <v>0</v>
      </c>
      <c r="N387" t="n">
        <v>0</v>
      </c>
      <c r="O387" t="n">
        <v>0</v>
      </c>
      <c r="P387" t="n">
        <v>0</v>
      </c>
      <c r="Q387" t="n">
        <v>1</v>
      </c>
      <c r="R387" s="2" t="inlineStr">
        <is>
          <t>Lavskrika</t>
        </is>
      </c>
      <c r="S387">
        <f>HYPERLINK("https://klasma.github.io/Logging_2161/artfynd/A 53926-2022 artfynd.xlsx", "A 53926-2022")</f>
        <v/>
      </c>
      <c r="T387">
        <f>HYPERLINK("https://klasma.github.io/Logging_2161/kartor/A 53926-2022 karta.png", "A 53926-2022")</f>
        <v/>
      </c>
      <c r="V387">
        <f>HYPERLINK("https://klasma.github.io/Logging_2161/klagomål/A 53926-2022 FSC-klagomål.docx", "A 53926-2022")</f>
        <v/>
      </c>
      <c r="W387">
        <f>HYPERLINK("https://klasma.github.io/Logging_2161/klagomålsmail/A 53926-2022 FSC-klagomål mail.docx", "A 53926-2022")</f>
        <v/>
      </c>
      <c r="X387">
        <f>HYPERLINK("https://klasma.github.io/Logging_2161/tillsyn/A 53926-2022 tillsynsbegäran.docx", "A 53926-2022")</f>
        <v/>
      </c>
      <c r="Y387">
        <f>HYPERLINK("https://klasma.github.io/Logging_2161/tillsynsmail/A 53926-2022 tillsynsbegäran mail.docx", "A 53926-2022")</f>
        <v/>
      </c>
      <c r="Z387">
        <f>HYPERLINK("https://klasma.github.io/Logging_2161/fåglar/A 53926-2022 prioriterade fågelarter.docx", "A 53926-2022")</f>
        <v/>
      </c>
    </row>
    <row r="388" ht="15" customHeight="1">
      <c r="A388" t="inlineStr">
        <is>
          <t>A 54188-2022</t>
        </is>
      </c>
      <c r="B388" s="1" t="n">
        <v>44881</v>
      </c>
      <c r="C388" s="1" t="n">
        <v>45344</v>
      </c>
      <c r="D388" t="inlineStr">
        <is>
          <t>GÄVLEBORGS LÄN</t>
        </is>
      </c>
      <c r="E388" t="inlineStr">
        <is>
          <t>HOFORS</t>
        </is>
      </c>
      <c r="F388" t="inlineStr">
        <is>
          <t>Sveaskog</t>
        </is>
      </c>
      <c r="G388" t="n">
        <v>4.5</v>
      </c>
      <c r="H388" t="n">
        <v>1</v>
      </c>
      <c r="I388" t="n">
        <v>0</v>
      </c>
      <c r="J388" t="n">
        <v>0</v>
      </c>
      <c r="K388" t="n">
        <v>0</v>
      </c>
      <c r="L388" t="n">
        <v>0</v>
      </c>
      <c r="M388" t="n">
        <v>0</v>
      </c>
      <c r="N388" t="n">
        <v>0</v>
      </c>
      <c r="O388" t="n">
        <v>0</v>
      </c>
      <c r="P388" t="n">
        <v>0</v>
      </c>
      <c r="Q388" t="n">
        <v>1</v>
      </c>
      <c r="R388" s="2" t="inlineStr">
        <is>
          <t>Blåsippa</t>
        </is>
      </c>
      <c r="S388">
        <f>HYPERLINK("https://klasma.github.io/Logging_2104/artfynd/A 54188-2022 artfynd.xlsx", "A 54188-2022")</f>
        <v/>
      </c>
      <c r="T388">
        <f>HYPERLINK("https://klasma.github.io/Logging_2104/kartor/A 54188-2022 karta.png", "A 54188-2022")</f>
        <v/>
      </c>
      <c r="V388">
        <f>HYPERLINK("https://klasma.github.io/Logging_2104/klagomål/A 54188-2022 FSC-klagomål.docx", "A 54188-2022")</f>
        <v/>
      </c>
      <c r="W388">
        <f>HYPERLINK("https://klasma.github.io/Logging_2104/klagomålsmail/A 54188-2022 FSC-klagomål mail.docx", "A 54188-2022")</f>
        <v/>
      </c>
      <c r="X388">
        <f>HYPERLINK("https://klasma.github.io/Logging_2104/tillsyn/A 54188-2022 tillsynsbegäran.docx", "A 54188-2022")</f>
        <v/>
      </c>
      <c r="Y388">
        <f>HYPERLINK("https://klasma.github.io/Logging_2104/tillsynsmail/A 54188-2022 tillsynsbegäran mail.docx", "A 54188-2022")</f>
        <v/>
      </c>
    </row>
    <row r="389" ht="15" customHeight="1">
      <c r="A389" t="inlineStr">
        <is>
          <t>A 54319-2022</t>
        </is>
      </c>
      <c r="B389" s="1" t="n">
        <v>44882</v>
      </c>
      <c r="C389" s="1" t="n">
        <v>45344</v>
      </c>
      <c r="D389" t="inlineStr">
        <is>
          <t>GÄVLEBORGS LÄN</t>
        </is>
      </c>
      <c r="E389" t="inlineStr">
        <is>
          <t>HOFORS</t>
        </is>
      </c>
      <c r="F389" t="inlineStr">
        <is>
          <t>Sveaskog</t>
        </is>
      </c>
      <c r="G389" t="n">
        <v>10.8</v>
      </c>
      <c r="H389" t="n">
        <v>1</v>
      </c>
      <c r="I389" t="n">
        <v>0</v>
      </c>
      <c r="J389" t="n">
        <v>0</v>
      </c>
      <c r="K389" t="n">
        <v>0</v>
      </c>
      <c r="L389" t="n">
        <v>0</v>
      </c>
      <c r="M389" t="n">
        <v>0</v>
      </c>
      <c r="N389" t="n">
        <v>0</v>
      </c>
      <c r="O389" t="n">
        <v>0</v>
      </c>
      <c r="P389" t="n">
        <v>0</v>
      </c>
      <c r="Q389" t="n">
        <v>1</v>
      </c>
      <c r="R389" s="2" t="inlineStr">
        <is>
          <t>Blåsippa</t>
        </is>
      </c>
      <c r="S389">
        <f>HYPERLINK("https://klasma.github.io/Logging_2104/artfynd/A 54319-2022 artfynd.xlsx", "A 54319-2022")</f>
        <v/>
      </c>
      <c r="T389">
        <f>HYPERLINK("https://klasma.github.io/Logging_2104/kartor/A 54319-2022 karta.png", "A 54319-2022")</f>
        <v/>
      </c>
      <c r="V389">
        <f>HYPERLINK("https://klasma.github.io/Logging_2104/klagomål/A 54319-2022 FSC-klagomål.docx", "A 54319-2022")</f>
        <v/>
      </c>
      <c r="W389">
        <f>HYPERLINK("https://klasma.github.io/Logging_2104/klagomålsmail/A 54319-2022 FSC-klagomål mail.docx", "A 54319-2022")</f>
        <v/>
      </c>
      <c r="X389">
        <f>HYPERLINK("https://klasma.github.io/Logging_2104/tillsyn/A 54319-2022 tillsynsbegäran.docx", "A 54319-2022")</f>
        <v/>
      </c>
      <c r="Y389">
        <f>HYPERLINK("https://klasma.github.io/Logging_2104/tillsynsmail/A 54319-2022 tillsynsbegäran mail.docx", "A 54319-2022")</f>
        <v/>
      </c>
    </row>
    <row r="390" ht="15" customHeight="1">
      <c r="A390" t="inlineStr">
        <is>
          <t>A 62767-2022</t>
        </is>
      </c>
      <c r="B390" s="1" t="n">
        <v>44884</v>
      </c>
      <c r="C390" s="1" t="n">
        <v>45344</v>
      </c>
      <c r="D390" t="inlineStr">
        <is>
          <t>GÄVLEBORGS LÄN</t>
        </is>
      </c>
      <c r="E390" t="inlineStr">
        <is>
          <t>NORDANSTIG</t>
        </is>
      </c>
      <c r="F390" t="inlineStr">
        <is>
          <t>SCA</t>
        </is>
      </c>
      <c r="G390" t="n">
        <v>13.3</v>
      </c>
      <c r="H390" t="n">
        <v>1</v>
      </c>
      <c r="I390" t="n">
        <v>1</v>
      </c>
      <c r="J390" t="n">
        <v>0</v>
      </c>
      <c r="K390" t="n">
        <v>0</v>
      </c>
      <c r="L390" t="n">
        <v>0</v>
      </c>
      <c r="M390" t="n">
        <v>0</v>
      </c>
      <c r="N390" t="n">
        <v>0</v>
      </c>
      <c r="O390" t="n">
        <v>0</v>
      </c>
      <c r="P390" t="n">
        <v>0</v>
      </c>
      <c r="Q390" t="n">
        <v>1</v>
      </c>
      <c r="R390" s="2" t="inlineStr">
        <is>
          <t>Skogsknipprot</t>
        </is>
      </c>
      <c r="S390">
        <f>HYPERLINK("https://klasma.github.io/Logging_2132/artfynd/A 62767-2022 artfynd.xlsx", "A 62767-2022")</f>
        <v/>
      </c>
      <c r="T390">
        <f>HYPERLINK("https://klasma.github.io/Logging_2132/kartor/A 62767-2022 karta.png", "A 62767-2022")</f>
        <v/>
      </c>
      <c r="V390">
        <f>HYPERLINK("https://klasma.github.io/Logging_2132/klagomål/A 62767-2022 FSC-klagomål.docx", "A 62767-2022")</f>
        <v/>
      </c>
      <c r="W390">
        <f>HYPERLINK("https://klasma.github.io/Logging_2132/klagomålsmail/A 62767-2022 FSC-klagomål mail.docx", "A 62767-2022")</f>
        <v/>
      </c>
      <c r="X390">
        <f>HYPERLINK("https://klasma.github.io/Logging_2132/tillsyn/A 62767-2022 tillsynsbegäran.docx", "A 62767-2022")</f>
        <v/>
      </c>
      <c r="Y390">
        <f>HYPERLINK("https://klasma.github.io/Logging_2132/tillsynsmail/A 62767-2022 tillsynsbegäran mail.docx", "A 62767-2022")</f>
        <v/>
      </c>
    </row>
    <row r="391" ht="15" customHeight="1">
      <c r="A391" t="inlineStr">
        <is>
          <t>A 58333-2022</t>
        </is>
      </c>
      <c r="B391" s="1" t="n">
        <v>44901</v>
      </c>
      <c r="C391" s="1" t="n">
        <v>45344</v>
      </c>
      <c r="D391" t="inlineStr">
        <is>
          <t>GÄVLEBORGS LÄN</t>
        </is>
      </c>
      <c r="E391" t="inlineStr">
        <is>
          <t>BOLLNÄS</t>
        </is>
      </c>
      <c r="G391" t="n">
        <v>1.8</v>
      </c>
      <c r="H391" t="n">
        <v>0</v>
      </c>
      <c r="I391" t="n">
        <v>0</v>
      </c>
      <c r="J391" t="n">
        <v>1</v>
      </c>
      <c r="K391" t="n">
        <v>0</v>
      </c>
      <c r="L391" t="n">
        <v>0</v>
      </c>
      <c r="M391" t="n">
        <v>0</v>
      </c>
      <c r="N391" t="n">
        <v>0</v>
      </c>
      <c r="O391" t="n">
        <v>1</v>
      </c>
      <c r="P391" t="n">
        <v>0</v>
      </c>
      <c r="Q391" t="n">
        <v>1</v>
      </c>
      <c r="R391" s="2" t="inlineStr">
        <is>
          <t>Granticka</t>
        </is>
      </c>
      <c r="S391">
        <f>HYPERLINK("https://klasma.github.io/Logging_2183/artfynd/A 58333-2022 artfynd.xlsx", "A 58333-2022")</f>
        <v/>
      </c>
      <c r="T391">
        <f>HYPERLINK("https://klasma.github.io/Logging_2183/kartor/A 58333-2022 karta.png", "A 58333-2022")</f>
        <v/>
      </c>
      <c r="V391">
        <f>HYPERLINK("https://klasma.github.io/Logging_2183/klagomål/A 58333-2022 FSC-klagomål.docx", "A 58333-2022")</f>
        <v/>
      </c>
      <c r="W391">
        <f>HYPERLINK("https://klasma.github.io/Logging_2183/klagomålsmail/A 58333-2022 FSC-klagomål mail.docx", "A 58333-2022")</f>
        <v/>
      </c>
      <c r="X391">
        <f>HYPERLINK("https://klasma.github.io/Logging_2183/tillsyn/A 58333-2022 tillsynsbegäran.docx", "A 58333-2022")</f>
        <v/>
      </c>
      <c r="Y391">
        <f>HYPERLINK("https://klasma.github.io/Logging_2183/tillsynsmail/A 58333-2022 tillsynsbegäran mail.docx", "A 58333-2022")</f>
        <v/>
      </c>
    </row>
    <row r="392" ht="15" customHeight="1">
      <c r="A392" t="inlineStr">
        <is>
          <t>A 58774-2022</t>
        </is>
      </c>
      <c r="B392" s="1" t="n">
        <v>44903</v>
      </c>
      <c r="C392" s="1" t="n">
        <v>45344</v>
      </c>
      <c r="D392" t="inlineStr">
        <is>
          <t>GÄVLEBORGS LÄN</t>
        </is>
      </c>
      <c r="E392" t="inlineStr">
        <is>
          <t>SANDVIKEN</t>
        </is>
      </c>
      <c r="F392" t="inlineStr">
        <is>
          <t>Bergvik skog öst AB</t>
        </is>
      </c>
      <c r="G392" t="n">
        <v>7.2</v>
      </c>
      <c r="H392" t="n">
        <v>0</v>
      </c>
      <c r="I392" t="n">
        <v>0</v>
      </c>
      <c r="J392" t="n">
        <v>1</v>
      </c>
      <c r="K392" t="n">
        <v>0</v>
      </c>
      <c r="L392" t="n">
        <v>0</v>
      </c>
      <c r="M392" t="n">
        <v>0</v>
      </c>
      <c r="N392" t="n">
        <v>0</v>
      </c>
      <c r="O392" t="n">
        <v>1</v>
      </c>
      <c r="P392" t="n">
        <v>0</v>
      </c>
      <c r="Q392" t="n">
        <v>1</v>
      </c>
      <c r="R392" s="2" t="inlineStr">
        <is>
          <t>Slåtterfibbla</t>
        </is>
      </c>
      <c r="S392">
        <f>HYPERLINK("https://klasma.github.io/Logging_2181/artfynd/A 58774-2022 artfynd.xlsx", "A 58774-2022")</f>
        <v/>
      </c>
      <c r="T392">
        <f>HYPERLINK("https://klasma.github.io/Logging_2181/kartor/A 58774-2022 karta.png", "A 58774-2022")</f>
        <v/>
      </c>
      <c r="V392">
        <f>HYPERLINK("https://klasma.github.io/Logging_2181/klagomål/A 58774-2022 FSC-klagomål.docx", "A 58774-2022")</f>
        <v/>
      </c>
      <c r="W392">
        <f>HYPERLINK("https://klasma.github.io/Logging_2181/klagomålsmail/A 58774-2022 FSC-klagomål mail.docx", "A 58774-2022")</f>
        <v/>
      </c>
      <c r="X392">
        <f>HYPERLINK("https://klasma.github.io/Logging_2181/tillsyn/A 58774-2022 tillsynsbegäran.docx", "A 58774-2022")</f>
        <v/>
      </c>
      <c r="Y392">
        <f>HYPERLINK("https://klasma.github.io/Logging_2181/tillsynsmail/A 58774-2022 tillsynsbegäran mail.docx", "A 58774-2022")</f>
        <v/>
      </c>
    </row>
    <row r="393" ht="15" customHeight="1">
      <c r="A393" t="inlineStr">
        <is>
          <t>A 3755-2023</t>
        </is>
      </c>
      <c r="B393" s="1" t="n">
        <v>44951</v>
      </c>
      <c r="C393" s="1" t="n">
        <v>45344</v>
      </c>
      <c r="D393" t="inlineStr">
        <is>
          <t>GÄVLEBORGS LÄN</t>
        </is>
      </c>
      <c r="E393" t="inlineStr">
        <is>
          <t>NORDANSTIG</t>
        </is>
      </c>
      <c r="G393" t="n">
        <v>8.199999999999999</v>
      </c>
      <c r="H393" t="n">
        <v>0</v>
      </c>
      <c r="I393" t="n">
        <v>0</v>
      </c>
      <c r="J393" t="n">
        <v>0</v>
      </c>
      <c r="K393" t="n">
        <v>0</v>
      </c>
      <c r="L393" t="n">
        <v>1</v>
      </c>
      <c r="M393" t="n">
        <v>0</v>
      </c>
      <c r="N393" t="n">
        <v>0</v>
      </c>
      <c r="O393" t="n">
        <v>1</v>
      </c>
      <c r="P393" t="n">
        <v>1</v>
      </c>
      <c r="Q393" t="n">
        <v>1</v>
      </c>
      <c r="R393" s="2" t="inlineStr">
        <is>
          <t>Bredgentiana</t>
        </is>
      </c>
      <c r="S393">
        <f>HYPERLINK("https://klasma.github.io/Logging_2132/artfynd/A 3755-2023 artfynd.xlsx", "A 3755-2023")</f>
        <v/>
      </c>
      <c r="T393">
        <f>HYPERLINK("https://klasma.github.io/Logging_2132/kartor/A 3755-2023 karta.png", "A 3755-2023")</f>
        <v/>
      </c>
      <c r="V393">
        <f>HYPERLINK("https://klasma.github.io/Logging_2132/klagomål/A 3755-2023 FSC-klagomål.docx", "A 3755-2023")</f>
        <v/>
      </c>
      <c r="W393">
        <f>HYPERLINK("https://klasma.github.io/Logging_2132/klagomålsmail/A 3755-2023 FSC-klagomål mail.docx", "A 3755-2023")</f>
        <v/>
      </c>
      <c r="X393">
        <f>HYPERLINK("https://klasma.github.io/Logging_2132/tillsyn/A 3755-2023 tillsynsbegäran.docx", "A 3755-2023")</f>
        <v/>
      </c>
      <c r="Y393">
        <f>HYPERLINK("https://klasma.github.io/Logging_2132/tillsynsmail/A 3755-2023 tillsynsbegäran mail.docx", "A 3755-2023")</f>
        <v/>
      </c>
    </row>
    <row r="394" ht="15" customHeight="1">
      <c r="A394" t="inlineStr">
        <is>
          <t>A 5015-2023</t>
        </is>
      </c>
      <c r="B394" s="1" t="n">
        <v>44958</v>
      </c>
      <c r="C394" s="1" t="n">
        <v>45344</v>
      </c>
      <c r="D394" t="inlineStr">
        <is>
          <t>GÄVLEBORGS LÄN</t>
        </is>
      </c>
      <c r="E394" t="inlineStr">
        <is>
          <t>SANDVIKEN</t>
        </is>
      </c>
      <c r="G394" t="n">
        <v>7.8</v>
      </c>
      <c r="H394" t="n">
        <v>0</v>
      </c>
      <c r="I394" t="n">
        <v>0</v>
      </c>
      <c r="J394" t="n">
        <v>1</v>
      </c>
      <c r="K394" t="n">
        <v>0</v>
      </c>
      <c r="L394" t="n">
        <v>0</v>
      </c>
      <c r="M394" t="n">
        <v>0</v>
      </c>
      <c r="N394" t="n">
        <v>0</v>
      </c>
      <c r="O394" t="n">
        <v>1</v>
      </c>
      <c r="P394" t="n">
        <v>0</v>
      </c>
      <c r="Q394" t="n">
        <v>1</v>
      </c>
      <c r="R394" s="2" t="inlineStr">
        <is>
          <t>Slåtterfibbla</t>
        </is>
      </c>
      <c r="S394">
        <f>HYPERLINK("https://klasma.github.io/Logging_2181/artfynd/A 5015-2023 artfynd.xlsx", "A 5015-2023")</f>
        <v/>
      </c>
      <c r="T394">
        <f>HYPERLINK("https://klasma.github.io/Logging_2181/kartor/A 5015-2023 karta.png", "A 5015-2023")</f>
        <v/>
      </c>
      <c r="V394">
        <f>HYPERLINK("https://klasma.github.io/Logging_2181/klagomål/A 5015-2023 FSC-klagomål.docx", "A 5015-2023")</f>
        <v/>
      </c>
      <c r="W394">
        <f>HYPERLINK("https://klasma.github.io/Logging_2181/klagomålsmail/A 5015-2023 FSC-klagomål mail.docx", "A 5015-2023")</f>
        <v/>
      </c>
      <c r="X394">
        <f>HYPERLINK("https://klasma.github.io/Logging_2181/tillsyn/A 5015-2023 tillsynsbegäran.docx", "A 5015-2023")</f>
        <v/>
      </c>
      <c r="Y394">
        <f>HYPERLINK("https://klasma.github.io/Logging_2181/tillsynsmail/A 5015-2023 tillsynsbegäran mail.docx", "A 5015-2023")</f>
        <v/>
      </c>
    </row>
    <row r="395" ht="15" customHeight="1">
      <c r="A395" t="inlineStr">
        <is>
          <t>A 6378-2023</t>
        </is>
      </c>
      <c r="B395" s="1" t="n">
        <v>44965</v>
      </c>
      <c r="C395" s="1" t="n">
        <v>45344</v>
      </c>
      <c r="D395" t="inlineStr">
        <is>
          <t>GÄVLEBORGS LÄN</t>
        </is>
      </c>
      <c r="E395" t="inlineStr">
        <is>
          <t>SANDVIKEN</t>
        </is>
      </c>
      <c r="G395" t="n">
        <v>4</v>
      </c>
      <c r="H395" t="n">
        <v>1</v>
      </c>
      <c r="I395" t="n">
        <v>0</v>
      </c>
      <c r="J395" t="n">
        <v>1</v>
      </c>
      <c r="K395" t="n">
        <v>0</v>
      </c>
      <c r="L395" t="n">
        <v>0</v>
      </c>
      <c r="M395" t="n">
        <v>0</v>
      </c>
      <c r="N395" t="n">
        <v>0</v>
      </c>
      <c r="O395" t="n">
        <v>1</v>
      </c>
      <c r="P395" t="n">
        <v>0</v>
      </c>
      <c r="Q395" t="n">
        <v>1</v>
      </c>
      <c r="R395" s="2" t="inlineStr">
        <is>
          <t>Rödvingetrast</t>
        </is>
      </c>
      <c r="S395">
        <f>HYPERLINK("https://klasma.github.io/Logging_2181/artfynd/A 6378-2023 artfynd.xlsx", "A 6378-2023")</f>
        <v/>
      </c>
      <c r="T395">
        <f>HYPERLINK("https://klasma.github.io/Logging_2181/kartor/A 6378-2023 karta.png", "A 6378-2023")</f>
        <v/>
      </c>
      <c r="V395">
        <f>HYPERLINK("https://klasma.github.io/Logging_2181/klagomål/A 6378-2023 FSC-klagomål.docx", "A 6378-2023")</f>
        <v/>
      </c>
      <c r="W395">
        <f>HYPERLINK("https://klasma.github.io/Logging_2181/klagomålsmail/A 6378-2023 FSC-klagomål mail.docx", "A 6378-2023")</f>
        <v/>
      </c>
      <c r="X395">
        <f>HYPERLINK("https://klasma.github.io/Logging_2181/tillsyn/A 6378-2023 tillsynsbegäran.docx", "A 6378-2023")</f>
        <v/>
      </c>
      <c r="Y395">
        <f>HYPERLINK("https://klasma.github.io/Logging_2181/tillsynsmail/A 6378-2023 tillsynsbegäran mail.docx", "A 6378-2023")</f>
        <v/>
      </c>
    </row>
    <row r="396" ht="15" customHeight="1">
      <c r="A396" t="inlineStr">
        <is>
          <t>A 8078-2023</t>
        </is>
      </c>
      <c r="B396" s="1" t="n">
        <v>44974</v>
      </c>
      <c r="C396" s="1" t="n">
        <v>45344</v>
      </c>
      <c r="D396" t="inlineStr">
        <is>
          <t>GÄVLEBORGS LÄN</t>
        </is>
      </c>
      <c r="E396" t="inlineStr">
        <is>
          <t>LJUSDAL</t>
        </is>
      </c>
      <c r="G396" t="n">
        <v>19.1</v>
      </c>
      <c r="H396" t="n">
        <v>0</v>
      </c>
      <c r="I396" t="n">
        <v>0</v>
      </c>
      <c r="J396" t="n">
        <v>0</v>
      </c>
      <c r="K396" t="n">
        <v>1</v>
      </c>
      <c r="L396" t="n">
        <v>0</v>
      </c>
      <c r="M396" t="n">
        <v>0</v>
      </c>
      <c r="N396" t="n">
        <v>0</v>
      </c>
      <c r="O396" t="n">
        <v>1</v>
      </c>
      <c r="P396" t="n">
        <v>1</v>
      </c>
      <c r="Q396" t="n">
        <v>1</v>
      </c>
      <c r="R396" s="2" t="inlineStr">
        <is>
          <t>Gräddporing</t>
        </is>
      </c>
      <c r="S396">
        <f>HYPERLINK("https://klasma.github.io/Logging_2161/artfynd/A 8078-2023 artfynd.xlsx", "A 8078-2023")</f>
        <v/>
      </c>
      <c r="T396">
        <f>HYPERLINK("https://klasma.github.io/Logging_2161/kartor/A 8078-2023 karta.png", "A 8078-2023")</f>
        <v/>
      </c>
      <c r="V396">
        <f>HYPERLINK("https://klasma.github.io/Logging_2161/klagomål/A 8078-2023 FSC-klagomål.docx", "A 8078-2023")</f>
        <v/>
      </c>
      <c r="W396">
        <f>HYPERLINK("https://klasma.github.io/Logging_2161/klagomålsmail/A 8078-2023 FSC-klagomål mail.docx", "A 8078-2023")</f>
        <v/>
      </c>
      <c r="X396">
        <f>HYPERLINK("https://klasma.github.io/Logging_2161/tillsyn/A 8078-2023 tillsynsbegäran.docx", "A 8078-2023")</f>
        <v/>
      </c>
      <c r="Y396">
        <f>HYPERLINK("https://klasma.github.io/Logging_2161/tillsynsmail/A 8078-2023 tillsynsbegäran mail.docx", "A 8078-2023")</f>
        <v/>
      </c>
    </row>
    <row r="397" ht="15" customHeight="1">
      <c r="A397" t="inlineStr">
        <is>
          <t>A 8622-2023</t>
        </is>
      </c>
      <c r="B397" s="1" t="n">
        <v>44977</v>
      </c>
      <c r="C397" s="1" t="n">
        <v>45344</v>
      </c>
      <c r="D397" t="inlineStr">
        <is>
          <t>GÄVLEBORGS LÄN</t>
        </is>
      </c>
      <c r="E397" t="inlineStr">
        <is>
          <t>GÄVLE</t>
        </is>
      </c>
      <c r="G397" t="n">
        <v>9.199999999999999</v>
      </c>
      <c r="H397" t="n">
        <v>1</v>
      </c>
      <c r="I397" t="n">
        <v>0</v>
      </c>
      <c r="J397" t="n">
        <v>0</v>
      </c>
      <c r="K397" t="n">
        <v>1</v>
      </c>
      <c r="L397" t="n">
        <v>0</v>
      </c>
      <c r="M397" t="n">
        <v>0</v>
      </c>
      <c r="N397" t="n">
        <v>0</v>
      </c>
      <c r="O397" t="n">
        <v>1</v>
      </c>
      <c r="P397" t="n">
        <v>1</v>
      </c>
      <c r="Q397" t="n">
        <v>1</v>
      </c>
      <c r="R397" s="2" t="inlineStr">
        <is>
          <t>Knärot</t>
        </is>
      </c>
      <c r="S397">
        <f>HYPERLINK("https://klasma.github.io/Logging_2180/artfynd/A 8622-2023 artfynd.xlsx", "A 8622-2023")</f>
        <v/>
      </c>
      <c r="T397">
        <f>HYPERLINK("https://klasma.github.io/Logging_2180/kartor/A 8622-2023 karta.png", "A 8622-2023")</f>
        <v/>
      </c>
      <c r="U397">
        <f>HYPERLINK("https://klasma.github.io/Logging_2180/knärot/A 8622-2023 karta knärot.png", "A 8622-2023")</f>
        <v/>
      </c>
      <c r="V397">
        <f>HYPERLINK("https://klasma.github.io/Logging_2180/klagomål/A 8622-2023 FSC-klagomål.docx", "A 8622-2023")</f>
        <v/>
      </c>
      <c r="W397">
        <f>HYPERLINK("https://klasma.github.io/Logging_2180/klagomålsmail/A 8622-2023 FSC-klagomål mail.docx", "A 8622-2023")</f>
        <v/>
      </c>
      <c r="X397">
        <f>HYPERLINK("https://klasma.github.io/Logging_2180/tillsyn/A 8622-2023 tillsynsbegäran.docx", "A 8622-2023")</f>
        <v/>
      </c>
      <c r="Y397">
        <f>HYPERLINK("https://klasma.github.io/Logging_2180/tillsynsmail/A 8622-2023 tillsynsbegäran mail.docx", "A 8622-2023")</f>
        <v/>
      </c>
    </row>
    <row r="398" ht="15" customHeight="1">
      <c r="A398" t="inlineStr">
        <is>
          <t>A 8636-2023</t>
        </is>
      </c>
      <c r="B398" s="1" t="n">
        <v>44977</v>
      </c>
      <c r="C398" s="1" t="n">
        <v>45344</v>
      </c>
      <c r="D398" t="inlineStr">
        <is>
          <t>GÄVLEBORGS LÄN</t>
        </is>
      </c>
      <c r="E398" t="inlineStr">
        <is>
          <t>HUDIKSVALL</t>
        </is>
      </c>
      <c r="G398" t="n">
        <v>2.7</v>
      </c>
      <c r="H398" t="n">
        <v>1</v>
      </c>
      <c r="I398" t="n">
        <v>0</v>
      </c>
      <c r="J398" t="n">
        <v>0</v>
      </c>
      <c r="K398" t="n">
        <v>0</v>
      </c>
      <c r="L398" t="n">
        <v>0</v>
      </c>
      <c r="M398" t="n">
        <v>0</v>
      </c>
      <c r="N398" t="n">
        <v>0</v>
      </c>
      <c r="O398" t="n">
        <v>0</v>
      </c>
      <c r="P398" t="n">
        <v>0</v>
      </c>
      <c r="Q398" t="n">
        <v>1</v>
      </c>
      <c r="R398" s="2" t="inlineStr">
        <is>
          <t>Fläcknycklar</t>
        </is>
      </c>
      <c r="S398">
        <f>HYPERLINK("https://klasma.github.io/Logging_2184/artfynd/A 8636-2023 artfynd.xlsx", "A 8636-2023")</f>
        <v/>
      </c>
      <c r="T398">
        <f>HYPERLINK("https://klasma.github.io/Logging_2184/kartor/A 8636-2023 karta.png", "A 8636-2023")</f>
        <v/>
      </c>
      <c r="V398">
        <f>HYPERLINK("https://klasma.github.io/Logging_2184/klagomål/A 8636-2023 FSC-klagomål.docx", "A 8636-2023")</f>
        <v/>
      </c>
      <c r="W398">
        <f>HYPERLINK("https://klasma.github.io/Logging_2184/klagomålsmail/A 8636-2023 FSC-klagomål mail.docx", "A 8636-2023")</f>
        <v/>
      </c>
      <c r="X398">
        <f>HYPERLINK("https://klasma.github.io/Logging_2184/tillsyn/A 8636-2023 tillsynsbegäran.docx", "A 8636-2023")</f>
        <v/>
      </c>
      <c r="Y398">
        <f>HYPERLINK("https://klasma.github.io/Logging_2184/tillsynsmail/A 8636-2023 tillsynsbegäran mail.docx", "A 8636-2023")</f>
        <v/>
      </c>
    </row>
    <row r="399" ht="15" customHeight="1">
      <c r="A399" t="inlineStr">
        <is>
          <t>A 9312-2023</t>
        </is>
      </c>
      <c r="B399" s="1" t="n">
        <v>44980</v>
      </c>
      <c r="C399" s="1" t="n">
        <v>45344</v>
      </c>
      <c r="D399" t="inlineStr">
        <is>
          <t>GÄVLEBORGS LÄN</t>
        </is>
      </c>
      <c r="E399" t="inlineStr">
        <is>
          <t>NORDANSTIG</t>
        </is>
      </c>
      <c r="F399" t="inlineStr">
        <is>
          <t>Holmen skog AB</t>
        </is>
      </c>
      <c r="G399" t="n">
        <v>11.7</v>
      </c>
      <c r="H399" t="n">
        <v>0</v>
      </c>
      <c r="I399" t="n">
        <v>0</v>
      </c>
      <c r="J399" t="n">
        <v>1</v>
      </c>
      <c r="K399" t="n">
        <v>0</v>
      </c>
      <c r="L399" t="n">
        <v>0</v>
      </c>
      <c r="M399" t="n">
        <v>0</v>
      </c>
      <c r="N399" t="n">
        <v>0</v>
      </c>
      <c r="O399" t="n">
        <v>1</v>
      </c>
      <c r="P399" t="n">
        <v>0</v>
      </c>
      <c r="Q399" t="n">
        <v>1</v>
      </c>
      <c r="R399" s="2" t="inlineStr">
        <is>
          <t>Vedtrappmossa</t>
        </is>
      </c>
      <c r="S399">
        <f>HYPERLINK("https://klasma.github.io/Logging_2132/artfynd/A 9312-2023 artfynd.xlsx", "A 9312-2023")</f>
        <v/>
      </c>
      <c r="T399">
        <f>HYPERLINK("https://klasma.github.io/Logging_2132/kartor/A 9312-2023 karta.png", "A 9312-2023")</f>
        <v/>
      </c>
      <c r="V399">
        <f>HYPERLINK("https://klasma.github.io/Logging_2132/klagomål/A 9312-2023 FSC-klagomål.docx", "A 9312-2023")</f>
        <v/>
      </c>
      <c r="W399">
        <f>HYPERLINK("https://klasma.github.io/Logging_2132/klagomålsmail/A 9312-2023 FSC-klagomål mail.docx", "A 9312-2023")</f>
        <v/>
      </c>
      <c r="X399">
        <f>HYPERLINK("https://klasma.github.io/Logging_2132/tillsyn/A 9312-2023 tillsynsbegäran.docx", "A 9312-2023")</f>
        <v/>
      </c>
      <c r="Y399">
        <f>HYPERLINK("https://klasma.github.io/Logging_2132/tillsynsmail/A 9312-2023 tillsynsbegäran mail.docx", "A 9312-2023")</f>
        <v/>
      </c>
    </row>
    <row r="400" ht="15" customHeight="1">
      <c r="A400" t="inlineStr">
        <is>
          <t>A 10646-2023</t>
        </is>
      </c>
      <c r="B400" s="1" t="n">
        <v>44988</v>
      </c>
      <c r="C400" s="1" t="n">
        <v>45344</v>
      </c>
      <c r="D400" t="inlineStr">
        <is>
          <t>GÄVLEBORGS LÄN</t>
        </is>
      </c>
      <c r="E400" t="inlineStr">
        <is>
          <t>LJUSDAL</t>
        </is>
      </c>
      <c r="G400" t="n">
        <v>3.5</v>
      </c>
      <c r="H400" t="n">
        <v>0</v>
      </c>
      <c r="I400" t="n">
        <v>0</v>
      </c>
      <c r="J400" t="n">
        <v>1</v>
      </c>
      <c r="K400" t="n">
        <v>0</v>
      </c>
      <c r="L400" t="n">
        <v>0</v>
      </c>
      <c r="M400" t="n">
        <v>0</v>
      </c>
      <c r="N400" t="n">
        <v>0</v>
      </c>
      <c r="O400" t="n">
        <v>1</v>
      </c>
      <c r="P400" t="n">
        <v>0</v>
      </c>
      <c r="Q400" t="n">
        <v>1</v>
      </c>
      <c r="R400" s="2" t="inlineStr">
        <is>
          <t>Garnlav</t>
        </is>
      </c>
      <c r="S400">
        <f>HYPERLINK("https://klasma.github.io/Logging_2161/artfynd/A 10646-2023 artfynd.xlsx", "A 10646-2023")</f>
        <v/>
      </c>
      <c r="T400">
        <f>HYPERLINK("https://klasma.github.io/Logging_2161/kartor/A 10646-2023 karta.png", "A 10646-2023")</f>
        <v/>
      </c>
      <c r="V400">
        <f>HYPERLINK("https://klasma.github.io/Logging_2161/klagomål/A 10646-2023 FSC-klagomål.docx", "A 10646-2023")</f>
        <v/>
      </c>
      <c r="W400">
        <f>HYPERLINK("https://klasma.github.io/Logging_2161/klagomålsmail/A 10646-2023 FSC-klagomål mail.docx", "A 10646-2023")</f>
        <v/>
      </c>
      <c r="X400">
        <f>HYPERLINK("https://klasma.github.io/Logging_2161/tillsyn/A 10646-2023 tillsynsbegäran.docx", "A 10646-2023")</f>
        <v/>
      </c>
      <c r="Y400">
        <f>HYPERLINK("https://klasma.github.io/Logging_2161/tillsynsmail/A 10646-2023 tillsynsbegäran mail.docx", "A 10646-2023")</f>
        <v/>
      </c>
    </row>
    <row r="401" ht="15" customHeight="1">
      <c r="A401" t="inlineStr">
        <is>
          <t>A 13741-2023</t>
        </is>
      </c>
      <c r="B401" s="1" t="n">
        <v>45007</v>
      </c>
      <c r="C401" s="1" t="n">
        <v>45344</v>
      </c>
      <c r="D401" t="inlineStr">
        <is>
          <t>GÄVLEBORGS LÄN</t>
        </is>
      </c>
      <c r="E401" t="inlineStr">
        <is>
          <t>HOFORS</t>
        </is>
      </c>
      <c r="F401" t="inlineStr">
        <is>
          <t>Övriga statliga verk och myndigheter</t>
        </is>
      </c>
      <c r="G401" t="n">
        <v>1.6</v>
      </c>
      <c r="H401" t="n">
        <v>0</v>
      </c>
      <c r="I401" t="n">
        <v>1</v>
      </c>
      <c r="J401" t="n">
        <v>0</v>
      </c>
      <c r="K401" t="n">
        <v>0</v>
      </c>
      <c r="L401" t="n">
        <v>0</v>
      </c>
      <c r="M401" t="n">
        <v>0</v>
      </c>
      <c r="N401" t="n">
        <v>0</v>
      </c>
      <c r="O401" t="n">
        <v>0</v>
      </c>
      <c r="P401" t="n">
        <v>0</v>
      </c>
      <c r="Q401" t="n">
        <v>1</v>
      </c>
      <c r="R401" s="2" t="inlineStr">
        <is>
          <t>Skarp dropptaggsvamp</t>
        </is>
      </c>
      <c r="S401">
        <f>HYPERLINK("https://klasma.github.io/Logging_2104/artfynd/A 13741-2023 artfynd.xlsx", "A 13741-2023")</f>
        <v/>
      </c>
      <c r="T401">
        <f>HYPERLINK("https://klasma.github.io/Logging_2104/kartor/A 13741-2023 karta.png", "A 13741-2023")</f>
        <v/>
      </c>
      <c r="V401">
        <f>HYPERLINK("https://klasma.github.io/Logging_2104/klagomål/A 13741-2023 FSC-klagomål.docx", "A 13741-2023")</f>
        <v/>
      </c>
      <c r="W401">
        <f>HYPERLINK("https://klasma.github.io/Logging_2104/klagomålsmail/A 13741-2023 FSC-klagomål mail.docx", "A 13741-2023")</f>
        <v/>
      </c>
      <c r="X401">
        <f>HYPERLINK("https://klasma.github.io/Logging_2104/tillsyn/A 13741-2023 tillsynsbegäran.docx", "A 13741-2023")</f>
        <v/>
      </c>
      <c r="Y401">
        <f>HYPERLINK("https://klasma.github.io/Logging_2104/tillsynsmail/A 13741-2023 tillsynsbegäran mail.docx", "A 13741-2023")</f>
        <v/>
      </c>
    </row>
    <row r="402" ht="15" customHeight="1">
      <c r="A402" t="inlineStr">
        <is>
          <t>A 14449-2023</t>
        </is>
      </c>
      <c r="B402" s="1" t="n">
        <v>45012</v>
      </c>
      <c r="C402" s="1" t="n">
        <v>45344</v>
      </c>
      <c r="D402" t="inlineStr">
        <is>
          <t>GÄVLEBORGS LÄN</t>
        </is>
      </c>
      <c r="E402" t="inlineStr">
        <is>
          <t>HUDIKSVALL</t>
        </is>
      </c>
      <c r="G402" t="n">
        <v>1.5</v>
      </c>
      <c r="H402" t="n">
        <v>1</v>
      </c>
      <c r="I402" t="n">
        <v>0</v>
      </c>
      <c r="J402" t="n">
        <v>0</v>
      </c>
      <c r="K402" t="n">
        <v>1</v>
      </c>
      <c r="L402" t="n">
        <v>0</v>
      </c>
      <c r="M402" t="n">
        <v>0</v>
      </c>
      <c r="N402" t="n">
        <v>0</v>
      </c>
      <c r="O402" t="n">
        <v>1</v>
      </c>
      <c r="P402" t="n">
        <v>1</v>
      </c>
      <c r="Q402" t="n">
        <v>1</v>
      </c>
      <c r="R402" s="2" t="inlineStr">
        <is>
          <t>Knärot</t>
        </is>
      </c>
      <c r="S402">
        <f>HYPERLINK("https://klasma.github.io/Logging_2184/artfynd/A 14449-2023 artfynd.xlsx", "A 14449-2023")</f>
        <v/>
      </c>
      <c r="T402">
        <f>HYPERLINK("https://klasma.github.io/Logging_2184/kartor/A 14449-2023 karta.png", "A 14449-2023")</f>
        <v/>
      </c>
      <c r="U402">
        <f>HYPERLINK("https://klasma.github.io/Logging_2184/knärot/A 14449-2023 karta knärot.png", "A 14449-2023")</f>
        <v/>
      </c>
      <c r="V402">
        <f>HYPERLINK("https://klasma.github.io/Logging_2184/klagomål/A 14449-2023 FSC-klagomål.docx", "A 14449-2023")</f>
        <v/>
      </c>
      <c r="W402">
        <f>HYPERLINK("https://klasma.github.io/Logging_2184/klagomålsmail/A 14449-2023 FSC-klagomål mail.docx", "A 14449-2023")</f>
        <v/>
      </c>
      <c r="X402">
        <f>HYPERLINK("https://klasma.github.io/Logging_2184/tillsyn/A 14449-2023 tillsynsbegäran.docx", "A 14449-2023")</f>
        <v/>
      </c>
      <c r="Y402">
        <f>HYPERLINK("https://klasma.github.io/Logging_2184/tillsynsmail/A 14449-2023 tillsynsbegäran mail.docx", "A 14449-2023")</f>
        <v/>
      </c>
    </row>
    <row r="403" ht="15" customHeight="1">
      <c r="A403" t="inlineStr">
        <is>
          <t>A 14358-2023</t>
        </is>
      </c>
      <c r="B403" s="1" t="n">
        <v>45012</v>
      </c>
      <c r="C403" s="1" t="n">
        <v>45344</v>
      </c>
      <c r="D403" t="inlineStr">
        <is>
          <t>GÄVLEBORGS LÄN</t>
        </is>
      </c>
      <c r="E403" t="inlineStr">
        <is>
          <t>HOFORS</t>
        </is>
      </c>
      <c r="F403" t="inlineStr">
        <is>
          <t>Övriga statliga verk och myndigheter</t>
        </is>
      </c>
      <c r="G403" t="n">
        <v>1.2</v>
      </c>
      <c r="H403" t="n">
        <v>0</v>
      </c>
      <c r="I403" t="n">
        <v>1</v>
      </c>
      <c r="J403" t="n">
        <v>0</v>
      </c>
      <c r="K403" t="n">
        <v>0</v>
      </c>
      <c r="L403" t="n">
        <v>0</v>
      </c>
      <c r="M403" t="n">
        <v>0</v>
      </c>
      <c r="N403" t="n">
        <v>0</v>
      </c>
      <c r="O403" t="n">
        <v>0</v>
      </c>
      <c r="P403" t="n">
        <v>0</v>
      </c>
      <c r="Q403" t="n">
        <v>1</v>
      </c>
      <c r="R403" s="2" t="inlineStr">
        <is>
          <t>Bronshjon</t>
        </is>
      </c>
      <c r="S403">
        <f>HYPERLINK("https://klasma.github.io/Logging_2104/artfynd/A 14358-2023 artfynd.xlsx", "A 14358-2023")</f>
        <v/>
      </c>
      <c r="T403">
        <f>HYPERLINK("https://klasma.github.io/Logging_2104/kartor/A 14358-2023 karta.png", "A 14358-2023")</f>
        <v/>
      </c>
      <c r="V403">
        <f>HYPERLINK("https://klasma.github.io/Logging_2104/klagomål/A 14358-2023 FSC-klagomål.docx", "A 14358-2023")</f>
        <v/>
      </c>
      <c r="W403">
        <f>HYPERLINK("https://klasma.github.io/Logging_2104/klagomålsmail/A 14358-2023 FSC-klagomål mail.docx", "A 14358-2023")</f>
        <v/>
      </c>
      <c r="X403">
        <f>HYPERLINK("https://klasma.github.io/Logging_2104/tillsyn/A 14358-2023 tillsynsbegäran.docx", "A 14358-2023")</f>
        <v/>
      </c>
      <c r="Y403">
        <f>HYPERLINK("https://klasma.github.io/Logging_2104/tillsynsmail/A 14358-2023 tillsynsbegäran mail.docx", "A 14358-2023")</f>
        <v/>
      </c>
    </row>
    <row r="404" ht="15" customHeight="1">
      <c r="A404" t="inlineStr">
        <is>
          <t>A 15841-2023</t>
        </is>
      </c>
      <c r="B404" s="1" t="n">
        <v>45022</v>
      </c>
      <c r="C404" s="1" t="n">
        <v>45344</v>
      </c>
      <c r="D404" t="inlineStr">
        <is>
          <t>GÄVLEBORGS LÄN</t>
        </is>
      </c>
      <c r="E404" t="inlineStr">
        <is>
          <t>OCKELBO</t>
        </is>
      </c>
      <c r="F404" t="inlineStr">
        <is>
          <t>Bergvik skog väst AB</t>
        </is>
      </c>
      <c r="G404" t="n">
        <v>2.1</v>
      </c>
      <c r="H404" t="n">
        <v>1</v>
      </c>
      <c r="I404" t="n">
        <v>0</v>
      </c>
      <c r="J404" t="n">
        <v>1</v>
      </c>
      <c r="K404" t="n">
        <v>0</v>
      </c>
      <c r="L404" t="n">
        <v>0</v>
      </c>
      <c r="M404" t="n">
        <v>0</v>
      </c>
      <c r="N404" t="n">
        <v>0</v>
      </c>
      <c r="O404" t="n">
        <v>1</v>
      </c>
      <c r="P404" t="n">
        <v>0</v>
      </c>
      <c r="Q404" t="n">
        <v>1</v>
      </c>
      <c r="R404" s="2" t="inlineStr">
        <is>
          <t>Havsörn</t>
        </is>
      </c>
      <c r="S404">
        <f>HYPERLINK("https://klasma.github.io/Logging_2101/artfynd/A 15841-2023 artfynd.xlsx", "A 15841-2023")</f>
        <v/>
      </c>
      <c r="T404">
        <f>HYPERLINK("https://klasma.github.io/Logging_2101/kartor/A 15841-2023 karta.png", "A 15841-2023")</f>
        <v/>
      </c>
      <c r="V404">
        <f>HYPERLINK("https://klasma.github.io/Logging_2101/klagomål/A 15841-2023 FSC-klagomål.docx", "A 15841-2023")</f>
        <v/>
      </c>
      <c r="W404">
        <f>HYPERLINK("https://klasma.github.io/Logging_2101/klagomålsmail/A 15841-2023 FSC-klagomål mail.docx", "A 15841-2023")</f>
        <v/>
      </c>
      <c r="X404">
        <f>HYPERLINK("https://klasma.github.io/Logging_2101/tillsyn/A 15841-2023 tillsynsbegäran.docx", "A 15841-2023")</f>
        <v/>
      </c>
      <c r="Y404">
        <f>HYPERLINK("https://klasma.github.io/Logging_2101/tillsynsmail/A 15841-2023 tillsynsbegäran mail.docx", "A 15841-2023")</f>
        <v/>
      </c>
      <c r="Z404">
        <f>HYPERLINK("https://klasma.github.io/Logging_2101/fåglar/A 15841-2023 prioriterade fågelarter.docx", "A 15841-2023")</f>
        <v/>
      </c>
    </row>
    <row r="405" ht="15" customHeight="1">
      <c r="A405" t="inlineStr">
        <is>
          <t>A 18683-2023</t>
        </is>
      </c>
      <c r="B405" s="1" t="n">
        <v>45043</v>
      </c>
      <c r="C405" s="1" t="n">
        <v>45344</v>
      </c>
      <c r="D405" t="inlineStr">
        <is>
          <t>GÄVLEBORGS LÄN</t>
        </is>
      </c>
      <c r="E405" t="inlineStr">
        <is>
          <t>HOFORS</t>
        </is>
      </c>
      <c r="G405" t="n">
        <v>32.2</v>
      </c>
      <c r="H405" t="n">
        <v>1</v>
      </c>
      <c r="I405" t="n">
        <v>0</v>
      </c>
      <c r="J405" t="n">
        <v>0</v>
      </c>
      <c r="K405" t="n">
        <v>0</v>
      </c>
      <c r="L405" t="n">
        <v>0</v>
      </c>
      <c r="M405" t="n">
        <v>0</v>
      </c>
      <c r="N405" t="n">
        <v>0</v>
      </c>
      <c r="O405" t="n">
        <v>0</v>
      </c>
      <c r="P405" t="n">
        <v>0</v>
      </c>
      <c r="Q405" t="n">
        <v>1</v>
      </c>
      <c r="R405" s="2" t="inlineStr">
        <is>
          <t>Blåsippa</t>
        </is>
      </c>
      <c r="S405">
        <f>HYPERLINK("https://klasma.github.io/Logging_2104/artfynd/A 18683-2023 artfynd.xlsx", "A 18683-2023")</f>
        <v/>
      </c>
      <c r="T405">
        <f>HYPERLINK("https://klasma.github.io/Logging_2104/kartor/A 18683-2023 karta.png", "A 18683-2023")</f>
        <v/>
      </c>
      <c r="V405">
        <f>HYPERLINK("https://klasma.github.io/Logging_2104/klagomål/A 18683-2023 FSC-klagomål.docx", "A 18683-2023")</f>
        <v/>
      </c>
      <c r="W405">
        <f>HYPERLINK("https://klasma.github.io/Logging_2104/klagomålsmail/A 18683-2023 FSC-klagomål mail.docx", "A 18683-2023")</f>
        <v/>
      </c>
      <c r="X405">
        <f>HYPERLINK("https://klasma.github.io/Logging_2104/tillsyn/A 18683-2023 tillsynsbegäran.docx", "A 18683-2023")</f>
        <v/>
      </c>
      <c r="Y405">
        <f>HYPERLINK("https://klasma.github.io/Logging_2104/tillsynsmail/A 18683-2023 tillsynsbegäran mail.docx", "A 18683-2023")</f>
        <v/>
      </c>
    </row>
    <row r="406" ht="15" customHeight="1">
      <c r="A406" t="inlineStr">
        <is>
          <t>A 20661-2023</t>
        </is>
      </c>
      <c r="B406" s="1" t="n">
        <v>45058</v>
      </c>
      <c r="C406" s="1" t="n">
        <v>45344</v>
      </c>
      <c r="D406" t="inlineStr">
        <is>
          <t>GÄVLEBORGS LÄN</t>
        </is>
      </c>
      <c r="E406" t="inlineStr">
        <is>
          <t>OVANÅKER</t>
        </is>
      </c>
      <c r="F406" t="inlineStr">
        <is>
          <t>Sveaskog</t>
        </is>
      </c>
      <c r="G406" t="n">
        <v>3.6</v>
      </c>
      <c r="H406" t="n">
        <v>1</v>
      </c>
      <c r="I406" t="n">
        <v>0</v>
      </c>
      <c r="J406" t="n">
        <v>0</v>
      </c>
      <c r="K406" t="n">
        <v>0</v>
      </c>
      <c r="L406" t="n">
        <v>0</v>
      </c>
      <c r="M406" t="n">
        <v>0</v>
      </c>
      <c r="N406" t="n">
        <v>0</v>
      </c>
      <c r="O406" t="n">
        <v>0</v>
      </c>
      <c r="P406" t="n">
        <v>0</v>
      </c>
      <c r="Q406" t="n">
        <v>1</v>
      </c>
      <c r="R406" s="2" t="inlineStr">
        <is>
          <t>Blåsippa</t>
        </is>
      </c>
      <c r="S406">
        <f>HYPERLINK("https://klasma.github.io/Logging_2121/artfynd/A 20661-2023 artfynd.xlsx", "A 20661-2023")</f>
        <v/>
      </c>
      <c r="T406">
        <f>HYPERLINK("https://klasma.github.io/Logging_2121/kartor/A 20661-2023 karta.png", "A 20661-2023")</f>
        <v/>
      </c>
      <c r="V406">
        <f>HYPERLINK("https://klasma.github.io/Logging_2121/klagomål/A 20661-2023 FSC-klagomål.docx", "A 20661-2023")</f>
        <v/>
      </c>
      <c r="W406">
        <f>HYPERLINK("https://klasma.github.io/Logging_2121/klagomålsmail/A 20661-2023 FSC-klagomål mail.docx", "A 20661-2023")</f>
        <v/>
      </c>
      <c r="X406">
        <f>HYPERLINK("https://klasma.github.io/Logging_2121/tillsyn/A 20661-2023 tillsynsbegäran.docx", "A 20661-2023")</f>
        <v/>
      </c>
      <c r="Y406">
        <f>HYPERLINK("https://klasma.github.io/Logging_2121/tillsynsmail/A 20661-2023 tillsynsbegäran mail.docx", "A 20661-2023")</f>
        <v/>
      </c>
    </row>
    <row r="407" ht="15" customHeight="1">
      <c r="A407" t="inlineStr">
        <is>
          <t>A 21030-2023</t>
        </is>
      </c>
      <c r="B407" s="1" t="n">
        <v>45061</v>
      </c>
      <c r="C407" s="1" t="n">
        <v>45344</v>
      </c>
      <c r="D407" t="inlineStr">
        <is>
          <t>GÄVLEBORGS LÄN</t>
        </is>
      </c>
      <c r="E407" t="inlineStr">
        <is>
          <t>HOFORS</t>
        </is>
      </c>
      <c r="G407" t="n">
        <v>6.8</v>
      </c>
      <c r="H407" t="n">
        <v>1</v>
      </c>
      <c r="I407" t="n">
        <v>0</v>
      </c>
      <c r="J407" t="n">
        <v>0</v>
      </c>
      <c r="K407" t="n">
        <v>1</v>
      </c>
      <c r="L407" t="n">
        <v>0</v>
      </c>
      <c r="M407" t="n">
        <v>0</v>
      </c>
      <c r="N407" t="n">
        <v>0</v>
      </c>
      <c r="O407" t="n">
        <v>1</v>
      </c>
      <c r="P407" t="n">
        <v>1</v>
      </c>
      <c r="Q407" t="n">
        <v>1</v>
      </c>
      <c r="R407" s="2" t="inlineStr">
        <is>
          <t>Havstrut</t>
        </is>
      </c>
      <c r="S407">
        <f>HYPERLINK("https://klasma.github.io/Logging_2104/artfynd/A 21030-2023 artfynd.xlsx", "A 21030-2023")</f>
        <v/>
      </c>
      <c r="T407">
        <f>HYPERLINK("https://klasma.github.io/Logging_2104/kartor/A 21030-2023 karta.png", "A 21030-2023")</f>
        <v/>
      </c>
      <c r="V407">
        <f>HYPERLINK("https://klasma.github.io/Logging_2104/klagomål/A 21030-2023 FSC-klagomål.docx", "A 21030-2023")</f>
        <v/>
      </c>
      <c r="W407">
        <f>HYPERLINK("https://klasma.github.io/Logging_2104/klagomålsmail/A 21030-2023 FSC-klagomål mail.docx", "A 21030-2023")</f>
        <v/>
      </c>
      <c r="X407">
        <f>HYPERLINK("https://klasma.github.io/Logging_2104/tillsyn/A 21030-2023 tillsynsbegäran.docx", "A 21030-2023")</f>
        <v/>
      </c>
      <c r="Y407">
        <f>HYPERLINK("https://klasma.github.io/Logging_2104/tillsynsmail/A 21030-2023 tillsynsbegäran mail.docx", "A 21030-2023")</f>
        <v/>
      </c>
    </row>
    <row r="408" ht="15" customHeight="1">
      <c r="A408" t="inlineStr">
        <is>
          <t>A 21889-2023</t>
        </is>
      </c>
      <c r="B408" s="1" t="n">
        <v>45068</v>
      </c>
      <c r="C408" s="1" t="n">
        <v>45344</v>
      </c>
      <c r="D408" t="inlineStr">
        <is>
          <t>GÄVLEBORGS LÄN</t>
        </is>
      </c>
      <c r="E408" t="inlineStr">
        <is>
          <t>OCKELBO</t>
        </is>
      </c>
      <c r="F408" t="inlineStr">
        <is>
          <t>Bergvik skog väst AB</t>
        </is>
      </c>
      <c r="G408" t="n">
        <v>2.9</v>
      </c>
      <c r="H408" t="n">
        <v>0</v>
      </c>
      <c r="I408" t="n">
        <v>1</v>
      </c>
      <c r="J408" t="n">
        <v>0</v>
      </c>
      <c r="K408" t="n">
        <v>0</v>
      </c>
      <c r="L408" t="n">
        <v>0</v>
      </c>
      <c r="M408" t="n">
        <v>0</v>
      </c>
      <c r="N408" t="n">
        <v>0</v>
      </c>
      <c r="O408" t="n">
        <v>0</v>
      </c>
      <c r="P408" t="n">
        <v>0</v>
      </c>
      <c r="Q408" t="n">
        <v>1</v>
      </c>
      <c r="R408" s="2" t="inlineStr">
        <is>
          <t>Tibast</t>
        </is>
      </c>
      <c r="S408">
        <f>HYPERLINK("https://klasma.github.io/Logging_2101/artfynd/A 21889-2023 artfynd.xlsx", "A 21889-2023")</f>
        <v/>
      </c>
      <c r="T408">
        <f>HYPERLINK("https://klasma.github.io/Logging_2101/kartor/A 21889-2023 karta.png", "A 21889-2023")</f>
        <v/>
      </c>
      <c r="V408">
        <f>HYPERLINK("https://klasma.github.io/Logging_2101/klagomål/A 21889-2023 FSC-klagomål.docx", "A 21889-2023")</f>
        <v/>
      </c>
      <c r="W408">
        <f>HYPERLINK("https://klasma.github.io/Logging_2101/klagomålsmail/A 21889-2023 FSC-klagomål mail.docx", "A 21889-2023")</f>
        <v/>
      </c>
      <c r="X408">
        <f>HYPERLINK("https://klasma.github.io/Logging_2101/tillsyn/A 21889-2023 tillsynsbegäran.docx", "A 21889-2023")</f>
        <v/>
      </c>
      <c r="Y408">
        <f>HYPERLINK("https://klasma.github.io/Logging_2101/tillsynsmail/A 21889-2023 tillsynsbegäran mail.docx", "A 21889-2023")</f>
        <v/>
      </c>
    </row>
    <row r="409" ht="15" customHeight="1">
      <c r="A409" t="inlineStr">
        <is>
          <t>A 21887-2023</t>
        </is>
      </c>
      <c r="B409" s="1" t="n">
        <v>45068</v>
      </c>
      <c r="C409" s="1" t="n">
        <v>45344</v>
      </c>
      <c r="D409" t="inlineStr">
        <is>
          <t>GÄVLEBORGS LÄN</t>
        </is>
      </c>
      <c r="E409" t="inlineStr">
        <is>
          <t>OCKELBO</t>
        </is>
      </c>
      <c r="F409" t="inlineStr">
        <is>
          <t>Bergvik skog väst AB</t>
        </is>
      </c>
      <c r="G409" t="n">
        <v>1.6</v>
      </c>
      <c r="H409" t="n">
        <v>0</v>
      </c>
      <c r="I409" t="n">
        <v>0</v>
      </c>
      <c r="J409" t="n">
        <v>0</v>
      </c>
      <c r="K409" t="n">
        <v>0</v>
      </c>
      <c r="L409" t="n">
        <v>0</v>
      </c>
      <c r="M409" t="n">
        <v>1</v>
      </c>
      <c r="N409" t="n">
        <v>0</v>
      </c>
      <c r="O409" t="n">
        <v>1</v>
      </c>
      <c r="P409" t="n">
        <v>1</v>
      </c>
      <c r="Q409" t="n">
        <v>1</v>
      </c>
      <c r="R409" s="2" t="inlineStr">
        <is>
          <t>Skogsalm</t>
        </is>
      </c>
      <c r="S409">
        <f>HYPERLINK("https://klasma.github.io/Logging_2101/artfynd/A 21887-2023 artfynd.xlsx", "A 21887-2023")</f>
        <v/>
      </c>
      <c r="T409">
        <f>HYPERLINK("https://klasma.github.io/Logging_2101/kartor/A 21887-2023 karta.png", "A 21887-2023")</f>
        <v/>
      </c>
      <c r="V409">
        <f>HYPERLINK("https://klasma.github.io/Logging_2101/klagomål/A 21887-2023 FSC-klagomål.docx", "A 21887-2023")</f>
        <v/>
      </c>
      <c r="W409">
        <f>HYPERLINK("https://klasma.github.io/Logging_2101/klagomålsmail/A 21887-2023 FSC-klagomål mail.docx", "A 21887-2023")</f>
        <v/>
      </c>
      <c r="X409">
        <f>HYPERLINK("https://klasma.github.io/Logging_2101/tillsyn/A 21887-2023 tillsynsbegäran.docx", "A 21887-2023")</f>
        <v/>
      </c>
      <c r="Y409">
        <f>HYPERLINK("https://klasma.github.io/Logging_2101/tillsynsmail/A 21887-2023 tillsynsbegäran mail.docx", "A 21887-2023")</f>
        <v/>
      </c>
    </row>
    <row r="410" ht="15" customHeight="1">
      <c r="A410" t="inlineStr">
        <is>
          <t>A 22973-2023</t>
        </is>
      </c>
      <c r="B410" s="1" t="n">
        <v>45072</v>
      </c>
      <c r="C410" s="1" t="n">
        <v>45344</v>
      </c>
      <c r="D410" t="inlineStr">
        <is>
          <t>GÄVLEBORGS LÄN</t>
        </is>
      </c>
      <c r="E410" t="inlineStr">
        <is>
          <t>LJUSDAL</t>
        </is>
      </c>
      <c r="F410" t="inlineStr">
        <is>
          <t>Sveaskog</t>
        </is>
      </c>
      <c r="G410" t="n">
        <v>20.4</v>
      </c>
      <c r="H410" t="n">
        <v>0</v>
      </c>
      <c r="I410" t="n">
        <v>0</v>
      </c>
      <c r="J410" t="n">
        <v>1</v>
      </c>
      <c r="K410" t="n">
        <v>0</v>
      </c>
      <c r="L410" t="n">
        <v>0</v>
      </c>
      <c r="M410" t="n">
        <v>0</v>
      </c>
      <c r="N410" t="n">
        <v>0</v>
      </c>
      <c r="O410" t="n">
        <v>1</v>
      </c>
      <c r="P410" t="n">
        <v>0</v>
      </c>
      <c r="Q410" t="n">
        <v>1</v>
      </c>
      <c r="R410" s="2" t="inlineStr">
        <is>
          <t>Kolflarnlav</t>
        </is>
      </c>
      <c r="S410">
        <f>HYPERLINK("https://klasma.github.io/Logging_2161/artfynd/A 22973-2023 artfynd.xlsx", "A 22973-2023")</f>
        <v/>
      </c>
      <c r="T410">
        <f>HYPERLINK("https://klasma.github.io/Logging_2161/kartor/A 22973-2023 karta.png", "A 22973-2023")</f>
        <v/>
      </c>
      <c r="V410">
        <f>HYPERLINK("https://klasma.github.io/Logging_2161/klagomål/A 22973-2023 FSC-klagomål.docx", "A 22973-2023")</f>
        <v/>
      </c>
      <c r="W410">
        <f>HYPERLINK("https://klasma.github.io/Logging_2161/klagomålsmail/A 22973-2023 FSC-klagomål mail.docx", "A 22973-2023")</f>
        <v/>
      </c>
      <c r="X410">
        <f>HYPERLINK("https://klasma.github.io/Logging_2161/tillsyn/A 22973-2023 tillsynsbegäran.docx", "A 22973-2023")</f>
        <v/>
      </c>
      <c r="Y410">
        <f>HYPERLINK("https://klasma.github.io/Logging_2161/tillsynsmail/A 22973-2023 tillsynsbegäran mail.docx", "A 22973-2023")</f>
        <v/>
      </c>
    </row>
    <row r="411" ht="15" customHeight="1">
      <c r="A411" t="inlineStr">
        <is>
          <t>A 23161-2023</t>
        </is>
      </c>
      <c r="B411" s="1" t="n">
        <v>45075</v>
      </c>
      <c r="C411" s="1" t="n">
        <v>45344</v>
      </c>
      <c r="D411" t="inlineStr">
        <is>
          <t>GÄVLEBORGS LÄN</t>
        </is>
      </c>
      <c r="E411" t="inlineStr">
        <is>
          <t>SANDVIKEN</t>
        </is>
      </c>
      <c r="F411" t="inlineStr">
        <is>
          <t>Bergvik skog öst AB</t>
        </is>
      </c>
      <c r="G411" t="n">
        <v>6.1</v>
      </c>
      <c r="H411" t="n">
        <v>0</v>
      </c>
      <c r="I411" t="n">
        <v>1</v>
      </c>
      <c r="J411" t="n">
        <v>0</v>
      </c>
      <c r="K411" t="n">
        <v>0</v>
      </c>
      <c r="L411" t="n">
        <v>0</v>
      </c>
      <c r="M411" t="n">
        <v>0</v>
      </c>
      <c r="N411" t="n">
        <v>0</v>
      </c>
      <c r="O411" t="n">
        <v>0</v>
      </c>
      <c r="P411" t="n">
        <v>0</v>
      </c>
      <c r="Q411" t="n">
        <v>1</v>
      </c>
      <c r="R411" s="2" t="inlineStr">
        <is>
          <t>Stubbspretmossa</t>
        </is>
      </c>
      <c r="S411">
        <f>HYPERLINK("https://klasma.github.io/Logging_2181/artfynd/A 23161-2023 artfynd.xlsx", "A 23161-2023")</f>
        <v/>
      </c>
      <c r="T411">
        <f>HYPERLINK("https://klasma.github.io/Logging_2181/kartor/A 23161-2023 karta.png", "A 23161-2023")</f>
        <v/>
      </c>
      <c r="V411">
        <f>HYPERLINK("https://klasma.github.io/Logging_2181/klagomål/A 23161-2023 FSC-klagomål.docx", "A 23161-2023")</f>
        <v/>
      </c>
      <c r="W411">
        <f>HYPERLINK("https://klasma.github.io/Logging_2181/klagomålsmail/A 23161-2023 FSC-klagomål mail.docx", "A 23161-2023")</f>
        <v/>
      </c>
      <c r="X411">
        <f>HYPERLINK("https://klasma.github.io/Logging_2181/tillsyn/A 23161-2023 tillsynsbegäran.docx", "A 23161-2023")</f>
        <v/>
      </c>
      <c r="Y411">
        <f>HYPERLINK("https://klasma.github.io/Logging_2181/tillsynsmail/A 23161-2023 tillsynsbegäran mail.docx", "A 23161-2023")</f>
        <v/>
      </c>
    </row>
    <row r="412" ht="15" customHeight="1">
      <c r="A412" t="inlineStr">
        <is>
          <t>A 25114-2023</t>
        </is>
      </c>
      <c r="B412" s="1" t="n">
        <v>45086</v>
      </c>
      <c r="C412" s="1" t="n">
        <v>45344</v>
      </c>
      <c r="D412" t="inlineStr">
        <is>
          <t>GÄVLEBORGS LÄN</t>
        </is>
      </c>
      <c r="E412" t="inlineStr">
        <is>
          <t>LJUSDAL</t>
        </is>
      </c>
      <c r="G412" t="n">
        <v>0.9</v>
      </c>
      <c r="H412" t="n">
        <v>0</v>
      </c>
      <c r="I412" t="n">
        <v>1</v>
      </c>
      <c r="J412" t="n">
        <v>0</v>
      </c>
      <c r="K412" t="n">
        <v>0</v>
      </c>
      <c r="L412" t="n">
        <v>0</v>
      </c>
      <c r="M412" t="n">
        <v>0</v>
      </c>
      <c r="N412" t="n">
        <v>0</v>
      </c>
      <c r="O412" t="n">
        <v>0</v>
      </c>
      <c r="P412" t="n">
        <v>0</v>
      </c>
      <c r="Q412" t="n">
        <v>1</v>
      </c>
      <c r="R412" s="2" t="inlineStr">
        <is>
          <t>Vedticka</t>
        </is>
      </c>
      <c r="S412">
        <f>HYPERLINK("https://klasma.github.io/Logging_2161/artfynd/A 25114-2023 artfynd.xlsx", "A 25114-2023")</f>
        <v/>
      </c>
      <c r="T412">
        <f>HYPERLINK("https://klasma.github.io/Logging_2161/kartor/A 25114-2023 karta.png", "A 25114-2023")</f>
        <v/>
      </c>
      <c r="U412">
        <f>HYPERLINK("https://klasma.github.io/Logging_2161/knärot/A 25114-2023 karta knärot.png", "A 25114-2023")</f>
        <v/>
      </c>
      <c r="V412">
        <f>HYPERLINK("https://klasma.github.io/Logging_2161/klagomål/A 25114-2023 FSC-klagomål.docx", "A 25114-2023")</f>
        <v/>
      </c>
      <c r="W412">
        <f>HYPERLINK("https://klasma.github.io/Logging_2161/klagomålsmail/A 25114-2023 FSC-klagomål mail.docx", "A 25114-2023")</f>
        <v/>
      </c>
      <c r="X412">
        <f>HYPERLINK("https://klasma.github.io/Logging_2161/tillsyn/A 25114-2023 tillsynsbegäran.docx", "A 25114-2023")</f>
        <v/>
      </c>
      <c r="Y412">
        <f>HYPERLINK("https://klasma.github.io/Logging_2161/tillsynsmail/A 25114-2023 tillsynsbegäran mail.docx", "A 25114-2023")</f>
        <v/>
      </c>
    </row>
    <row r="413" ht="15" customHeight="1">
      <c r="A413" t="inlineStr">
        <is>
          <t>A 26003-2023</t>
        </is>
      </c>
      <c r="B413" s="1" t="n">
        <v>45090</v>
      </c>
      <c r="C413" s="1" t="n">
        <v>45344</v>
      </c>
      <c r="D413" t="inlineStr">
        <is>
          <t>GÄVLEBORGS LÄN</t>
        </is>
      </c>
      <c r="E413" t="inlineStr">
        <is>
          <t>LJUSDAL</t>
        </is>
      </c>
      <c r="F413" t="inlineStr">
        <is>
          <t>SCA</t>
        </is>
      </c>
      <c r="G413" t="n">
        <v>19.8</v>
      </c>
      <c r="H413" t="n">
        <v>0</v>
      </c>
      <c r="I413" t="n">
        <v>0</v>
      </c>
      <c r="J413" t="n">
        <v>1</v>
      </c>
      <c r="K413" t="n">
        <v>0</v>
      </c>
      <c r="L413" t="n">
        <v>0</v>
      </c>
      <c r="M413" t="n">
        <v>0</v>
      </c>
      <c r="N413" t="n">
        <v>0</v>
      </c>
      <c r="O413" t="n">
        <v>1</v>
      </c>
      <c r="P413" t="n">
        <v>0</v>
      </c>
      <c r="Q413" t="n">
        <v>1</v>
      </c>
      <c r="R413" s="2" t="inlineStr">
        <is>
          <t>Lunglav</t>
        </is>
      </c>
      <c r="S413">
        <f>HYPERLINK("https://klasma.github.io/Logging_2161/artfynd/A 26003-2023 artfynd.xlsx", "A 26003-2023")</f>
        <v/>
      </c>
      <c r="T413">
        <f>HYPERLINK("https://klasma.github.io/Logging_2161/kartor/A 26003-2023 karta.png", "A 26003-2023")</f>
        <v/>
      </c>
      <c r="V413">
        <f>HYPERLINK("https://klasma.github.io/Logging_2161/klagomål/A 26003-2023 FSC-klagomål.docx", "A 26003-2023")</f>
        <v/>
      </c>
      <c r="W413">
        <f>HYPERLINK("https://klasma.github.io/Logging_2161/klagomålsmail/A 26003-2023 FSC-klagomål mail.docx", "A 26003-2023")</f>
        <v/>
      </c>
      <c r="X413">
        <f>HYPERLINK("https://klasma.github.io/Logging_2161/tillsyn/A 26003-2023 tillsynsbegäran.docx", "A 26003-2023")</f>
        <v/>
      </c>
      <c r="Y413">
        <f>HYPERLINK("https://klasma.github.io/Logging_2161/tillsynsmail/A 26003-2023 tillsynsbegäran mail.docx", "A 26003-2023")</f>
        <v/>
      </c>
    </row>
    <row r="414" ht="15" customHeight="1">
      <c r="A414" t="inlineStr">
        <is>
          <t>A 25802-2023</t>
        </is>
      </c>
      <c r="B414" s="1" t="n">
        <v>45090</v>
      </c>
      <c r="C414" s="1" t="n">
        <v>45344</v>
      </c>
      <c r="D414" t="inlineStr">
        <is>
          <t>GÄVLEBORGS LÄN</t>
        </is>
      </c>
      <c r="E414" t="inlineStr">
        <is>
          <t>BOLLNÄS</t>
        </is>
      </c>
      <c r="G414" t="n">
        <v>12.1</v>
      </c>
      <c r="H414" t="n">
        <v>1</v>
      </c>
      <c r="I414" t="n">
        <v>0</v>
      </c>
      <c r="J414" t="n">
        <v>0</v>
      </c>
      <c r="K414" t="n">
        <v>0</v>
      </c>
      <c r="L414" t="n">
        <v>0</v>
      </c>
      <c r="M414" t="n">
        <v>0</v>
      </c>
      <c r="N414" t="n">
        <v>0</v>
      </c>
      <c r="O414" t="n">
        <v>0</v>
      </c>
      <c r="P414" t="n">
        <v>0</v>
      </c>
      <c r="Q414" t="n">
        <v>1</v>
      </c>
      <c r="R414" s="2" t="inlineStr">
        <is>
          <t>Fläcknycklar</t>
        </is>
      </c>
      <c r="S414">
        <f>HYPERLINK("https://klasma.github.io/Logging_2183/artfynd/A 25802-2023 artfynd.xlsx", "A 25802-2023")</f>
        <v/>
      </c>
      <c r="T414">
        <f>HYPERLINK("https://klasma.github.io/Logging_2183/kartor/A 25802-2023 karta.png", "A 25802-2023")</f>
        <v/>
      </c>
      <c r="V414">
        <f>HYPERLINK("https://klasma.github.io/Logging_2183/klagomål/A 25802-2023 FSC-klagomål.docx", "A 25802-2023")</f>
        <v/>
      </c>
      <c r="W414">
        <f>HYPERLINK("https://klasma.github.io/Logging_2183/klagomålsmail/A 25802-2023 FSC-klagomål mail.docx", "A 25802-2023")</f>
        <v/>
      </c>
      <c r="X414">
        <f>HYPERLINK("https://klasma.github.io/Logging_2183/tillsyn/A 25802-2023 tillsynsbegäran.docx", "A 25802-2023")</f>
        <v/>
      </c>
      <c r="Y414">
        <f>HYPERLINK("https://klasma.github.io/Logging_2183/tillsynsmail/A 25802-2023 tillsynsbegäran mail.docx", "A 25802-2023")</f>
        <v/>
      </c>
    </row>
    <row r="415" ht="15" customHeight="1">
      <c r="A415" t="inlineStr">
        <is>
          <t>A 26526-2023</t>
        </is>
      </c>
      <c r="B415" s="1" t="n">
        <v>45092</v>
      </c>
      <c r="C415" s="1" t="n">
        <v>45344</v>
      </c>
      <c r="D415" t="inlineStr">
        <is>
          <t>GÄVLEBORGS LÄN</t>
        </is>
      </c>
      <c r="E415" t="inlineStr">
        <is>
          <t>LJUSDAL</t>
        </is>
      </c>
      <c r="F415" t="inlineStr">
        <is>
          <t>Sveaskog</t>
        </is>
      </c>
      <c r="G415" t="n">
        <v>3.6</v>
      </c>
      <c r="H415" t="n">
        <v>0</v>
      </c>
      <c r="I415" t="n">
        <v>0</v>
      </c>
      <c r="J415" t="n">
        <v>1</v>
      </c>
      <c r="K415" t="n">
        <v>0</v>
      </c>
      <c r="L415" t="n">
        <v>0</v>
      </c>
      <c r="M415" t="n">
        <v>0</v>
      </c>
      <c r="N415" t="n">
        <v>0</v>
      </c>
      <c r="O415" t="n">
        <v>1</v>
      </c>
      <c r="P415" t="n">
        <v>0</v>
      </c>
      <c r="Q415" t="n">
        <v>1</v>
      </c>
      <c r="R415" s="2" t="inlineStr">
        <is>
          <t>Kolflarnlav</t>
        </is>
      </c>
      <c r="S415">
        <f>HYPERLINK("https://klasma.github.io/Logging_2161/artfynd/A 26526-2023 artfynd.xlsx", "A 26526-2023")</f>
        <v/>
      </c>
      <c r="T415">
        <f>HYPERLINK("https://klasma.github.io/Logging_2161/kartor/A 26526-2023 karta.png", "A 26526-2023")</f>
        <v/>
      </c>
      <c r="V415">
        <f>HYPERLINK("https://klasma.github.io/Logging_2161/klagomål/A 26526-2023 FSC-klagomål.docx", "A 26526-2023")</f>
        <v/>
      </c>
      <c r="W415">
        <f>HYPERLINK("https://klasma.github.io/Logging_2161/klagomålsmail/A 26526-2023 FSC-klagomål mail.docx", "A 26526-2023")</f>
        <v/>
      </c>
      <c r="X415">
        <f>HYPERLINK("https://klasma.github.io/Logging_2161/tillsyn/A 26526-2023 tillsynsbegäran.docx", "A 26526-2023")</f>
        <v/>
      </c>
      <c r="Y415">
        <f>HYPERLINK("https://klasma.github.io/Logging_2161/tillsynsmail/A 26526-2023 tillsynsbegäran mail.docx", "A 26526-2023")</f>
        <v/>
      </c>
    </row>
    <row r="416" ht="15" customHeight="1">
      <c r="A416" t="inlineStr">
        <is>
          <t>A 26538-2023</t>
        </is>
      </c>
      <c r="B416" s="1" t="n">
        <v>45092</v>
      </c>
      <c r="C416" s="1" t="n">
        <v>45344</v>
      </c>
      <c r="D416" t="inlineStr">
        <is>
          <t>GÄVLEBORGS LÄN</t>
        </is>
      </c>
      <c r="E416" t="inlineStr">
        <is>
          <t>LJUSDAL</t>
        </is>
      </c>
      <c r="F416" t="inlineStr">
        <is>
          <t>Sveaskog</t>
        </is>
      </c>
      <c r="G416" t="n">
        <v>22.1</v>
      </c>
      <c r="H416" t="n">
        <v>0</v>
      </c>
      <c r="I416" t="n">
        <v>0</v>
      </c>
      <c r="J416" t="n">
        <v>1</v>
      </c>
      <c r="K416" t="n">
        <v>0</v>
      </c>
      <c r="L416" t="n">
        <v>0</v>
      </c>
      <c r="M416" t="n">
        <v>0</v>
      </c>
      <c r="N416" t="n">
        <v>0</v>
      </c>
      <c r="O416" t="n">
        <v>1</v>
      </c>
      <c r="P416" t="n">
        <v>0</v>
      </c>
      <c r="Q416" t="n">
        <v>1</v>
      </c>
      <c r="R416" s="2" t="inlineStr">
        <is>
          <t>Lunglav</t>
        </is>
      </c>
      <c r="S416">
        <f>HYPERLINK("https://klasma.github.io/Logging_2161/artfynd/A 26538-2023 artfynd.xlsx", "A 26538-2023")</f>
        <v/>
      </c>
      <c r="T416">
        <f>HYPERLINK("https://klasma.github.io/Logging_2161/kartor/A 26538-2023 karta.png", "A 26538-2023")</f>
        <v/>
      </c>
      <c r="V416">
        <f>HYPERLINK("https://klasma.github.io/Logging_2161/klagomål/A 26538-2023 FSC-klagomål.docx", "A 26538-2023")</f>
        <v/>
      </c>
      <c r="W416">
        <f>HYPERLINK("https://klasma.github.io/Logging_2161/klagomålsmail/A 26538-2023 FSC-klagomål mail.docx", "A 26538-2023")</f>
        <v/>
      </c>
      <c r="X416">
        <f>HYPERLINK("https://klasma.github.io/Logging_2161/tillsyn/A 26538-2023 tillsynsbegäran.docx", "A 26538-2023")</f>
        <v/>
      </c>
      <c r="Y416">
        <f>HYPERLINK("https://klasma.github.io/Logging_2161/tillsynsmail/A 26538-2023 tillsynsbegäran mail.docx", "A 26538-2023")</f>
        <v/>
      </c>
    </row>
    <row r="417" ht="15" customHeight="1">
      <c r="A417" t="inlineStr">
        <is>
          <t>A 26929-2023</t>
        </is>
      </c>
      <c r="B417" s="1" t="n">
        <v>45093</v>
      </c>
      <c r="C417" s="1" t="n">
        <v>45344</v>
      </c>
      <c r="D417" t="inlineStr">
        <is>
          <t>GÄVLEBORGS LÄN</t>
        </is>
      </c>
      <c r="E417" t="inlineStr">
        <is>
          <t>BOLLNÄS</t>
        </is>
      </c>
      <c r="F417" t="inlineStr">
        <is>
          <t>Sveaskog</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HYPERLINK("https://klasma.github.io/Logging_2183/artfynd/A 26929-2023 artfynd.xlsx", "A 26929-2023")</f>
        <v/>
      </c>
      <c r="T417">
        <f>HYPERLINK("https://klasma.github.io/Logging_2183/kartor/A 26929-2023 karta.png", "A 26929-2023")</f>
        <v/>
      </c>
      <c r="U417">
        <f>HYPERLINK("https://klasma.github.io/Logging_2183/knärot/A 26929-2023 karta knärot.png", "A 26929-2023")</f>
        <v/>
      </c>
      <c r="V417">
        <f>HYPERLINK("https://klasma.github.io/Logging_2183/klagomål/A 26929-2023 FSC-klagomål.docx", "A 26929-2023")</f>
        <v/>
      </c>
      <c r="W417">
        <f>HYPERLINK("https://klasma.github.io/Logging_2183/klagomålsmail/A 26929-2023 FSC-klagomål mail.docx", "A 26929-2023")</f>
        <v/>
      </c>
      <c r="X417">
        <f>HYPERLINK("https://klasma.github.io/Logging_2183/tillsyn/A 26929-2023 tillsynsbegäran.docx", "A 26929-2023")</f>
        <v/>
      </c>
      <c r="Y417">
        <f>HYPERLINK("https://klasma.github.io/Logging_2183/tillsynsmail/A 26929-2023 tillsynsbegäran mail.docx", "A 26929-2023")</f>
        <v/>
      </c>
    </row>
    <row r="418" ht="15" customHeight="1">
      <c r="A418" t="inlineStr">
        <is>
          <t>A 27148-2023</t>
        </is>
      </c>
      <c r="B418" s="1" t="n">
        <v>45096</v>
      </c>
      <c r="C418" s="1" t="n">
        <v>45344</v>
      </c>
      <c r="D418" t="inlineStr">
        <is>
          <t>GÄVLEBORGS LÄN</t>
        </is>
      </c>
      <c r="E418" t="inlineStr">
        <is>
          <t>SÖDERHAMN</t>
        </is>
      </c>
      <c r="G418" t="n">
        <v>3.8</v>
      </c>
      <c r="H418" t="n">
        <v>0</v>
      </c>
      <c r="I418" t="n">
        <v>1</v>
      </c>
      <c r="J418" t="n">
        <v>0</v>
      </c>
      <c r="K418" t="n">
        <v>0</v>
      </c>
      <c r="L418" t="n">
        <v>0</v>
      </c>
      <c r="M418" t="n">
        <v>0</v>
      </c>
      <c r="N418" t="n">
        <v>0</v>
      </c>
      <c r="O418" t="n">
        <v>0</v>
      </c>
      <c r="P418" t="n">
        <v>0</v>
      </c>
      <c r="Q418" t="n">
        <v>1</v>
      </c>
      <c r="R418" s="2" t="inlineStr">
        <is>
          <t>Gulskölding</t>
        </is>
      </c>
      <c r="S418">
        <f>HYPERLINK("https://klasma.github.io/Logging_2182/artfynd/A 27148-2023 artfynd.xlsx", "A 27148-2023")</f>
        <v/>
      </c>
      <c r="T418">
        <f>HYPERLINK("https://klasma.github.io/Logging_2182/kartor/A 27148-2023 karta.png", "A 27148-2023")</f>
        <v/>
      </c>
      <c r="V418">
        <f>HYPERLINK("https://klasma.github.io/Logging_2182/klagomål/A 27148-2023 FSC-klagomål.docx", "A 27148-2023")</f>
        <v/>
      </c>
      <c r="W418">
        <f>HYPERLINK("https://klasma.github.io/Logging_2182/klagomålsmail/A 27148-2023 FSC-klagomål mail.docx", "A 27148-2023")</f>
        <v/>
      </c>
      <c r="X418">
        <f>HYPERLINK("https://klasma.github.io/Logging_2182/tillsyn/A 27148-2023 tillsynsbegäran.docx", "A 27148-2023")</f>
        <v/>
      </c>
      <c r="Y418">
        <f>HYPERLINK("https://klasma.github.io/Logging_2182/tillsynsmail/A 27148-2023 tillsynsbegäran mail.docx", "A 27148-2023")</f>
        <v/>
      </c>
    </row>
    <row r="419" ht="15" customHeight="1">
      <c r="A419" t="inlineStr">
        <is>
          <t>A 27637-2023</t>
        </is>
      </c>
      <c r="B419" s="1" t="n">
        <v>45097</v>
      </c>
      <c r="C419" s="1" t="n">
        <v>45344</v>
      </c>
      <c r="D419" t="inlineStr">
        <is>
          <t>GÄVLEBORGS LÄN</t>
        </is>
      </c>
      <c r="E419" t="inlineStr">
        <is>
          <t>NORDANSTIG</t>
        </is>
      </c>
      <c r="F419" t="inlineStr">
        <is>
          <t>Holmen skog AB</t>
        </is>
      </c>
      <c r="G419" t="n">
        <v>1.8</v>
      </c>
      <c r="H419" t="n">
        <v>0</v>
      </c>
      <c r="I419" t="n">
        <v>1</v>
      </c>
      <c r="J419" t="n">
        <v>0</v>
      </c>
      <c r="K419" t="n">
        <v>0</v>
      </c>
      <c r="L419" t="n">
        <v>0</v>
      </c>
      <c r="M419" t="n">
        <v>0</v>
      </c>
      <c r="N419" t="n">
        <v>0</v>
      </c>
      <c r="O419" t="n">
        <v>0</v>
      </c>
      <c r="P419" t="n">
        <v>0</v>
      </c>
      <c r="Q419" t="n">
        <v>1</v>
      </c>
      <c r="R419" s="2" t="inlineStr">
        <is>
          <t>Skogshakmossa</t>
        </is>
      </c>
      <c r="S419">
        <f>HYPERLINK("https://klasma.github.io/Logging_2132/artfynd/A 27637-2023 artfynd.xlsx", "A 27637-2023")</f>
        <v/>
      </c>
      <c r="T419">
        <f>HYPERLINK("https://klasma.github.io/Logging_2132/kartor/A 27637-2023 karta.png", "A 27637-2023")</f>
        <v/>
      </c>
      <c r="V419">
        <f>HYPERLINK("https://klasma.github.io/Logging_2132/klagomål/A 27637-2023 FSC-klagomål.docx", "A 27637-2023")</f>
        <v/>
      </c>
      <c r="W419">
        <f>HYPERLINK("https://klasma.github.io/Logging_2132/klagomålsmail/A 27637-2023 FSC-klagomål mail.docx", "A 27637-2023")</f>
        <v/>
      </c>
      <c r="X419">
        <f>HYPERLINK("https://klasma.github.io/Logging_2132/tillsyn/A 27637-2023 tillsynsbegäran.docx", "A 27637-2023")</f>
        <v/>
      </c>
      <c r="Y419">
        <f>HYPERLINK("https://klasma.github.io/Logging_2132/tillsynsmail/A 27637-2023 tillsynsbegäran mail.docx", "A 27637-2023")</f>
        <v/>
      </c>
    </row>
    <row r="420" ht="15" customHeight="1">
      <c r="A420" t="inlineStr">
        <is>
          <t>A 29400-2023</t>
        </is>
      </c>
      <c r="B420" s="1" t="n">
        <v>45106</v>
      </c>
      <c r="C420" s="1" t="n">
        <v>45344</v>
      </c>
      <c r="D420" t="inlineStr">
        <is>
          <t>GÄVLEBORGS LÄN</t>
        </is>
      </c>
      <c r="E420" t="inlineStr">
        <is>
          <t>HOFORS</t>
        </is>
      </c>
      <c r="G420" t="n">
        <v>6.8</v>
      </c>
      <c r="H420" t="n">
        <v>1</v>
      </c>
      <c r="I420" t="n">
        <v>0</v>
      </c>
      <c r="J420" t="n">
        <v>0</v>
      </c>
      <c r="K420" t="n">
        <v>1</v>
      </c>
      <c r="L420" t="n">
        <v>0</v>
      </c>
      <c r="M420" t="n">
        <v>0</v>
      </c>
      <c r="N420" t="n">
        <v>0</v>
      </c>
      <c r="O420" t="n">
        <v>1</v>
      </c>
      <c r="P420" t="n">
        <v>1</v>
      </c>
      <c r="Q420" t="n">
        <v>1</v>
      </c>
      <c r="R420" s="2" t="inlineStr">
        <is>
          <t>Knärot</t>
        </is>
      </c>
      <c r="S420">
        <f>HYPERLINK("https://klasma.github.io/Logging_2104/artfynd/A 29400-2023 artfynd.xlsx", "A 29400-2023")</f>
        <v/>
      </c>
      <c r="T420">
        <f>HYPERLINK("https://klasma.github.io/Logging_2104/kartor/A 29400-2023 karta.png", "A 29400-2023")</f>
        <v/>
      </c>
      <c r="U420">
        <f>HYPERLINK("https://klasma.github.io/Logging_2104/knärot/A 29400-2023 karta knärot.png", "A 29400-2023")</f>
        <v/>
      </c>
      <c r="V420">
        <f>HYPERLINK("https://klasma.github.io/Logging_2104/klagomål/A 29400-2023 FSC-klagomål.docx", "A 29400-2023")</f>
        <v/>
      </c>
      <c r="W420">
        <f>HYPERLINK("https://klasma.github.io/Logging_2104/klagomålsmail/A 29400-2023 FSC-klagomål mail.docx", "A 29400-2023")</f>
        <v/>
      </c>
      <c r="X420">
        <f>HYPERLINK("https://klasma.github.io/Logging_2104/tillsyn/A 29400-2023 tillsynsbegäran.docx", "A 29400-2023")</f>
        <v/>
      </c>
      <c r="Y420">
        <f>HYPERLINK("https://klasma.github.io/Logging_2104/tillsynsmail/A 29400-2023 tillsynsbegäran mail.docx", "A 29400-2023")</f>
        <v/>
      </c>
    </row>
    <row r="421" ht="15" customHeight="1">
      <c r="A421" t="inlineStr">
        <is>
          <t>A 29578-2023</t>
        </is>
      </c>
      <c r="B421" s="1" t="n">
        <v>45106</v>
      </c>
      <c r="C421" s="1" t="n">
        <v>45344</v>
      </c>
      <c r="D421" t="inlineStr">
        <is>
          <t>GÄVLEBORGS LÄN</t>
        </is>
      </c>
      <c r="E421" t="inlineStr">
        <is>
          <t>NORDANSTIG</t>
        </is>
      </c>
      <c r="F421" t="inlineStr">
        <is>
          <t>Holmen skog AB</t>
        </is>
      </c>
      <c r="G421" t="n">
        <v>5.3</v>
      </c>
      <c r="H421" t="n">
        <v>1</v>
      </c>
      <c r="I421" t="n">
        <v>0</v>
      </c>
      <c r="J421" t="n">
        <v>0</v>
      </c>
      <c r="K421" t="n">
        <v>0</v>
      </c>
      <c r="L421" t="n">
        <v>0</v>
      </c>
      <c r="M421" t="n">
        <v>0</v>
      </c>
      <c r="N421" t="n">
        <v>0</v>
      </c>
      <c r="O421" t="n">
        <v>0</v>
      </c>
      <c r="P421" t="n">
        <v>0</v>
      </c>
      <c r="Q421" t="n">
        <v>1</v>
      </c>
      <c r="R421" s="2" t="inlineStr">
        <is>
          <t>Blåsippa</t>
        </is>
      </c>
      <c r="S421">
        <f>HYPERLINK("https://klasma.github.io/Logging_2132/artfynd/A 29578-2023 artfynd.xlsx", "A 29578-2023")</f>
        <v/>
      </c>
      <c r="T421">
        <f>HYPERLINK("https://klasma.github.io/Logging_2132/kartor/A 29578-2023 karta.png", "A 29578-2023")</f>
        <v/>
      </c>
      <c r="V421">
        <f>HYPERLINK("https://klasma.github.io/Logging_2132/klagomål/A 29578-2023 FSC-klagomål.docx", "A 29578-2023")</f>
        <v/>
      </c>
      <c r="W421">
        <f>HYPERLINK("https://klasma.github.io/Logging_2132/klagomålsmail/A 29578-2023 FSC-klagomål mail.docx", "A 29578-2023")</f>
        <v/>
      </c>
      <c r="X421">
        <f>HYPERLINK("https://klasma.github.io/Logging_2132/tillsyn/A 29578-2023 tillsynsbegäran.docx", "A 29578-2023")</f>
        <v/>
      </c>
      <c r="Y421">
        <f>HYPERLINK("https://klasma.github.io/Logging_2132/tillsynsmail/A 29578-2023 tillsynsbegäran mail.docx", "A 29578-2023")</f>
        <v/>
      </c>
    </row>
    <row r="422" ht="15" customHeight="1">
      <c r="A422" t="inlineStr">
        <is>
          <t>A 29784-2023</t>
        </is>
      </c>
      <c r="B422" s="1" t="n">
        <v>45107</v>
      </c>
      <c r="C422" s="1" t="n">
        <v>45344</v>
      </c>
      <c r="D422" t="inlineStr">
        <is>
          <t>GÄVLEBORGS LÄN</t>
        </is>
      </c>
      <c r="E422" t="inlineStr">
        <is>
          <t>LJUSDAL</t>
        </is>
      </c>
      <c r="F422" t="inlineStr">
        <is>
          <t>Sveaskog</t>
        </is>
      </c>
      <c r="G422" t="n">
        <v>17.1</v>
      </c>
      <c r="H422" t="n">
        <v>1</v>
      </c>
      <c r="I422" t="n">
        <v>0</v>
      </c>
      <c r="J422" t="n">
        <v>0</v>
      </c>
      <c r="K422" t="n">
        <v>0</v>
      </c>
      <c r="L422" t="n">
        <v>0</v>
      </c>
      <c r="M422" t="n">
        <v>0</v>
      </c>
      <c r="N422" t="n">
        <v>0</v>
      </c>
      <c r="O422" t="n">
        <v>0</v>
      </c>
      <c r="P422" t="n">
        <v>0</v>
      </c>
      <c r="Q422" t="n">
        <v>1</v>
      </c>
      <c r="R422" s="2" t="inlineStr">
        <is>
          <t>Nattviol</t>
        </is>
      </c>
      <c r="S422">
        <f>HYPERLINK("https://klasma.github.io/Logging_2161/artfynd/A 29784-2023 artfynd.xlsx", "A 29784-2023")</f>
        <v/>
      </c>
      <c r="T422">
        <f>HYPERLINK("https://klasma.github.io/Logging_2161/kartor/A 29784-2023 karta.png", "A 29784-2023")</f>
        <v/>
      </c>
      <c r="V422">
        <f>HYPERLINK("https://klasma.github.io/Logging_2161/klagomål/A 29784-2023 FSC-klagomål.docx", "A 29784-2023")</f>
        <v/>
      </c>
      <c r="W422">
        <f>HYPERLINK("https://klasma.github.io/Logging_2161/klagomålsmail/A 29784-2023 FSC-klagomål mail.docx", "A 29784-2023")</f>
        <v/>
      </c>
      <c r="X422">
        <f>HYPERLINK("https://klasma.github.io/Logging_2161/tillsyn/A 29784-2023 tillsynsbegäran.docx", "A 29784-2023")</f>
        <v/>
      </c>
      <c r="Y422">
        <f>HYPERLINK("https://klasma.github.io/Logging_2161/tillsynsmail/A 29784-2023 tillsynsbegäran mail.docx", "A 29784-2023")</f>
        <v/>
      </c>
    </row>
    <row r="423" ht="15" customHeight="1">
      <c r="A423" t="inlineStr">
        <is>
          <t>A 32171-2023</t>
        </is>
      </c>
      <c r="B423" s="1" t="n">
        <v>45107</v>
      </c>
      <c r="C423" s="1" t="n">
        <v>45344</v>
      </c>
      <c r="D423" t="inlineStr">
        <is>
          <t>GÄVLEBORGS LÄN</t>
        </is>
      </c>
      <c r="E423" t="inlineStr">
        <is>
          <t>LJUSDAL</t>
        </is>
      </c>
      <c r="G423" t="n">
        <v>1.5</v>
      </c>
      <c r="H423" t="n">
        <v>1</v>
      </c>
      <c r="I423" t="n">
        <v>0</v>
      </c>
      <c r="J423" t="n">
        <v>1</v>
      </c>
      <c r="K423" t="n">
        <v>0</v>
      </c>
      <c r="L423" t="n">
        <v>0</v>
      </c>
      <c r="M423" t="n">
        <v>0</v>
      </c>
      <c r="N423" t="n">
        <v>0</v>
      </c>
      <c r="O423" t="n">
        <v>1</v>
      </c>
      <c r="P423" t="n">
        <v>0</v>
      </c>
      <c r="Q423" t="n">
        <v>1</v>
      </c>
      <c r="R423" s="2" t="inlineStr">
        <is>
          <t>Talltita</t>
        </is>
      </c>
      <c r="S423">
        <f>HYPERLINK("https://klasma.github.io/Logging_2161/artfynd/A 32171-2023 artfynd.xlsx", "A 32171-2023")</f>
        <v/>
      </c>
      <c r="T423">
        <f>HYPERLINK("https://klasma.github.io/Logging_2161/kartor/A 32171-2023 karta.png", "A 32171-2023")</f>
        <v/>
      </c>
      <c r="V423">
        <f>HYPERLINK("https://klasma.github.io/Logging_2161/klagomål/A 32171-2023 FSC-klagomål.docx", "A 32171-2023")</f>
        <v/>
      </c>
      <c r="W423">
        <f>HYPERLINK("https://klasma.github.io/Logging_2161/klagomålsmail/A 32171-2023 FSC-klagomål mail.docx", "A 32171-2023")</f>
        <v/>
      </c>
      <c r="X423">
        <f>HYPERLINK("https://klasma.github.io/Logging_2161/tillsyn/A 32171-2023 tillsynsbegäran.docx", "A 32171-2023")</f>
        <v/>
      </c>
      <c r="Y423">
        <f>HYPERLINK("https://klasma.github.io/Logging_2161/tillsynsmail/A 32171-2023 tillsynsbegäran mail.docx", "A 32171-2023")</f>
        <v/>
      </c>
      <c r="Z423">
        <f>HYPERLINK("https://klasma.github.io/Logging_2161/fåglar/A 32171-2023 prioriterade fågelarter.docx", "A 32171-2023")</f>
        <v/>
      </c>
    </row>
    <row r="424" ht="15" customHeight="1">
      <c r="A424" t="inlineStr">
        <is>
          <t>A 30245-2023</t>
        </is>
      </c>
      <c r="B424" s="1" t="n">
        <v>45110</v>
      </c>
      <c r="C424" s="1" t="n">
        <v>45344</v>
      </c>
      <c r="D424" t="inlineStr">
        <is>
          <t>GÄVLEBORGS LÄN</t>
        </is>
      </c>
      <c r="E424" t="inlineStr">
        <is>
          <t>LJUSDAL</t>
        </is>
      </c>
      <c r="F424" t="inlineStr">
        <is>
          <t>Sveaskog</t>
        </is>
      </c>
      <c r="G424" t="n">
        <v>32.1</v>
      </c>
      <c r="H424" t="n">
        <v>0</v>
      </c>
      <c r="I424" t="n">
        <v>0</v>
      </c>
      <c r="J424" t="n">
        <v>1</v>
      </c>
      <c r="K424" t="n">
        <v>0</v>
      </c>
      <c r="L424" t="n">
        <v>0</v>
      </c>
      <c r="M424" t="n">
        <v>0</v>
      </c>
      <c r="N424" t="n">
        <v>0</v>
      </c>
      <c r="O424" t="n">
        <v>1</v>
      </c>
      <c r="P424" t="n">
        <v>0</v>
      </c>
      <c r="Q424" t="n">
        <v>1</v>
      </c>
      <c r="R424" s="2" t="inlineStr">
        <is>
          <t>Kolflarnlav</t>
        </is>
      </c>
      <c r="S424">
        <f>HYPERLINK("https://klasma.github.io/Logging_2161/artfynd/A 30245-2023 artfynd.xlsx", "A 30245-2023")</f>
        <v/>
      </c>
      <c r="T424">
        <f>HYPERLINK("https://klasma.github.io/Logging_2161/kartor/A 30245-2023 karta.png", "A 30245-2023")</f>
        <v/>
      </c>
      <c r="V424">
        <f>HYPERLINK("https://klasma.github.io/Logging_2161/klagomål/A 30245-2023 FSC-klagomål.docx", "A 30245-2023")</f>
        <v/>
      </c>
      <c r="W424">
        <f>HYPERLINK("https://klasma.github.io/Logging_2161/klagomålsmail/A 30245-2023 FSC-klagomål mail.docx", "A 30245-2023")</f>
        <v/>
      </c>
      <c r="X424">
        <f>HYPERLINK("https://klasma.github.io/Logging_2161/tillsyn/A 30245-2023 tillsynsbegäran.docx", "A 30245-2023")</f>
        <v/>
      </c>
      <c r="Y424">
        <f>HYPERLINK("https://klasma.github.io/Logging_2161/tillsynsmail/A 30245-2023 tillsynsbegäran mail.docx", "A 30245-2023")</f>
        <v/>
      </c>
    </row>
    <row r="425" ht="15" customHeight="1">
      <c r="A425" t="inlineStr">
        <is>
          <t>A 30610-2023</t>
        </is>
      </c>
      <c r="B425" s="1" t="n">
        <v>45112</v>
      </c>
      <c r="C425" s="1" t="n">
        <v>45344</v>
      </c>
      <c r="D425" t="inlineStr">
        <is>
          <t>GÄVLEBORGS LÄN</t>
        </is>
      </c>
      <c r="E425" t="inlineStr">
        <is>
          <t>LJUSDAL</t>
        </is>
      </c>
      <c r="F425" t="inlineStr">
        <is>
          <t>Sveaskog</t>
        </is>
      </c>
      <c r="G425" t="n">
        <v>3.2</v>
      </c>
      <c r="H425" t="n">
        <v>1</v>
      </c>
      <c r="I425" t="n">
        <v>0</v>
      </c>
      <c r="J425" t="n">
        <v>0</v>
      </c>
      <c r="K425" t="n">
        <v>1</v>
      </c>
      <c r="L425" t="n">
        <v>0</v>
      </c>
      <c r="M425" t="n">
        <v>0</v>
      </c>
      <c r="N425" t="n">
        <v>0</v>
      </c>
      <c r="O425" t="n">
        <v>1</v>
      </c>
      <c r="P425" t="n">
        <v>1</v>
      </c>
      <c r="Q425" t="n">
        <v>1</v>
      </c>
      <c r="R425" s="2" t="inlineStr">
        <is>
          <t>Knärot</t>
        </is>
      </c>
      <c r="S425">
        <f>HYPERLINK("https://klasma.github.io/Logging_2161/artfynd/A 30610-2023 artfynd.xlsx", "A 30610-2023")</f>
        <v/>
      </c>
      <c r="T425">
        <f>HYPERLINK("https://klasma.github.io/Logging_2161/kartor/A 30610-2023 karta.png", "A 30610-2023")</f>
        <v/>
      </c>
      <c r="U425">
        <f>HYPERLINK("https://klasma.github.io/Logging_2161/knärot/A 30610-2023 karta knärot.png", "A 30610-2023")</f>
        <v/>
      </c>
      <c r="V425">
        <f>HYPERLINK("https://klasma.github.io/Logging_2161/klagomål/A 30610-2023 FSC-klagomål.docx", "A 30610-2023")</f>
        <v/>
      </c>
      <c r="W425">
        <f>HYPERLINK("https://klasma.github.io/Logging_2161/klagomålsmail/A 30610-2023 FSC-klagomål mail.docx", "A 30610-2023")</f>
        <v/>
      </c>
      <c r="X425">
        <f>HYPERLINK("https://klasma.github.io/Logging_2161/tillsyn/A 30610-2023 tillsynsbegäran.docx", "A 30610-2023")</f>
        <v/>
      </c>
      <c r="Y425">
        <f>HYPERLINK("https://klasma.github.io/Logging_2161/tillsynsmail/A 30610-2023 tillsynsbegäran mail.docx", "A 30610-2023")</f>
        <v/>
      </c>
    </row>
    <row r="426" ht="15" customHeight="1">
      <c r="A426" t="inlineStr">
        <is>
          <t>A 31125-2023</t>
        </is>
      </c>
      <c r="B426" s="1" t="n">
        <v>45113</v>
      </c>
      <c r="C426" s="1" t="n">
        <v>45344</v>
      </c>
      <c r="D426" t="inlineStr">
        <is>
          <t>GÄVLEBORGS LÄN</t>
        </is>
      </c>
      <c r="E426" t="inlineStr">
        <is>
          <t>LJUSDAL</t>
        </is>
      </c>
      <c r="F426" t="inlineStr">
        <is>
          <t>Sveaskog</t>
        </is>
      </c>
      <c r="G426" t="n">
        <v>1.8</v>
      </c>
      <c r="H426" t="n">
        <v>0</v>
      </c>
      <c r="I426" t="n">
        <v>1</v>
      </c>
      <c r="J426" t="n">
        <v>0</v>
      </c>
      <c r="K426" t="n">
        <v>0</v>
      </c>
      <c r="L426" t="n">
        <v>0</v>
      </c>
      <c r="M426" t="n">
        <v>0</v>
      </c>
      <c r="N426" t="n">
        <v>0</v>
      </c>
      <c r="O426" t="n">
        <v>0</v>
      </c>
      <c r="P426" t="n">
        <v>0</v>
      </c>
      <c r="Q426" t="n">
        <v>1</v>
      </c>
      <c r="R426" s="2" t="inlineStr">
        <is>
          <t>Stuplav</t>
        </is>
      </c>
      <c r="S426">
        <f>HYPERLINK("https://klasma.github.io/Logging_2161/artfynd/A 31125-2023 artfynd.xlsx", "A 31125-2023")</f>
        <v/>
      </c>
      <c r="T426">
        <f>HYPERLINK("https://klasma.github.io/Logging_2161/kartor/A 31125-2023 karta.png", "A 31125-2023")</f>
        <v/>
      </c>
      <c r="V426">
        <f>HYPERLINK("https://klasma.github.io/Logging_2161/klagomål/A 31125-2023 FSC-klagomål.docx", "A 31125-2023")</f>
        <v/>
      </c>
      <c r="W426">
        <f>HYPERLINK("https://klasma.github.io/Logging_2161/klagomålsmail/A 31125-2023 FSC-klagomål mail.docx", "A 31125-2023")</f>
        <v/>
      </c>
      <c r="X426">
        <f>HYPERLINK("https://klasma.github.io/Logging_2161/tillsyn/A 31125-2023 tillsynsbegäran.docx", "A 31125-2023")</f>
        <v/>
      </c>
      <c r="Y426">
        <f>HYPERLINK("https://klasma.github.io/Logging_2161/tillsynsmail/A 31125-2023 tillsynsbegäran mail.docx", "A 31125-2023")</f>
        <v/>
      </c>
    </row>
    <row r="427" ht="15" customHeight="1">
      <c r="A427" t="inlineStr">
        <is>
          <t>A 31127-2023</t>
        </is>
      </c>
      <c r="B427" s="1" t="n">
        <v>45113</v>
      </c>
      <c r="C427" s="1" t="n">
        <v>45344</v>
      </c>
      <c r="D427" t="inlineStr">
        <is>
          <t>GÄVLEBORGS LÄN</t>
        </is>
      </c>
      <c r="E427" t="inlineStr">
        <is>
          <t>LJUSDAL</t>
        </is>
      </c>
      <c r="F427" t="inlineStr">
        <is>
          <t>Sveaskog</t>
        </is>
      </c>
      <c r="G427" t="n">
        <v>6.8</v>
      </c>
      <c r="H427" t="n">
        <v>0</v>
      </c>
      <c r="I427" t="n">
        <v>0</v>
      </c>
      <c r="J427" t="n">
        <v>1</v>
      </c>
      <c r="K427" t="n">
        <v>0</v>
      </c>
      <c r="L427" t="n">
        <v>0</v>
      </c>
      <c r="M427" t="n">
        <v>0</v>
      </c>
      <c r="N427" t="n">
        <v>0</v>
      </c>
      <c r="O427" t="n">
        <v>1</v>
      </c>
      <c r="P427" t="n">
        <v>0</v>
      </c>
      <c r="Q427" t="n">
        <v>1</v>
      </c>
      <c r="R427" s="2" t="inlineStr">
        <is>
          <t>Mörk kolflarnlav</t>
        </is>
      </c>
      <c r="S427">
        <f>HYPERLINK("https://klasma.github.io/Logging_2161/artfynd/A 31127-2023 artfynd.xlsx", "A 31127-2023")</f>
        <v/>
      </c>
      <c r="T427">
        <f>HYPERLINK("https://klasma.github.io/Logging_2161/kartor/A 31127-2023 karta.png", "A 31127-2023")</f>
        <v/>
      </c>
      <c r="V427">
        <f>HYPERLINK("https://klasma.github.io/Logging_2161/klagomål/A 31127-2023 FSC-klagomål.docx", "A 31127-2023")</f>
        <v/>
      </c>
      <c r="W427">
        <f>HYPERLINK("https://klasma.github.io/Logging_2161/klagomålsmail/A 31127-2023 FSC-klagomål mail.docx", "A 31127-2023")</f>
        <v/>
      </c>
      <c r="X427">
        <f>HYPERLINK("https://klasma.github.io/Logging_2161/tillsyn/A 31127-2023 tillsynsbegäran.docx", "A 31127-2023")</f>
        <v/>
      </c>
      <c r="Y427">
        <f>HYPERLINK("https://klasma.github.io/Logging_2161/tillsynsmail/A 31127-2023 tillsynsbegäran mail.docx", "A 31127-2023")</f>
        <v/>
      </c>
    </row>
    <row r="428" ht="15" customHeight="1">
      <c r="A428" t="inlineStr">
        <is>
          <t>A 33491-2023</t>
        </is>
      </c>
      <c r="B428" s="1" t="n">
        <v>45118</v>
      </c>
      <c r="C428" s="1" t="n">
        <v>45344</v>
      </c>
      <c r="D428" t="inlineStr">
        <is>
          <t>GÄVLEBORGS LÄN</t>
        </is>
      </c>
      <c r="E428" t="inlineStr">
        <is>
          <t>HOFORS</t>
        </is>
      </c>
      <c r="F428" t="inlineStr">
        <is>
          <t>Bergvik skog väst AB</t>
        </is>
      </c>
      <c r="G428" t="n">
        <v>32.3</v>
      </c>
      <c r="H428" t="n">
        <v>1</v>
      </c>
      <c r="I428" t="n">
        <v>0</v>
      </c>
      <c r="J428" t="n">
        <v>0</v>
      </c>
      <c r="K428" t="n">
        <v>0</v>
      </c>
      <c r="L428" t="n">
        <v>0</v>
      </c>
      <c r="M428" t="n">
        <v>0</v>
      </c>
      <c r="N428" t="n">
        <v>0</v>
      </c>
      <c r="O428" t="n">
        <v>0</v>
      </c>
      <c r="P428" t="n">
        <v>0</v>
      </c>
      <c r="Q428" t="n">
        <v>1</v>
      </c>
      <c r="R428" s="2" t="inlineStr">
        <is>
          <t>Revlummer</t>
        </is>
      </c>
      <c r="S428">
        <f>HYPERLINK("https://klasma.github.io/Logging_2104/artfynd/A 33491-2023 artfynd.xlsx", "A 33491-2023")</f>
        <v/>
      </c>
      <c r="T428">
        <f>HYPERLINK("https://klasma.github.io/Logging_2104/kartor/A 33491-2023 karta.png", "A 33491-2023")</f>
        <v/>
      </c>
      <c r="V428">
        <f>HYPERLINK("https://klasma.github.io/Logging_2104/klagomål/A 33491-2023 FSC-klagomål.docx", "A 33491-2023")</f>
        <v/>
      </c>
      <c r="W428">
        <f>HYPERLINK("https://klasma.github.io/Logging_2104/klagomålsmail/A 33491-2023 FSC-klagomål mail.docx", "A 33491-2023")</f>
        <v/>
      </c>
      <c r="X428">
        <f>HYPERLINK("https://klasma.github.io/Logging_2104/tillsyn/A 33491-2023 tillsynsbegäran.docx", "A 33491-2023")</f>
        <v/>
      </c>
      <c r="Y428">
        <f>HYPERLINK("https://klasma.github.io/Logging_2104/tillsynsmail/A 33491-2023 tillsynsbegäran mail.docx", "A 33491-2023")</f>
        <v/>
      </c>
    </row>
    <row r="429" ht="15" customHeight="1">
      <c r="A429" t="inlineStr">
        <is>
          <t>A 32254-2023</t>
        </is>
      </c>
      <c r="B429" s="1" t="n">
        <v>45120</v>
      </c>
      <c r="C429" s="1" t="n">
        <v>45344</v>
      </c>
      <c r="D429" t="inlineStr">
        <is>
          <t>GÄVLEBORGS LÄN</t>
        </is>
      </c>
      <c r="E429" t="inlineStr">
        <is>
          <t>GÄVLE</t>
        </is>
      </c>
      <c r="G429" t="n">
        <v>2.5</v>
      </c>
      <c r="H429" t="n">
        <v>0</v>
      </c>
      <c r="I429" t="n">
        <v>0</v>
      </c>
      <c r="J429" t="n">
        <v>1</v>
      </c>
      <c r="K429" t="n">
        <v>0</v>
      </c>
      <c r="L429" t="n">
        <v>0</v>
      </c>
      <c r="M429" t="n">
        <v>0</v>
      </c>
      <c r="N429" t="n">
        <v>0</v>
      </c>
      <c r="O429" t="n">
        <v>1</v>
      </c>
      <c r="P429" t="n">
        <v>0</v>
      </c>
      <c r="Q429" t="n">
        <v>1</v>
      </c>
      <c r="R429" s="2" t="inlineStr">
        <is>
          <t>Slåtterfibbla</t>
        </is>
      </c>
      <c r="S429">
        <f>HYPERLINK("https://klasma.github.io/Logging_2180/artfynd/A 32254-2023 artfynd.xlsx", "A 32254-2023")</f>
        <v/>
      </c>
      <c r="T429">
        <f>HYPERLINK("https://klasma.github.io/Logging_2180/kartor/A 32254-2023 karta.png", "A 32254-2023")</f>
        <v/>
      </c>
      <c r="V429">
        <f>HYPERLINK("https://klasma.github.io/Logging_2180/klagomål/A 32254-2023 FSC-klagomål.docx", "A 32254-2023")</f>
        <v/>
      </c>
      <c r="W429">
        <f>HYPERLINK("https://klasma.github.io/Logging_2180/klagomålsmail/A 32254-2023 FSC-klagomål mail.docx", "A 32254-2023")</f>
        <v/>
      </c>
      <c r="X429">
        <f>HYPERLINK("https://klasma.github.io/Logging_2180/tillsyn/A 32254-2023 tillsynsbegäran.docx", "A 32254-2023")</f>
        <v/>
      </c>
      <c r="Y429">
        <f>HYPERLINK("https://klasma.github.io/Logging_2180/tillsynsmail/A 32254-2023 tillsynsbegäran mail.docx", "A 32254-2023")</f>
        <v/>
      </c>
    </row>
    <row r="430" ht="15" customHeight="1">
      <c r="A430" t="inlineStr">
        <is>
          <t>A 32499-2023</t>
        </is>
      </c>
      <c r="B430" s="1" t="n">
        <v>45121</v>
      </c>
      <c r="C430" s="1" t="n">
        <v>45344</v>
      </c>
      <c r="D430" t="inlineStr">
        <is>
          <t>GÄVLEBORGS LÄN</t>
        </is>
      </c>
      <c r="E430" t="inlineStr">
        <is>
          <t>LJUSDAL</t>
        </is>
      </c>
      <c r="F430" t="inlineStr">
        <is>
          <t>Sveaskog</t>
        </is>
      </c>
      <c r="G430" t="n">
        <v>2.6</v>
      </c>
      <c r="H430" t="n">
        <v>1</v>
      </c>
      <c r="I430" t="n">
        <v>0</v>
      </c>
      <c r="J430" t="n">
        <v>0</v>
      </c>
      <c r="K430" t="n">
        <v>1</v>
      </c>
      <c r="L430" t="n">
        <v>0</v>
      </c>
      <c r="M430" t="n">
        <v>0</v>
      </c>
      <c r="N430" t="n">
        <v>0</v>
      </c>
      <c r="O430" t="n">
        <v>1</v>
      </c>
      <c r="P430" t="n">
        <v>1</v>
      </c>
      <c r="Q430" t="n">
        <v>1</v>
      </c>
      <c r="R430" s="2" t="inlineStr">
        <is>
          <t>Knärot</t>
        </is>
      </c>
      <c r="S430">
        <f>HYPERLINK("https://klasma.github.io/Logging_2161/artfynd/A 32499-2023 artfynd.xlsx", "A 32499-2023")</f>
        <v/>
      </c>
      <c r="T430">
        <f>HYPERLINK("https://klasma.github.io/Logging_2161/kartor/A 32499-2023 karta.png", "A 32499-2023")</f>
        <v/>
      </c>
      <c r="U430">
        <f>HYPERLINK("https://klasma.github.io/Logging_2161/knärot/A 32499-2023 karta knärot.png", "A 32499-2023")</f>
        <v/>
      </c>
      <c r="V430">
        <f>HYPERLINK("https://klasma.github.io/Logging_2161/klagomål/A 32499-2023 FSC-klagomål.docx", "A 32499-2023")</f>
        <v/>
      </c>
      <c r="W430">
        <f>HYPERLINK("https://klasma.github.io/Logging_2161/klagomålsmail/A 32499-2023 FSC-klagomål mail.docx", "A 32499-2023")</f>
        <v/>
      </c>
      <c r="X430">
        <f>HYPERLINK("https://klasma.github.io/Logging_2161/tillsyn/A 32499-2023 tillsynsbegäran.docx", "A 32499-2023")</f>
        <v/>
      </c>
      <c r="Y430">
        <f>HYPERLINK("https://klasma.github.io/Logging_2161/tillsynsmail/A 32499-2023 tillsynsbegäran mail.docx", "A 32499-2023")</f>
        <v/>
      </c>
    </row>
    <row r="431" ht="15" customHeight="1">
      <c r="A431" t="inlineStr">
        <is>
          <t>A 32497-2023</t>
        </is>
      </c>
      <c r="B431" s="1" t="n">
        <v>45121</v>
      </c>
      <c r="C431" s="1" t="n">
        <v>45344</v>
      </c>
      <c r="D431" t="inlineStr">
        <is>
          <t>GÄVLEBORGS LÄN</t>
        </is>
      </c>
      <c r="E431" t="inlineStr">
        <is>
          <t>LJUSDAL</t>
        </is>
      </c>
      <c r="F431" t="inlineStr">
        <is>
          <t>Sveaskog</t>
        </is>
      </c>
      <c r="G431" t="n">
        <v>2.6</v>
      </c>
      <c r="H431" t="n">
        <v>1</v>
      </c>
      <c r="I431" t="n">
        <v>0</v>
      </c>
      <c r="J431" t="n">
        <v>0</v>
      </c>
      <c r="K431" t="n">
        <v>1</v>
      </c>
      <c r="L431" t="n">
        <v>0</v>
      </c>
      <c r="M431" t="n">
        <v>0</v>
      </c>
      <c r="N431" t="n">
        <v>0</v>
      </c>
      <c r="O431" t="n">
        <v>1</v>
      </c>
      <c r="P431" t="n">
        <v>1</v>
      </c>
      <c r="Q431" t="n">
        <v>1</v>
      </c>
      <c r="R431" s="2" t="inlineStr">
        <is>
          <t>Knärot</t>
        </is>
      </c>
      <c r="S431">
        <f>HYPERLINK("https://klasma.github.io/Logging_2161/artfynd/A 32497-2023 artfynd.xlsx", "A 32497-2023")</f>
        <v/>
      </c>
      <c r="T431">
        <f>HYPERLINK("https://klasma.github.io/Logging_2161/kartor/A 32497-2023 karta.png", "A 32497-2023")</f>
        <v/>
      </c>
      <c r="U431">
        <f>HYPERLINK("https://klasma.github.io/Logging_2161/knärot/A 32497-2023 karta knärot.png", "A 32497-2023")</f>
        <v/>
      </c>
      <c r="V431">
        <f>HYPERLINK("https://klasma.github.io/Logging_2161/klagomål/A 32497-2023 FSC-klagomål.docx", "A 32497-2023")</f>
        <v/>
      </c>
      <c r="W431">
        <f>HYPERLINK("https://klasma.github.io/Logging_2161/klagomålsmail/A 32497-2023 FSC-klagomål mail.docx", "A 32497-2023")</f>
        <v/>
      </c>
      <c r="X431">
        <f>HYPERLINK("https://klasma.github.io/Logging_2161/tillsyn/A 32497-2023 tillsynsbegäran.docx", "A 32497-2023")</f>
        <v/>
      </c>
      <c r="Y431">
        <f>HYPERLINK("https://klasma.github.io/Logging_2161/tillsynsmail/A 32497-2023 tillsynsbegäran mail.docx", "A 32497-2023")</f>
        <v/>
      </c>
    </row>
    <row r="432" ht="15" customHeight="1">
      <c r="A432" t="inlineStr">
        <is>
          <t>A 33298-2023</t>
        </is>
      </c>
      <c r="B432" s="1" t="n">
        <v>45127</v>
      </c>
      <c r="C432" s="1" t="n">
        <v>45344</v>
      </c>
      <c r="D432" t="inlineStr">
        <is>
          <t>GÄVLEBORGS LÄN</t>
        </is>
      </c>
      <c r="E432" t="inlineStr">
        <is>
          <t>HOFORS</t>
        </is>
      </c>
      <c r="F432" t="inlineStr">
        <is>
          <t>Sveaskog</t>
        </is>
      </c>
      <c r="G432" t="n">
        <v>5.6</v>
      </c>
      <c r="H432" t="n">
        <v>0</v>
      </c>
      <c r="I432" t="n">
        <v>1</v>
      </c>
      <c r="J432" t="n">
        <v>0</v>
      </c>
      <c r="K432" t="n">
        <v>0</v>
      </c>
      <c r="L432" t="n">
        <v>0</v>
      </c>
      <c r="M432" t="n">
        <v>0</v>
      </c>
      <c r="N432" t="n">
        <v>0</v>
      </c>
      <c r="O432" t="n">
        <v>0</v>
      </c>
      <c r="P432" t="n">
        <v>0</v>
      </c>
      <c r="Q432" t="n">
        <v>1</v>
      </c>
      <c r="R432" s="2" t="inlineStr">
        <is>
          <t>Vedticka</t>
        </is>
      </c>
      <c r="S432">
        <f>HYPERLINK("https://klasma.github.io/Logging_2104/artfynd/A 33298-2023 artfynd.xlsx", "A 33298-2023")</f>
        <v/>
      </c>
      <c r="T432">
        <f>HYPERLINK("https://klasma.github.io/Logging_2104/kartor/A 33298-2023 karta.png", "A 33298-2023")</f>
        <v/>
      </c>
      <c r="V432">
        <f>HYPERLINK("https://klasma.github.io/Logging_2104/klagomål/A 33298-2023 FSC-klagomål.docx", "A 33298-2023")</f>
        <v/>
      </c>
      <c r="W432">
        <f>HYPERLINK("https://klasma.github.io/Logging_2104/klagomålsmail/A 33298-2023 FSC-klagomål mail.docx", "A 33298-2023")</f>
        <v/>
      </c>
      <c r="X432">
        <f>HYPERLINK("https://klasma.github.io/Logging_2104/tillsyn/A 33298-2023 tillsynsbegäran.docx", "A 33298-2023")</f>
        <v/>
      </c>
      <c r="Y432">
        <f>HYPERLINK("https://klasma.github.io/Logging_2104/tillsynsmail/A 33298-2023 tillsynsbegäran mail.docx", "A 33298-2023")</f>
        <v/>
      </c>
    </row>
    <row r="433" ht="15" customHeight="1">
      <c r="A433" t="inlineStr">
        <is>
          <t>A 34244-2023</t>
        </is>
      </c>
      <c r="B433" s="1" t="n">
        <v>45138</v>
      </c>
      <c r="C433" s="1" t="n">
        <v>45344</v>
      </c>
      <c r="D433" t="inlineStr">
        <is>
          <t>GÄVLEBORGS LÄN</t>
        </is>
      </c>
      <c r="E433" t="inlineStr">
        <is>
          <t>HOFORS</t>
        </is>
      </c>
      <c r="F433" t="inlineStr">
        <is>
          <t>Sveaskog</t>
        </is>
      </c>
      <c r="G433" t="n">
        <v>3.3</v>
      </c>
      <c r="H433" t="n">
        <v>1</v>
      </c>
      <c r="I433" t="n">
        <v>0</v>
      </c>
      <c r="J433" t="n">
        <v>0</v>
      </c>
      <c r="K433" t="n">
        <v>0</v>
      </c>
      <c r="L433" t="n">
        <v>0</v>
      </c>
      <c r="M433" t="n">
        <v>0</v>
      </c>
      <c r="N433" t="n">
        <v>0</v>
      </c>
      <c r="O433" t="n">
        <v>0</v>
      </c>
      <c r="P433" t="n">
        <v>0</v>
      </c>
      <c r="Q433" t="n">
        <v>1</v>
      </c>
      <c r="R433" s="2" t="inlineStr">
        <is>
          <t>Fläcknycklar</t>
        </is>
      </c>
      <c r="S433">
        <f>HYPERLINK("https://klasma.github.io/Logging_2104/artfynd/A 34244-2023 artfynd.xlsx", "A 34244-2023")</f>
        <v/>
      </c>
      <c r="T433">
        <f>HYPERLINK("https://klasma.github.io/Logging_2104/kartor/A 34244-2023 karta.png", "A 34244-2023")</f>
        <v/>
      </c>
      <c r="V433">
        <f>HYPERLINK("https://klasma.github.io/Logging_2104/klagomål/A 34244-2023 FSC-klagomål.docx", "A 34244-2023")</f>
        <v/>
      </c>
      <c r="W433">
        <f>HYPERLINK("https://klasma.github.io/Logging_2104/klagomålsmail/A 34244-2023 FSC-klagomål mail.docx", "A 34244-2023")</f>
        <v/>
      </c>
      <c r="X433">
        <f>HYPERLINK("https://klasma.github.io/Logging_2104/tillsyn/A 34244-2023 tillsynsbegäran.docx", "A 34244-2023")</f>
        <v/>
      </c>
      <c r="Y433">
        <f>HYPERLINK("https://klasma.github.io/Logging_2104/tillsynsmail/A 34244-2023 tillsynsbegäran mail.docx", "A 34244-2023")</f>
        <v/>
      </c>
    </row>
    <row r="434" ht="15" customHeight="1">
      <c r="A434" t="inlineStr">
        <is>
          <t>A 35086-2023</t>
        </is>
      </c>
      <c r="B434" s="1" t="n">
        <v>45145</v>
      </c>
      <c r="C434" s="1" t="n">
        <v>45344</v>
      </c>
      <c r="D434" t="inlineStr">
        <is>
          <t>GÄVLEBORGS LÄN</t>
        </is>
      </c>
      <c r="E434" t="inlineStr">
        <is>
          <t>LJUSDAL</t>
        </is>
      </c>
      <c r="F434" t="inlineStr">
        <is>
          <t>Sveaskog</t>
        </is>
      </c>
      <c r="G434" t="n">
        <v>5</v>
      </c>
      <c r="H434" t="n">
        <v>0</v>
      </c>
      <c r="I434" t="n">
        <v>0</v>
      </c>
      <c r="J434" t="n">
        <v>1</v>
      </c>
      <c r="K434" t="n">
        <v>0</v>
      </c>
      <c r="L434" t="n">
        <v>0</v>
      </c>
      <c r="M434" t="n">
        <v>0</v>
      </c>
      <c r="N434" t="n">
        <v>0</v>
      </c>
      <c r="O434" t="n">
        <v>1</v>
      </c>
      <c r="P434" t="n">
        <v>0</v>
      </c>
      <c r="Q434" t="n">
        <v>1</v>
      </c>
      <c r="R434" s="2" t="inlineStr">
        <is>
          <t>Kolflarnlav</t>
        </is>
      </c>
      <c r="S434">
        <f>HYPERLINK("https://klasma.github.io/Logging_2161/artfynd/A 35086-2023 artfynd.xlsx", "A 35086-2023")</f>
        <v/>
      </c>
      <c r="T434">
        <f>HYPERLINK("https://klasma.github.io/Logging_2161/kartor/A 35086-2023 karta.png", "A 35086-2023")</f>
        <v/>
      </c>
      <c r="V434">
        <f>HYPERLINK("https://klasma.github.io/Logging_2161/klagomål/A 35086-2023 FSC-klagomål.docx", "A 35086-2023")</f>
        <v/>
      </c>
      <c r="W434">
        <f>HYPERLINK("https://klasma.github.io/Logging_2161/klagomålsmail/A 35086-2023 FSC-klagomål mail.docx", "A 35086-2023")</f>
        <v/>
      </c>
      <c r="X434">
        <f>HYPERLINK("https://klasma.github.io/Logging_2161/tillsyn/A 35086-2023 tillsynsbegäran.docx", "A 35086-2023")</f>
        <v/>
      </c>
      <c r="Y434">
        <f>HYPERLINK("https://klasma.github.io/Logging_2161/tillsynsmail/A 35086-2023 tillsynsbegäran mail.docx", "A 35086-2023")</f>
        <v/>
      </c>
    </row>
    <row r="435" ht="15" customHeight="1">
      <c r="A435" t="inlineStr">
        <is>
          <t>A 35080-2023</t>
        </is>
      </c>
      <c r="B435" s="1" t="n">
        <v>45145</v>
      </c>
      <c r="C435" s="1" t="n">
        <v>45344</v>
      </c>
      <c r="D435" t="inlineStr">
        <is>
          <t>GÄVLEBORGS LÄN</t>
        </is>
      </c>
      <c r="E435" t="inlineStr">
        <is>
          <t>LJUSDAL</t>
        </is>
      </c>
      <c r="F435" t="inlineStr">
        <is>
          <t>Sveaskog</t>
        </is>
      </c>
      <c r="G435" t="n">
        <v>2.9</v>
      </c>
      <c r="H435" t="n">
        <v>0</v>
      </c>
      <c r="I435" t="n">
        <v>0</v>
      </c>
      <c r="J435" t="n">
        <v>1</v>
      </c>
      <c r="K435" t="n">
        <v>0</v>
      </c>
      <c r="L435" t="n">
        <v>0</v>
      </c>
      <c r="M435" t="n">
        <v>0</v>
      </c>
      <c r="N435" t="n">
        <v>0</v>
      </c>
      <c r="O435" t="n">
        <v>1</v>
      </c>
      <c r="P435" t="n">
        <v>0</v>
      </c>
      <c r="Q435" t="n">
        <v>1</v>
      </c>
      <c r="R435" s="2" t="inlineStr">
        <is>
          <t>Vedflamlav</t>
        </is>
      </c>
      <c r="S435">
        <f>HYPERLINK("https://klasma.github.io/Logging_2161/artfynd/A 35080-2023 artfynd.xlsx", "A 35080-2023")</f>
        <v/>
      </c>
      <c r="T435">
        <f>HYPERLINK("https://klasma.github.io/Logging_2161/kartor/A 35080-2023 karta.png", "A 35080-2023")</f>
        <v/>
      </c>
      <c r="V435">
        <f>HYPERLINK("https://klasma.github.io/Logging_2161/klagomål/A 35080-2023 FSC-klagomål.docx", "A 35080-2023")</f>
        <v/>
      </c>
      <c r="W435">
        <f>HYPERLINK("https://klasma.github.io/Logging_2161/klagomålsmail/A 35080-2023 FSC-klagomål mail.docx", "A 35080-2023")</f>
        <v/>
      </c>
      <c r="X435">
        <f>HYPERLINK("https://klasma.github.io/Logging_2161/tillsyn/A 35080-2023 tillsynsbegäran.docx", "A 35080-2023")</f>
        <v/>
      </c>
      <c r="Y435">
        <f>HYPERLINK("https://klasma.github.io/Logging_2161/tillsynsmail/A 35080-2023 tillsynsbegäran mail.docx", "A 35080-2023")</f>
        <v/>
      </c>
    </row>
    <row r="436" ht="15" customHeight="1">
      <c r="A436" t="inlineStr">
        <is>
          <t>A 35614-2023</t>
        </is>
      </c>
      <c r="B436" s="1" t="n">
        <v>45147</v>
      </c>
      <c r="C436" s="1" t="n">
        <v>45344</v>
      </c>
      <c r="D436" t="inlineStr">
        <is>
          <t>GÄVLEBORGS LÄN</t>
        </is>
      </c>
      <c r="E436" t="inlineStr">
        <is>
          <t>HOFORS</t>
        </is>
      </c>
      <c r="G436" t="n">
        <v>0.9</v>
      </c>
      <c r="H436" t="n">
        <v>0</v>
      </c>
      <c r="I436" t="n">
        <v>0</v>
      </c>
      <c r="J436" t="n">
        <v>1</v>
      </c>
      <c r="K436" t="n">
        <v>0</v>
      </c>
      <c r="L436" t="n">
        <v>0</v>
      </c>
      <c r="M436" t="n">
        <v>0</v>
      </c>
      <c r="N436" t="n">
        <v>0</v>
      </c>
      <c r="O436" t="n">
        <v>1</v>
      </c>
      <c r="P436" t="n">
        <v>0</v>
      </c>
      <c r="Q436" t="n">
        <v>1</v>
      </c>
      <c r="R436" s="2" t="inlineStr">
        <is>
          <t>Slät tallkapuschongbagge</t>
        </is>
      </c>
      <c r="S436">
        <f>HYPERLINK("https://klasma.github.io/Logging_2104/artfynd/A 35614-2023 artfynd.xlsx", "A 35614-2023")</f>
        <v/>
      </c>
      <c r="T436">
        <f>HYPERLINK("https://klasma.github.io/Logging_2104/kartor/A 35614-2023 karta.png", "A 35614-2023")</f>
        <v/>
      </c>
      <c r="V436">
        <f>HYPERLINK("https://klasma.github.io/Logging_2104/klagomål/A 35614-2023 FSC-klagomål.docx", "A 35614-2023")</f>
        <v/>
      </c>
      <c r="W436">
        <f>HYPERLINK("https://klasma.github.io/Logging_2104/klagomålsmail/A 35614-2023 FSC-klagomål mail.docx", "A 35614-2023")</f>
        <v/>
      </c>
      <c r="X436">
        <f>HYPERLINK("https://klasma.github.io/Logging_2104/tillsyn/A 35614-2023 tillsynsbegäran.docx", "A 35614-2023")</f>
        <v/>
      </c>
      <c r="Y436">
        <f>HYPERLINK("https://klasma.github.io/Logging_2104/tillsynsmail/A 35614-2023 tillsynsbegäran mail.docx", "A 35614-2023")</f>
        <v/>
      </c>
    </row>
    <row r="437" ht="15" customHeight="1">
      <c r="A437" t="inlineStr">
        <is>
          <t>A 36101-2023</t>
        </is>
      </c>
      <c r="B437" s="1" t="n">
        <v>45149</v>
      </c>
      <c r="C437" s="1" t="n">
        <v>45344</v>
      </c>
      <c r="D437" t="inlineStr">
        <is>
          <t>GÄVLEBORGS LÄN</t>
        </is>
      </c>
      <c r="E437" t="inlineStr">
        <is>
          <t>LJUSDAL</t>
        </is>
      </c>
      <c r="F437" t="inlineStr">
        <is>
          <t>Sveaskog</t>
        </is>
      </c>
      <c r="G437" t="n">
        <v>1.2</v>
      </c>
      <c r="H437" t="n">
        <v>0</v>
      </c>
      <c r="I437" t="n">
        <v>0</v>
      </c>
      <c r="J437" t="n">
        <v>1</v>
      </c>
      <c r="K437" t="n">
        <v>0</v>
      </c>
      <c r="L437" t="n">
        <v>0</v>
      </c>
      <c r="M437" t="n">
        <v>0</v>
      </c>
      <c r="N437" t="n">
        <v>0</v>
      </c>
      <c r="O437" t="n">
        <v>1</v>
      </c>
      <c r="P437" t="n">
        <v>0</v>
      </c>
      <c r="Q437" t="n">
        <v>1</v>
      </c>
      <c r="R437" s="2" t="inlineStr">
        <is>
          <t>Lunglav</t>
        </is>
      </c>
      <c r="S437">
        <f>HYPERLINK("https://klasma.github.io/Logging_2161/artfynd/A 36101-2023 artfynd.xlsx", "A 36101-2023")</f>
        <v/>
      </c>
      <c r="T437">
        <f>HYPERLINK("https://klasma.github.io/Logging_2161/kartor/A 36101-2023 karta.png", "A 36101-2023")</f>
        <v/>
      </c>
      <c r="V437">
        <f>HYPERLINK("https://klasma.github.io/Logging_2161/klagomål/A 36101-2023 FSC-klagomål.docx", "A 36101-2023")</f>
        <v/>
      </c>
      <c r="W437">
        <f>HYPERLINK("https://klasma.github.io/Logging_2161/klagomålsmail/A 36101-2023 FSC-klagomål mail.docx", "A 36101-2023")</f>
        <v/>
      </c>
      <c r="X437">
        <f>HYPERLINK("https://klasma.github.io/Logging_2161/tillsyn/A 36101-2023 tillsynsbegäran.docx", "A 36101-2023")</f>
        <v/>
      </c>
      <c r="Y437">
        <f>HYPERLINK("https://klasma.github.io/Logging_2161/tillsynsmail/A 36101-2023 tillsynsbegäran mail.docx", "A 36101-2023")</f>
        <v/>
      </c>
    </row>
    <row r="438" ht="15" customHeight="1">
      <c r="A438" t="inlineStr">
        <is>
          <t>A 36184-2023</t>
        </is>
      </c>
      <c r="B438" s="1" t="n">
        <v>45149</v>
      </c>
      <c r="C438" s="1" t="n">
        <v>45344</v>
      </c>
      <c r="D438" t="inlineStr">
        <is>
          <t>GÄVLEBORGS LÄN</t>
        </is>
      </c>
      <c r="E438" t="inlineStr">
        <is>
          <t>LJUSDAL</t>
        </is>
      </c>
      <c r="F438" t="inlineStr">
        <is>
          <t>Sveaskog</t>
        </is>
      </c>
      <c r="G438" t="n">
        <v>3</v>
      </c>
      <c r="H438" t="n">
        <v>0</v>
      </c>
      <c r="I438" t="n">
        <v>0</v>
      </c>
      <c r="J438" t="n">
        <v>1</v>
      </c>
      <c r="K438" t="n">
        <v>0</v>
      </c>
      <c r="L438" t="n">
        <v>0</v>
      </c>
      <c r="M438" t="n">
        <v>0</v>
      </c>
      <c r="N438" t="n">
        <v>0</v>
      </c>
      <c r="O438" t="n">
        <v>1</v>
      </c>
      <c r="P438" t="n">
        <v>0</v>
      </c>
      <c r="Q438" t="n">
        <v>1</v>
      </c>
      <c r="R438" s="2" t="inlineStr">
        <is>
          <t>Kolflarnlav</t>
        </is>
      </c>
      <c r="S438">
        <f>HYPERLINK("https://klasma.github.io/Logging_2161/artfynd/A 36184-2023 artfynd.xlsx", "A 36184-2023")</f>
        <v/>
      </c>
      <c r="T438">
        <f>HYPERLINK("https://klasma.github.io/Logging_2161/kartor/A 36184-2023 karta.png", "A 36184-2023")</f>
        <v/>
      </c>
      <c r="V438">
        <f>HYPERLINK("https://klasma.github.io/Logging_2161/klagomål/A 36184-2023 FSC-klagomål.docx", "A 36184-2023")</f>
        <v/>
      </c>
      <c r="W438">
        <f>HYPERLINK("https://klasma.github.io/Logging_2161/klagomålsmail/A 36184-2023 FSC-klagomål mail.docx", "A 36184-2023")</f>
        <v/>
      </c>
      <c r="X438">
        <f>HYPERLINK("https://klasma.github.io/Logging_2161/tillsyn/A 36184-2023 tillsynsbegäran.docx", "A 36184-2023")</f>
        <v/>
      </c>
      <c r="Y438">
        <f>HYPERLINK("https://klasma.github.io/Logging_2161/tillsynsmail/A 36184-2023 tillsynsbegäran mail.docx", "A 36184-2023")</f>
        <v/>
      </c>
    </row>
    <row r="439" ht="15" customHeight="1">
      <c r="A439" t="inlineStr">
        <is>
          <t>A 36809-2023</t>
        </is>
      </c>
      <c r="B439" s="1" t="n">
        <v>45154</v>
      </c>
      <c r="C439" s="1" t="n">
        <v>45344</v>
      </c>
      <c r="D439" t="inlineStr">
        <is>
          <t>GÄVLEBORGS LÄN</t>
        </is>
      </c>
      <c r="E439" t="inlineStr">
        <is>
          <t>OVANÅKER</t>
        </is>
      </c>
      <c r="F439" t="inlineStr">
        <is>
          <t>Bergvik skog väst AB</t>
        </is>
      </c>
      <c r="G439" t="n">
        <v>1.7</v>
      </c>
      <c r="H439" t="n">
        <v>0</v>
      </c>
      <c r="I439" t="n">
        <v>0</v>
      </c>
      <c r="J439" t="n">
        <v>1</v>
      </c>
      <c r="K439" t="n">
        <v>0</v>
      </c>
      <c r="L439" t="n">
        <v>0</v>
      </c>
      <c r="M439" t="n">
        <v>0</v>
      </c>
      <c r="N439" t="n">
        <v>0</v>
      </c>
      <c r="O439" t="n">
        <v>1</v>
      </c>
      <c r="P439" t="n">
        <v>0</v>
      </c>
      <c r="Q439" t="n">
        <v>1</v>
      </c>
      <c r="R439" s="2" t="inlineStr">
        <is>
          <t>Garnlav</t>
        </is>
      </c>
      <c r="S439">
        <f>HYPERLINK("https://klasma.github.io/Logging_2121/artfynd/A 36809-2023 artfynd.xlsx", "A 36809-2023")</f>
        <v/>
      </c>
      <c r="T439">
        <f>HYPERLINK("https://klasma.github.io/Logging_2121/kartor/A 36809-2023 karta.png", "A 36809-2023")</f>
        <v/>
      </c>
      <c r="V439">
        <f>HYPERLINK("https://klasma.github.io/Logging_2121/klagomål/A 36809-2023 FSC-klagomål.docx", "A 36809-2023")</f>
        <v/>
      </c>
      <c r="W439">
        <f>HYPERLINK("https://klasma.github.io/Logging_2121/klagomålsmail/A 36809-2023 FSC-klagomål mail.docx", "A 36809-2023")</f>
        <v/>
      </c>
      <c r="X439">
        <f>HYPERLINK("https://klasma.github.io/Logging_2121/tillsyn/A 36809-2023 tillsynsbegäran.docx", "A 36809-2023")</f>
        <v/>
      </c>
      <c r="Y439">
        <f>HYPERLINK("https://klasma.github.io/Logging_2121/tillsynsmail/A 36809-2023 tillsynsbegäran mail.docx", "A 36809-2023")</f>
        <v/>
      </c>
    </row>
    <row r="440" ht="15" customHeight="1">
      <c r="A440" t="inlineStr">
        <is>
          <t>A 37610-2023</t>
        </is>
      </c>
      <c r="B440" s="1" t="n">
        <v>45159</v>
      </c>
      <c r="C440" s="1" t="n">
        <v>45344</v>
      </c>
      <c r="D440" t="inlineStr">
        <is>
          <t>GÄVLEBORGS LÄN</t>
        </is>
      </c>
      <c r="E440" t="inlineStr">
        <is>
          <t>LJUSDAL</t>
        </is>
      </c>
      <c r="F440" t="inlineStr">
        <is>
          <t>Sveaskog</t>
        </is>
      </c>
      <c r="G440" t="n">
        <v>1.2</v>
      </c>
      <c r="H440" t="n">
        <v>0</v>
      </c>
      <c r="I440" t="n">
        <v>0</v>
      </c>
      <c r="J440" t="n">
        <v>1</v>
      </c>
      <c r="K440" t="n">
        <v>0</v>
      </c>
      <c r="L440" t="n">
        <v>0</v>
      </c>
      <c r="M440" t="n">
        <v>0</v>
      </c>
      <c r="N440" t="n">
        <v>0</v>
      </c>
      <c r="O440" t="n">
        <v>1</v>
      </c>
      <c r="P440" t="n">
        <v>0</v>
      </c>
      <c r="Q440" t="n">
        <v>1</v>
      </c>
      <c r="R440" s="2" t="inlineStr">
        <is>
          <t>Kolflarnlav</t>
        </is>
      </c>
      <c r="S440">
        <f>HYPERLINK("https://klasma.github.io/Logging_2161/artfynd/A 37610-2023 artfynd.xlsx", "A 37610-2023")</f>
        <v/>
      </c>
      <c r="T440">
        <f>HYPERLINK("https://klasma.github.io/Logging_2161/kartor/A 37610-2023 karta.png", "A 37610-2023")</f>
        <v/>
      </c>
      <c r="V440">
        <f>HYPERLINK("https://klasma.github.io/Logging_2161/klagomål/A 37610-2023 FSC-klagomål.docx", "A 37610-2023")</f>
        <v/>
      </c>
      <c r="W440">
        <f>HYPERLINK("https://klasma.github.io/Logging_2161/klagomålsmail/A 37610-2023 FSC-klagomål mail.docx", "A 37610-2023")</f>
        <v/>
      </c>
      <c r="X440">
        <f>HYPERLINK("https://klasma.github.io/Logging_2161/tillsyn/A 37610-2023 tillsynsbegäran.docx", "A 37610-2023")</f>
        <v/>
      </c>
      <c r="Y440">
        <f>HYPERLINK("https://klasma.github.io/Logging_2161/tillsynsmail/A 37610-2023 tillsynsbegäran mail.docx", "A 37610-2023")</f>
        <v/>
      </c>
    </row>
    <row r="441" ht="15" customHeight="1">
      <c r="A441" t="inlineStr">
        <is>
          <t>A 37660-2023</t>
        </is>
      </c>
      <c r="B441" s="1" t="n">
        <v>45159</v>
      </c>
      <c r="C441" s="1" t="n">
        <v>45344</v>
      </c>
      <c r="D441" t="inlineStr">
        <is>
          <t>GÄVLEBORGS LÄN</t>
        </is>
      </c>
      <c r="E441" t="inlineStr">
        <is>
          <t>LJUSDAL</t>
        </is>
      </c>
      <c r="F441" t="inlineStr">
        <is>
          <t>Sveaskog</t>
        </is>
      </c>
      <c r="G441" t="n">
        <v>8.300000000000001</v>
      </c>
      <c r="H441" t="n">
        <v>0</v>
      </c>
      <c r="I441" t="n">
        <v>0</v>
      </c>
      <c r="J441" t="n">
        <v>1</v>
      </c>
      <c r="K441" t="n">
        <v>0</v>
      </c>
      <c r="L441" t="n">
        <v>0</v>
      </c>
      <c r="M441" t="n">
        <v>0</v>
      </c>
      <c r="N441" t="n">
        <v>0</v>
      </c>
      <c r="O441" t="n">
        <v>1</v>
      </c>
      <c r="P441" t="n">
        <v>0</v>
      </c>
      <c r="Q441" t="n">
        <v>1</v>
      </c>
      <c r="R441" s="2" t="inlineStr">
        <is>
          <t>Lunglav</t>
        </is>
      </c>
      <c r="S441">
        <f>HYPERLINK("https://klasma.github.io/Logging_2161/artfynd/A 37660-2023 artfynd.xlsx", "A 37660-2023")</f>
        <v/>
      </c>
      <c r="T441">
        <f>HYPERLINK("https://klasma.github.io/Logging_2161/kartor/A 37660-2023 karta.png", "A 37660-2023")</f>
        <v/>
      </c>
      <c r="V441">
        <f>HYPERLINK("https://klasma.github.io/Logging_2161/klagomål/A 37660-2023 FSC-klagomål.docx", "A 37660-2023")</f>
        <v/>
      </c>
      <c r="W441">
        <f>HYPERLINK("https://klasma.github.io/Logging_2161/klagomålsmail/A 37660-2023 FSC-klagomål mail.docx", "A 37660-2023")</f>
        <v/>
      </c>
      <c r="X441">
        <f>HYPERLINK("https://klasma.github.io/Logging_2161/tillsyn/A 37660-2023 tillsynsbegäran.docx", "A 37660-2023")</f>
        <v/>
      </c>
      <c r="Y441">
        <f>HYPERLINK("https://klasma.github.io/Logging_2161/tillsynsmail/A 37660-2023 tillsynsbegäran mail.docx", "A 37660-2023")</f>
        <v/>
      </c>
    </row>
    <row r="442" ht="15" customHeight="1">
      <c r="A442" t="inlineStr">
        <is>
          <t>A 38400-2023</t>
        </is>
      </c>
      <c r="B442" s="1" t="n">
        <v>45162</v>
      </c>
      <c r="C442" s="1" t="n">
        <v>45344</v>
      </c>
      <c r="D442" t="inlineStr">
        <is>
          <t>GÄVLEBORGS LÄN</t>
        </is>
      </c>
      <c r="E442" t="inlineStr">
        <is>
          <t>LJUSDAL</t>
        </is>
      </c>
      <c r="G442" t="n">
        <v>7</v>
      </c>
      <c r="H442" t="n">
        <v>1</v>
      </c>
      <c r="I442" t="n">
        <v>0</v>
      </c>
      <c r="J442" t="n">
        <v>0</v>
      </c>
      <c r="K442" t="n">
        <v>1</v>
      </c>
      <c r="L442" t="n">
        <v>0</v>
      </c>
      <c r="M442" t="n">
        <v>0</v>
      </c>
      <c r="N442" t="n">
        <v>0</v>
      </c>
      <c r="O442" t="n">
        <v>1</v>
      </c>
      <c r="P442" t="n">
        <v>1</v>
      </c>
      <c r="Q442" t="n">
        <v>1</v>
      </c>
      <c r="R442" s="2" t="inlineStr">
        <is>
          <t>Knärot</t>
        </is>
      </c>
      <c r="S442">
        <f>HYPERLINK("https://klasma.github.io/Logging_2161/artfynd/A 38400-2023 artfynd.xlsx", "A 38400-2023")</f>
        <v/>
      </c>
      <c r="T442">
        <f>HYPERLINK("https://klasma.github.io/Logging_2161/kartor/A 38400-2023 karta.png", "A 38400-2023")</f>
        <v/>
      </c>
      <c r="U442">
        <f>HYPERLINK("https://klasma.github.io/Logging_2161/knärot/A 38400-2023 karta knärot.png", "A 38400-2023")</f>
        <v/>
      </c>
      <c r="V442">
        <f>HYPERLINK("https://klasma.github.io/Logging_2161/klagomål/A 38400-2023 FSC-klagomål.docx", "A 38400-2023")</f>
        <v/>
      </c>
      <c r="W442">
        <f>HYPERLINK("https://klasma.github.io/Logging_2161/klagomålsmail/A 38400-2023 FSC-klagomål mail.docx", "A 38400-2023")</f>
        <v/>
      </c>
      <c r="X442">
        <f>HYPERLINK("https://klasma.github.io/Logging_2161/tillsyn/A 38400-2023 tillsynsbegäran.docx", "A 38400-2023")</f>
        <v/>
      </c>
      <c r="Y442">
        <f>HYPERLINK("https://klasma.github.io/Logging_2161/tillsynsmail/A 38400-2023 tillsynsbegäran mail.docx", "A 38400-2023")</f>
        <v/>
      </c>
    </row>
    <row r="443" ht="15" customHeight="1">
      <c r="A443" t="inlineStr">
        <is>
          <t>A 39001-2023</t>
        </is>
      </c>
      <c r="B443" s="1" t="n">
        <v>45163</v>
      </c>
      <c r="C443" s="1" t="n">
        <v>45344</v>
      </c>
      <c r="D443" t="inlineStr">
        <is>
          <t>GÄVLEBORGS LÄN</t>
        </is>
      </c>
      <c r="E443" t="inlineStr">
        <is>
          <t>HOFORS</t>
        </is>
      </c>
      <c r="F443" t="inlineStr">
        <is>
          <t>Sveaskog</t>
        </is>
      </c>
      <c r="G443" t="n">
        <v>2.1</v>
      </c>
      <c r="H443" t="n">
        <v>1</v>
      </c>
      <c r="I443" t="n">
        <v>0</v>
      </c>
      <c r="J443" t="n">
        <v>0</v>
      </c>
      <c r="K443" t="n">
        <v>0</v>
      </c>
      <c r="L443" t="n">
        <v>0</v>
      </c>
      <c r="M443" t="n">
        <v>0</v>
      </c>
      <c r="N443" t="n">
        <v>0</v>
      </c>
      <c r="O443" t="n">
        <v>0</v>
      </c>
      <c r="P443" t="n">
        <v>0</v>
      </c>
      <c r="Q443" t="n">
        <v>1</v>
      </c>
      <c r="R443" s="2" t="inlineStr">
        <is>
          <t>Revlummer</t>
        </is>
      </c>
      <c r="S443">
        <f>HYPERLINK("https://klasma.github.io/Logging_2104/artfynd/A 39001-2023 artfynd.xlsx", "A 39001-2023")</f>
        <v/>
      </c>
      <c r="T443">
        <f>HYPERLINK("https://klasma.github.io/Logging_2104/kartor/A 39001-2023 karta.png", "A 39001-2023")</f>
        <v/>
      </c>
      <c r="V443">
        <f>HYPERLINK("https://klasma.github.io/Logging_2104/klagomål/A 39001-2023 FSC-klagomål.docx", "A 39001-2023")</f>
        <v/>
      </c>
      <c r="W443">
        <f>HYPERLINK("https://klasma.github.io/Logging_2104/klagomålsmail/A 39001-2023 FSC-klagomål mail.docx", "A 39001-2023")</f>
        <v/>
      </c>
      <c r="X443">
        <f>HYPERLINK("https://klasma.github.io/Logging_2104/tillsyn/A 39001-2023 tillsynsbegäran.docx", "A 39001-2023")</f>
        <v/>
      </c>
      <c r="Y443">
        <f>HYPERLINK("https://klasma.github.io/Logging_2104/tillsynsmail/A 39001-2023 tillsynsbegäran mail.docx", "A 39001-2023")</f>
        <v/>
      </c>
    </row>
    <row r="444" ht="15" customHeight="1">
      <c r="A444" t="inlineStr">
        <is>
          <t>A 40943-2023</t>
        </is>
      </c>
      <c r="B444" s="1" t="n">
        <v>45173</v>
      </c>
      <c r="C444" s="1" t="n">
        <v>45344</v>
      </c>
      <c r="D444" t="inlineStr">
        <is>
          <t>GÄVLEBORGS LÄN</t>
        </is>
      </c>
      <c r="E444" t="inlineStr">
        <is>
          <t>LJUSDAL</t>
        </is>
      </c>
      <c r="G444" t="n">
        <v>5.8</v>
      </c>
      <c r="H444" t="n">
        <v>0</v>
      </c>
      <c r="I444" t="n">
        <v>0</v>
      </c>
      <c r="J444" t="n">
        <v>1</v>
      </c>
      <c r="K444" t="n">
        <v>0</v>
      </c>
      <c r="L444" t="n">
        <v>0</v>
      </c>
      <c r="M444" t="n">
        <v>0</v>
      </c>
      <c r="N444" t="n">
        <v>0</v>
      </c>
      <c r="O444" t="n">
        <v>1</v>
      </c>
      <c r="P444" t="n">
        <v>0</v>
      </c>
      <c r="Q444" t="n">
        <v>1</v>
      </c>
      <c r="R444" s="2" t="inlineStr">
        <is>
          <t>Mörk kolflarnlav</t>
        </is>
      </c>
      <c r="S444">
        <f>HYPERLINK("https://klasma.github.io/Logging_2161/artfynd/A 40943-2023 artfynd.xlsx", "A 40943-2023")</f>
        <v/>
      </c>
      <c r="T444">
        <f>HYPERLINK("https://klasma.github.io/Logging_2161/kartor/A 40943-2023 karta.png", "A 40943-2023")</f>
        <v/>
      </c>
      <c r="V444">
        <f>HYPERLINK("https://klasma.github.io/Logging_2161/klagomål/A 40943-2023 FSC-klagomål.docx", "A 40943-2023")</f>
        <v/>
      </c>
      <c r="W444">
        <f>HYPERLINK("https://klasma.github.io/Logging_2161/klagomålsmail/A 40943-2023 FSC-klagomål mail.docx", "A 40943-2023")</f>
        <v/>
      </c>
      <c r="X444">
        <f>HYPERLINK("https://klasma.github.io/Logging_2161/tillsyn/A 40943-2023 tillsynsbegäran.docx", "A 40943-2023")</f>
        <v/>
      </c>
      <c r="Y444">
        <f>HYPERLINK("https://klasma.github.io/Logging_2161/tillsynsmail/A 40943-2023 tillsynsbegäran mail.docx", "A 40943-2023")</f>
        <v/>
      </c>
    </row>
    <row r="445" ht="15" customHeight="1">
      <c r="A445" t="inlineStr">
        <is>
          <t>A 42115-2023</t>
        </is>
      </c>
      <c r="B445" s="1" t="n">
        <v>45177</v>
      </c>
      <c r="C445" s="1" t="n">
        <v>45344</v>
      </c>
      <c r="D445" t="inlineStr">
        <is>
          <t>GÄVLEBORGS LÄN</t>
        </is>
      </c>
      <c r="E445" t="inlineStr">
        <is>
          <t>SANDVIKEN</t>
        </is>
      </c>
      <c r="F445" t="inlineStr">
        <is>
          <t>Sveaskog</t>
        </is>
      </c>
      <c r="G445" t="n">
        <v>2.4</v>
      </c>
      <c r="H445" t="n">
        <v>1</v>
      </c>
      <c r="I445" t="n">
        <v>0</v>
      </c>
      <c r="J445" t="n">
        <v>1</v>
      </c>
      <c r="K445" t="n">
        <v>0</v>
      </c>
      <c r="L445" t="n">
        <v>0</v>
      </c>
      <c r="M445" t="n">
        <v>0</v>
      </c>
      <c r="N445" t="n">
        <v>0</v>
      </c>
      <c r="O445" t="n">
        <v>1</v>
      </c>
      <c r="P445" t="n">
        <v>0</v>
      </c>
      <c r="Q445" t="n">
        <v>1</v>
      </c>
      <c r="R445" s="2" t="inlineStr">
        <is>
          <t>Talltita</t>
        </is>
      </c>
      <c r="S445">
        <f>HYPERLINK("https://klasma.github.io/Logging_2181/artfynd/A 42115-2023 artfynd.xlsx", "A 42115-2023")</f>
        <v/>
      </c>
      <c r="T445">
        <f>HYPERLINK("https://klasma.github.io/Logging_2181/kartor/A 42115-2023 karta.png", "A 42115-2023")</f>
        <v/>
      </c>
      <c r="V445">
        <f>HYPERLINK("https://klasma.github.io/Logging_2181/klagomål/A 42115-2023 FSC-klagomål.docx", "A 42115-2023")</f>
        <v/>
      </c>
      <c r="W445">
        <f>HYPERLINK("https://klasma.github.io/Logging_2181/klagomålsmail/A 42115-2023 FSC-klagomål mail.docx", "A 42115-2023")</f>
        <v/>
      </c>
      <c r="X445">
        <f>HYPERLINK("https://klasma.github.io/Logging_2181/tillsyn/A 42115-2023 tillsynsbegäran.docx", "A 42115-2023")</f>
        <v/>
      </c>
      <c r="Y445">
        <f>HYPERLINK("https://klasma.github.io/Logging_2181/tillsynsmail/A 42115-2023 tillsynsbegäran mail.docx", "A 42115-2023")</f>
        <v/>
      </c>
      <c r="Z445">
        <f>HYPERLINK("https://klasma.github.io/Logging_2181/fåglar/A 42115-2023 prioriterade fågelarter.docx", "A 42115-2023")</f>
        <v/>
      </c>
    </row>
    <row r="446" ht="15" customHeight="1">
      <c r="A446" t="inlineStr">
        <is>
          <t>A 44032-2023</t>
        </is>
      </c>
      <c r="B446" s="1" t="n">
        <v>45188</v>
      </c>
      <c r="C446" s="1" t="n">
        <v>45344</v>
      </c>
      <c r="D446" t="inlineStr">
        <is>
          <t>GÄVLEBORGS LÄN</t>
        </is>
      </c>
      <c r="E446" t="inlineStr">
        <is>
          <t>NORDANSTIG</t>
        </is>
      </c>
      <c r="F446" t="inlineStr">
        <is>
          <t>Holmen skog AB</t>
        </is>
      </c>
      <c r="G446" t="n">
        <v>5.3</v>
      </c>
      <c r="H446" t="n">
        <v>1</v>
      </c>
      <c r="I446" t="n">
        <v>0</v>
      </c>
      <c r="J446" t="n">
        <v>0</v>
      </c>
      <c r="K446" t="n">
        <v>0</v>
      </c>
      <c r="L446" t="n">
        <v>0</v>
      </c>
      <c r="M446" t="n">
        <v>0</v>
      </c>
      <c r="N446" t="n">
        <v>0</v>
      </c>
      <c r="O446" t="n">
        <v>0</v>
      </c>
      <c r="P446" t="n">
        <v>0</v>
      </c>
      <c r="Q446" t="n">
        <v>1</v>
      </c>
      <c r="R446" s="2" t="inlineStr">
        <is>
          <t>Revlummer</t>
        </is>
      </c>
      <c r="S446">
        <f>HYPERLINK("https://klasma.github.io/Logging_2132/artfynd/A 44032-2023 artfynd.xlsx", "A 44032-2023")</f>
        <v/>
      </c>
      <c r="T446">
        <f>HYPERLINK("https://klasma.github.io/Logging_2132/kartor/A 44032-2023 karta.png", "A 44032-2023")</f>
        <v/>
      </c>
      <c r="V446">
        <f>HYPERLINK("https://klasma.github.io/Logging_2132/klagomål/A 44032-2023 FSC-klagomål.docx", "A 44032-2023")</f>
        <v/>
      </c>
      <c r="W446">
        <f>HYPERLINK("https://klasma.github.io/Logging_2132/klagomålsmail/A 44032-2023 FSC-klagomål mail.docx", "A 44032-2023")</f>
        <v/>
      </c>
      <c r="X446">
        <f>HYPERLINK("https://klasma.github.io/Logging_2132/tillsyn/A 44032-2023 tillsynsbegäran.docx", "A 44032-2023")</f>
        <v/>
      </c>
      <c r="Y446">
        <f>HYPERLINK("https://klasma.github.io/Logging_2132/tillsynsmail/A 44032-2023 tillsynsbegäran mail.docx", "A 44032-2023")</f>
        <v/>
      </c>
    </row>
    <row r="447" ht="15" customHeight="1">
      <c r="A447" t="inlineStr">
        <is>
          <t>A 45204-2023</t>
        </is>
      </c>
      <c r="B447" s="1" t="n">
        <v>45191</v>
      </c>
      <c r="C447" s="1" t="n">
        <v>45344</v>
      </c>
      <c r="D447" t="inlineStr">
        <is>
          <t>GÄVLEBORGS LÄN</t>
        </is>
      </c>
      <c r="E447" t="inlineStr">
        <is>
          <t>LJUSDAL</t>
        </is>
      </c>
      <c r="F447" t="inlineStr">
        <is>
          <t>Sveaskog</t>
        </is>
      </c>
      <c r="G447" t="n">
        <v>5.1</v>
      </c>
      <c r="H447" t="n">
        <v>0</v>
      </c>
      <c r="I447" t="n">
        <v>0</v>
      </c>
      <c r="J447" t="n">
        <v>1</v>
      </c>
      <c r="K447" t="n">
        <v>0</v>
      </c>
      <c r="L447" t="n">
        <v>0</v>
      </c>
      <c r="M447" t="n">
        <v>0</v>
      </c>
      <c r="N447" t="n">
        <v>0</v>
      </c>
      <c r="O447" t="n">
        <v>1</v>
      </c>
      <c r="P447" t="n">
        <v>0</v>
      </c>
      <c r="Q447" t="n">
        <v>1</v>
      </c>
      <c r="R447" s="2" t="inlineStr">
        <is>
          <t>Lunglav</t>
        </is>
      </c>
      <c r="S447">
        <f>HYPERLINK("https://klasma.github.io/Logging_2161/artfynd/A 45204-2023 artfynd.xlsx", "A 45204-2023")</f>
        <v/>
      </c>
      <c r="T447">
        <f>HYPERLINK("https://klasma.github.io/Logging_2161/kartor/A 45204-2023 karta.png", "A 45204-2023")</f>
        <v/>
      </c>
      <c r="V447">
        <f>HYPERLINK("https://klasma.github.io/Logging_2161/klagomål/A 45204-2023 FSC-klagomål.docx", "A 45204-2023")</f>
        <v/>
      </c>
      <c r="W447">
        <f>HYPERLINK("https://klasma.github.io/Logging_2161/klagomålsmail/A 45204-2023 FSC-klagomål mail.docx", "A 45204-2023")</f>
        <v/>
      </c>
      <c r="X447">
        <f>HYPERLINK("https://klasma.github.io/Logging_2161/tillsyn/A 45204-2023 tillsynsbegäran.docx", "A 45204-2023")</f>
        <v/>
      </c>
      <c r="Y447">
        <f>HYPERLINK("https://klasma.github.io/Logging_2161/tillsynsmail/A 45204-2023 tillsynsbegäran mail.docx", "A 45204-2023")</f>
        <v/>
      </c>
    </row>
    <row r="448" ht="15" customHeight="1">
      <c r="A448" t="inlineStr">
        <is>
          <t>A 45427-2023</t>
        </is>
      </c>
      <c r="B448" s="1" t="n">
        <v>45194</v>
      </c>
      <c r="C448" s="1" t="n">
        <v>45344</v>
      </c>
      <c r="D448" t="inlineStr">
        <is>
          <t>GÄVLEBORGS LÄN</t>
        </is>
      </c>
      <c r="E448" t="inlineStr">
        <is>
          <t>SANDVIKEN</t>
        </is>
      </c>
      <c r="F448" t="inlineStr">
        <is>
          <t>Bergvik skog öst AB</t>
        </is>
      </c>
      <c r="G448" t="n">
        <v>3.5</v>
      </c>
      <c r="H448" t="n">
        <v>1</v>
      </c>
      <c r="I448" t="n">
        <v>0</v>
      </c>
      <c r="J448" t="n">
        <v>0</v>
      </c>
      <c r="K448" t="n">
        <v>0</v>
      </c>
      <c r="L448" t="n">
        <v>0</v>
      </c>
      <c r="M448" t="n">
        <v>0</v>
      </c>
      <c r="N448" t="n">
        <v>0</v>
      </c>
      <c r="O448" t="n">
        <v>0</v>
      </c>
      <c r="P448" t="n">
        <v>0</v>
      </c>
      <c r="Q448" t="n">
        <v>1</v>
      </c>
      <c r="R448" s="2" t="inlineStr">
        <is>
          <t>Mattlummer</t>
        </is>
      </c>
      <c r="S448">
        <f>HYPERLINK("https://klasma.github.io/Logging_2181/artfynd/A 45427-2023 artfynd.xlsx", "A 45427-2023")</f>
        <v/>
      </c>
      <c r="T448">
        <f>HYPERLINK("https://klasma.github.io/Logging_2181/kartor/A 45427-2023 karta.png", "A 45427-2023")</f>
        <v/>
      </c>
      <c r="V448">
        <f>HYPERLINK("https://klasma.github.io/Logging_2181/klagomål/A 45427-2023 FSC-klagomål.docx", "A 45427-2023")</f>
        <v/>
      </c>
      <c r="W448">
        <f>HYPERLINK("https://klasma.github.io/Logging_2181/klagomålsmail/A 45427-2023 FSC-klagomål mail.docx", "A 45427-2023")</f>
        <v/>
      </c>
      <c r="X448">
        <f>HYPERLINK("https://klasma.github.io/Logging_2181/tillsyn/A 45427-2023 tillsynsbegäran.docx", "A 45427-2023")</f>
        <v/>
      </c>
      <c r="Y448">
        <f>HYPERLINK("https://klasma.github.io/Logging_2181/tillsynsmail/A 45427-2023 tillsynsbegäran mail.docx", "A 45427-2023")</f>
        <v/>
      </c>
    </row>
    <row r="449" ht="15" customHeight="1">
      <c r="A449" t="inlineStr">
        <is>
          <t>A 46903-2023</t>
        </is>
      </c>
      <c r="B449" s="1" t="n">
        <v>45201</v>
      </c>
      <c r="C449" s="1" t="n">
        <v>45344</v>
      </c>
      <c r="D449" t="inlineStr">
        <is>
          <t>GÄVLEBORGS LÄN</t>
        </is>
      </c>
      <c r="E449" t="inlineStr">
        <is>
          <t>HUDIKSVALL</t>
        </is>
      </c>
      <c r="G449" t="n">
        <v>4.9</v>
      </c>
      <c r="H449" t="n">
        <v>1</v>
      </c>
      <c r="I449" t="n">
        <v>0</v>
      </c>
      <c r="J449" t="n">
        <v>0</v>
      </c>
      <c r="K449" t="n">
        <v>1</v>
      </c>
      <c r="L449" t="n">
        <v>0</v>
      </c>
      <c r="M449" t="n">
        <v>0</v>
      </c>
      <c r="N449" t="n">
        <v>0</v>
      </c>
      <c r="O449" t="n">
        <v>1</v>
      </c>
      <c r="P449" t="n">
        <v>1</v>
      </c>
      <c r="Q449" t="n">
        <v>1</v>
      </c>
      <c r="R449" s="2" t="inlineStr">
        <is>
          <t>Knärot</t>
        </is>
      </c>
      <c r="S449">
        <f>HYPERLINK("https://klasma.github.io/Logging_2184/artfynd/A 46903-2023 artfynd.xlsx", "A 46903-2023")</f>
        <v/>
      </c>
      <c r="T449">
        <f>HYPERLINK("https://klasma.github.io/Logging_2184/kartor/A 46903-2023 karta.png", "A 46903-2023")</f>
        <v/>
      </c>
      <c r="U449">
        <f>HYPERLINK("https://klasma.github.io/Logging_2184/knärot/A 46903-2023 karta knärot.png", "A 46903-2023")</f>
        <v/>
      </c>
      <c r="V449">
        <f>HYPERLINK("https://klasma.github.io/Logging_2184/klagomål/A 46903-2023 FSC-klagomål.docx", "A 46903-2023")</f>
        <v/>
      </c>
      <c r="W449">
        <f>HYPERLINK("https://klasma.github.io/Logging_2184/klagomålsmail/A 46903-2023 FSC-klagomål mail.docx", "A 46903-2023")</f>
        <v/>
      </c>
      <c r="X449">
        <f>HYPERLINK("https://klasma.github.io/Logging_2184/tillsyn/A 46903-2023 tillsynsbegäran.docx", "A 46903-2023")</f>
        <v/>
      </c>
      <c r="Y449">
        <f>HYPERLINK("https://klasma.github.io/Logging_2184/tillsynsmail/A 46903-2023 tillsynsbegäran mail.docx", "A 46903-2023")</f>
        <v/>
      </c>
    </row>
    <row r="450" ht="15" customHeight="1">
      <c r="A450" t="inlineStr">
        <is>
          <t>A 47459-2023</t>
        </is>
      </c>
      <c r="B450" s="1" t="n">
        <v>45202</v>
      </c>
      <c r="C450" s="1" t="n">
        <v>45344</v>
      </c>
      <c r="D450" t="inlineStr">
        <is>
          <t>GÄVLEBORGS LÄN</t>
        </is>
      </c>
      <c r="E450" t="inlineStr">
        <is>
          <t>HOFORS</t>
        </is>
      </c>
      <c r="G450" t="n">
        <v>6</v>
      </c>
      <c r="H450" t="n">
        <v>0</v>
      </c>
      <c r="I450" t="n">
        <v>1</v>
      </c>
      <c r="J450" t="n">
        <v>0</v>
      </c>
      <c r="K450" t="n">
        <v>0</v>
      </c>
      <c r="L450" t="n">
        <v>0</v>
      </c>
      <c r="M450" t="n">
        <v>0</v>
      </c>
      <c r="N450" t="n">
        <v>0</v>
      </c>
      <c r="O450" t="n">
        <v>0</v>
      </c>
      <c r="P450" t="n">
        <v>0</v>
      </c>
      <c r="Q450" t="n">
        <v>1</v>
      </c>
      <c r="R450" s="2" t="inlineStr">
        <is>
          <t>Grönpyrola</t>
        </is>
      </c>
      <c r="S450">
        <f>HYPERLINK("https://klasma.github.io/Logging_2104/artfynd/A 47459-2023 artfynd.xlsx", "A 47459-2023")</f>
        <v/>
      </c>
      <c r="T450">
        <f>HYPERLINK("https://klasma.github.io/Logging_2104/kartor/A 47459-2023 karta.png", "A 47459-2023")</f>
        <v/>
      </c>
      <c r="V450">
        <f>HYPERLINK("https://klasma.github.io/Logging_2104/klagomål/A 47459-2023 FSC-klagomål.docx", "A 47459-2023")</f>
        <v/>
      </c>
      <c r="W450">
        <f>HYPERLINK("https://klasma.github.io/Logging_2104/klagomålsmail/A 47459-2023 FSC-klagomål mail.docx", "A 47459-2023")</f>
        <v/>
      </c>
      <c r="X450">
        <f>HYPERLINK("https://klasma.github.io/Logging_2104/tillsyn/A 47459-2023 tillsynsbegäran.docx", "A 47459-2023")</f>
        <v/>
      </c>
      <c r="Y450">
        <f>HYPERLINK("https://klasma.github.io/Logging_2104/tillsynsmail/A 47459-2023 tillsynsbegäran mail.docx", "A 47459-2023")</f>
        <v/>
      </c>
    </row>
    <row r="451" ht="15" customHeight="1">
      <c r="A451" t="inlineStr">
        <is>
          <t>A 47717-2023</t>
        </is>
      </c>
      <c r="B451" s="1" t="n">
        <v>45203</v>
      </c>
      <c r="C451" s="1" t="n">
        <v>45344</v>
      </c>
      <c r="D451" t="inlineStr">
        <is>
          <t>GÄVLEBORGS LÄN</t>
        </is>
      </c>
      <c r="E451" t="inlineStr">
        <is>
          <t>LJUSDAL</t>
        </is>
      </c>
      <c r="F451" t="inlineStr">
        <is>
          <t>Sveaskog</t>
        </is>
      </c>
      <c r="G451" t="n">
        <v>3.8</v>
      </c>
      <c r="H451" t="n">
        <v>0</v>
      </c>
      <c r="I451" t="n">
        <v>0</v>
      </c>
      <c r="J451" t="n">
        <v>1</v>
      </c>
      <c r="K451" t="n">
        <v>0</v>
      </c>
      <c r="L451" t="n">
        <v>0</v>
      </c>
      <c r="M451" t="n">
        <v>0</v>
      </c>
      <c r="N451" t="n">
        <v>0</v>
      </c>
      <c r="O451" t="n">
        <v>1</v>
      </c>
      <c r="P451" t="n">
        <v>0</v>
      </c>
      <c r="Q451" t="n">
        <v>1</v>
      </c>
      <c r="R451" s="2" t="inlineStr">
        <is>
          <t>Lunglav</t>
        </is>
      </c>
      <c r="S451">
        <f>HYPERLINK("https://klasma.github.io/Logging_2161/artfynd/A 47717-2023 artfynd.xlsx", "A 47717-2023")</f>
        <v/>
      </c>
      <c r="T451">
        <f>HYPERLINK("https://klasma.github.io/Logging_2161/kartor/A 47717-2023 karta.png", "A 47717-2023")</f>
        <v/>
      </c>
      <c r="V451">
        <f>HYPERLINK("https://klasma.github.io/Logging_2161/klagomål/A 47717-2023 FSC-klagomål.docx", "A 47717-2023")</f>
        <v/>
      </c>
      <c r="W451">
        <f>HYPERLINK("https://klasma.github.io/Logging_2161/klagomålsmail/A 47717-2023 FSC-klagomål mail.docx", "A 47717-2023")</f>
        <v/>
      </c>
      <c r="X451">
        <f>HYPERLINK("https://klasma.github.io/Logging_2161/tillsyn/A 47717-2023 tillsynsbegäran.docx", "A 47717-2023")</f>
        <v/>
      </c>
      <c r="Y451">
        <f>HYPERLINK("https://klasma.github.io/Logging_2161/tillsynsmail/A 47717-2023 tillsynsbegäran mail.docx", "A 47717-2023")</f>
        <v/>
      </c>
    </row>
    <row r="452" ht="15" customHeight="1">
      <c r="A452" t="inlineStr">
        <is>
          <t>A 49122-2023</t>
        </is>
      </c>
      <c r="B452" s="1" t="n">
        <v>45205</v>
      </c>
      <c r="C452" s="1" t="n">
        <v>45344</v>
      </c>
      <c r="D452" t="inlineStr">
        <is>
          <t>GÄVLEBORGS LÄN</t>
        </is>
      </c>
      <c r="E452" t="inlineStr">
        <is>
          <t>SÖDERHAMN</t>
        </is>
      </c>
      <c r="G452" t="n">
        <v>5</v>
      </c>
      <c r="H452" t="n">
        <v>0</v>
      </c>
      <c r="I452" t="n">
        <v>0</v>
      </c>
      <c r="J452" t="n">
        <v>1</v>
      </c>
      <c r="K452" t="n">
        <v>0</v>
      </c>
      <c r="L452" t="n">
        <v>0</v>
      </c>
      <c r="M452" t="n">
        <v>0</v>
      </c>
      <c r="N452" t="n">
        <v>0</v>
      </c>
      <c r="O452" t="n">
        <v>1</v>
      </c>
      <c r="P452" t="n">
        <v>0</v>
      </c>
      <c r="Q452" t="n">
        <v>1</v>
      </c>
      <c r="R452" s="2" t="inlineStr">
        <is>
          <t>Dofttaggsvamp</t>
        </is>
      </c>
      <c r="S452">
        <f>HYPERLINK("https://klasma.github.io/Logging_2182/artfynd/A 49122-2023 artfynd.xlsx", "A 49122-2023")</f>
        <v/>
      </c>
      <c r="T452">
        <f>HYPERLINK("https://klasma.github.io/Logging_2182/kartor/A 49122-2023 karta.png", "A 49122-2023")</f>
        <v/>
      </c>
      <c r="V452">
        <f>HYPERLINK("https://klasma.github.io/Logging_2182/klagomål/A 49122-2023 FSC-klagomål.docx", "A 49122-2023")</f>
        <v/>
      </c>
      <c r="W452">
        <f>HYPERLINK("https://klasma.github.io/Logging_2182/klagomålsmail/A 49122-2023 FSC-klagomål mail.docx", "A 49122-2023")</f>
        <v/>
      </c>
      <c r="X452">
        <f>HYPERLINK("https://klasma.github.io/Logging_2182/tillsyn/A 49122-2023 tillsynsbegäran.docx", "A 49122-2023")</f>
        <v/>
      </c>
      <c r="Y452">
        <f>HYPERLINK("https://klasma.github.io/Logging_2182/tillsynsmail/A 49122-2023 tillsynsbegäran mail.docx", "A 49122-2023")</f>
        <v/>
      </c>
    </row>
    <row r="453" ht="15" customHeight="1">
      <c r="A453" t="inlineStr">
        <is>
          <t>A 48983-2023</t>
        </is>
      </c>
      <c r="B453" s="1" t="n">
        <v>45209</v>
      </c>
      <c r="C453" s="1" t="n">
        <v>45344</v>
      </c>
      <c r="D453" t="inlineStr">
        <is>
          <t>GÄVLEBORGS LÄN</t>
        </is>
      </c>
      <c r="E453" t="inlineStr">
        <is>
          <t>BOLLNÄS</t>
        </is>
      </c>
      <c r="G453" t="n">
        <v>4.4</v>
      </c>
      <c r="H453" t="n">
        <v>1</v>
      </c>
      <c r="I453" t="n">
        <v>0</v>
      </c>
      <c r="J453" t="n">
        <v>1</v>
      </c>
      <c r="K453" t="n">
        <v>0</v>
      </c>
      <c r="L453" t="n">
        <v>0</v>
      </c>
      <c r="M453" t="n">
        <v>0</v>
      </c>
      <c r="N453" t="n">
        <v>0</v>
      </c>
      <c r="O453" t="n">
        <v>1</v>
      </c>
      <c r="P453" t="n">
        <v>0</v>
      </c>
      <c r="Q453" t="n">
        <v>1</v>
      </c>
      <c r="R453" s="2" t="inlineStr">
        <is>
          <t>Tretåig hackspett</t>
        </is>
      </c>
      <c r="S453">
        <f>HYPERLINK("https://klasma.github.io/Logging_2183/artfynd/A 48983-2023 artfynd.xlsx", "A 48983-2023")</f>
        <v/>
      </c>
      <c r="T453">
        <f>HYPERLINK("https://klasma.github.io/Logging_2183/kartor/A 48983-2023 karta.png", "A 48983-2023")</f>
        <v/>
      </c>
      <c r="V453">
        <f>HYPERLINK("https://klasma.github.io/Logging_2183/klagomål/A 48983-2023 FSC-klagomål.docx", "A 48983-2023")</f>
        <v/>
      </c>
      <c r="W453">
        <f>HYPERLINK("https://klasma.github.io/Logging_2183/klagomålsmail/A 48983-2023 FSC-klagomål mail.docx", "A 48983-2023")</f>
        <v/>
      </c>
      <c r="X453">
        <f>HYPERLINK("https://klasma.github.io/Logging_2183/tillsyn/A 48983-2023 tillsynsbegäran.docx", "A 48983-2023")</f>
        <v/>
      </c>
      <c r="Y453">
        <f>HYPERLINK("https://klasma.github.io/Logging_2183/tillsynsmail/A 48983-2023 tillsynsbegäran mail.docx", "A 48983-2023")</f>
        <v/>
      </c>
      <c r="Z453">
        <f>HYPERLINK("https://klasma.github.io/Logging_2183/fåglar/A 48983-2023 prioriterade fågelarter.docx", "A 48983-2023")</f>
        <v/>
      </c>
    </row>
    <row r="454" ht="15" customHeight="1">
      <c r="A454" t="inlineStr">
        <is>
          <t>A 49279-2023</t>
        </is>
      </c>
      <c r="B454" s="1" t="n">
        <v>45210</v>
      </c>
      <c r="C454" s="1" t="n">
        <v>45344</v>
      </c>
      <c r="D454" t="inlineStr">
        <is>
          <t>GÄVLEBORGS LÄN</t>
        </is>
      </c>
      <c r="E454" t="inlineStr">
        <is>
          <t>OVANÅKER</t>
        </is>
      </c>
      <c r="F454" t="inlineStr">
        <is>
          <t>Bergvik skog öst AB</t>
        </is>
      </c>
      <c r="G454" t="n">
        <v>13.6</v>
      </c>
      <c r="H454" t="n">
        <v>0</v>
      </c>
      <c r="I454" t="n">
        <v>1</v>
      </c>
      <c r="J454" t="n">
        <v>0</v>
      </c>
      <c r="K454" t="n">
        <v>0</v>
      </c>
      <c r="L454" t="n">
        <v>0</v>
      </c>
      <c r="M454" t="n">
        <v>0</v>
      </c>
      <c r="N454" t="n">
        <v>0</v>
      </c>
      <c r="O454" t="n">
        <v>0</v>
      </c>
      <c r="P454" t="n">
        <v>0</v>
      </c>
      <c r="Q454" t="n">
        <v>1</v>
      </c>
      <c r="R454" s="2" t="inlineStr">
        <is>
          <t>Smal svampklubba</t>
        </is>
      </c>
      <c r="S454">
        <f>HYPERLINK("https://klasma.github.io/Logging_2121/artfynd/A 49279-2023 artfynd.xlsx", "A 49279-2023")</f>
        <v/>
      </c>
      <c r="T454">
        <f>HYPERLINK("https://klasma.github.io/Logging_2121/kartor/A 49279-2023 karta.png", "A 49279-2023")</f>
        <v/>
      </c>
      <c r="V454">
        <f>HYPERLINK("https://klasma.github.io/Logging_2121/klagomål/A 49279-2023 FSC-klagomål.docx", "A 49279-2023")</f>
        <v/>
      </c>
      <c r="W454">
        <f>HYPERLINK("https://klasma.github.io/Logging_2121/klagomålsmail/A 49279-2023 FSC-klagomål mail.docx", "A 49279-2023")</f>
        <v/>
      </c>
      <c r="X454">
        <f>HYPERLINK("https://klasma.github.io/Logging_2121/tillsyn/A 49279-2023 tillsynsbegäran.docx", "A 49279-2023")</f>
        <v/>
      </c>
      <c r="Y454">
        <f>HYPERLINK("https://klasma.github.io/Logging_2121/tillsynsmail/A 49279-2023 tillsynsbegäran mail.docx", "A 49279-2023")</f>
        <v/>
      </c>
    </row>
    <row r="455" ht="15" customHeight="1">
      <c r="A455" t="inlineStr">
        <is>
          <t>A 50257-2023</t>
        </is>
      </c>
      <c r="B455" s="1" t="n">
        <v>45216</v>
      </c>
      <c r="C455" s="1" t="n">
        <v>45344</v>
      </c>
      <c r="D455" t="inlineStr">
        <is>
          <t>GÄVLEBORGS LÄN</t>
        </is>
      </c>
      <c r="E455" t="inlineStr">
        <is>
          <t>LJUSDAL</t>
        </is>
      </c>
      <c r="F455" t="inlineStr">
        <is>
          <t>Sveaskog</t>
        </is>
      </c>
      <c r="G455" t="n">
        <v>1.2</v>
      </c>
      <c r="H455" t="n">
        <v>0</v>
      </c>
      <c r="I455" t="n">
        <v>0</v>
      </c>
      <c r="J455" t="n">
        <v>1</v>
      </c>
      <c r="K455" t="n">
        <v>0</v>
      </c>
      <c r="L455" t="n">
        <v>0</v>
      </c>
      <c r="M455" t="n">
        <v>0</v>
      </c>
      <c r="N455" t="n">
        <v>0</v>
      </c>
      <c r="O455" t="n">
        <v>1</v>
      </c>
      <c r="P455" t="n">
        <v>0</v>
      </c>
      <c r="Q455" t="n">
        <v>1</v>
      </c>
      <c r="R455" s="2" t="inlineStr">
        <is>
          <t>Kolflarnlav</t>
        </is>
      </c>
      <c r="S455">
        <f>HYPERLINK("https://klasma.github.io/Logging_2161/artfynd/A 50257-2023 artfynd.xlsx", "A 50257-2023")</f>
        <v/>
      </c>
      <c r="T455">
        <f>HYPERLINK("https://klasma.github.io/Logging_2161/kartor/A 50257-2023 karta.png", "A 50257-2023")</f>
        <v/>
      </c>
      <c r="V455">
        <f>HYPERLINK("https://klasma.github.io/Logging_2161/klagomål/A 50257-2023 FSC-klagomål.docx", "A 50257-2023")</f>
        <v/>
      </c>
      <c r="W455">
        <f>HYPERLINK("https://klasma.github.io/Logging_2161/klagomålsmail/A 50257-2023 FSC-klagomål mail.docx", "A 50257-2023")</f>
        <v/>
      </c>
      <c r="X455">
        <f>HYPERLINK("https://klasma.github.io/Logging_2161/tillsyn/A 50257-2023 tillsynsbegäran.docx", "A 50257-2023")</f>
        <v/>
      </c>
      <c r="Y455">
        <f>HYPERLINK("https://klasma.github.io/Logging_2161/tillsynsmail/A 50257-2023 tillsynsbegäran mail.docx", "A 50257-2023")</f>
        <v/>
      </c>
    </row>
    <row r="456" ht="15" customHeight="1">
      <c r="A456" t="inlineStr">
        <is>
          <t>A 50822-2023</t>
        </is>
      </c>
      <c r="B456" s="1" t="n">
        <v>45217</v>
      </c>
      <c r="C456" s="1" t="n">
        <v>45344</v>
      </c>
      <c r="D456" t="inlineStr">
        <is>
          <t>GÄVLEBORGS LÄN</t>
        </is>
      </c>
      <c r="E456" t="inlineStr">
        <is>
          <t>HUDIKSVALL</t>
        </is>
      </c>
      <c r="G456" t="n">
        <v>1.2</v>
      </c>
      <c r="H456" t="n">
        <v>1</v>
      </c>
      <c r="I456" t="n">
        <v>0</v>
      </c>
      <c r="J456" t="n">
        <v>1</v>
      </c>
      <c r="K456" t="n">
        <v>0</v>
      </c>
      <c r="L456" t="n">
        <v>0</v>
      </c>
      <c r="M456" t="n">
        <v>0</v>
      </c>
      <c r="N456" t="n">
        <v>0</v>
      </c>
      <c r="O456" t="n">
        <v>1</v>
      </c>
      <c r="P456" t="n">
        <v>0</v>
      </c>
      <c r="Q456" t="n">
        <v>1</v>
      </c>
      <c r="R456" s="2" t="inlineStr">
        <is>
          <t>Järpe</t>
        </is>
      </c>
      <c r="S456">
        <f>HYPERLINK("https://klasma.github.io/Logging_2184/artfynd/A 50822-2023 artfynd.xlsx", "A 50822-2023")</f>
        <v/>
      </c>
      <c r="T456">
        <f>HYPERLINK("https://klasma.github.io/Logging_2184/kartor/A 50822-2023 karta.png", "A 50822-2023")</f>
        <v/>
      </c>
      <c r="V456">
        <f>HYPERLINK("https://klasma.github.io/Logging_2184/klagomål/A 50822-2023 FSC-klagomål.docx", "A 50822-2023")</f>
        <v/>
      </c>
      <c r="W456">
        <f>HYPERLINK("https://klasma.github.io/Logging_2184/klagomålsmail/A 50822-2023 FSC-klagomål mail.docx", "A 50822-2023")</f>
        <v/>
      </c>
      <c r="X456">
        <f>HYPERLINK("https://klasma.github.io/Logging_2184/tillsyn/A 50822-2023 tillsynsbegäran.docx", "A 50822-2023")</f>
        <v/>
      </c>
      <c r="Y456">
        <f>HYPERLINK("https://klasma.github.io/Logging_2184/tillsynsmail/A 50822-2023 tillsynsbegäran mail.docx", "A 50822-2023")</f>
        <v/>
      </c>
      <c r="Z456">
        <f>HYPERLINK("https://klasma.github.io/Logging_2184/fåglar/A 50822-2023 prioriterade fågelarter.docx", "A 50822-2023")</f>
        <v/>
      </c>
    </row>
    <row r="457" ht="15" customHeight="1">
      <c r="A457" t="inlineStr">
        <is>
          <t>A 51232-2023</t>
        </is>
      </c>
      <c r="B457" s="1" t="n">
        <v>45219</v>
      </c>
      <c r="C457" s="1" t="n">
        <v>45344</v>
      </c>
      <c r="D457" t="inlineStr">
        <is>
          <t>GÄVLEBORGS LÄN</t>
        </is>
      </c>
      <c r="E457" t="inlineStr">
        <is>
          <t>LJUSDAL</t>
        </is>
      </c>
      <c r="F457" t="inlineStr">
        <is>
          <t>Sveaskog</t>
        </is>
      </c>
      <c r="G457" t="n">
        <v>1.9</v>
      </c>
      <c r="H457" t="n">
        <v>0</v>
      </c>
      <c r="I457" t="n">
        <v>0</v>
      </c>
      <c r="J457" t="n">
        <v>1</v>
      </c>
      <c r="K457" t="n">
        <v>0</v>
      </c>
      <c r="L457" t="n">
        <v>0</v>
      </c>
      <c r="M457" t="n">
        <v>0</v>
      </c>
      <c r="N457" t="n">
        <v>0</v>
      </c>
      <c r="O457" t="n">
        <v>1</v>
      </c>
      <c r="P457" t="n">
        <v>0</v>
      </c>
      <c r="Q457" t="n">
        <v>1</v>
      </c>
      <c r="R457" s="2" t="inlineStr">
        <is>
          <t>Lunglav</t>
        </is>
      </c>
      <c r="S457">
        <f>HYPERLINK("https://klasma.github.io/Logging_2161/artfynd/A 51232-2023 artfynd.xlsx", "A 51232-2023")</f>
        <v/>
      </c>
      <c r="T457">
        <f>HYPERLINK("https://klasma.github.io/Logging_2161/kartor/A 51232-2023 karta.png", "A 51232-2023")</f>
        <v/>
      </c>
      <c r="V457">
        <f>HYPERLINK("https://klasma.github.io/Logging_2161/klagomål/A 51232-2023 FSC-klagomål.docx", "A 51232-2023")</f>
        <v/>
      </c>
      <c r="W457">
        <f>HYPERLINK("https://klasma.github.io/Logging_2161/klagomålsmail/A 51232-2023 FSC-klagomål mail.docx", "A 51232-2023")</f>
        <v/>
      </c>
      <c r="X457">
        <f>HYPERLINK("https://klasma.github.io/Logging_2161/tillsyn/A 51232-2023 tillsynsbegäran.docx", "A 51232-2023")</f>
        <v/>
      </c>
      <c r="Y457">
        <f>HYPERLINK("https://klasma.github.io/Logging_2161/tillsynsmail/A 51232-2023 tillsynsbegäran mail.docx", "A 51232-2023")</f>
        <v/>
      </c>
    </row>
    <row r="458" ht="15" customHeight="1">
      <c r="A458" t="inlineStr">
        <is>
          <t>A 51550-2023</t>
        </is>
      </c>
      <c r="B458" s="1" t="n">
        <v>45222</v>
      </c>
      <c r="C458" s="1" t="n">
        <v>45344</v>
      </c>
      <c r="D458" t="inlineStr">
        <is>
          <t>GÄVLEBORGS LÄN</t>
        </is>
      </c>
      <c r="E458" t="inlineStr">
        <is>
          <t>GÄVLE</t>
        </is>
      </c>
      <c r="F458" t="inlineStr">
        <is>
          <t>Bergvik skog öst AB</t>
        </is>
      </c>
      <c r="G458" t="n">
        <v>16.4</v>
      </c>
      <c r="H458" t="n">
        <v>1</v>
      </c>
      <c r="I458" t="n">
        <v>0</v>
      </c>
      <c r="J458" t="n">
        <v>0</v>
      </c>
      <c r="K458" t="n">
        <v>0</v>
      </c>
      <c r="L458" t="n">
        <v>0</v>
      </c>
      <c r="M458" t="n">
        <v>0</v>
      </c>
      <c r="N458" t="n">
        <v>0</v>
      </c>
      <c r="O458" t="n">
        <v>0</v>
      </c>
      <c r="P458" t="n">
        <v>0</v>
      </c>
      <c r="Q458" t="n">
        <v>1</v>
      </c>
      <c r="R458" s="2" t="inlineStr">
        <is>
          <t>Revlummer</t>
        </is>
      </c>
      <c r="S458">
        <f>HYPERLINK("https://klasma.github.io/Logging_2180/artfynd/A 51550-2023 artfynd.xlsx", "A 51550-2023")</f>
        <v/>
      </c>
      <c r="T458">
        <f>HYPERLINK("https://klasma.github.io/Logging_2180/kartor/A 51550-2023 karta.png", "A 51550-2023")</f>
        <v/>
      </c>
      <c r="V458">
        <f>HYPERLINK("https://klasma.github.io/Logging_2180/klagomål/A 51550-2023 FSC-klagomål.docx", "A 51550-2023")</f>
        <v/>
      </c>
      <c r="W458">
        <f>HYPERLINK("https://klasma.github.io/Logging_2180/klagomålsmail/A 51550-2023 FSC-klagomål mail.docx", "A 51550-2023")</f>
        <v/>
      </c>
      <c r="X458">
        <f>HYPERLINK("https://klasma.github.io/Logging_2180/tillsyn/A 51550-2023 tillsynsbegäran.docx", "A 51550-2023")</f>
        <v/>
      </c>
      <c r="Y458">
        <f>HYPERLINK("https://klasma.github.io/Logging_2180/tillsynsmail/A 51550-2023 tillsynsbegäran mail.docx", "A 51550-2023")</f>
        <v/>
      </c>
    </row>
    <row r="459" ht="15" customHeight="1">
      <c r="A459" t="inlineStr">
        <is>
          <t>A 53286-2023</t>
        </is>
      </c>
      <c r="B459" s="1" t="n">
        <v>45229</v>
      </c>
      <c r="C459" s="1" t="n">
        <v>45344</v>
      </c>
      <c r="D459" t="inlineStr">
        <is>
          <t>GÄVLEBORGS LÄN</t>
        </is>
      </c>
      <c r="E459" t="inlineStr">
        <is>
          <t>LJUSDAL</t>
        </is>
      </c>
      <c r="F459" t="inlineStr">
        <is>
          <t>Sveaskog</t>
        </is>
      </c>
      <c r="G459" t="n">
        <v>8</v>
      </c>
      <c r="H459" t="n">
        <v>0</v>
      </c>
      <c r="I459" t="n">
        <v>0</v>
      </c>
      <c r="J459" t="n">
        <v>1</v>
      </c>
      <c r="K459" t="n">
        <v>0</v>
      </c>
      <c r="L459" t="n">
        <v>0</v>
      </c>
      <c r="M459" t="n">
        <v>0</v>
      </c>
      <c r="N459" t="n">
        <v>0</v>
      </c>
      <c r="O459" t="n">
        <v>1</v>
      </c>
      <c r="P459" t="n">
        <v>0</v>
      </c>
      <c r="Q459" t="n">
        <v>1</v>
      </c>
      <c r="R459" s="2" t="inlineStr">
        <is>
          <t>Kolflarnlav</t>
        </is>
      </c>
      <c r="S459">
        <f>HYPERLINK("https://klasma.github.io/Logging_2161/artfynd/A 53286-2023 artfynd.xlsx", "A 53286-2023")</f>
        <v/>
      </c>
      <c r="T459">
        <f>HYPERLINK("https://klasma.github.io/Logging_2161/kartor/A 53286-2023 karta.png", "A 53286-2023")</f>
        <v/>
      </c>
      <c r="V459">
        <f>HYPERLINK("https://klasma.github.io/Logging_2161/klagomål/A 53286-2023 FSC-klagomål.docx", "A 53286-2023")</f>
        <v/>
      </c>
      <c r="W459">
        <f>HYPERLINK("https://klasma.github.io/Logging_2161/klagomålsmail/A 53286-2023 FSC-klagomål mail.docx", "A 53286-2023")</f>
        <v/>
      </c>
      <c r="X459">
        <f>HYPERLINK("https://klasma.github.io/Logging_2161/tillsyn/A 53286-2023 tillsynsbegäran.docx", "A 53286-2023")</f>
        <v/>
      </c>
      <c r="Y459">
        <f>HYPERLINK("https://klasma.github.io/Logging_2161/tillsynsmail/A 53286-2023 tillsynsbegäran mail.docx", "A 53286-2023")</f>
        <v/>
      </c>
    </row>
    <row r="460" ht="15" customHeight="1">
      <c r="A460" t="inlineStr">
        <is>
          <t>A 53392-2023</t>
        </is>
      </c>
      <c r="B460" s="1" t="n">
        <v>45229</v>
      </c>
      <c r="C460" s="1" t="n">
        <v>45344</v>
      </c>
      <c r="D460" t="inlineStr">
        <is>
          <t>GÄVLEBORGS LÄN</t>
        </is>
      </c>
      <c r="E460" t="inlineStr">
        <is>
          <t>NORDANSTIG</t>
        </is>
      </c>
      <c r="G460" t="n">
        <v>1.9</v>
      </c>
      <c r="H460" t="n">
        <v>1</v>
      </c>
      <c r="I460" t="n">
        <v>0</v>
      </c>
      <c r="J460" t="n">
        <v>0</v>
      </c>
      <c r="K460" t="n">
        <v>0</v>
      </c>
      <c r="L460" t="n">
        <v>0</v>
      </c>
      <c r="M460" t="n">
        <v>0</v>
      </c>
      <c r="N460" t="n">
        <v>0</v>
      </c>
      <c r="O460" t="n">
        <v>0</v>
      </c>
      <c r="P460" t="n">
        <v>0</v>
      </c>
      <c r="Q460" t="n">
        <v>1</v>
      </c>
      <c r="R460" s="2" t="inlineStr">
        <is>
          <t>Blåsippa</t>
        </is>
      </c>
      <c r="S460">
        <f>HYPERLINK("https://klasma.github.io/Logging_2132/artfynd/A 53392-2023 artfynd.xlsx", "A 53392-2023")</f>
        <v/>
      </c>
      <c r="T460">
        <f>HYPERLINK("https://klasma.github.io/Logging_2132/kartor/A 53392-2023 karta.png", "A 53392-2023")</f>
        <v/>
      </c>
      <c r="V460">
        <f>HYPERLINK("https://klasma.github.io/Logging_2132/klagomål/A 53392-2023 FSC-klagomål.docx", "A 53392-2023")</f>
        <v/>
      </c>
      <c r="W460">
        <f>HYPERLINK("https://klasma.github.io/Logging_2132/klagomålsmail/A 53392-2023 FSC-klagomål mail.docx", "A 53392-2023")</f>
        <v/>
      </c>
      <c r="X460">
        <f>HYPERLINK("https://klasma.github.io/Logging_2132/tillsyn/A 53392-2023 tillsynsbegäran.docx", "A 53392-2023")</f>
        <v/>
      </c>
      <c r="Y460">
        <f>HYPERLINK("https://klasma.github.io/Logging_2132/tillsynsmail/A 53392-2023 tillsynsbegäran mail.docx", "A 53392-2023")</f>
        <v/>
      </c>
    </row>
    <row r="461" ht="15" customHeight="1">
      <c r="A461" t="inlineStr">
        <is>
          <t>A 53460-2023</t>
        </is>
      </c>
      <c r="B461" s="1" t="n">
        <v>45230</v>
      </c>
      <c r="C461" s="1" t="n">
        <v>45344</v>
      </c>
      <c r="D461" t="inlineStr">
        <is>
          <t>GÄVLEBORGS LÄN</t>
        </is>
      </c>
      <c r="E461" t="inlineStr">
        <is>
          <t>HUDIKSVALL</t>
        </is>
      </c>
      <c r="G461" t="n">
        <v>1.6</v>
      </c>
      <c r="H461" t="n">
        <v>0</v>
      </c>
      <c r="I461" t="n">
        <v>0</v>
      </c>
      <c r="J461" t="n">
        <v>1</v>
      </c>
      <c r="K461" t="n">
        <v>0</v>
      </c>
      <c r="L461" t="n">
        <v>0</v>
      </c>
      <c r="M461" t="n">
        <v>0</v>
      </c>
      <c r="N461" t="n">
        <v>0</v>
      </c>
      <c r="O461" t="n">
        <v>1</v>
      </c>
      <c r="P461" t="n">
        <v>0</v>
      </c>
      <c r="Q461" t="n">
        <v>1</v>
      </c>
      <c r="R461" s="2" t="inlineStr">
        <is>
          <t>Lunglav</t>
        </is>
      </c>
      <c r="S461">
        <f>HYPERLINK("https://klasma.github.io/Logging_2184/artfynd/A 53460-2023 artfynd.xlsx", "A 53460-2023")</f>
        <v/>
      </c>
      <c r="T461">
        <f>HYPERLINK("https://klasma.github.io/Logging_2184/kartor/A 53460-2023 karta.png", "A 53460-2023")</f>
        <v/>
      </c>
      <c r="V461">
        <f>HYPERLINK("https://klasma.github.io/Logging_2184/klagomål/A 53460-2023 FSC-klagomål.docx", "A 53460-2023")</f>
        <v/>
      </c>
      <c r="W461">
        <f>HYPERLINK("https://klasma.github.io/Logging_2184/klagomålsmail/A 53460-2023 FSC-klagomål mail.docx", "A 53460-2023")</f>
        <v/>
      </c>
      <c r="X461">
        <f>HYPERLINK("https://klasma.github.io/Logging_2184/tillsyn/A 53460-2023 tillsynsbegäran.docx", "A 53460-2023")</f>
        <v/>
      </c>
      <c r="Y461">
        <f>HYPERLINK("https://klasma.github.io/Logging_2184/tillsynsmail/A 53460-2023 tillsynsbegäran mail.docx", "A 53460-2023")</f>
        <v/>
      </c>
    </row>
    <row r="462" ht="15" customHeight="1">
      <c r="A462" t="inlineStr">
        <is>
          <t>A 57279-2023</t>
        </is>
      </c>
      <c r="B462" s="1" t="n">
        <v>45239</v>
      </c>
      <c r="C462" s="1" t="n">
        <v>45344</v>
      </c>
      <c r="D462" t="inlineStr">
        <is>
          <t>GÄVLEBORGS LÄN</t>
        </is>
      </c>
      <c r="E462" t="inlineStr">
        <is>
          <t>BOLLNÄS</t>
        </is>
      </c>
      <c r="F462" t="inlineStr">
        <is>
          <t>Kommuner</t>
        </is>
      </c>
      <c r="G462" t="n">
        <v>3.2</v>
      </c>
      <c r="H462" t="n">
        <v>0</v>
      </c>
      <c r="I462" t="n">
        <v>0</v>
      </c>
      <c r="J462" t="n">
        <v>1</v>
      </c>
      <c r="K462" t="n">
        <v>0</v>
      </c>
      <c r="L462" t="n">
        <v>0</v>
      </c>
      <c r="M462" t="n">
        <v>0</v>
      </c>
      <c r="N462" t="n">
        <v>0</v>
      </c>
      <c r="O462" t="n">
        <v>1</v>
      </c>
      <c r="P462" t="n">
        <v>0</v>
      </c>
      <c r="Q462" t="n">
        <v>1</v>
      </c>
      <c r="R462" s="2" t="inlineStr">
        <is>
          <t>Rosenticka</t>
        </is>
      </c>
      <c r="S462">
        <f>HYPERLINK("https://klasma.github.io/Logging_2183/artfynd/A 57279-2023 artfynd.xlsx", "A 57279-2023")</f>
        <v/>
      </c>
      <c r="T462">
        <f>HYPERLINK("https://klasma.github.io/Logging_2183/kartor/A 57279-2023 karta.png", "A 57279-2023")</f>
        <v/>
      </c>
      <c r="V462">
        <f>HYPERLINK("https://klasma.github.io/Logging_2183/klagomål/A 57279-2023 FSC-klagomål.docx", "A 57279-2023")</f>
        <v/>
      </c>
      <c r="W462">
        <f>HYPERLINK("https://klasma.github.io/Logging_2183/klagomålsmail/A 57279-2023 FSC-klagomål mail.docx", "A 57279-2023")</f>
        <v/>
      </c>
      <c r="X462">
        <f>HYPERLINK("https://klasma.github.io/Logging_2183/tillsyn/A 57279-2023 tillsynsbegäran.docx", "A 57279-2023")</f>
        <v/>
      </c>
      <c r="Y462">
        <f>HYPERLINK("https://klasma.github.io/Logging_2183/tillsynsmail/A 57279-2023 tillsynsbegäran mail.docx", "A 57279-2023")</f>
        <v/>
      </c>
    </row>
    <row r="463" ht="15" customHeight="1">
      <c r="A463" t="inlineStr">
        <is>
          <t>A 56368-2023</t>
        </is>
      </c>
      <c r="B463" s="1" t="n">
        <v>45243</v>
      </c>
      <c r="C463" s="1" t="n">
        <v>45344</v>
      </c>
      <c r="D463" t="inlineStr">
        <is>
          <t>GÄVLEBORGS LÄN</t>
        </is>
      </c>
      <c r="E463" t="inlineStr">
        <is>
          <t>GÄVLE</t>
        </is>
      </c>
      <c r="G463" t="n">
        <v>10.8</v>
      </c>
      <c r="H463" t="n">
        <v>1</v>
      </c>
      <c r="I463" t="n">
        <v>0</v>
      </c>
      <c r="J463" t="n">
        <v>0</v>
      </c>
      <c r="K463" t="n">
        <v>1</v>
      </c>
      <c r="L463" t="n">
        <v>0</v>
      </c>
      <c r="M463" t="n">
        <v>0</v>
      </c>
      <c r="N463" t="n">
        <v>0</v>
      </c>
      <c r="O463" t="n">
        <v>1</v>
      </c>
      <c r="P463" t="n">
        <v>1</v>
      </c>
      <c r="Q463" t="n">
        <v>1</v>
      </c>
      <c r="R463" s="2" t="inlineStr">
        <is>
          <t>Knärot</t>
        </is>
      </c>
      <c r="S463">
        <f>HYPERLINK("https://klasma.github.io/Logging_2180/artfynd/A 56368-2023 artfynd.xlsx", "A 56368-2023")</f>
        <v/>
      </c>
      <c r="T463">
        <f>HYPERLINK("https://klasma.github.io/Logging_2180/kartor/A 56368-2023 karta.png", "A 56368-2023")</f>
        <v/>
      </c>
      <c r="U463">
        <f>HYPERLINK("https://klasma.github.io/Logging_2180/knärot/A 56368-2023 karta knärot.png", "A 56368-2023")</f>
        <v/>
      </c>
      <c r="V463">
        <f>HYPERLINK("https://klasma.github.io/Logging_2180/klagomål/A 56368-2023 FSC-klagomål.docx", "A 56368-2023")</f>
        <v/>
      </c>
      <c r="W463">
        <f>HYPERLINK("https://klasma.github.io/Logging_2180/klagomålsmail/A 56368-2023 FSC-klagomål mail.docx", "A 56368-2023")</f>
        <v/>
      </c>
      <c r="X463">
        <f>HYPERLINK("https://klasma.github.io/Logging_2180/tillsyn/A 56368-2023 tillsynsbegäran.docx", "A 56368-2023")</f>
        <v/>
      </c>
      <c r="Y463">
        <f>HYPERLINK("https://klasma.github.io/Logging_2180/tillsynsmail/A 56368-2023 tillsynsbegäran mail.docx", "A 56368-2023")</f>
        <v/>
      </c>
    </row>
    <row r="464" ht="15" customHeight="1">
      <c r="A464" t="inlineStr">
        <is>
          <t>A 57086-2023</t>
        </is>
      </c>
      <c r="B464" s="1" t="n">
        <v>45245</v>
      </c>
      <c r="C464" s="1" t="n">
        <v>45344</v>
      </c>
      <c r="D464" t="inlineStr">
        <is>
          <t>GÄVLEBORGS LÄN</t>
        </is>
      </c>
      <c r="E464" t="inlineStr">
        <is>
          <t>SANDVIKEN</t>
        </is>
      </c>
      <c r="F464" t="inlineStr">
        <is>
          <t>Bergvik skog öst AB</t>
        </is>
      </c>
      <c r="G464" t="n">
        <v>6.9</v>
      </c>
      <c r="H464" t="n">
        <v>1</v>
      </c>
      <c r="I464" t="n">
        <v>0</v>
      </c>
      <c r="J464" t="n">
        <v>0</v>
      </c>
      <c r="K464" t="n">
        <v>0</v>
      </c>
      <c r="L464" t="n">
        <v>0</v>
      </c>
      <c r="M464" t="n">
        <v>0</v>
      </c>
      <c r="N464" t="n">
        <v>0</v>
      </c>
      <c r="O464" t="n">
        <v>0</v>
      </c>
      <c r="P464" t="n">
        <v>0</v>
      </c>
      <c r="Q464" t="n">
        <v>1</v>
      </c>
      <c r="R464" s="2" t="inlineStr">
        <is>
          <t>Blåsippa</t>
        </is>
      </c>
      <c r="S464">
        <f>HYPERLINK("https://klasma.github.io/Logging_2181/artfynd/A 57086-2023 artfynd.xlsx", "A 57086-2023")</f>
        <v/>
      </c>
      <c r="T464">
        <f>HYPERLINK("https://klasma.github.io/Logging_2181/kartor/A 57086-2023 karta.png", "A 57086-2023")</f>
        <v/>
      </c>
      <c r="V464">
        <f>HYPERLINK("https://klasma.github.io/Logging_2181/klagomål/A 57086-2023 FSC-klagomål.docx", "A 57086-2023")</f>
        <v/>
      </c>
      <c r="W464">
        <f>HYPERLINK("https://klasma.github.io/Logging_2181/klagomålsmail/A 57086-2023 FSC-klagomål mail.docx", "A 57086-2023")</f>
        <v/>
      </c>
      <c r="X464">
        <f>HYPERLINK("https://klasma.github.io/Logging_2181/tillsyn/A 57086-2023 tillsynsbegäran.docx", "A 57086-2023")</f>
        <v/>
      </c>
      <c r="Y464">
        <f>HYPERLINK("https://klasma.github.io/Logging_2181/tillsynsmail/A 57086-2023 tillsynsbegäran mail.docx", "A 57086-2023")</f>
        <v/>
      </c>
    </row>
    <row r="465" ht="15" customHeight="1">
      <c r="A465" t="inlineStr">
        <is>
          <t>A 57946-2023</t>
        </is>
      </c>
      <c r="B465" s="1" t="n">
        <v>45247</v>
      </c>
      <c r="C465" s="1" t="n">
        <v>45344</v>
      </c>
      <c r="D465" t="inlineStr">
        <is>
          <t>GÄVLEBORGS LÄN</t>
        </is>
      </c>
      <c r="E465" t="inlineStr">
        <is>
          <t>OCKELBO</t>
        </is>
      </c>
      <c r="F465" t="inlineStr">
        <is>
          <t>Bergvik skog väst AB</t>
        </is>
      </c>
      <c r="G465" t="n">
        <v>2.4</v>
      </c>
      <c r="H465" t="n">
        <v>1</v>
      </c>
      <c r="I465" t="n">
        <v>0</v>
      </c>
      <c r="J465" t="n">
        <v>0</v>
      </c>
      <c r="K465" t="n">
        <v>0</v>
      </c>
      <c r="L465" t="n">
        <v>0</v>
      </c>
      <c r="M465" t="n">
        <v>0</v>
      </c>
      <c r="N465" t="n">
        <v>0</v>
      </c>
      <c r="O465" t="n">
        <v>0</v>
      </c>
      <c r="P465" t="n">
        <v>0</v>
      </c>
      <c r="Q465" t="n">
        <v>1</v>
      </c>
      <c r="R465" s="2" t="inlineStr">
        <is>
          <t>Revlummer</t>
        </is>
      </c>
      <c r="S465">
        <f>HYPERLINK("https://klasma.github.io/Logging_2101/artfynd/A 57946-2023 artfynd.xlsx", "A 57946-2023")</f>
        <v/>
      </c>
      <c r="T465">
        <f>HYPERLINK("https://klasma.github.io/Logging_2101/kartor/A 57946-2023 karta.png", "A 57946-2023")</f>
        <v/>
      </c>
      <c r="V465">
        <f>HYPERLINK("https://klasma.github.io/Logging_2101/klagomål/A 57946-2023 FSC-klagomål.docx", "A 57946-2023")</f>
        <v/>
      </c>
      <c r="W465">
        <f>HYPERLINK("https://klasma.github.io/Logging_2101/klagomålsmail/A 57946-2023 FSC-klagomål mail.docx", "A 57946-2023")</f>
        <v/>
      </c>
      <c r="X465">
        <f>HYPERLINK("https://klasma.github.io/Logging_2101/tillsyn/A 57946-2023 tillsynsbegäran.docx", "A 57946-2023")</f>
        <v/>
      </c>
      <c r="Y465">
        <f>HYPERLINK("https://klasma.github.io/Logging_2101/tillsynsmail/A 57946-2023 tillsynsbegäran mail.docx", "A 57946-2023")</f>
        <v/>
      </c>
    </row>
    <row r="466" ht="15" customHeight="1">
      <c r="A466" t="inlineStr">
        <is>
          <t>A 57901-2023</t>
        </is>
      </c>
      <c r="B466" s="1" t="n">
        <v>45247</v>
      </c>
      <c r="C466" s="1" t="n">
        <v>45344</v>
      </c>
      <c r="D466" t="inlineStr">
        <is>
          <t>GÄVLEBORGS LÄN</t>
        </is>
      </c>
      <c r="E466" t="inlineStr">
        <is>
          <t>OCKELBO</t>
        </is>
      </c>
      <c r="F466" t="inlineStr">
        <is>
          <t>Bergvik skog väst AB</t>
        </is>
      </c>
      <c r="G466" t="n">
        <v>2</v>
      </c>
      <c r="H466" t="n">
        <v>1</v>
      </c>
      <c r="I466" t="n">
        <v>0</v>
      </c>
      <c r="J466" t="n">
        <v>0</v>
      </c>
      <c r="K466" t="n">
        <v>0</v>
      </c>
      <c r="L466" t="n">
        <v>0</v>
      </c>
      <c r="M466" t="n">
        <v>0</v>
      </c>
      <c r="N466" t="n">
        <v>0</v>
      </c>
      <c r="O466" t="n">
        <v>0</v>
      </c>
      <c r="P466" t="n">
        <v>0</v>
      </c>
      <c r="Q466" t="n">
        <v>1</v>
      </c>
      <c r="R466" s="2" t="inlineStr">
        <is>
          <t>Revlummer</t>
        </is>
      </c>
      <c r="S466">
        <f>HYPERLINK("https://klasma.github.io/Logging_2101/artfynd/A 57901-2023 artfynd.xlsx", "A 57901-2023")</f>
        <v/>
      </c>
      <c r="T466">
        <f>HYPERLINK("https://klasma.github.io/Logging_2101/kartor/A 57901-2023 karta.png", "A 57901-2023")</f>
        <v/>
      </c>
      <c r="V466">
        <f>HYPERLINK("https://klasma.github.io/Logging_2101/klagomål/A 57901-2023 FSC-klagomål.docx", "A 57901-2023")</f>
        <v/>
      </c>
      <c r="W466">
        <f>HYPERLINK("https://klasma.github.io/Logging_2101/klagomålsmail/A 57901-2023 FSC-klagomål mail.docx", "A 57901-2023")</f>
        <v/>
      </c>
      <c r="X466">
        <f>HYPERLINK("https://klasma.github.io/Logging_2101/tillsyn/A 57901-2023 tillsynsbegäran.docx", "A 57901-2023")</f>
        <v/>
      </c>
      <c r="Y466">
        <f>HYPERLINK("https://klasma.github.io/Logging_2101/tillsynsmail/A 57901-2023 tillsynsbegäran mail.docx", "A 57901-2023")</f>
        <v/>
      </c>
    </row>
    <row r="467" ht="15" customHeight="1">
      <c r="A467" t="inlineStr">
        <is>
          <t>A 58785-2023</t>
        </is>
      </c>
      <c r="B467" s="1" t="n">
        <v>45252</v>
      </c>
      <c r="C467" s="1" t="n">
        <v>45344</v>
      </c>
      <c r="D467" t="inlineStr">
        <is>
          <t>GÄVLEBORGS LÄN</t>
        </is>
      </c>
      <c r="E467" t="inlineStr">
        <is>
          <t>SANDVIKEN</t>
        </is>
      </c>
      <c r="F467" t="inlineStr">
        <is>
          <t>Bergvik skog öst AB</t>
        </is>
      </c>
      <c r="G467" t="n">
        <v>6.9</v>
      </c>
      <c r="H467" t="n">
        <v>1</v>
      </c>
      <c r="I467" t="n">
        <v>0</v>
      </c>
      <c r="J467" t="n">
        <v>0</v>
      </c>
      <c r="K467" t="n">
        <v>0</v>
      </c>
      <c r="L467" t="n">
        <v>0</v>
      </c>
      <c r="M467" t="n">
        <v>0</v>
      </c>
      <c r="N467" t="n">
        <v>0</v>
      </c>
      <c r="O467" t="n">
        <v>0</v>
      </c>
      <c r="P467" t="n">
        <v>0</v>
      </c>
      <c r="Q467" t="n">
        <v>1</v>
      </c>
      <c r="R467" s="2" t="inlineStr">
        <is>
          <t>Blåsippa</t>
        </is>
      </c>
      <c r="S467">
        <f>HYPERLINK("https://klasma.github.io/Logging_2181/artfynd/A 58785-2023 artfynd.xlsx", "A 58785-2023")</f>
        <v/>
      </c>
      <c r="T467">
        <f>HYPERLINK("https://klasma.github.io/Logging_2181/kartor/A 58785-2023 karta.png", "A 58785-2023")</f>
        <v/>
      </c>
      <c r="V467">
        <f>HYPERLINK("https://klasma.github.io/Logging_2181/klagomål/A 58785-2023 FSC-klagomål.docx", "A 58785-2023")</f>
        <v/>
      </c>
      <c r="W467">
        <f>HYPERLINK("https://klasma.github.io/Logging_2181/klagomålsmail/A 58785-2023 FSC-klagomål mail.docx", "A 58785-2023")</f>
        <v/>
      </c>
      <c r="X467">
        <f>HYPERLINK("https://klasma.github.io/Logging_2181/tillsyn/A 58785-2023 tillsynsbegäran.docx", "A 58785-2023")</f>
        <v/>
      </c>
      <c r="Y467">
        <f>HYPERLINK("https://klasma.github.io/Logging_2181/tillsynsmail/A 58785-2023 tillsynsbegäran mail.docx", "A 58785-2023")</f>
        <v/>
      </c>
    </row>
    <row r="468" ht="15" customHeight="1">
      <c r="A468" t="inlineStr">
        <is>
          <t>A 58845-2023</t>
        </is>
      </c>
      <c r="B468" s="1" t="n">
        <v>45252</v>
      </c>
      <c r="C468" s="1" t="n">
        <v>45344</v>
      </c>
      <c r="D468" t="inlineStr">
        <is>
          <t>GÄVLEBORGS LÄN</t>
        </is>
      </c>
      <c r="E468" t="inlineStr">
        <is>
          <t>SANDVIKEN</t>
        </is>
      </c>
      <c r="G468" t="n">
        <v>1.5</v>
      </c>
      <c r="H468" t="n">
        <v>1</v>
      </c>
      <c r="I468" t="n">
        <v>0</v>
      </c>
      <c r="J468" t="n">
        <v>0</v>
      </c>
      <c r="K468" t="n">
        <v>0</v>
      </c>
      <c r="L468" t="n">
        <v>0</v>
      </c>
      <c r="M468" t="n">
        <v>0</v>
      </c>
      <c r="N468" t="n">
        <v>0</v>
      </c>
      <c r="O468" t="n">
        <v>0</v>
      </c>
      <c r="P468" t="n">
        <v>0</v>
      </c>
      <c r="Q468" t="n">
        <v>1</v>
      </c>
      <c r="R468" s="2" t="inlineStr">
        <is>
          <t>Vanlig padda</t>
        </is>
      </c>
      <c r="S468">
        <f>HYPERLINK("https://klasma.github.io/Logging_2181/artfynd/A 58845-2023 artfynd.xlsx", "A 58845-2023")</f>
        <v/>
      </c>
      <c r="T468">
        <f>HYPERLINK("https://klasma.github.io/Logging_2181/kartor/A 58845-2023 karta.png", "A 58845-2023")</f>
        <v/>
      </c>
      <c r="V468">
        <f>HYPERLINK("https://klasma.github.io/Logging_2181/klagomål/A 58845-2023 FSC-klagomål.docx", "A 58845-2023")</f>
        <v/>
      </c>
      <c r="W468">
        <f>HYPERLINK("https://klasma.github.io/Logging_2181/klagomålsmail/A 58845-2023 FSC-klagomål mail.docx", "A 58845-2023")</f>
        <v/>
      </c>
      <c r="X468">
        <f>HYPERLINK("https://klasma.github.io/Logging_2181/tillsyn/A 58845-2023 tillsynsbegäran.docx", "A 58845-2023")</f>
        <v/>
      </c>
      <c r="Y468">
        <f>HYPERLINK("https://klasma.github.io/Logging_2181/tillsynsmail/A 58845-2023 tillsynsbegäran mail.docx", "A 58845-2023")</f>
        <v/>
      </c>
    </row>
    <row r="469" ht="15" customHeight="1">
      <c r="A469" t="inlineStr">
        <is>
          <t>A 60157-2023</t>
        </is>
      </c>
      <c r="B469" s="1" t="n">
        <v>45258</v>
      </c>
      <c r="C469" s="1" t="n">
        <v>45344</v>
      </c>
      <c r="D469" t="inlineStr">
        <is>
          <t>GÄVLEBORGS LÄN</t>
        </is>
      </c>
      <c r="E469" t="inlineStr">
        <is>
          <t>NORDANSTIG</t>
        </is>
      </c>
      <c r="G469" t="n">
        <v>3.9</v>
      </c>
      <c r="H469" t="n">
        <v>0</v>
      </c>
      <c r="I469" t="n">
        <v>0</v>
      </c>
      <c r="J469" t="n">
        <v>0</v>
      </c>
      <c r="K469" t="n">
        <v>0</v>
      </c>
      <c r="L469" t="n">
        <v>1</v>
      </c>
      <c r="M469" t="n">
        <v>0</v>
      </c>
      <c r="N469" t="n">
        <v>0</v>
      </c>
      <c r="O469" t="n">
        <v>1</v>
      </c>
      <c r="P469" t="n">
        <v>1</v>
      </c>
      <c r="Q469" t="n">
        <v>1</v>
      </c>
      <c r="R469" s="2" t="inlineStr">
        <is>
          <t>Bredgentiana</t>
        </is>
      </c>
      <c r="S469">
        <f>HYPERLINK("https://klasma.github.io/Logging_2132/artfynd/A 60157-2023 artfynd.xlsx", "A 60157-2023")</f>
        <v/>
      </c>
      <c r="T469">
        <f>HYPERLINK("https://klasma.github.io/Logging_2132/kartor/A 60157-2023 karta.png", "A 60157-2023")</f>
        <v/>
      </c>
      <c r="V469">
        <f>HYPERLINK("https://klasma.github.io/Logging_2132/klagomål/A 60157-2023 FSC-klagomål.docx", "A 60157-2023")</f>
        <v/>
      </c>
      <c r="W469">
        <f>HYPERLINK("https://klasma.github.io/Logging_2132/klagomålsmail/A 60157-2023 FSC-klagomål mail.docx", "A 60157-2023")</f>
        <v/>
      </c>
      <c r="X469">
        <f>HYPERLINK("https://klasma.github.io/Logging_2132/tillsyn/A 60157-2023 tillsynsbegäran.docx", "A 60157-2023")</f>
        <v/>
      </c>
      <c r="Y469">
        <f>HYPERLINK("https://klasma.github.io/Logging_2132/tillsynsmail/A 60157-2023 tillsynsbegäran mail.docx", "A 60157-2023")</f>
        <v/>
      </c>
    </row>
    <row r="470" ht="15" customHeight="1">
      <c r="A470" t="inlineStr">
        <is>
          <t>A 64328-2023</t>
        </is>
      </c>
      <c r="B470" s="1" t="n">
        <v>45280</v>
      </c>
      <c r="C470" s="1" t="n">
        <v>45344</v>
      </c>
      <c r="D470" t="inlineStr">
        <is>
          <t>GÄVLEBORGS LÄN</t>
        </is>
      </c>
      <c r="E470" t="inlineStr">
        <is>
          <t>OVANÅKER</t>
        </is>
      </c>
      <c r="G470" t="n">
        <v>3.5</v>
      </c>
      <c r="H470" t="n">
        <v>1</v>
      </c>
      <c r="I470" t="n">
        <v>0</v>
      </c>
      <c r="J470" t="n">
        <v>0</v>
      </c>
      <c r="K470" t="n">
        <v>0</v>
      </c>
      <c r="L470" t="n">
        <v>0</v>
      </c>
      <c r="M470" t="n">
        <v>0</v>
      </c>
      <c r="N470" t="n">
        <v>0</v>
      </c>
      <c r="O470" t="n">
        <v>0</v>
      </c>
      <c r="P470" t="n">
        <v>0</v>
      </c>
      <c r="Q470" t="n">
        <v>1</v>
      </c>
      <c r="R470" s="2" t="inlineStr">
        <is>
          <t>Revlummer</t>
        </is>
      </c>
      <c r="S470">
        <f>HYPERLINK("https://klasma.github.io/Logging_2121/artfynd/A 64328-2023 artfynd.xlsx", "A 64328-2023")</f>
        <v/>
      </c>
      <c r="T470">
        <f>HYPERLINK("https://klasma.github.io/Logging_2121/kartor/A 64328-2023 karta.png", "A 64328-2023")</f>
        <v/>
      </c>
      <c r="V470">
        <f>HYPERLINK("https://klasma.github.io/Logging_2121/klagomål/A 64328-2023 FSC-klagomål.docx", "A 64328-2023")</f>
        <v/>
      </c>
      <c r="W470">
        <f>HYPERLINK("https://klasma.github.io/Logging_2121/klagomålsmail/A 64328-2023 FSC-klagomål mail.docx", "A 64328-2023")</f>
        <v/>
      </c>
      <c r="X470">
        <f>HYPERLINK("https://klasma.github.io/Logging_2121/tillsyn/A 64328-2023 tillsynsbegäran.docx", "A 64328-2023")</f>
        <v/>
      </c>
      <c r="Y470">
        <f>HYPERLINK("https://klasma.github.io/Logging_2121/tillsynsmail/A 64328-2023 tillsynsbegäran mail.docx", "A 64328-2023")</f>
        <v/>
      </c>
    </row>
    <row r="471" ht="15" customHeight="1">
      <c r="A471" t="inlineStr">
        <is>
          <t>A 109-2024</t>
        </is>
      </c>
      <c r="B471" s="1" t="n">
        <v>45294</v>
      </c>
      <c r="C471" s="1" t="n">
        <v>45344</v>
      </c>
      <c r="D471" t="inlineStr">
        <is>
          <t>GÄVLEBORGS LÄN</t>
        </is>
      </c>
      <c r="E471" t="inlineStr">
        <is>
          <t>HUDIKSVALL</t>
        </is>
      </c>
      <c r="F471" t="inlineStr">
        <is>
          <t>Holmen skog AB</t>
        </is>
      </c>
      <c r="G471" t="n">
        <v>5.1</v>
      </c>
      <c r="H471" t="n">
        <v>0</v>
      </c>
      <c r="I471" t="n">
        <v>0</v>
      </c>
      <c r="J471" t="n">
        <v>1</v>
      </c>
      <c r="K471" t="n">
        <v>0</v>
      </c>
      <c r="L471" t="n">
        <v>0</v>
      </c>
      <c r="M471" t="n">
        <v>0</v>
      </c>
      <c r="N471" t="n">
        <v>0</v>
      </c>
      <c r="O471" t="n">
        <v>1</v>
      </c>
      <c r="P471" t="n">
        <v>0</v>
      </c>
      <c r="Q471" t="n">
        <v>1</v>
      </c>
      <c r="R471" s="2" t="inlineStr">
        <is>
          <t>Ullticka</t>
        </is>
      </c>
      <c r="S471">
        <f>HYPERLINK("https://klasma.github.io/Logging_2184/artfynd/A 109-2024 artfynd.xlsx", "A 109-2024")</f>
        <v/>
      </c>
      <c r="T471">
        <f>HYPERLINK("https://klasma.github.io/Logging_2184/kartor/A 109-2024 karta.png", "A 109-2024")</f>
        <v/>
      </c>
      <c r="V471">
        <f>HYPERLINK("https://klasma.github.io/Logging_2184/klagomål/A 109-2024 FSC-klagomål.docx", "A 109-2024")</f>
        <v/>
      </c>
      <c r="W471">
        <f>HYPERLINK("https://klasma.github.io/Logging_2184/klagomålsmail/A 109-2024 FSC-klagomål mail.docx", "A 109-2024")</f>
        <v/>
      </c>
      <c r="X471">
        <f>HYPERLINK("https://klasma.github.io/Logging_2184/tillsyn/A 109-2024 tillsynsbegäran.docx", "A 109-2024")</f>
        <v/>
      </c>
      <c r="Y471">
        <f>HYPERLINK("https://klasma.github.io/Logging_2184/tillsynsmail/A 109-2024 tillsynsbegäran mail.docx", "A 109-2024")</f>
        <v/>
      </c>
    </row>
    <row r="472" ht="15" customHeight="1">
      <c r="A472" t="inlineStr">
        <is>
          <t>A 311-2024</t>
        </is>
      </c>
      <c r="B472" s="1" t="n">
        <v>45295</v>
      </c>
      <c r="C472" s="1" t="n">
        <v>45344</v>
      </c>
      <c r="D472" t="inlineStr">
        <is>
          <t>GÄVLEBORGS LÄN</t>
        </is>
      </c>
      <c r="E472" t="inlineStr">
        <is>
          <t>SANDVIKEN</t>
        </is>
      </c>
      <c r="G472" t="n">
        <v>1.3</v>
      </c>
      <c r="H472" t="n">
        <v>1</v>
      </c>
      <c r="I472" t="n">
        <v>1</v>
      </c>
      <c r="J472" t="n">
        <v>0</v>
      </c>
      <c r="K472" t="n">
        <v>0</v>
      </c>
      <c r="L472" t="n">
        <v>0</v>
      </c>
      <c r="M472" t="n">
        <v>0</v>
      </c>
      <c r="N472" t="n">
        <v>0</v>
      </c>
      <c r="O472" t="n">
        <v>0</v>
      </c>
      <c r="P472" t="n">
        <v>0</v>
      </c>
      <c r="Q472" t="n">
        <v>1</v>
      </c>
      <c r="R472" s="2" t="inlineStr">
        <is>
          <t>Plattlummer</t>
        </is>
      </c>
      <c r="S472">
        <f>HYPERLINK("https://klasma.github.io/Logging_2181/artfynd/A 311-2024 artfynd.xlsx", "A 311-2024")</f>
        <v/>
      </c>
      <c r="T472">
        <f>HYPERLINK("https://klasma.github.io/Logging_2181/kartor/A 311-2024 karta.png", "A 311-2024")</f>
        <v/>
      </c>
      <c r="V472">
        <f>HYPERLINK("https://klasma.github.io/Logging_2181/klagomål/A 311-2024 FSC-klagomål.docx", "A 311-2024")</f>
        <v/>
      </c>
      <c r="W472">
        <f>HYPERLINK("https://klasma.github.io/Logging_2181/klagomålsmail/A 311-2024 FSC-klagomål mail.docx", "A 311-2024")</f>
        <v/>
      </c>
      <c r="X472">
        <f>HYPERLINK("https://klasma.github.io/Logging_2181/tillsyn/A 311-2024 tillsynsbegäran.docx", "A 311-2024")</f>
        <v/>
      </c>
      <c r="Y472">
        <f>HYPERLINK("https://klasma.github.io/Logging_2181/tillsynsmail/A 311-2024 tillsynsbegäran mail.docx", "A 311-2024")</f>
        <v/>
      </c>
    </row>
    <row r="473" ht="15" customHeight="1">
      <c r="A473" t="inlineStr">
        <is>
          <t>A 470-2024</t>
        </is>
      </c>
      <c r="B473" s="1" t="n">
        <v>45297</v>
      </c>
      <c r="C473" s="1" t="n">
        <v>45344</v>
      </c>
      <c r="D473" t="inlineStr">
        <is>
          <t>GÄVLEBORGS LÄN</t>
        </is>
      </c>
      <c r="E473" t="inlineStr">
        <is>
          <t>NORDANSTIG</t>
        </is>
      </c>
      <c r="F473" t="inlineStr">
        <is>
          <t>Holmen skog AB</t>
        </is>
      </c>
      <c r="G473" t="n">
        <v>4.1</v>
      </c>
      <c r="H473" t="n">
        <v>1</v>
      </c>
      <c r="I473" t="n">
        <v>0</v>
      </c>
      <c r="J473" t="n">
        <v>1</v>
      </c>
      <c r="K473" t="n">
        <v>0</v>
      </c>
      <c r="L473" t="n">
        <v>0</v>
      </c>
      <c r="M473" t="n">
        <v>0</v>
      </c>
      <c r="N473" t="n">
        <v>0</v>
      </c>
      <c r="O473" t="n">
        <v>1</v>
      </c>
      <c r="P473" t="n">
        <v>0</v>
      </c>
      <c r="Q473" t="n">
        <v>1</v>
      </c>
      <c r="R473" s="2" t="inlineStr">
        <is>
          <t>Duvhök</t>
        </is>
      </c>
      <c r="S473">
        <f>HYPERLINK("https://klasma.github.io/Logging_2132/artfynd/A 470-2024 artfynd.xlsx", "A 470-2024")</f>
        <v/>
      </c>
      <c r="T473">
        <f>HYPERLINK("https://klasma.github.io/Logging_2132/kartor/A 470-2024 karta.png", "A 470-2024")</f>
        <v/>
      </c>
      <c r="V473">
        <f>HYPERLINK("https://klasma.github.io/Logging_2132/klagomål/A 470-2024 FSC-klagomål.docx", "A 470-2024")</f>
        <v/>
      </c>
      <c r="W473">
        <f>HYPERLINK("https://klasma.github.io/Logging_2132/klagomålsmail/A 470-2024 FSC-klagomål mail.docx", "A 470-2024")</f>
        <v/>
      </c>
      <c r="X473">
        <f>HYPERLINK("https://klasma.github.io/Logging_2132/tillsyn/A 470-2024 tillsynsbegäran.docx", "A 470-2024")</f>
        <v/>
      </c>
      <c r="Y473">
        <f>HYPERLINK("https://klasma.github.io/Logging_2132/tillsynsmail/A 470-2024 tillsynsbegäran mail.docx", "A 470-2024")</f>
        <v/>
      </c>
    </row>
    <row r="474" ht="15" customHeight="1">
      <c r="A474" t="inlineStr">
        <is>
          <t>A 684-2024</t>
        </is>
      </c>
      <c r="B474" s="1" t="n">
        <v>45300</v>
      </c>
      <c r="C474" s="1" t="n">
        <v>45344</v>
      </c>
      <c r="D474" t="inlineStr">
        <is>
          <t>GÄVLEBORGS LÄN</t>
        </is>
      </c>
      <c r="E474" t="inlineStr">
        <is>
          <t>HUDIKSVALL</t>
        </is>
      </c>
      <c r="F474" t="inlineStr">
        <is>
          <t>Holmen skog AB</t>
        </is>
      </c>
      <c r="G474" t="n">
        <v>14.7</v>
      </c>
      <c r="H474" t="n">
        <v>0</v>
      </c>
      <c r="I474" t="n">
        <v>0</v>
      </c>
      <c r="J474" t="n">
        <v>1</v>
      </c>
      <c r="K474" t="n">
        <v>0</v>
      </c>
      <c r="L474" t="n">
        <v>0</v>
      </c>
      <c r="M474" t="n">
        <v>0</v>
      </c>
      <c r="N474" t="n">
        <v>0</v>
      </c>
      <c r="O474" t="n">
        <v>1</v>
      </c>
      <c r="P474" t="n">
        <v>0</v>
      </c>
      <c r="Q474" t="n">
        <v>1</v>
      </c>
      <c r="R474" s="2" t="inlineStr">
        <is>
          <t>Brunpudrad nållav</t>
        </is>
      </c>
      <c r="S474">
        <f>HYPERLINK("https://klasma.github.io/Logging_2184/artfynd/A 684-2024 artfynd.xlsx", "A 684-2024")</f>
        <v/>
      </c>
      <c r="T474">
        <f>HYPERLINK("https://klasma.github.io/Logging_2184/kartor/A 684-2024 karta.png", "A 684-2024")</f>
        <v/>
      </c>
      <c r="V474">
        <f>HYPERLINK("https://klasma.github.io/Logging_2184/klagomål/A 684-2024 FSC-klagomål.docx", "A 684-2024")</f>
        <v/>
      </c>
      <c r="W474">
        <f>HYPERLINK("https://klasma.github.io/Logging_2184/klagomålsmail/A 684-2024 FSC-klagomål mail.docx", "A 684-2024")</f>
        <v/>
      </c>
      <c r="X474">
        <f>HYPERLINK("https://klasma.github.io/Logging_2184/tillsyn/A 684-2024 tillsynsbegäran.docx", "A 684-2024")</f>
        <v/>
      </c>
      <c r="Y474">
        <f>HYPERLINK("https://klasma.github.io/Logging_2184/tillsynsmail/A 684-2024 tillsynsbegäran mail.docx", "A 684-2024")</f>
        <v/>
      </c>
    </row>
    <row r="475" ht="15" customHeight="1">
      <c r="A475" t="inlineStr">
        <is>
          <t>A 1193-2024</t>
        </is>
      </c>
      <c r="B475" s="1" t="n">
        <v>45302</v>
      </c>
      <c r="C475" s="1" t="n">
        <v>45344</v>
      </c>
      <c r="D475" t="inlineStr">
        <is>
          <t>GÄVLEBORGS LÄN</t>
        </is>
      </c>
      <c r="E475" t="inlineStr">
        <is>
          <t>OVANÅKER</t>
        </is>
      </c>
      <c r="F475" t="inlineStr">
        <is>
          <t>Bergvik skog väst AB</t>
        </is>
      </c>
      <c r="G475" t="n">
        <v>10.5</v>
      </c>
      <c r="H475" t="n">
        <v>1</v>
      </c>
      <c r="I475" t="n">
        <v>0</v>
      </c>
      <c r="J475" t="n">
        <v>0</v>
      </c>
      <c r="K475" t="n">
        <v>0</v>
      </c>
      <c r="L475" t="n">
        <v>0</v>
      </c>
      <c r="M475" t="n">
        <v>0</v>
      </c>
      <c r="N475" t="n">
        <v>0</v>
      </c>
      <c r="O475" t="n">
        <v>0</v>
      </c>
      <c r="P475" t="n">
        <v>0</v>
      </c>
      <c r="Q475" t="n">
        <v>1</v>
      </c>
      <c r="R475" s="2" t="inlineStr">
        <is>
          <t>Blåsippa</t>
        </is>
      </c>
      <c r="S475">
        <f>HYPERLINK("https://klasma.github.io/Logging_2121/artfynd/A 1193-2024 artfynd.xlsx", "A 1193-2024")</f>
        <v/>
      </c>
      <c r="T475">
        <f>HYPERLINK("https://klasma.github.io/Logging_2121/kartor/A 1193-2024 karta.png", "A 1193-2024")</f>
        <v/>
      </c>
      <c r="V475">
        <f>HYPERLINK("https://klasma.github.io/Logging_2121/klagomål/A 1193-2024 FSC-klagomål.docx", "A 1193-2024")</f>
        <v/>
      </c>
      <c r="W475">
        <f>HYPERLINK("https://klasma.github.io/Logging_2121/klagomålsmail/A 1193-2024 FSC-klagomål mail.docx", "A 1193-2024")</f>
        <v/>
      </c>
      <c r="X475">
        <f>HYPERLINK("https://klasma.github.io/Logging_2121/tillsyn/A 1193-2024 tillsynsbegäran.docx", "A 1193-2024")</f>
        <v/>
      </c>
      <c r="Y475">
        <f>HYPERLINK("https://klasma.github.io/Logging_2121/tillsynsmail/A 1193-2024 tillsynsbegäran mail.docx", "A 1193-2024")</f>
        <v/>
      </c>
    </row>
    <row r="476" ht="15" customHeight="1">
      <c r="A476" t="inlineStr">
        <is>
          <t>A 1214-2024</t>
        </is>
      </c>
      <c r="B476" s="1" t="n">
        <v>45302</v>
      </c>
      <c r="C476" s="1" t="n">
        <v>45344</v>
      </c>
      <c r="D476" t="inlineStr">
        <is>
          <t>GÄVLEBORGS LÄN</t>
        </is>
      </c>
      <c r="E476" t="inlineStr">
        <is>
          <t>OVANÅKER</t>
        </is>
      </c>
      <c r="F476" t="inlineStr">
        <is>
          <t>Bergvik skog väst AB</t>
        </is>
      </c>
      <c r="G476" t="n">
        <v>3.2</v>
      </c>
      <c r="H476" t="n">
        <v>1</v>
      </c>
      <c r="I476" t="n">
        <v>0</v>
      </c>
      <c r="J476" t="n">
        <v>0</v>
      </c>
      <c r="K476" t="n">
        <v>0</v>
      </c>
      <c r="L476" t="n">
        <v>0</v>
      </c>
      <c r="M476" t="n">
        <v>0</v>
      </c>
      <c r="N476" t="n">
        <v>0</v>
      </c>
      <c r="O476" t="n">
        <v>0</v>
      </c>
      <c r="P476" t="n">
        <v>0</v>
      </c>
      <c r="Q476" t="n">
        <v>1</v>
      </c>
      <c r="R476" s="2" t="inlineStr">
        <is>
          <t>Fläcknycklar</t>
        </is>
      </c>
      <c r="S476">
        <f>HYPERLINK("https://klasma.github.io/Logging_2121/artfynd/A 1214-2024 artfynd.xlsx", "A 1214-2024")</f>
        <v/>
      </c>
      <c r="T476">
        <f>HYPERLINK("https://klasma.github.io/Logging_2121/kartor/A 1214-2024 karta.png", "A 1214-2024")</f>
        <v/>
      </c>
      <c r="V476">
        <f>HYPERLINK("https://klasma.github.io/Logging_2121/klagomål/A 1214-2024 FSC-klagomål.docx", "A 1214-2024")</f>
        <v/>
      </c>
      <c r="W476">
        <f>HYPERLINK("https://klasma.github.io/Logging_2121/klagomålsmail/A 1214-2024 FSC-klagomål mail.docx", "A 1214-2024")</f>
        <v/>
      </c>
      <c r="X476">
        <f>HYPERLINK("https://klasma.github.io/Logging_2121/tillsyn/A 1214-2024 tillsynsbegäran.docx", "A 1214-2024")</f>
        <v/>
      </c>
      <c r="Y476">
        <f>HYPERLINK("https://klasma.github.io/Logging_2121/tillsynsmail/A 1214-2024 tillsynsbegäran mail.docx", "A 1214-2024")</f>
        <v/>
      </c>
    </row>
    <row r="477" ht="15" customHeight="1">
      <c r="A477" t="inlineStr">
        <is>
          <t>A 3387-2024</t>
        </is>
      </c>
      <c r="B477" s="1" t="n">
        <v>45317</v>
      </c>
      <c r="C477" s="1" t="n">
        <v>45344</v>
      </c>
      <c r="D477" t="inlineStr">
        <is>
          <t>GÄVLEBORGS LÄN</t>
        </is>
      </c>
      <c r="E477" t="inlineStr">
        <is>
          <t>NORDANSTIG</t>
        </is>
      </c>
      <c r="F477" t="inlineStr">
        <is>
          <t>SCA</t>
        </is>
      </c>
      <c r="G477" t="n">
        <v>7.7</v>
      </c>
      <c r="H477" t="n">
        <v>1</v>
      </c>
      <c r="I477" t="n">
        <v>0</v>
      </c>
      <c r="J477" t="n">
        <v>0</v>
      </c>
      <c r="K477" t="n">
        <v>0</v>
      </c>
      <c r="L477" t="n">
        <v>0</v>
      </c>
      <c r="M477" t="n">
        <v>0</v>
      </c>
      <c r="N477" t="n">
        <v>0</v>
      </c>
      <c r="O477" t="n">
        <v>0</v>
      </c>
      <c r="P477" t="n">
        <v>0</v>
      </c>
      <c r="Q477" t="n">
        <v>1</v>
      </c>
      <c r="R477" s="2" t="inlineStr">
        <is>
          <t>Revlummer</t>
        </is>
      </c>
      <c r="S477">
        <f>HYPERLINK("https://klasma.github.io/Logging_2132/artfynd/A 3387-2024 artfynd.xlsx", "A 3387-2024")</f>
        <v/>
      </c>
      <c r="T477">
        <f>HYPERLINK("https://klasma.github.io/Logging_2132/kartor/A 3387-2024 karta.png", "A 3387-2024")</f>
        <v/>
      </c>
      <c r="V477">
        <f>HYPERLINK("https://klasma.github.io/Logging_2132/klagomål/A 3387-2024 FSC-klagomål.docx", "A 3387-2024")</f>
        <v/>
      </c>
      <c r="W477">
        <f>HYPERLINK("https://klasma.github.io/Logging_2132/klagomålsmail/A 3387-2024 FSC-klagomål mail.docx", "A 3387-2024")</f>
        <v/>
      </c>
      <c r="X477">
        <f>HYPERLINK("https://klasma.github.io/Logging_2132/tillsyn/A 3387-2024 tillsynsbegäran.docx", "A 3387-2024")</f>
        <v/>
      </c>
      <c r="Y477">
        <f>HYPERLINK("https://klasma.github.io/Logging_2132/tillsynsmail/A 3387-2024 tillsynsbegäran mail.docx", "A 3387-2024")</f>
        <v/>
      </c>
    </row>
    <row r="478" ht="15" customHeight="1">
      <c r="A478" t="inlineStr">
        <is>
          <t>A 4839-2024</t>
        </is>
      </c>
      <c r="B478" s="1" t="n">
        <v>45329</v>
      </c>
      <c r="C478" s="1" t="n">
        <v>45344</v>
      </c>
      <c r="D478" t="inlineStr">
        <is>
          <t>GÄVLEBORGS LÄN</t>
        </is>
      </c>
      <c r="E478" t="inlineStr">
        <is>
          <t>LJUSDAL</t>
        </is>
      </c>
      <c r="G478" t="n">
        <v>2.5</v>
      </c>
      <c r="H478" t="n">
        <v>1</v>
      </c>
      <c r="I478" t="n">
        <v>0</v>
      </c>
      <c r="J478" t="n">
        <v>1</v>
      </c>
      <c r="K478" t="n">
        <v>0</v>
      </c>
      <c r="L478" t="n">
        <v>0</v>
      </c>
      <c r="M478" t="n">
        <v>0</v>
      </c>
      <c r="N478" t="n">
        <v>0</v>
      </c>
      <c r="O478" t="n">
        <v>1</v>
      </c>
      <c r="P478" t="n">
        <v>0</v>
      </c>
      <c r="Q478" t="n">
        <v>1</v>
      </c>
      <c r="R478" s="2" t="inlineStr">
        <is>
          <t>Ävjepilört</t>
        </is>
      </c>
      <c r="S478">
        <f>HYPERLINK("https://klasma.github.io/Logging_2161/artfynd/A 4839-2024 artfynd.xlsx", "A 4839-2024")</f>
        <v/>
      </c>
      <c r="T478">
        <f>HYPERLINK("https://klasma.github.io/Logging_2161/kartor/A 4839-2024 karta.png", "A 4839-2024")</f>
        <v/>
      </c>
      <c r="V478">
        <f>HYPERLINK("https://klasma.github.io/Logging_2161/klagomål/A 4839-2024 FSC-klagomål.docx", "A 4839-2024")</f>
        <v/>
      </c>
      <c r="W478">
        <f>HYPERLINK("https://klasma.github.io/Logging_2161/klagomålsmail/A 4839-2024 FSC-klagomål mail.docx", "A 4839-2024")</f>
        <v/>
      </c>
      <c r="X478">
        <f>HYPERLINK("https://klasma.github.io/Logging_2161/tillsyn/A 4839-2024 tillsynsbegäran.docx", "A 4839-2024")</f>
        <v/>
      </c>
      <c r="Y478">
        <f>HYPERLINK("https://klasma.github.io/Logging_2161/tillsynsmail/A 4839-2024 tillsynsbegäran mail.docx", "A 4839-2024")</f>
        <v/>
      </c>
    </row>
    <row r="479" ht="15" customHeight="1">
      <c r="A479" t="inlineStr">
        <is>
          <t>A 5445-2024</t>
        </is>
      </c>
      <c r="B479" s="1" t="n">
        <v>45331</v>
      </c>
      <c r="C479" s="1" t="n">
        <v>45344</v>
      </c>
      <c r="D479" t="inlineStr">
        <is>
          <t>GÄVLEBORGS LÄN</t>
        </is>
      </c>
      <c r="E479" t="inlineStr">
        <is>
          <t>LJUSDAL</t>
        </is>
      </c>
      <c r="F479" t="inlineStr">
        <is>
          <t>SCA</t>
        </is>
      </c>
      <c r="G479" t="n">
        <v>14.8</v>
      </c>
      <c r="H479" t="n">
        <v>1</v>
      </c>
      <c r="I479" t="n">
        <v>0</v>
      </c>
      <c r="J479" t="n">
        <v>0</v>
      </c>
      <c r="K479" t="n">
        <v>0</v>
      </c>
      <c r="L479" t="n">
        <v>0</v>
      </c>
      <c r="M479" t="n">
        <v>0</v>
      </c>
      <c r="N479" t="n">
        <v>0</v>
      </c>
      <c r="O479" t="n">
        <v>0</v>
      </c>
      <c r="P479" t="n">
        <v>0</v>
      </c>
      <c r="Q479" t="n">
        <v>1</v>
      </c>
      <c r="R479" s="2" t="inlineStr">
        <is>
          <t>Revlummer</t>
        </is>
      </c>
      <c r="S479">
        <f>HYPERLINK("https://klasma.github.io/Logging_2161/artfynd/A 5445-2024 artfynd.xlsx", "A 5445-2024")</f>
        <v/>
      </c>
      <c r="T479">
        <f>HYPERLINK("https://klasma.github.io/Logging_2161/kartor/A 5445-2024 karta.png", "A 5445-2024")</f>
        <v/>
      </c>
      <c r="V479">
        <f>HYPERLINK("https://klasma.github.io/Logging_2161/klagomål/A 5445-2024 FSC-klagomål.docx", "A 5445-2024")</f>
        <v/>
      </c>
      <c r="W479">
        <f>HYPERLINK("https://klasma.github.io/Logging_2161/klagomålsmail/A 5445-2024 FSC-klagomål mail.docx", "A 5445-2024")</f>
        <v/>
      </c>
      <c r="X479">
        <f>HYPERLINK("https://klasma.github.io/Logging_2161/tillsyn/A 5445-2024 tillsynsbegäran.docx", "A 5445-2024")</f>
        <v/>
      </c>
      <c r="Y479">
        <f>HYPERLINK("https://klasma.github.io/Logging_2161/tillsynsmail/A 5445-2024 tillsynsbegäran mail.docx", "A 5445-2024")</f>
        <v/>
      </c>
    </row>
    <row r="480" ht="15" customHeight="1">
      <c r="A480" t="inlineStr">
        <is>
          <t>A 33998-2018</t>
        </is>
      </c>
      <c r="B480" s="1" t="n">
        <v>43314</v>
      </c>
      <c r="C480" s="1" t="n">
        <v>45344</v>
      </c>
      <c r="D480" t="inlineStr">
        <is>
          <t>GÄVLEBORGS LÄN</t>
        </is>
      </c>
      <c r="E480" t="inlineStr">
        <is>
          <t>HUDIKSVALL</t>
        </is>
      </c>
      <c r="G480" t="n">
        <v>1.7</v>
      </c>
      <c r="H480" t="n">
        <v>0</v>
      </c>
      <c r="I480" t="n">
        <v>0</v>
      </c>
      <c r="J480" t="n">
        <v>0</v>
      </c>
      <c r="K480" t="n">
        <v>0</v>
      </c>
      <c r="L480" t="n">
        <v>0</v>
      </c>
      <c r="M480" t="n">
        <v>0</v>
      </c>
      <c r="N480" t="n">
        <v>0</v>
      </c>
      <c r="O480" t="n">
        <v>0</v>
      </c>
      <c r="P480" t="n">
        <v>0</v>
      </c>
      <c r="Q480" t="n">
        <v>0</v>
      </c>
      <c r="R480" s="2" t="inlineStr"/>
    </row>
    <row r="481" ht="15" customHeight="1">
      <c r="A481" t="inlineStr">
        <is>
          <t>A 34178-2018</t>
        </is>
      </c>
      <c r="B481" s="1" t="n">
        <v>43318</v>
      </c>
      <c r="C481" s="1" t="n">
        <v>45344</v>
      </c>
      <c r="D481" t="inlineStr">
        <is>
          <t>GÄVLEBORGS LÄN</t>
        </is>
      </c>
      <c r="E481" t="inlineStr">
        <is>
          <t>HUDIKSVALL</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34298-2018</t>
        </is>
      </c>
      <c r="B482" s="1" t="n">
        <v>43318</v>
      </c>
      <c r="C482" s="1" t="n">
        <v>45344</v>
      </c>
      <c r="D482" t="inlineStr">
        <is>
          <t>GÄVLEBORGS LÄN</t>
        </is>
      </c>
      <c r="E482" t="inlineStr">
        <is>
          <t>OVANÅKER</t>
        </is>
      </c>
      <c r="G482" t="n">
        <v>11.9</v>
      </c>
      <c r="H482" t="n">
        <v>0</v>
      </c>
      <c r="I482" t="n">
        <v>0</v>
      </c>
      <c r="J482" t="n">
        <v>0</v>
      </c>
      <c r="K482" t="n">
        <v>0</v>
      </c>
      <c r="L482" t="n">
        <v>0</v>
      </c>
      <c r="M482" t="n">
        <v>0</v>
      </c>
      <c r="N482" t="n">
        <v>0</v>
      </c>
      <c r="O482" t="n">
        <v>0</v>
      </c>
      <c r="P482" t="n">
        <v>0</v>
      </c>
      <c r="Q482" t="n">
        <v>0</v>
      </c>
      <c r="R482" s="2" t="inlineStr"/>
    </row>
    <row r="483" ht="15" customHeight="1">
      <c r="A483" t="inlineStr">
        <is>
          <t>A 34409-2018</t>
        </is>
      </c>
      <c r="B483" s="1" t="n">
        <v>43319</v>
      </c>
      <c r="C483" s="1" t="n">
        <v>45344</v>
      </c>
      <c r="D483" t="inlineStr">
        <is>
          <t>GÄVLEBORGS LÄN</t>
        </is>
      </c>
      <c r="E483" t="inlineStr">
        <is>
          <t>LJUSDAL</t>
        </is>
      </c>
      <c r="F483" t="inlineStr">
        <is>
          <t>Allmännings- och besparingsskogar</t>
        </is>
      </c>
      <c r="G483" t="n">
        <v>13</v>
      </c>
      <c r="H483" t="n">
        <v>0</v>
      </c>
      <c r="I483" t="n">
        <v>0</v>
      </c>
      <c r="J483" t="n">
        <v>0</v>
      </c>
      <c r="K483" t="n">
        <v>0</v>
      </c>
      <c r="L483" t="n">
        <v>0</v>
      </c>
      <c r="M483" t="n">
        <v>0</v>
      </c>
      <c r="N483" t="n">
        <v>0</v>
      </c>
      <c r="O483" t="n">
        <v>0</v>
      </c>
      <c r="P483" t="n">
        <v>0</v>
      </c>
      <c r="Q483" t="n">
        <v>0</v>
      </c>
      <c r="R483" s="2" t="inlineStr"/>
    </row>
    <row r="484" ht="15" customHeight="1">
      <c r="A484" t="inlineStr">
        <is>
          <t>A 34667-2018</t>
        </is>
      </c>
      <c r="B484" s="1" t="n">
        <v>43320</v>
      </c>
      <c r="C484" s="1" t="n">
        <v>45344</v>
      </c>
      <c r="D484" t="inlineStr">
        <is>
          <t>GÄVLEBORGS LÄN</t>
        </is>
      </c>
      <c r="E484" t="inlineStr">
        <is>
          <t>OVANÅKER</t>
        </is>
      </c>
      <c r="G484" t="n">
        <v>7.8</v>
      </c>
      <c r="H484" t="n">
        <v>0</v>
      </c>
      <c r="I484" t="n">
        <v>0</v>
      </c>
      <c r="J484" t="n">
        <v>0</v>
      </c>
      <c r="K484" t="n">
        <v>0</v>
      </c>
      <c r="L484" t="n">
        <v>0</v>
      </c>
      <c r="M484" t="n">
        <v>0</v>
      </c>
      <c r="N484" t="n">
        <v>0</v>
      </c>
      <c r="O484" t="n">
        <v>0</v>
      </c>
      <c r="P484" t="n">
        <v>0</v>
      </c>
      <c r="Q484" t="n">
        <v>0</v>
      </c>
      <c r="R484" s="2" t="inlineStr"/>
    </row>
    <row r="485" ht="15" customHeight="1">
      <c r="A485" t="inlineStr">
        <is>
          <t>A 34564-2018</t>
        </is>
      </c>
      <c r="B485" s="1" t="n">
        <v>43320</v>
      </c>
      <c r="C485" s="1" t="n">
        <v>45344</v>
      </c>
      <c r="D485" t="inlineStr">
        <is>
          <t>GÄVLEBORGS LÄN</t>
        </is>
      </c>
      <c r="E485" t="inlineStr">
        <is>
          <t>LJUSDAL</t>
        </is>
      </c>
      <c r="G485" t="n">
        <v>1.2</v>
      </c>
      <c r="H485" t="n">
        <v>0</v>
      </c>
      <c r="I485" t="n">
        <v>0</v>
      </c>
      <c r="J485" t="n">
        <v>0</v>
      </c>
      <c r="K485" t="n">
        <v>0</v>
      </c>
      <c r="L485" t="n">
        <v>0</v>
      </c>
      <c r="M485" t="n">
        <v>0</v>
      </c>
      <c r="N485" t="n">
        <v>0</v>
      </c>
      <c r="O485" t="n">
        <v>0</v>
      </c>
      <c r="P485" t="n">
        <v>0</v>
      </c>
      <c r="Q485" t="n">
        <v>0</v>
      </c>
      <c r="R485" s="2" t="inlineStr"/>
    </row>
    <row r="486" ht="15" customHeight="1">
      <c r="A486" t="inlineStr">
        <is>
          <t>A 36299-2018</t>
        </is>
      </c>
      <c r="B486" s="1" t="n">
        <v>43328</v>
      </c>
      <c r="C486" s="1" t="n">
        <v>45344</v>
      </c>
      <c r="D486" t="inlineStr">
        <is>
          <t>GÄVLEBORGS LÄN</t>
        </is>
      </c>
      <c r="E486" t="inlineStr">
        <is>
          <t>HUDIKSVALL</t>
        </is>
      </c>
      <c r="G486" t="n">
        <v>0.8</v>
      </c>
      <c r="H486" t="n">
        <v>0</v>
      </c>
      <c r="I486" t="n">
        <v>0</v>
      </c>
      <c r="J486" t="n">
        <v>0</v>
      </c>
      <c r="K486" t="n">
        <v>0</v>
      </c>
      <c r="L486" t="n">
        <v>0</v>
      </c>
      <c r="M486" t="n">
        <v>0</v>
      </c>
      <c r="N486" t="n">
        <v>0</v>
      </c>
      <c r="O486" t="n">
        <v>0</v>
      </c>
      <c r="P486" t="n">
        <v>0</v>
      </c>
      <c r="Q486" t="n">
        <v>0</v>
      </c>
      <c r="R486" s="2" t="inlineStr"/>
    </row>
    <row r="487" ht="15" customHeight="1">
      <c r="A487" t="inlineStr">
        <is>
          <t>A 36371-2018</t>
        </is>
      </c>
      <c r="B487" s="1" t="n">
        <v>43329</v>
      </c>
      <c r="C487" s="1" t="n">
        <v>45344</v>
      </c>
      <c r="D487" t="inlineStr">
        <is>
          <t>GÄVLEBORGS LÄN</t>
        </is>
      </c>
      <c r="E487" t="inlineStr">
        <is>
          <t>LJUSDAL</t>
        </is>
      </c>
      <c r="G487" t="n">
        <v>7</v>
      </c>
      <c r="H487" t="n">
        <v>0</v>
      </c>
      <c r="I487" t="n">
        <v>0</v>
      </c>
      <c r="J487" t="n">
        <v>0</v>
      </c>
      <c r="K487" t="n">
        <v>0</v>
      </c>
      <c r="L487" t="n">
        <v>0</v>
      </c>
      <c r="M487" t="n">
        <v>0</v>
      </c>
      <c r="N487" t="n">
        <v>0</v>
      </c>
      <c r="O487" t="n">
        <v>0</v>
      </c>
      <c r="P487" t="n">
        <v>0</v>
      </c>
      <c r="Q487" t="n">
        <v>0</v>
      </c>
      <c r="R487" s="2" t="inlineStr"/>
    </row>
    <row r="488" ht="15" customHeight="1">
      <c r="A488" t="inlineStr">
        <is>
          <t>A 36427-2018</t>
        </is>
      </c>
      <c r="B488" s="1" t="n">
        <v>43329</v>
      </c>
      <c r="C488" s="1" t="n">
        <v>45344</v>
      </c>
      <c r="D488" t="inlineStr">
        <is>
          <t>GÄVLEBORGS LÄN</t>
        </is>
      </c>
      <c r="E488" t="inlineStr">
        <is>
          <t>LJUSDAL</t>
        </is>
      </c>
      <c r="F488" t="inlineStr">
        <is>
          <t>Bergvik skog väst AB</t>
        </is>
      </c>
      <c r="G488" t="n">
        <v>6.1</v>
      </c>
      <c r="H488" t="n">
        <v>0</v>
      </c>
      <c r="I488" t="n">
        <v>0</v>
      </c>
      <c r="J488" t="n">
        <v>0</v>
      </c>
      <c r="K488" t="n">
        <v>0</v>
      </c>
      <c r="L488" t="n">
        <v>0</v>
      </c>
      <c r="M488" t="n">
        <v>0</v>
      </c>
      <c r="N488" t="n">
        <v>0</v>
      </c>
      <c r="O488" t="n">
        <v>0</v>
      </c>
      <c r="P488" t="n">
        <v>0</v>
      </c>
      <c r="Q488" t="n">
        <v>0</v>
      </c>
      <c r="R488" s="2" t="inlineStr"/>
    </row>
    <row r="489" ht="15" customHeight="1">
      <c r="A489" t="inlineStr">
        <is>
          <t>A 36482-2018</t>
        </is>
      </c>
      <c r="B489" s="1" t="n">
        <v>43329</v>
      </c>
      <c r="C489" s="1" t="n">
        <v>45344</v>
      </c>
      <c r="D489" t="inlineStr">
        <is>
          <t>GÄVLEBORGS LÄN</t>
        </is>
      </c>
      <c r="E489" t="inlineStr">
        <is>
          <t>LJUSDAL</t>
        </is>
      </c>
      <c r="G489" t="n">
        <v>2.1</v>
      </c>
      <c r="H489" t="n">
        <v>0</v>
      </c>
      <c r="I489" t="n">
        <v>0</v>
      </c>
      <c r="J489" t="n">
        <v>0</v>
      </c>
      <c r="K489" t="n">
        <v>0</v>
      </c>
      <c r="L489" t="n">
        <v>0</v>
      </c>
      <c r="M489" t="n">
        <v>0</v>
      </c>
      <c r="N489" t="n">
        <v>0</v>
      </c>
      <c r="O489" t="n">
        <v>0</v>
      </c>
      <c r="P489" t="n">
        <v>0</v>
      </c>
      <c r="Q489" t="n">
        <v>0</v>
      </c>
      <c r="R489" s="2" t="inlineStr"/>
    </row>
    <row r="490" ht="15" customHeight="1">
      <c r="A490" t="inlineStr">
        <is>
          <t>A 36496-2018</t>
        </is>
      </c>
      <c r="B490" s="1" t="n">
        <v>43329</v>
      </c>
      <c r="C490" s="1" t="n">
        <v>45344</v>
      </c>
      <c r="D490" t="inlineStr">
        <is>
          <t>GÄVLEBORGS LÄN</t>
        </is>
      </c>
      <c r="E490" t="inlineStr">
        <is>
          <t>SÖDERHAMN</t>
        </is>
      </c>
      <c r="G490" t="n">
        <v>3.9</v>
      </c>
      <c r="H490" t="n">
        <v>0</v>
      </c>
      <c r="I490" t="n">
        <v>0</v>
      </c>
      <c r="J490" t="n">
        <v>0</v>
      </c>
      <c r="K490" t="n">
        <v>0</v>
      </c>
      <c r="L490" t="n">
        <v>0</v>
      </c>
      <c r="M490" t="n">
        <v>0</v>
      </c>
      <c r="N490" t="n">
        <v>0</v>
      </c>
      <c r="O490" t="n">
        <v>0</v>
      </c>
      <c r="P490" t="n">
        <v>0</v>
      </c>
      <c r="Q490" t="n">
        <v>0</v>
      </c>
      <c r="R490" s="2" t="inlineStr"/>
    </row>
    <row r="491" ht="15" customHeight="1">
      <c r="A491" t="inlineStr">
        <is>
          <t>A 36368-2018</t>
        </is>
      </c>
      <c r="B491" s="1" t="n">
        <v>43329</v>
      </c>
      <c r="C491" s="1" t="n">
        <v>45344</v>
      </c>
      <c r="D491" t="inlineStr">
        <is>
          <t>GÄVLEBORGS LÄN</t>
        </is>
      </c>
      <c r="E491" t="inlineStr">
        <is>
          <t>LJUSDAL</t>
        </is>
      </c>
      <c r="G491" t="n">
        <v>21.5</v>
      </c>
      <c r="H491" t="n">
        <v>0</v>
      </c>
      <c r="I491" t="n">
        <v>0</v>
      </c>
      <c r="J491" t="n">
        <v>0</v>
      </c>
      <c r="K491" t="n">
        <v>0</v>
      </c>
      <c r="L491" t="n">
        <v>0</v>
      </c>
      <c r="M491" t="n">
        <v>0</v>
      </c>
      <c r="N491" t="n">
        <v>0</v>
      </c>
      <c r="O491" t="n">
        <v>0</v>
      </c>
      <c r="P491" t="n">
        <v>0</v>
      </c>
      <c r="Q491" t="n">
        <v>0</v>
      </c>
      <c r="R491" s="2" t="inlineStr"/>
    </row>
    <row r="492" ht="15" customHeight="1">
      <c r="A492" t="inlineStr">
        <is>
          <t>A 36416-2018</t>
        </is>
      </c>
      <c r="B492" s="1" t="n">
        <v>43329</v>
      </c>
      <c r="C492" s="1" t="n">
        <v>45344</v>
      </c>
      <c r="D492" t="inlineStr">
        <is>
          <t>GÄVLEBORGS LÄN</t>
        </is>
      </c>
      <c r="E492" t="inlineStr">
        <is>
          <t>LJUSDAL</t>
        </is>
      </c>
      <c r="G492" t="n">
        <v>11.5</v>
      </c>
      <c r="H492" t="n">
        <v>0</v>
      </c>
      <c r="I492" t="n">
        <v>0</v>
      </c>
      <c r="J492" t="n">
        <v>0</v>
      </c>
      <c r="K492" t="n">
        <v>0</v>
      </c>
      <c r="L492" t="n">
        <v>0</v>
      </c>
      <c r="M492" t="n">
        <v>0</v>
      </c>
      <c r="N492" t="n">
        <v>0</v>
      </c>
      <c r="O492" t="n">
        <v>0</v>
      </c>
      <c r="P492" t="n">
        <v>0</v>
      </c>
      <c r="Q492" t="n">
        <v>0</v>
      </c>
      <c r="R492" s="2" t="inlineStr"/>
    </row>
    <row r="493" ht="15" customHeight="1">
      <c r="A493" t="inlineStr">
        <is>
          <t>A 36861-2018</t>
        </is>
      </c>
      <c r="B493" s="1" t="n">
        <v>43332</v>
      </c>
      <c r="C493" s="1" t="n">
        <v>45344</v>
      </c>
      <c r="D493" t="inlineStr">
        <is>
          <t>GÄVLEBORGS LÄN</t>
        </is>
      </c>
      <c r="E493" t="inlineStr">
        <is>
          <t>GÄVLE</t>
        </is>
      </c>
      <c r="G493" t="n">
        <v>1</v>
      </c>
      <c r="H493" t="n">
        <v>0</v>
      </c>
      <c r="I493" t="n">
        <v>0</v>
      </c>
      <c r="J493" t="n">
        <v>0</v>
      </c>
      <c r="K493" t="n">
        <v>0</v>
      </c>
      <c r="L493" t="n">
        <v>0</v>
      </c>
      <c r="M493" t="n">
        <v>0</v>
      </c>
      <c r="N493" t="n">
        <v>0</v>
      </c>
      <c r="O493" t="n">
        <v>0</v>
      </c>
      <c r="P493" t="n">
        <v>0</v>
      </c>
      <c r="Q493" t="n">
        <v>0</v>
      </c>
      <c r="R493" s="2" t="inlineStr"/>
    </row>
    <row r="494" ht="15" customHeight="1">
      <c r="A494" t="inlineStr">
        <is>
          <t>A 37182-2018</t>
        </is>
      </c>
      <c r="B494" s="1" t="n">
        <v>43333</v>
      </c>
      <c r="C494" s="1" t="n">
        <v>45344</v>
      </c>
      <c r="D494" t="inlineStr">
        <is>
          <t>GÄVLEBORGS LÄN</t>
        </is>
      </c>
      <c r="E494" t="inlineStr">
        <is>
          <t>LJUSDAL</t>
        </is>
      </c>
      <c r="G494" t="n">
        <v>1.3</v>
      </c>
      <c r="H494" t="n">
        <v>0</v>
      </c>
      <c r="I494" t="n">
        <v>0</v>
      </c>
      <c r="J494" t="n">
        <v>0</v>
      </c>
      <c r="K494" t="n">
        <v>0</v>
      </c>
      <c r="L494" t="n">
        <v>0</v>
      </c>
      <c r="M494" t="n">
        <v>0</v>
      </c>
      <c r="N494" t="n">
        <v>0</v>
      </c>
      <c r="O494" t="n">
        <v>0</v>
      </c>
      <c r="P494" t="n">
        <v>0</v>
      </c>
      <c r="Q494" t="n">
        <v>0</v>
      </c>
      <c r="R494" s="2" t="inlineStr"/>
    </row>
    <row r="495" ht="15" customHeight="1">
      <c r="A495" t="inlineStr">
        <is>
          <t>A 37362-2018</t>
        </is>
      </c>
      <c r="B495" s="1" t="n">
        <v>43334</v>
      </c>
      <c r="C495" s="1" t="n">
        <v>45344</v>
      </c>
      <c r="D495" t="inlineStr">
        <is>
          <t>GÄVLEBORGS LÄN</t>
        </is>
      </c>
      <c r="E495" t="inlineStr">
        <is>
          <t>LJUSDAL</t>
        </is>
      </c>
      <c r="G495" t="n">
        <v>38.3</v>
      </c>
      <c r="H495" t="n">
        <v>0</v>
      </c>
      <c r="I495" t="n">
        <v>0</v>
      </c>
      <c r="J495" t="n">
        <v>0</v>
      </c>
      <c r="K495" t="n">
        <v>0</v>
      </c>
      <c r="L495" t="n">
        <v>0</v>
      </c>
      <c r="M495" t="n">
        <v>0</v>
      </c>
      <c r="N495" t="n">
        <v>0</v>
      </c>
      <c r="O495" t="n">
        <v>0</v>
      </c>
      <c r="P495" t="n">
        <v>0</v>
      </c>
      <c r="Q495" t="n">
        <v>0</v>
      </c>
      <c r="R495" s="2" t="inlineStr"/>
    </row>
    <row r="496" ht="15" customHeight="1">
      <c r="A496" t="inlineStr">
        <is>
          <t>A 38436-2018</t>
        </is>
      </c>
      <c r="B496" s="1" t="n">
        <v>43339</v>
      </c>
      <c r="C496" s="1" t="n">
        <v>45344</v>
      </c>
      <c r="D496" t="inlineStr">
        <is>
          <t>GÄVLEBORGS LÄN</t>
        </is>
      </c>
      <c r="E496" t="inlineStr">
        <is>
          <t>HUDIKSVALL</t>
        </is>
      </c>
      <c r="G496" t="n">
        <v>2.1</v>
      </c>
      <c r="H496" t="n">
        <v>0</v>
      </c>
      <c r="I496" t="n">
        <v>0</v>
      </c>
      <c r="J496" t="n">
        <v>0</v>
      </c>
      <c r="K496" t="n">
        <v>0</v>
      </c>
      <c r="L496" t="n">
        <v>0</v>
      </c>
      <c r="M496" t="n">
        <v>0</v>
      </c>
      <c r="N496" t="n">
        <v>0</v>
      </c>
      <c r="O496" t="n">
        <v>0</v>
      </c>
      <c r="P496" t="n">
        <v>0</v>
      </c>
      <c r="Q496" t="n">
        <v>0</v>
      </c>
      <c r="R496" s="2" t="inlineStr"/>
    </row>
    <row r="497" ht="15" customHeight="1">
      <c r="A497" t="inlineStr">
        <is>
          <t>A 39690-2018</t>
        </is>
      </c>
      <c r="B497" s="1" t="n">
        <v>43342</v>
      </c>
      <c r="C497" s="1" t="n">
        <v>45344</v>
      </c>
      <c r="D497" t="inlineStr">
        <is>
          <t>GÄVLEBORGS LÄN</t>
        </is>
      </c>
      <c r="E497" t="inlineStr">
        <is>
          <t>LJUSDAL</t>
        </is>
      </c>
      <c r="F497" t="inlineStr">
        <is>
          <t>Sveaskog</t>
        </is>
      </c>
      <c r="G497" t="n">
        <v>5.2</v>
      </c>
      <c r="H497" t="n">
        <v>0</v>
      </c>
      <c r="I497" t="n">
        <v>0</v>
      </c>
      <c r="J497" t="n">
        <v>0</v>
      </c>
      <c r="K497" t="n">
        <v>0</v>
      </c>
      <c r="L497" t="n">
        <v>0</v>
      </c>
      <c r="M497" t="n">
        <v>0</v>
      </c>
      <c r="N497" t="n">
        <v>0</v>
      </c>
      <c r="O497" t="n">
        <v>0</v>
      </c>
      <c r="P497" t="n">
        <v>0</v>
      </c>
      <c r="Q497" t="n">
        <v>0</v>
      </c>
      <c r="R497" s="2" t="inlineStr"/>
    </row>
    <row r="498" ht="15" customHeight="1">
      <c r="A498" t="inlineStr">
        <is>
          <t>A 40928-2018</t>
        </is>
      </c>
      <c r="B498" s="1" t="n">
        <v>43346</v>
      </c>
      <c r="C498" s="1" t="n">
        <v>45344</v>
      </c>
      <c r="D498" t="inlineStr">
        <is>
          <t>GÄVLEBORGS LÄN</t>
        </is>
      </c>
      <c r="E498" t="inlineStr">
        <is>
          <t>OVANÅKER</t>
        </is>
      </c>
      <c r="G498" t="n">
        <v>1.4</v>
      </c>
      <c r="H498" t="n">
        <v>0</v>
      </c>
      <c r="I498" t="n">
        <v>0</v>
      </c>
      <c r="J498" t="n">
        <v>0</v>
      </c>
      <c r="K498" t="n">
        <v>0</v>
      </c>
      <c r="L498" t="n">
        <v>0</v>
      </c>
      <c r="M498" t="n">
        <v>0</v>
      </c>
      <c r="N498" t="n">
        <v>0</v>
      </c>
      <c r="O498" t="n">
        <v>0</v>
      </c>
      <c r="P498" t="n">
        <v>0</v>
      </c>
      <c r="Q498" t="n">
        <v>0</v>
      </c>
      <c r="R498" s="2" t="inlineStr"/>
    </row>
    <row r="499" ht="15" customHeight="1">
      <c r="A499" t="inlineStr">
        <is>
          <t>A 40927-2018</t>
        </is>
      </c>
      <c r="B499" s="1" t="n">
        <v>43347</v>
      </c>
      <c r="C499" s="1" t="n">
        <v>45344</v>
      </c>
      <c r="D499" t="inlineStr">
        <is>
          <t>GÄVLEBORGS LÄN</t>
        </is>
      </c>
      <c r="E499" t="inlineStr">
        <is>
          <t>LJUSDAL</t>
        </is>
      </c>
      <c r="G499" t="n">
        <v>42.1</v>
      </c>
      <c r="H499" t="n">
        <v>0</v>
      </c>
      <c r="I499" t="n">
        <v>0</v>
      </c>
      <c r="J499" t="n">
        <v>0</v>
      </c>
      <c r="K499" t="n">
        <v>0</v>
      </c>
      <c r="L499" t="n">
        <v>0</v>
      </c>
      <c r="M499" t="n">
        <v>0</v>
      </c>
      <c r="N499" t="n">
        <v>0</v>
      </c>
      <c r="O499" t="n">
        <v>0</v>
      </c>
      <c r="P499" t="n">
        <v>0</v>
      </c>
      <c r="Q499" t="n">
        <v>0</v>
      </c>
      <c r="R499" s="2" t="inlineStr"/>
    </row>
    <row r="500" ht="15" customHeight="1">
      <c r="A500" t="inlineStr">
        <is>
          <t>A 41240-2018</t>
        </is>
      </c>
      <c r="B500" s="1" t="n">
        <v>43348</v>
      </c>
      <c r="C500" s="1" t="n">
        <v>45344</v>
      </c>
      <c r="D500" t="inlineStr">
        <is>
          <t>GÄVLEBORGS LÄN</t>
        </is>
      </c>
      <c r="E500" t="inlineStr">
        <is>
          <t>LJUSDAL</t>
        </is>
      </c>
      <c r="G500" t="n">
        <v>33.6</v>
      </c>
      <c r="H500" t="n">
        <v>0</v>
      </c>
      <c r="I500" t="n">
        <v>0</v>
      </c>
      <c r="J500" t="n">
        <v>0</v>
      </c>
      <c r="K500" t="n">
        <v>0</v>
      </c>
      <c r="L500" t="n">
        <v>0</v>
      </c>
      <c r="M500" t="n">
        <v>0</v>
      </c>
      <c r="N500" t="n">
        <v>0</v>
      </c>
      <c r="O500" t="n">
        <v>0</v>
      </c>
      <c r="P500" t="n">
        <v>0</v>
      </c>
      <c r="Q500" t="n">
        <v>0</v>
      </c>
      <c r="R500" s="2" t="inlineStr"/>
    </row>
    <row r="501" ht="15" customHeight="1">
      <c r="A501" t="inlineStr">
        <is>
          <t>A 41117-2018</t>
        </is>
      </c>
      <c r="B501" s="1" t="n">
        <v>43348</v>
      </c>
      <c r="C501" s="1" t="n">
        <v>45344</v>
      </c>
      <c r="D501" t="inlineStr">
        <is>
          <t>GÄVLEBORGS LÄN</t>
        </is>
      </c>
      <c r="E501" t="inlineStr">
        <is>
          <t>GÄVLE</t>
        </is>
      </c>
      <c r="G501" t="n">
        <v>2.2</v>
      </c>
      <c r="H501" t="n">
        <v>0</v>
      </c>
      <c r="I501" t="n">
        <v>0</v>
      </c>
      <c r="J501" t="n">
        <v>0</v>
      </c>
      <c r="K501" t="n">
        <v>0</v>
      </c>
      <c r="L501" t="n">
        <v>0</v>
      </c>
      <c r="M501" t="n">
        <v>0</v>
      </c>
      <c r="N501" t="n">
        <v>0</v>
      </c>
      <c r="O501" t="n">
        <v>0</v>
      </c>
      <c r="P501" t="n">
        <v>0</v>
      </c>
      <c r="Q501" t="n">
        <v>0</v>
      </c>
      <c r="R501" s="2" t="inlineStr"/>
    </row>
    <row r="502" ht="15" customHeight="1">
      <c r="A502" t="inlineStr">
        <is>
          <t>A 41034-2018</t>
        </is>
      </c>
      <c r="B502" s="1" t="n">
        <v>43348</v>
      </c>
      <c r="C502" s="1" t="n">
        <v>45344</v>
      </c>
      <c r="D502" t="inlineStr">
        <is>
          <t>GÄVLEBORGS LÄN</t>
        </is>
      </c>
      <c r="E502" t="inlineStr">
        <is>
          <t>NORDANSTIG</t>
        </is>
      </c>
      <c r="G502" t="n">
        <v>5.9</v>
      </c>
      <c r="H502" t="n">
        <v>0</v>
      </c>
      <c r="I502" t="n">
        <v>0</v>
      </c>
      <c r="J502" t="n">
        <v>0</v>
      </c>
      <c r="K502" t="n">
        <v>0</v>
      </c>
      <c r="L502" t="n">
        <v>0</v>
      </c>
      <c r="M502" t="n">
        <v>0</v>
      </c>
      <c r="N502" t="n">
        <v>0</v>
      </c>
      <c r="O502" t="n">
        <v>0</v>
      </c>
      <c r="P502" t="n">
        <v>0</v>
      </c>
      <c r="Q502" t="n">
        <v>0</v>
      </c>
      <c r="R502" s="2" t="inlineStr"/>
    </row>
    <row r="503" ht="15" customHeight="1">
      <c r="A503" t="inlineStr">
        <is>
          <t>A 41077-2018</t>
        </is>
      </c>
      <c r="B503" s="1" t="n">
        <v>43348</v>
      </c>
      <c r="C503" s="1" t="n">
        <v>45344</v>
      </c>
      <c r="D503" t="inlineStr">
        <is>
          <t>GÄVLEBORGS LÄN</t>
        </is>
      </c>
      <c r="E503" t="inlineStr">
        <is>
          <t>LJUSDAL</t>
        </is>
      </c>
      <c r="F503" t="inlineStr">
        <is>
          <t>Bergvik skog väst AB</t>
        </is>
      </c>
      <c r="G503" t="n">
        <v>3.6</v>
      </c>
      <c r="H503" t="n">
        <v>0</v>
      </c>
      <c r="I503" t="n">
        <v>0</v>
      </c>
      <c r="J503" t="n">
        <v>0</v>
      </c>
      <c r="K503" t="n">
        <v>0</v>
      </c>
      <c r="L503" t="n">
        <v>0</v>
      </c>
      <c r="M503" t="n">
        <v>0</v>
      </c>
      <c r="N503" t="n">
        <v>0</v>
      </c>
      <c r="O503" t="n">
        <v>0</v>
      </c>
      <c r="P503" t="n">
        <v>0</v>
      </c>
      <c r="Q503" t="n">
        <v>0</v>
      </c>
      <c r="R503" s="2" t="inlineStr"/>
    </row>
    <row r="504" ht="15" customHeight="1">
      <c r="A504" t="inlineStr">
        <is>
          <t>A 41395-2018</t>
        </is>
      </c>
      <c r="B504" s="1" t="n">
        <v>43349</v>
      </c>
      <c r="C504" s="1" t="n">
        <v>45344</v>
      </c>
      <c r="D504" t="inlineStr">
        <is>
          <t>GÄVLEBORGS LÄN</t>
        </is>
      </c>
      <c r="E504" t="inlineStr">
        <is>
          <t>OVANÅKER</t>
        </is>
      </c>
      <c r="G504" t="n">
        <v>1.2</v>
      </c>
      <c r="H504" t="n">
        <v>0</v>
      </c>
      <c r="I504" t="n">
        <v>0</v>
      </c>
      <c r="J504" t="n">
        <v>0</v>
      </c>
      <c r="K504" t="n">
        <v>0</v>
      </c>
      <c r="L504" t="n">
        <v>0</v>
      </c>
      <c r="M504" t="n">
        <v>0</v>
      </c>
      <c r="N504" t="n">
        <v>0</v>
      </c>
      <c r="O504" t="n">
        <v>0</v>
      </c>
      <c r="P504" t="n">
        <v>0</v>
      </c>
      <c r="Q504" t="n">
        <v>0</v>
      </c>
      <c r="R504" s="2" t="inlineStr"/>
    </row>
    <row r="505" ht="15" customHeight="1">
      <c r="A505" t="inlineStr">
        <is>
          <t>A 42043-2018</t>
        </is>
      </c>
      <c r="B505" s="1" t="n">
        <v>43349</v>
      </c>
      <c r="C505" s="1" t="n">
        <v>45344</v>
      </c>
      <c r="D505" t="inlineStr">
        <is>
          <t>GÄVLEBORGS LÄN</t>
        </is>
      </c>
      <c r="E505" t="inlineStr">
        <is>
          <t>OVANÅKER</t>
        </is>
      </c>
      <c r="G505" t="n">
        <v>0.7</v>
      </c>
      <c r="H505" t="n">
        <v>0</v>
      </c>
      <c r="I505" t="n">
        <v>0</v>
      </c>
      <c r="J505" t="n">
        <v>0</v>
      </c>
      <c r="K505" t="n">
        <v>0</v>
      </c>
      <c r="L505" t="n">
        <v>0</v>
      </c>
      <c r="M505" t="n">
        <v>0</v>
      </c>
      <c r="N505" t="n">
        <v>0</v>
      </c>
      <c r="O505" t="n">
        <v>0</v>
      </c>
      <c r="P505" t="n">
        <v>0</v>
      </c>
      <c r="Q505" t="n">
        <v>0</v>
      </c>
      <c r="R505" s="2" t="inlineStr"/>
    </row>
    <row r="506" ht="15" customHeight="1">
      <c r="A506" t="inlineStr">
        <is>
          <t>A 41350-2018</t>
        </is>
      </c>
      <c r="B506" s="1" t="n">
        <v>43349</v>
      </c>
      <c r="C506" s="1" t="n">
        <v>45344</v>
      </c>
      <c r="D506" t="inlineStr">
        <is>
          <t>GÄVLEBORGS LÄN</t>
        </is>
      </c>
      <c r="E506" t="inlineStr">
        <is>
          <t>OCKELBO</t>
        </is>
      </c>
      <c r="G506" t="n">
        <v>2</v>
      </c>
      <c r="H506" t="n">
        <v>0</v>
      </c>
      <c r="I506" t="n">
        <v>0</v>
      </c>
      <c r="J506" t="n">
        <v>0</v>
      </c>
      <c r="K506" t="n">
        <v>0</v>
      </c>
      <c r="L506" t="n">
        <v>0</v>
      </c>
      <c r="M506" t="n">
        <v>0</v>
      </c>
      <c r="N506" t="n">
        <v>0</v>
      </c>
      <c r="O506" t="n">
        <v>0</v>
      </c>
      <c r="P506" t="n">
        <v>0</v>
      </c>
      <c r="Q506" t="n">
        <v>0</v>
      </c>
      <c r="R506" s="2" t="inlineStr"/>
    </row>
    <row r="507" ht="15" customHeight="1">
      <c r="A507" t="inlineStr">
        <is>
          <t>A 41422-2018</t>
        </is>
      </c>
      <c r="B507" s="1" t="n">
        <v>43349</v>
      </c>
      <c r="C507" s="1" t="n">
        <v>45344</v>
      </c>
      <c r="D507" t="inlineStr">
        <is>
          <t>GÄVLEBORGS LÄN</t>
        </is>
      </c>
      <c r="E507" t="inlineStr">
        <is>
          <t>LJUSDAL</t>
        </is>
      </c>
      <c r="G507" t="n">
        <v>13.7</v>
      </c>
      <c r="H507" t="n">
        <v>0</v>
      </c>
      <c r="I507" t="n">
        <v>0</v>
      </c>
      <c r="J507" t="n">
        <v>0</v>
      </c>
      <c r="K507" t="n">
        <v>0</v>
      </c>
      <c r="L507" t="n">
        <v>0</v>
      </c>
      <c r="M507" t="n">
        <v>0</v>
      </c>
      <c r="N507" t="n">
        <v>0</v>
      </c>
      <c r="O507" t="n">
        <v>0</v>
      </c>
      <c r="P507" t="n">
        <v>0</v>
      </c>
      <c r="Q507" t="n">
        <v>0</v>
      </c>
      <c r="R507" s="2" t="inlineStr"/>
    </row>
    <row r="508" ht="15" customHeight="1">
      <c r="A508" t="inlineStr">
        <is>
          <t>A 41434-2018</t>
        </is>
      </c>
      <c r="B508" s="1" t="n">
        <v>43349</v>
      </c>
      <c r="C508" s="1" t="n">
        <v>45344</v>
      </c>
      <c r="D508" t="inlineStr">
        <is>
          <t>GÄVLEBORGS LÄN</t>
        </is>
      </c>
      <c r="E508" t="inlineStr">
        <is>
          <t>LJUSDAL</t>
        </is>
      </c>
      <c r="G508" t="n">
        <v>23.3</v>
      </c>
      <c r="H508" t="n">
        <v>0</v>
      </c>
      <c r="I508" t="n">
        <v>0</v>
      </c>
      <c r="J508" t="n">
        <v>0</v>
      </c>
      <c r="K508" t="n">
        <v>0</v>
      </c>
      <c r="L508" t="n">
        <v>0</v>
      </c>
      <c r="M508" t="n">
        <v>0</v>
      </c>
      <c r="N508" t="n">
        <v>0</v>
      </c>
      <c r="O508" t="n">
        <v>0</v>
      </c>
      <c r="P508" t="n">
        <v>0</v>
      </c>
      <c r="Q508" t="n">
        <v>0</v>
      </c>
      <c r="R508" s="2" t="inlineStr"/>
    </row>
    <row r="509" ht="15" customHeight="1">
      <c r="A509" t="inlineStr">
        <is>
          <t>A 41430-2018</t>
        </is>
      </c>
      <c r="B509" s="1" t="n">
        <v>43349</v>
      </c>
      <c r="C509" s="1" t="n">
        <v>45344</v>
      </c>
      <c r="D509" t="inlineStr">
        <is>
          <t>GÄVLEBORGS LÄN</t>
        </is>
      </c>
      <c r="E509" t="inlineStr">
        <is>
          <t>LJUSDAL</t>
        </is>
      </c>
      <c r="G509" t="n">
        <v>92.5</v>
      </c>
      <c r="H509" t="n">
        <v>0</v>
      </c>
      <c r="I509" t="n">
        <v>0</v>
      </c>
      <c r="J509" t="n">
        <v>0</v>
      </c>
      <c r="K509" t="n">
        <v>0</v>
      </c>
      <c r="L509" t="n">
        <v>0</v>
      </c>
      <c r="M509" t="n">
        <v>0</v>
      </c>
      <c r="N509" t="n">
        <v>0</v>
      </c>
      <c r="O509" t="n">
        <v>0</v>
      </c>
      <c r="P509" t="n">
        <v>0</v>
      </c>
      <c r="Q509" t="n">
        <v>0</v>
      </c>
      <c r="R509" s="2" t="inlineStr"/>
    </row>
    <row r="510" ht="15" customHeight="1">
      <c r="A510" t="inlineStr">
        <is>
          <t>A 42571-2018</t>
        </is>
      </c>
      <c r="B510" s="1" t="n">
        <v>43350</v>
      </c>
      <c r="C510" s="1" t="n">
        <v>45344</v>
      </c>
      <c r="D510" t="inlineStr">
        <is>
          <t>GÄVLEBORGS LÄN</t>
        </is>
      </c>
      <c r="E510" t="inlineStr">
        <is>
          <t>NORDANSTIG</t>
        </is>
      </c>
      <c r="G510" t="n">
        <v>11.5</v>
      </c>
      <c r="H510" t="n">
        <v>0</v>
      </c>
      <c r="I510" t="n">
        <v>0</v>
      </c>
      <c r="J510" t="n">
        <v>0</v>
      </c>
      <c r="K510" t="n">
        <v>0</v>
      </c>
      <c r="L510" t="n">
        <v>0</v>
      </c>
      <c r="M510" t="n">
        <v>0</v>
      </c>
      <c r="N510" t="n">
        <v>0</v>
      </c>
      <c r="O510" t="n">
        <v>0</v>
      </c>
      <c r="P510" t="n">
        <v>0</v>
      </c>
      <c r="Q510" t="n">
        <v>0</v>
      </c>
      <c r="R510" s="2" t="inlineStr"/>
    </row>
    <row r="511" ht="15" customHeight="1">
      <c r="A511" t="inlineStr">
        <is>
          <t>A 42647-2018</t>
        </is>
      </c>
      <c r="B511" s="1" t="n">
        <v>43350</v>
      </c>
      <c r="C511" s="1" t="n">
        <v>45344</v>
      </c>
      <c r="D511" t="inlineStr">
        <is>
          <t>GÄVLEBORGS LÄN</t>
        </is>
      </c>
      <c r="E511" t="inlineStr">
        <is>
          <t>HUDIKSVALL</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42116-2018</t>
        </is>
      </c>
      <c r="B512" s="1" t="n">
        <v>43353</v>
      </c>
      <c r="C512" s="1" t="n">
        <v>45344</v>
      </c>
      <c r="D512" t="inlineStr">
        <is>
          <t>GÄVLEBORGS LÄN</t>
        </is>
      </c>
      <c r="E512" t="inlineStr">
        <is>
          <t>NORDANSTIG</t>
        </is>
      </c>
      <c r="G512" t="n">
        <v>0.8</v>
      </c>
      <c r="H512" t="n">
        <v>0</v>
      </c>
      <c r="I512" t="n">
        <v>0</v>
      </c>
      <c r="J512" t="n">
        <v>0</v>
      </c>
      <c r="K512" t="n">
        <v>0</v>
      </c>
      <c r="L512" t="n">
        <v>0</v>
      </c>
      <c r="M512" t="n">
        <v>0</v>
      </c>
      <c r="N512" t="n">
        <v>0</v>
      </c>
      <c r="O512" t="n">
        <v>0</v>
      </c>
      <c r="P512" t="n">
        <v>0</v>
      </c>
      <c r="Q512" t="n">
        <v>0</v>
      </c>
      <c r="R512" s="2" t="inlineStr"/>
    </row>
    <row r="513" ht="15" customHeight="1">
      <c r="A513" t="inlineStr">
        <is>
          <t>A 42340-2018</t>
        </is>
      </c>
      <c r="B513" s="1" t="n">
        <v>43353</v>
      </c>
      <c r="C513" s="1" t="n">
        <v>45344</v>
      </c>
      <c r="D513" t="inlineStr">
        <is>
          <t>GÄVLEBORGS LÄN</t>
        </is>
      </c>
      <c r="E513" t="inlineStr">
        <is>
          <t>SANDVIKEN</t>
        </is>
      </c>
      <c r="G513" t="n">
        <v>0.5</v>
      </c>
      <c r="H513" t="n">
        <v>0</v>
      </c>
      <c r="I513" t="n">
        <v>0</v>
      </c>
      <c r="J513" t="n">
        <v>0</v>
      </c>
      <c r="K513" t="n">
        <v>0</v>
      </c>
      <c r="L513" t="n">
        <v>0</v>
      </c>
      <c r="M513" t="n">
        <v>0</v>
      </c>
      <c r="N513" t="n">
        <v>0</v>
      </c>
      <c r="O513" t="n">
        <v>0</v>
      </c>
      <c r="P513" t="n">
        <v>0</v>
      </c>
      <c r="Q513" t="n">
        <v>0</v>
      </c>
      <c r="R513" s="2" t="inlineStr"/>
    </row>
    <row r="514" ht="15" customHeight="1">
      <c r="A514" t="inlineStr">
        <is>
          <t>A 42164-2018</t>
        </is>
      </c>
      <c r="B514" s="1" t="n">
        <v>43353</v>
      </c>
      <c r="C514" s="1" t="n">
        <v>45344</v>
      </c>
      <c r="D514" t="inlineStr">
        <is>
          <t>GÄVLEBORGS LÄN</t>
        </is>
      </c>
      <c r="E514" t="inlineStr">
        <is>
          <t>LJUSDAL</t>
        </is>
      </c>
      <c r="G514" t="n">
        <v>3.5</v>
      </c>
      <c r="H514" t="n">
        <v>0</v>
      </c>
      <c r="I514" t="n">
        <v>0</v>
      </c>
      <c r="J514" t="n">
        <v>0</v>
      </c>
      <c r="K514" t="n">
        <v>0</v>
      </c>
      <c r="L514" t="n">
        <v>0</v>
      </c>
      <c r="M514" t="n">
        <v>0</v>
      </c>
      <c r="N514" t="n">
        <v>0</v>
      </c>
      <c r="O514" t="n">
        <v>0</v>
      </c>
      <c r="P514" t="n">
        <v>0</v>
      </c>
      <c r="Q514" t="n">
        <v>0</v>
      </c>
      <c r="R514" s="2" t="inlineStr"/>
    </row>
    <row r="515" ht="15" customHeight="1">
      <c r="A515" t="inlineStr">
        <is>
          <t>A 42287-2018</t>
        </is>
      </c>
      <c r="B515" s="1" t="n">
        <v>43353</v>
      </c>
      <c r="C515" s="1" t="n">
        <v>45344</v>
      </c>
      <c r="D515" t="inlineStr">
        <is>
          <t>GÄVLEBORGS LÄN</t>
        </is>
      </c>
      <c r="E515" t="inlineStr">
        <is>
          <t>LJUSDAL</t>
        </is>
      </c>
      <c r="G515" t="n">
        <v>0.6</v>
      </c>
      <c r="H515" t="n">
        <v>0</v>
      </c>
      <c r="I515" t="n">
        <v>0</v>
      </c>
      <c r="J515" t="n">
        <v>0</v>
      </c>
      <c r="K515" t="n">
        <v>0</v>
      </c>
      <c r="L515" t="n">
        <v>0</v>
      </c>
      <c r="M515" t="n">
        <v>0</v>
      </c>
      <c r="N515" t="n">
        <v>0</v>
      </c>
      <c r="O515" t="n">
        <v>0</v>
      </c>
      <c r="P515" t="n">
        <v>0</v>
      </c>
      <c r="Q515" t="n">
        <v>0</v>
      </c>
      <c r="R515" s="2" t="inlineStr"/>
    </row>
    <row r="516" ht="15" customHeight="1">
      <c r="A516" t="inlineStr">
        <is>
          <t>A 42785-2018</t>
        </is>
      </c>
      <c r="B516" s="1" t="n">
        <v>43354</v>
      </c>
      <c r="C516" s="1" t="n">
        <v>45344</v>
      </c>
      <c r="D516" t="inlineStr">
        <is>
          <t>GÄVLEBORGS LÄN</t>
        </is>
      </c>
      <c r="E516" t="inlineStr">
        <is>
          <t>LJUSDAL</t>
        </is>
      </c>
      <c r="F516" t="inlineStr">
        <is>
          <t>Holmen skog AB</t>
        </is>
      </c>
      <c r="G516" t="n">
        <v>166</v>
      </c>
      <c r="H516" t="n">
        <v>0</v>
      </c>
      <c r="I516" t="n">
        <v>0</v>
      </c>
      <c r="J516" t="n">
        <v>0</v>
      </c>
      <c r="K516" t="n">
        <v>0</v>
      </c>
      <c r="L516" t="n">
        <v>0</v>
      </c>
      <c r="M516" t="n">
        <v>0</v>
      </c>
      <c r="N516" t="n">
        <v>0</v>
      </c>
      <c r="O516" t="n">
        <v>0</v>
      </c>
      <c r="P516" t="n">
        <v>0</v>
      </c>
      <c r="Q516" t="n">
        <v>0</v>
      </c>
      <c r="R516" s="2" t="inlineStr"/>
    </row>
    <row r="517" ht="15" customHeight="1">
      <c r="A517" t="inlineStr">
        <is>
          <t>A 42876-2018</t>
        </is>
      </c>
      <c r="B517" s="1" t="n">
        <v>43355</v>
      </c>
      <c r="C517" s="1" t="n">
        <v>45344</v>
      </c>
      <c r="D517" t="inlineStr">
        <is>
          <t>GÄVLEBORGS LÄN</t>
        </is>
      </c>
      <c r="E517" t="inlineStr">
        <is>
          <t>OCKELBO</t>
        </is>
      </c>
      <c r="G517" t="n">
        <v>1.5</v>
      </c>
      <c r="H517" t="n">
        <v>0</v>
      </c>
      <c r="I517" t="n">
        <v>0</v>
      </c>
      <c r="J517" t="n">
        <v>0</v>
      </c>
      <c r="K517" t="n">
        <v>0</v>
      </c>
      <c r="L517" t="n">
        <v>0</v>
      </c>
      <c r="M517" t="n">
        <v>0</v>
      </c>
      <c r="N517" t="n">
        <v>0</v>
      </c>
      <c r="O517" t="n">
        <v>0</v>
      </c>
      <c r="P517" t="n">
        <v>0</v>
      </c>
      <c r="Q517" t="n">
        <v>0</v>
      </c>
      <c r="R517" s="2" t="inlineStr"/>
    </row>
    <row r="518" ht="15" customHeight="1">
      <c r="A518" t="inlineStr">
        <is>
          <t>A 43119-2018</t>
        </is>
      </c>
      <c r="B518" s="1" t="n">
        <v>43355</v>
      </c>
      <c r="C518" s="1" t="n">
        <v>45344</v>
      </c>
      <c r="D518" t="inlineStr">
        <is>
          <t>GÄVLEBORGS LÄN</t>
        </is>
      </c>
      <c r="E518" t="inlineStr">
        <is>
          <t>LJUSDAL</t>
        </is>
      </c>
      <c r="F518" t="inlineStr">
        <is>
          <t>Allmännings- och besparingsskogar</t>
        </is>
      </c>
      <c r="G518" t="n">
        <v>38.3</v>
      </c>
      <c r="H518" t="n">
        <v>0</v>
      </c>
      <c r="I518" t="n">
        <v>0</v>
      </c>
      <c r="J518" t="n">
        <v>0</v>
      </c>
      <c r="K518" t="n">
        <v>0</v>
      </c>
      <c r="L518" t="n">
        <v>0</v>
      </c>
      <c r="M518" t="n">
        <v>0</v>
      </c>
      <c r="N518" t="n">
        <v>0</v>
      </c>
      <c r="O518" t="n">
        <v>0</v>
      </c>
      <c r="P518" t="n">
        <v>0</v>
      </c>
      <c r="Q518" t="n">
        <v>0</v>
      </c>
      <c r="R518" s="2" t="inlineStr"/>
    </row>
    <row r="519" ht="15" customHeight="1">
      <c r="A519" t="inlineStr">
        <is>
          <t>A 43114-2018</t>
        </is>
      </c>
      <c r="B519" s="1" t="n">
        <v>43355</v>
      </c>
      <c r="C519" s="1" t="n">
        <v>45344</v>
      </c>
      <c r="D519" t="inlineStr">
        <is>
          <t>GÄVLEBORGS LÄN</t>
        </is>
      </c>
      <c r="E519" t="inlineStr">
        <is>
          <t>LJUSDAL</t>
        </is>
      </c>
      <c r="F519" t="inlineStr">
        <is>
          <t>Allmännings- och besparingsskogar</t>
        </is>
      </c>
      <c r="G519" t="n">
        <v>10.9</v>
      </c>
      <c r="H519" t="n">
        <v>0</v>
      </c>
      <c r="I519" t="n">
        <v>0</v>
      </c>
      <c r="J519" t="n">
        <v>0</v>
      </c>
      <c r="K519" t="n">
        <v>0</v>
      </c>
      <c r="L519" t="n">
        <v>0</v>
      </c>
      <c r="M519" t="n">
        <v>0</v>
      </c>
      <c r="N519" t="n">
        <v>0</v>
      </c>
      <c r="O519" t="n">
        <v>0</v>
      </c>
      <c r="P519" t="n">
        <v>0</v>
      </c>
      <c r="Q519" t="n">
        <v>0</v>
      </c>
      <c r="R519" s="2" t="inlineStr"/>
    </row>
    <row r="520" ht="15" customHeight="1">
      <c r="A520" t="inlineStr">
        <is>
          <t>A 43655-2018</t>
        </is>
      </c>
      <c r="B520" s="1" t="n">
        <v>43357</v>
      </c>
      <c r="C520" s="1" t="n">
        <v>45344</v>
      </c>
      <c r="D520" t="inlineStr">
        <is>
          <t>GÄVLEBORGS LÄN</t>
        </is>
      </c>
      <c r="E520" t="inlineStr">
        <is>
          <t>HUDIKSVALL</t>
        </is>
      </c>
      <c r="F520" t="inlineStr">
        <is>
          <t>Holmen skog AB</t>
        </is>
      </c>
      <c r="G520" t="n">
        <v>1.4</v>
      </c>
      <c r="H520" t="n">
        <v>0</v>
      </c>
      <c r="I520" t="n">
        <v>0</v>
      </c>
      <c r="J520" t="n">
        <v>0</v>
      </c>
      <c r="K520" t="n">
        <v>0</v>
      </c>
      <c r="L520" t="n">
        <v>0</v>
      </c>
      <c r="M520" t="n">
        <v>0</v>
      </c>
      <c r="N520" t="n">
        <v>0</v>
      </c>
      <c r="O520" t="n">
        <v>0</v>
      </c>
      <c r="P520" t="n">
        <v>0</v>
      </c>
      <c r="Q520" t="n">
        <v>0</v>
      </c>
      <c r="R520" s="2" t="inlineStr"/>
    </row>
    <row r="521" ht="15" customHeight="1">
      <c r="A521" t="inlineStr">
        <is>
          <t>A 44238-2018</t>
        </is>
      </c>
      <c r="B521" s="1" t="n">
        <v>43360</v>
      </c>
      <c r="C521" s="1" t="n">
        <v>45344</v>
      </c>
      <c r="D521" t="inlineStr">
        <is>
          <t>GÄVLEBORGS LÄN</t>
        </is>
      </c>
      <c r="E521" t="inlineStr">
        <is>
          <t>GÄVLE</t>
        </is>
      </c>
      <c r="F521" t="inlineStr">
        <is>
          <t>Bergvik skog öst AB</t>
        </is>
      </c>
      <c r="G521" t="n">
        <v>0.5</v>
      </c>
      <c r="H521" t="n">
        <v>0</v>
      </c>
      <c r="I521" t="n">
        <v>0</v>
      </c>
      <c r="J521" t="n">
        <v>0</v>
      </c>
      <c r="K521" t="n">
        <v>0</v>
      </c>
      <c r="L521" t="n">
        <v>0</v>
      </c>
      <c r="M521" t="n">
        <v>0</v>
      </c>
      <c r="N521" t="n">
        <v>0</v>
      </c>
      <c r="O521" t="n">
        <v>0</v>
      </c>
      <c r="P521" t="n">
        <v>0</v>
      </c>
      <c r="Q521" t="n">
        <v>0</v>
      </c>
      <c r="R521" s="2" t="inlineStr"/>
    </row>
    <row r="522" ht="15" customHeight="1">
      <c r="A522" t="inlineStr">
        <is>
          <t>A 44175-2018</t>
        </is>
      </c>
      <c r="B522" s="1" t="n">
        <v>43360</v>
      </c>
      <c r="C522" s="1" t="n">
        <v>45344</v>
      </c>
      <c r="D522" t="inlineStr">
        <is>
          <t>GÄVLEBORGS LÄN</t>
        </is>
      </c>
      <c r="E522" t="inlineStr">
        <is>
          <t>BOLLNÄS</t>
        </is>
      </c>
      <c r="G522" t="n">
        <v>0.9</v>
      </c>
      <c r="H522" t="n">
        <v>0</v>
      </c>
      <c r="I522" t="n">
        <v>0</v>
      </c>
      <c r="J522" t="n">
        <v>0</v>
      </c>
      <c r="K522" t="n">
        <v>0</v>
      </c>
      <c r="L522" t="n">
        <v>0</v>
      </c>
      <c r="M522" t="n">
        <v>0</v>
      </c>
      <c r="N522" t="n">
        <v>0</v>
      </c>
      <c r="O522" t="n">
        <v>0</v>
      </c>
      <c r="P522" t="n">
        <v>0</v>
      </c>
      <c r="Q522" t="n">
        <v>0</v>
      </c>
      <c r="R522" s="2" t="inlineStr"/>
    </row>
    <row r="523" ht="15" customHeight="1">
      <c r="A523" t="inlineStr">
        <is>
          <t>A 44964-2018</t>
        </is>
      </c>
      <c r="B523" s="1" t="n">
        <v>43362</v>
      </c>
      <c r="C523" s="1" t="n">
        <v>45344</v>
      </c>
      <c r="D523" t="inlineStr">
        <is>
          <t>GÄVLEBORGS LÄN</t>
        </is>
      </c>
      <c r="E523" t="inlineStr">
        <is>
          <t>HUDIKSVALL</t>
        </is>
      </c>
      <c r="G523" t="n">
        <v>12.2</v>
      </c>
      <c r="H523" t="n">
        <v>0</v>
      </c>
      <c r="I523" t="n">
        <v>0</v>
      </c>
      <c r="J523" t="n">
        <v>0</v>
      </c>
      <c r="K523" t="n">
        <v>0</v>
      </c>
      <c r="L523" t="n">
        <v>0</v>
      </c>
      <c r="M523" t="n">
        <v>0</v>
      </c>
      <c r="N523" t="n">
        <v>0</v>
      </c>
      <c r="O523" t="n">
        <v>0</v>
      </c>
      <c r="P523" t="n">
        <v>0</v>
      </c>
      <c r="Q523" t="n">
        <v>0</v>
      </c>
      <c r="R523" s="2" t="inlineStr"/>
    </row>
    <row r="524" ht="15" customHeight="1">
      <c r="A524" t="inlineStr">
        <is>
          <t>A 44871-2018</t>
        </is>
      </c>
      <c r="B524" s="1" t="n">
        <v>43362</v>
      </c>
      <c r="C524" s="1" t="n">
        <v>45344</v>
      </c>
      <c r="D524" t="inlineStr">
        <is>
          <t>GÄVLEBORGS LÄN</t>
        </is>
      </c>
      <c r="E524" t="inlineStr">
        <is>
          <t>NORDANSTIG</t>
        </is>
      </c>
      <c r="G524" t="n">
        <v>1.1</v>
      </c>
      <c r="H524" t="n">
        <v>0</v>
      </c>
      <c r="I524" t="n">
        <v>0</v>
      </c>
      <c r="J524" t="n">
        <v>0</v>
      </c>
      <c r="K524" t="n">
        <v>0</v>
      </c>
      <c r="L524" t="n">
        <v>0</v>
      </c>
      <c r="M524" t="n">
        <v>0</v>
      </c>
      <c r="N524" t="n">
        <v>0</v>
      </c>
      <c r="O524" t="n">
        <v>0</v>
      </c>
      <c r="P524" t="n">
        <v>0</v>
      </c>
      <c r="Q524" t="n">
        <v>0</v>
      </c>
      <c r="R524" s="2" t="inlineStr"/>
    </row>
    <row r="525" ht="15" customHeight="1">
      <c r="A525" t="inlineStr">
        <is>
          <t>A 44961-2018</t>
        </is>
      </c>
      <c r="B525" s="1" t="n">
        <v>43362</v>
      </c>
      <c r="C525" s="1" t="n">
        <v>45344</v>
      </c>
      <c r="D525" t="inlineStr">
        <is>
          <t>GÄVLEBORGS LÄN</t>
        </is>
      </c>
      <c r="E525" t="inlineStr">
        <is>
          <t>HUDIKSVALL</t>
        </is>
      </c>
      <c r="G525" t="n">
        <v>23.1</v>
      </c>
      <c r="H525" t="n">
        <v>0</v>
      </c>
      <c r="I525" t="n">
        <v>0</v>
      </c>
      <c r="J525" t="n">
        <v>0</v>
      </c>
      <c r="K525" t="n">
        <v>0</v>
      </c>
      <c r="L525" t="n">
        <v>0</v>
      </c>
      <c r="M525" t="n">
        <v>0</v>
      </c>
      <c r="N525" t="n">
        <v>0</v>
      </c>
      <c r="O525" t="n">
        <v>0</v>
      </c>
      <c r="P525" t="n">
        <v>0</v>
      </c>
      <c r="Q525" t="n">
        <v>0</v>
      </c>
      <c r="R525" s="2" t="inlineStr"/>
    </row>
    <row r="526" ht="15" customHeight="1">
      <c r="A526" t="inlineStr">
        <is>
          <t>A 45906-2018</t>
        </is>
      </c>
      <c r="B526" s="1" t="n">
        <v>43363</v>
      </c>
      <c r="C526" s="1" t="n">
        <v>45344</v>
      </c>
      <c r="D526" t="inlineStr">
        <is>
          <t>GÄVLEBORGS LÄN</t>
        </is>
      </c>
      <c r="E526" t="inlineStr">
        <is>
          <t>HOFORS</t>
        </is>
      </c>
      <c r="G526" t="n">
        <v>3.8</v>
      </c>
      <c r="H526" t="n">
        <v>0</v>
      </c>
      <c r="I526" t="n">
        <v>0</v>
      </c>
      <c r="J526" t="n">
        <v>0</v>
      </c>
      <c r="K526" t="n">
        <v>0</v>
      </c>
      <c r="L526" t="n">
        <v>0</v>
      </c>
      <c r="M526" t="n">
        <v>0</v>
      </c>
      <c r="N526" t="n">
        <v>0</v>
      </c>
      <c r="O526" t="n">
        <v>0</v>
      </c>
      <c r="P526" t="n">
        <v>0</v>
      </c>
      <c r="Q526" t="n">
        <v>0</v>
      </c>
      <c r="R526" s="2" t="inlineStr"/>
    </row>
    <row r="527" ht="15" customHeight="1">
      <c r="A527" t="inlineStr">
        <is>
          <t>A 46117-2018</t>
        </is>
      </c>
      <c r="B527" s="1" t="n">
        <v>43363</v>
      </c>
      <c r="C527" s="1" t="n">
        <v>45344</v>
      </c>
      <c r="D527" t="inlineStr">
        <is>
          <t>GÄVLEBORGS LÄN</t>
        </is>
      </c>
      <c r="E527" t="inlineStr">
        <is>
          <t>OCKELBO</t>
        </is>
      </c>
      <c r="G527" t="n">
        <v>1.5</v>
      </c>
      <c r="H527" t="n">
        <v>0</v>
      </c>
      <c r="I527" t="n">
        <v>0</v>
      </c>
      <c r="J527" t="n">
        <v>0</v>
      </c>
      <c r="K527" t="n">
        <v>0</v>
      </c>
      <c r="L527" t="n">
        <v>0</v>
      </c>
      <c r="M527" t="n">
        <v>0</v>
      </c>
      <c r="N527" t="n">
        <v>0</v>
      </c>
      <c r="O527" t="n">
        <v>0</v>
      </c>
      <c r="P527" t="n">
        <v>0</v>
      </c>
      <c r="Q527" t="n">
        <v>0</v>
      </c>
      <c r="R527" s="2" t="inlineStr"/>
    </row>
    <row r="528" ht="15" customHeight="1">
      <c r="A528" t="inlineStr">
        <is>
          <t>A 46238-2018</t>
        </is>
      </c>
      <c r="B528" s="1" t="n">
        <v>43367</v>
      </c>
      <c r="C528" s="1" t="n">
        <v>45344</v>
      </c>
      <c r="D528" t="inlineStr">
        <is>
          <t>GÄVLEBORGS LÄN</t>
        </is>
      </c>
      <c r="E528" t="inlineStr">
        <is>
          <t>SANDVIKEN</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47068-2018</t>
        </is>
      </c>
      <c r="B529" s="1" t="n">
        <v>43369</v>
      </c>
      <c r="C529" s="1" t="n">
        <v>45344</v>
      </c>
      <c r="D529" t="inlineStr">
        <is>
          <t>GÄVLEBORGS LÄN</t>
        </is>
      </c>
      <c r="E529" t="inlineStr">
        <is>
          <t>LJUSDAL</t>
        </is>
      </c>
      <c r="G529" t="n">
        <v>1</v>
      </c>
      <c r="H529" t="n">
        <v>0</v>
      </c>
      <c r="I529" t="n">
        <v>0</v>
      </c>
      <c r="J529" t="n">
        <v>0</v>
      </c>
      <c r="K529" t="n">
        <v>0</v>
      </c>
      <c r="L529" t="n">
        <v>0</v>
      </c>
      <c r="M529" t="n">
        <v>0</v>
      </c>
      <c r="N529" t="n">
        <v>0</v>
      </c>
      <c r="O529" t="n">
        <v>0</v>
      </c>
      <c r="P529" t="n">
        <v>0</v>
      </c>
      <c r="Q529" t="n">
        <v>0</v>
      </c>
      <c r="R529" s="2" t="inlineStr"/>
    </row>
    <row r="530" ht="15" customHeight="1">
      <c r="A530" t="inlineStr">
        <is>
          <t>A 47341-2018</t>
        </is>
      </c>
      <c r="B530" s="1" t="n">
        <v>43369</v>
      </c>
      <c r="C530" s="1" t="n">
        <v>45344</v>
      </c>
      <c r="D530" t="inlineStr">
        <is>
          <t>GÄVLEBORGS LÄN</t>
        </is>
      </c>
      <c r="E530" t="inlineStr">
        <is>
          <t>HUDIKSVALL</t>
        </is>
      </c>
      <c r="F530" t="inlineStr">
        <is>
          <t>Holmen skog AB</t>
        </is>
      </c>
      <c r="G530" t="n">
        <v>2.8</v>
      </c>
      <c r="H530" t="n">
        <v>0</v>
      </c>
      <c r="I530" t="n">
        <v>0</v>
      </c>
      <c r="J530" t="n">
        <v>0</v>
      </c>
      <c r="K530" t="n">
        <v>0</v>
      </c>
      <c r="L530" t="n">
        <v>0</v>
      </c>
      <c r="M530" t="n">
        <v>0</v>
      </c>
      <c r="N530" t="n">
        <v>0</v>
      </c>
      <c r="O530" t="n">
        <v>0</v>
      </c>
      <c r="P530" t="n">
        <v>0</v>
      </c>
      <c r="Q530" t="n">
        <v>0</v>
      </c>
      <c r="R530" s="2" t="inlineStr"/>
    </row>
    <row r="531" ht="15" customHeight="1">
      <c r="A531" t="inlineStr">
        <is>
          <t>A 47801-2018</t>
        </is>
      </c>
      <c r="B531" s="1" t="n">
        <v>43369</v>
      </c>
      <c r="C531" s="1" t="n">
        <v>45344</v>
      </c>
      <c r="D531" t="inlineStr">
        <is>
          <t>GÄVLEBORGS LÄN</t>
        </is>
      </c>
      <c r="E531" t="inlineStr">
        <is>
          <t>LJUSDAL</t>
        </is>
      </c>
      <c r="F531" t="inlineStr">
        <is>
          <t>Allmännings- och besparingsskogar</t>
        </is>
      </c>
      <c r="G531" t="n">
        <v>20.9</v>
      </c>
      <c r="H531" t="n">
        <v>0</v>
      </c>
      <c r="I531" t="n">
        <v>0</v>
      </c>
      <c r="J531" t="n">
        <v>0</v>
      </c>
      <c r="K531" t="n">
        <v>0</v>
      </c>
      <c r="L531" t="n">
        <v>0</v>
      </c>
      <c r="M531" t="n">
        <v>0</v>
      </c>
      <c r="N531" t="n">
        <v>0</v>
      </c>
      <c r="O531" t="n">
        <v>0</v>
      </c>
      <c r="P531" t="n">
        <v>0</v>
      </c>
      <c r="Q531" t="n">
        <v>0</v>
      </c>
      <c r="R531" s="2" t="inlineStr"/>
    </row>
    <row r="532" ht="15" customHeight="1">
      <c r="A532" t="inlineStr">
        <is>
          <t>A 50739-2018</t>
        </is>
      </c>
      <c r="B532" s="1" t="n">
        <v>43369</v>
      </c>
      <c r="C532" s="1" t="n">
        <v>45344</v>
      </c>
      <c r="D532" t="inlineStr">
        <is>
          <t>GÄVLEBORGS LÄN</t>
        </is>
      </c>
      <c r="E532" t="inlineStr">
        <is>
          <t>HUDIKSVALL</t>
        </is>
      </c>
      <c r="G532" t="n">
        <v>2.9</v>
      </c>
      <c r="H532" t="n">
        <v>0</v>
      </c>
      <c r="I532" t="n">
        <v>0</v>
      </c>
      <c r="J532" t="n">
        <v>0</v>
      </c>
      <c r="K532" t="n">
        <v>0</v>
      </c>
      <c r="L532" t="n">
        <v>0</v>
      </c>
      <c r="M532" t="n">
        <v>0</v>
      </c>
      <c r="N532" t="n">
        <v>0</v>
      </c>
      <c r="O532" t="n">
        <v>0</v>
      </c>
      <c r="P532" t="n">
        <v>0</v>
      </c>
      <c r="Q532" t="n">
        <v>0</v>
      </c>
      <c r="R532" s="2" t="inlineStr"/>
    </row>
    <row r="533" ht="15" customHeight="1">
      <c r="A533" t="inlineStr">
        <is>
          <t>A 47720-2018</t>
        </is>
      </c>
      <c r="B533" s="1" t="n">
        <v>43370</v>
      </c>
      <c r="C533" s="1" t="n">
        <v>45344</v>
      </c>
      <c r="D533" t="inlineStr">
        <is>
          <t>GÄVLEBORGS LÄN</t>
        </is>
      </c>
      <c r="E533" t="inlineStr">
        <is>
          <t>LJUSDAL</t>
        </is>
      </c>
      <c r="F533" t="inlineStr">
        <is>
          <t>Kyrkan</t>
        </is>
      </c>
      <c r="G533" t="n">
        <v>17.1</v>
      </c>
      <c r="H533" t="n">
        <v>0</v>
      </c>
      <c r="I533" t="n">
        <v>0</v>
      </c>
      <c r="J533" t="n">
        <v>0</v>
      </c>
      <c r="K533" t="n">
        <v>0</v>
      </c>
      <c r="L533" t="n">
        <v>0</v>
      </c>
      <c r="M533" t="n">
        <v>0</v>
      </c>
      <c r="N533" t="n">
        <v>0</v>
      </c>
      <c r="O533" t="n">
        <v>0</v>
      </c>
      <c r="P533" t="n">
        <v>0</v>
      </c>
      <c r="Q533" t="n">
        <v>0</v>
      </c>
      <c r="R533" s="2" t="inlineStr"/>
    </row>
    <row r="534" ht="15" customHeight="1">
      <c r="A534" t="inlineStr">
        <is>
          <t>A 48439-2018</t>
        </is>
      </c>
      <c r="B534" s="1" t="n">
        <v>43374</v>
      </c>
      <c r="C534" s="1" t="n">
        <v>45344</v>
      </c>
      <c r="D534" t="inlineStr">
        <is>
          <t>GÄVLEBORGS LÄN</t>
        </is>
      </c>
      <c r="E534" t="inlineStr">
        <is>
          <t>HUDIKSVALL</t>
        </is>
      </c>
      <c r="G534" t="n">
        <v>2.6</v>
      </c>
      <c r="H534" t="n">
        <v>0</v>
      </c>
      <c r="I534" t="n">
        <v>0</v>
      </c>
      <c r="J534" t="n">
        <v>0</v>
      </c>
      <c r="K534" t="n">
        <v>0</v>
      </c>
      <c r="L534" t="n">
        <v>0</v>
      </c>
      <c r="M534" t="n">
        <v>0</v>
      </c>
      <c r="N534" t="n">
        <v>0</v>
      </c>
      <c r="O534" t="n">
        <v>0</v>
      </c>
      <c r="P534" t="n">
        <v>0</v>
      </c>
      <c r="Q534" t="n">
        <v>0</v>
      </c>
      <c r="R534" s="2" t="inlineStr"/>
    </row>
    <row r="535" ht="15" customHeight="1">
      <c r="A535" t="inlineStr">
        <is>
          <t>A 48693-2018</t>
        </is>
      </c>
      <c r="B535" s="1" t="n">
        <v>43374</v>
      </c>
      <c r="C535" s="1" t="n">
        <v>45344</v>
      </c>
      <c r="D535" t="inlineStr">
        <is>
          <t>GÄVLEBORGS LÄN</t>
        </is>
      </c>
      <c r="E535" t="inlineStr">
        <is>
          <t>HUDIKSVALL</t>
        </is>
      </c>
      <c r="G535" t="n">
        <v>0.7</v>
      </c>
      <c r="H535" t="n">
        <v>0</v>
      </c>
      <c r="I535" t="n">
        <v>0</v>
      </c>
      <c r="J535" t="n">
        <v>0</v>
      </c>
      <c r="K535" t="n">
        <v>0</v>
      </c>
      <c r="L535" t="n">
        <v>0</v>
      </c>
      <c r="M535" t="n">
        <v>0</v>
      </c>
      <c r="N535" t="n">
        <v>0</v>
      </c>
      <c r="O535" t="n">
        <v>0</v>
      </c>
      <c r="P535" t="n">
        <v>0</v>
      </c>
      <c r="Q535" t="n">
        <v>0</v>
      </c>
      <c r="R535" s="2" t="inlineStr"/>
    </row>
    <row r="536" ht="15" customHeight="1">
      <c r="A536" t="inlineStr">
        <is>
          <t>A 49007-2018</t>
        </is>
      </c>
      <c r="B536" s="1" t="n">
        <v>43375</v>
      </c>
      <c r="C536" s="1" t="n">
        <v>45344</v>
      </c>
      <c r="D536" t="inlineStr">
        <is>
          <t>GÄVLEBORGS LÄN</t>
        </is>
      </c>
      <c r="E536" t="inlineStr">
        <is>
          <t>BOLLNÄS</t>
        </is>
      </c>
      <c r="G536" t="n">
        <v>0.8</v>
      </c>
      <c r="H536" t="n">
        <v>0</v>
      </c>
      <c r="I536" t="n">
        <v>0</v>
      </c>
      <c r="J536" t="n">
        <v>0</v>
      </c>
      <c r="K536" t="n">
        <v>0</v>
      </c>
      <c r="L536" t="n">
        <v>0</v>
      </c>
      <c r="M536" t="n">
        <v>0</v>
      </c>
      <c r="N536" t="n">
        <v>0</v>
      </c>
      <c r="O536" t="n">
        <v>0</v>
      </c>
      <c r="P536" t="n">
        <v>0</v>
      </c>
      <c r="Q536" t="n">
        <v>0</v>
      </c>
      <c r="R536" s="2" t="inlineStr"/>
    </row>
    <row r="537" ht="15" customHeight="1">
      <c r="A537" t="inlineStr">
        <is>
          <t>A 49454-2018</t>
        </is>
      </c>
      <c r="B537" s="1" t="n">
        <v>43376</v>
      </c>
      <c r="C537" s="1" t="n">
        <v>45344</v>
      </c>
      <c r="D537" t="inlineStr">
        <is>
          <t>GÄVLEBORGS LÄN</t>
        </is>
      </c>
      <c r="E537" t="inlineStr">
        <is>
          <t>LJUSDAL</t>
        </is>
      </c>
      <c r="G537" t="n">
        <v>72.2</v>
      </c>
      <c r="H537" t="n">
        <v>0</v>
      </c>
      <c r="I537" t="n">
        <v>0</v>
      </c>
      <c r="J537" t="n">
        <v>0</v>
      </c>
      <c r="K537" t="n">
        <v>0</v>
      </c>
      <c r="L537" t="n">
        <v>0</v>
      </c>
      <c r="M537" t="n">
        <v>0</v>
      </c>
      <c r="N537" t="n">
        <v>0</v>
      </c>
      <c r="O537" t="n">
        <v>0</v>
      </c>
      <c r="P537" t="n">
        <v>0</v>
      </c>
      <c r="Q537" t="n">
        <v>0</v>
      </c>
      <c r="R537" s="2" t="inlineStr"/>
    </row>
    <row r="538" ht="15" customHeight="1">
      <c r="A538" t="inlineStr">
        <is>
          <t>A 49896-2018</t>
        </is>
      </c>
      <c r="B538" s="1" t="n">
        <v>43376</v>
      </c>
      <c r="C538" s="1" t="n">
        <v>45344</v>
      </c>
      <c r="D538" t="inlineStr">
        <is>
          <t>GÄVLEBORGS LÄN</t>
        </is>
      </c>
      <c r="E538" t="inlineStr">
        <is>
          <t>SANDVIKEN</t>
        </is>
      </c>
      <c r="G538" t="n">
        <v>1.7</v>
      </c>
      <c r="H538" t="n">
        <v>0</v>
      </c>
      <c r="I538" t="n">
        <v>0</v>
      </c>
      <c r="J538" t="n">
        <v>0</v>
      </c>
      <c r="K538" t="n">
        <v>0</v>
      </c>
      <c r="L538" t="n">
        <v>0</v>
      </c>
      <c r="M538" t="n">
        <v>0</v>
      </c>
      <c r="N538" t="n">
        <v>0</v>
      </c>
      <c r="O538" t="n">
        <v>0</v>
      </c>
      <c r="P538" t="n">
        <v>0</v>
      </c>
      <c r="Q538" t="n">
        <v>0</v>
      </c>
      <c r="R538" s="2" t="inlineStr"/>
    </row>
    <row r="539" ht="15" customHeight="1">
      <c r="A539" t="inlineStr">
        <is>
          <t>A 50036-2018</t>
        </is>
      </c>
      <c r="B539" s="1" t="n">
        <v>43377</v>
      </c>
      <c r="C539" s="1" t="n">
        <v>45344</v>
      </c>
      <c r="D539" t="inlineStr">
        <is>
          <t>GÄVLEBORGS LÄN</t>
        </is>
      </c>
      <c r="E539" t="inlineStr">
        <is>
          <t>HUDIKSVALL</t>
        </is>
      </c>
      <c r="G539" t="n">
        <v>12.1</v>
      </c>
      <c r="H539" t="n">
        <v>0</v>
      </c>
      <c r="I539" t="n">
        <v>0</v>
      </c>
      <c r="J539" t="n">
        <v>0</v>
      </c>
      <c r="K539" t="n">
        <v>0</v>
      </c>
      <c r="L539" t="n">
        <v>0</v>
      </c>
      <c r="M539" t="n">
        <v>0</v>
      </c>
      <c r="N539" t="n">
        <v>0</v>
      </c>
      <c r="O539" t="n">
        <v>0</v>
      </c>
      <c r="P539" t="n">
        <v>0</v>
      </c>
      <c r="Q539" t="n">
        <v>0</v>
      </c>
      <c r="R539" s="2" t="inlineStr"/>
    </row>
    <row r="540" ht="15" customHeight="1">
      <c r="A540" t="inlineStr">
        <is>
          <t>A 51194-2018</t>
        </is>
      </c>
      <c r="B540" s="1" t="n">
        <v>43377</v>
      </c>
      <c r="C540" s="1" t="n">
        <v>45344</v>
      </c>
      <c r="D540" t="inlineStr">
        <is>
          <t>GÄVLEBORGS LÄN</t>
        </is>
      </c>
      <c r="E540" t="inlineStr">
        <is>
          <t>HUDIKSVALL</t>
        </is>
      </c>
      <c r="F540" t="inlineStr">
        <is>
          <t>Holmen skog AB</t>
        </is>
      </c>
      <c r="G540" t="n">
        <v>2.7</v>
      </c>
      <c r="H540" t="n">
        <v>0</v>
      </c>
      <c r="I540" t="n">
        <v>0</v>
      </c>
      <c r="J540" t="n">
        <v>0</v>
      </c>
      <c r="K540" t="n">
        <v>0</v>
      </c>
      <c r="L540" t="n">
        <v>0</v>
      </c>
      <c r="M540" t="n">
        <v>0</v>
      </c>
      <c r="N540" t="n">
        <v>0</v>
      </c>
      <c r="O540" t="n">
        <v>0</v>
      </c>
      <c r="P540" t="n">
        <v>0</v>
      </c>
      <c r="Q540" t="n">
        <v>0</v>
      </c>
      <c r="R540" s="2" t="inlineStr"/>
    </row>
    <row r="541" ht="15" customHeight="1">
      <c r="A541" t="inlineStr">
        <is>
          <t>A 49766-2018</t>
        </is>
      </c>
      <c r="B541" s="1" t="n">
        <v>43377</v>
      </c>
      <c r="C541" s="1" t="n">
        <v>45344</v>
      </c>
      <c r="D541" t="inlineStr">
        <is>
          <t>GÄVLEBORGS LÄN</t>
        </is>
      </c>
      <c r="E541" t="inlineStr">
        <is>
          <t>LJUSDAL</t>
        </is>
      </c>
      <c r="F541" t="inlineStr">
        <is>
          <t>Sveaskog</t>
        </is>
      </c>
      <c r="G541" t="n">
        <v>5</v>
      </c>
      <c r="H541" t="n">
        <v>0</v>
      </c>
      <c r="I541" t="n">
        <v>0</v>
      </c>
      <c r="J541" t="n">
        <v>0</v>
      </c>
      <c r="K541" t="n">
        <v>0</v>
      </c>
      <c r="L541" t="n">
        <v>0</v>
      </c>
      <c r="M541" t="n">
        <v>0</v>
      </c>
      <c r="N541" t="n">
        <v>0</v>
      </c>
      <c r="O541" t="n">
        <v>0</v>
      </c>
      <c r="P541" t="n">
        <v>0</v>
      </c>
      <c r="Q541" t="n">
        <v>0</v>
      </c>
      <c r="R541" s="2" t="inlineStr"/>
    </row>
    <row r="542" ht="15" customHeight="1">
      <c r="A542" t="inlineStr">
        <is>
          <t>A 51101-2018</t>
        </is>
      </c>
      <c r="B542" s="1" t="n">
        <v>43378</v>
      </c>
      <c r="C542" s="1" t="n">
        <v>45344</v>
      </c>
      <c r="D542" t="inlineStr">
        <is>
          <t>GÄVLEBORGS LÄN</t>
        </is>
      </c>
      <c r="E542" t="inlineStr">
        <is>
          <t>NORDANSTIG</t>
        </is>
      </c>
      <c r="G542" t="n">
        <v>1.2</v>
      </c>
      <c r="H542" t="n">
        <v>0</v>
      </c>
      <c r="I542" t="n">
        <v>0</v>
      </c>
      <c r="J542" t="n">
        <v>0</v>
      </c>
      <c r="K542" t="n">
        <v>0</v>
      </c>
      <c r="L542" t="n">
        <v>0</v>
      </c>
      <c r="M542" t="n">
        <v>0</v>
      </c>
      <c r="N542" t="n">
        <v>0</v>
      </c>
      <c r="O542" t="n">
        <v>0</v>
      </c>
      <c r="P542" t="n">
        <v>0</v>
      </c>
      <c r="Q542" t="n">
        <v>0</v>
      </c>
      <c r="R542" s="2" t="inlineStr"/>
    </row>
    <row r="543" ht="15" customHeight="1">
      <c r="A543" t="inlineStr">
        <is>
          <t>A 51105-2018</t>
        </is>
      </c>
      <c r="B543" s="1" t="n">
        <v>43378</v>
      </c>
      <c r="C543" s="1" t="n">
        <v>45344</v>
      </c>
      <c r="D543" t="inlineStr">
        <is>
          <t>GÄVLEBORGS LÄN</t>
        </is>
      </c>
      <c r="E543" t="inlineStr">
        <is>
          <t>NORDANSTIG</t>
        </is>
      </c>
      <c r="G543" t="n">
        <v>1.6</v>
      </c>
      <c r="H543" t="n">
        <v>0</v>
      </c>
      <c r="I543" t="n">
        <v>0</v>
      </c>
      <c r="J543" t="n">
        <v>0</v>
      </c>
      <c r="K543" t="n">
        <v>0</v>
      </c>
      <c r="L543" t="n">
        <v>0</v>
      </c>
      <c r="M543" t="n">
        <v>0</v>
      </c>
      <c r="N543" t="n">
        <v>0</v>
      </c>
      <c r="O543" t="n">
        <v>0</v>
      </c>
      <c r="P543" t="n">
        <v>0</v>
      </c>
      <c r="Q543" t="n">
        <v>0</v>
      </c>
      <c r="R543" s="2" t="inlineStr"/>
    </row>
    <row r="544" ht="15" customHeight="1">
      <c r="A544" t="inlineStr">
        <is>
          <t>A 50744-2018</t>
        </is>
      </c>
      <c r="B544" s="1" t="n">
        <v>43381</v>
      </c>
      <c r="C544" s="1" t="n">
        <v>45344</v>
      </c>
      <c r="D544" t="inlineStr">
        <is>
          <t>GÄVLEBORGS LÄN</t>
        </is>
      </c>
      <c r="E544" t="inlineStr">
        <is>
          <t>LJUSDAL</t>
        </is>
      </c>
      <c r="G544" t="n">
        <v>54.3</v>
      </c>
      <c r="H544" t="n">
        <v>0</v>
      </c>
      <c r="I544" t="n">
        <v>0</v>
      </c>
      <c r="J544" t="n">
        <v>0</v>
      </c>
      <c r="K544" t="n">
        <v>0</v>
      </c>
      <c r="L544" t="n">
        <v>0</v>
      </c>
      <c r="M544" t="n">
        <v>0</v>
      </c>
      <c r="N544" t="n">
        <v>0</v>
      </c>
      <c r="O544" t="n">
        <v>0</v>
      </c>
      <c r="P544" t="n">
        <v>0</v>
      </c>
      <c r="Q544" t="n">
        <v>0</v>
      </c>
      <c r="R544" s="2" t="inlineStr"/>
    </row>
    <row r="545" ht="15" customHeight="1">
      <c r="A545" t="inlineStr">
        <is>
          <t>A 50737-2018</t>
        </is>
      </c>
      <c r="B545" s="1" t="n">
        <v>43381</v>
      </c>
      <c r="C545" s="1" t="n">
        <v>45344</v>
      </c>
      <c r="D545" t="inlineStr">
        <is>
          <t>GÄVLEBORGS LÄN</t>
        </is>
      </c>
      <c r="E545" t="inlineStr">
        <is>
          <t>LJUSDAL</t>
        </is>
      </c>
      <c r="G545" t="n">
        <v>0.8</v>
      </c>
      <c r="H545" t="n">
        <v>0</v>
      </c>
      <c r="I545" t="n">
        <v>0</v>
      </c>
      <c r="J545" t="n">
        <v>0</v>
      </c>
      <c r="K545" t="n">
        <v>0</v>
      </c>
      <c r="L545" t="n">
        <v>0</v>
      </c>
      <c r="M545" t="n">
        <v>0</v>
      </c>
      <c r="N545" t="n">
        <v>0</v>
      </c>
      <c r="O545" t="n">
        <v>0</v>
      </c>
      <c r="P545" t="n">
        <v>0</v>
      </c>
      <c r="Q545" t="n">
        <v>0</v>
      </c>
      <c r="R545" s="2" t="inlineStr"/>
    </row>
    <row r="546" ht="15" customHeight="1">
      <c r="A546" t="inlineStr">
        <is>
          <t>A 51986-2018</t>
        </is>
      </c>
      <c r="B546" s="1" t="n">
        <v>43381</v>
      </c>
      <c r="C546" s="1" t="n">
        <v>45344</v>
      </c>
      <c r="D546" t="inlineStr">
        <is>
          <t>GÄVLEBORGS LÄN</t>
        </is>
      </c>
      <c r="E546" t="inlineStr">
        <is>
          <t>LJUSDAL</t>
        </is>
      </c>
      <c r="G546" t="n">
        <v>1.1</v>
      </c>
      <c r="H546" t="n">
        <v>0</v>
      </c>
      <c r="I546" t="n">
        <v>0</v>
      </c>
      <c r="J546" t="n">
        <v>0</v>
      </c>
      <c r="K546" t="n">
        <v>0</v>
      </c>
      <c r="L546" t="n">
        <v>0</v>
      </c>
      <c r="M546" t="n">
        <v>0</v>
      </c>
      <c r="N546" t="n">
        <v>0</v>
      </c>
      <c r="O546" t="n">
        <v>0</v>
      </c>
      <c r="P546" t="n">
        <v>0</v>
      </c>
      <c r="Q546" t="n">
        <v>0</v>
      </c>
      <c r="R546" s="2" t="inlineStr"/>
    </row>
    <row r="547" ht="15" customHeight="1">
      <c r="A547" t="inlineStr">
        <is>
          <t>A 50800-2018</t>
        </is>
      </c>
      <c r="B547" s="1" t="n">
        <v>43381</v>
      </c>
      <c r="C547" s="1" t="n">
        <v>45344</v>
      </c>
      <c r="D547" t="inlineStr">
        <is>
          <t>GÄVLEBORGS LÄN</t>
        </is>
      </c>
      <c r="E547" t="inlineStr">
        <is>
          <t>LJUSDAL</t>
        </is>
      </c>
      <c r="G547" t="n">
        <v>54.9</v>
      </c>
      <c r="H547" t="n">
        <v>0</v>
      </c>
      <c r="I547" t="n">
        <v>0</v>
      </c>
      <c r="J547" t="n">
        <v>0</v>
      </c>
      <c r="K547" t="n">
        <v>0</v>
      </c>
      <c r="L547" t="n">
        <v>0</v>
      </c>
      <c r="M547" t="n">
        <v>0</v>
      </c>
      <c r="N547" t="n">
        <v>0</v>
      </c>
      <c r="O547" t="n">
        <v>0</v>
      </c>
      <c r="P547" t="n">
        <v>0</v>
      </c>
      <c r="Q547" t="n">
        <v>0</v>
      </c>
      <c r="R547" s="2" t="inlineStr"/>
    </row>
    <row r="548" ht="15" customHeight="1">
      <c r="A548" t="inlineStr">
        <is>
          <t>A 52232-2018</t>
        </is>
      </c>
      <c r="B548" s="1" t="n">
        <v>43382</v>
      </c>
      <c r="C548" s="1" t="n">
        <v>45344</v>
      </c>
      <c r="D548" t="inlineStr">
        <is>
          <t>GÄVLEBORGS LÄN</t>
        </is>
      </c>
      <c r="E548" t="inlineStr">
        <is>
          <t>OVANÅKER</t>
        </is>
      </c>
      <c r="G548" t="n">
        <v>5.4</v>
      </c>
      <c r="H548" t="n">
        <v>0</v>
      </c>
      <c r="I548" t="n">
        <v>0</v>
      </c>
      <c r="J548" t="n">
        <v>0</v>
      </c>
      <c r="K548" t="n">
        <v>0</v>
      </c>
      <c r="L548" t="n">
        <v>0</v>
      </c>
      <c r="M548" t="n">
        <v>0</v>
      </c>
      <c r="N548" t="n">
        <v>0</v>
      </c>
      <c r="O548" t="n">
        <v>0</v>
      </c>
      <c r="P548" t="n">
        <v>0</v>
      </c>
      <c r="Q548" t="n">
        <v>0</v>
      </c>
      <c r="R548" s="2" t="inlineStr"/>
    </row>
    <row r="549" ht="15" customHeight="1">
      <c r="A549" t="inlineStr">
        <is>
          <t>A 59762-2018</t>
        </is>
      </c>
      <c r="B549" s="1" t="n">
        <v>43382</v>
      </c>
      <c r="C549" s="1" t="n">
        <v>45344</v>
      </c>
      <c r="D549" t="inlineStr">
        <is>
          <t>GÄVLEBORGS LÄN</t>
        </is>
      </c>
      <c r="E549" t="inlineStr">
        <is>
          <t>GÄVLE</t>
        </is>
      </c>
      <c r="F549" t="inlineStr">
        <is>
          <t>Bergvik skog öst AB</t>
        </is>
      </c>
      <c r="G549" t="n">
        <v>3.1</v>
      </c>
      <c r="H549" t="n">
        <v>0</v>
      </c>
      <c r="I549" t="n">
        <v>0</v>
      </c>
      <c r="J549" t="n">
        <v>0</v>
      </c>
      <c r="K549" t="n">
        <v>0</v>
      </c>
      <c r="L549" t="n">
        <v>0</v>
      </c>
      <c r="M549" t="n">
        <v>0</v>
      </c>
      <c r="N549" t="n">
        <v>0</v>
      </c>
      <c r="O549" t="n">
        <v>0</v>
      </c>
      <c r="P549" t="n">
        <v>0</v>
      </c>
      <c r="Q549" t="n">
        <v>0</v>
      </c>
      <c r="R549" s="2" t="inlineStr"/>
    </row>
    <row r="550" ht="15" customHeight="1">
      <c r="A550" t="inlineStr">
        <is>
          <t>A 51014-2018</t>
        </is>
      </c>
      <c r="B550" s="1" t="n">
        <v>43382</v>
      </c>
      <c r="C550" s="1" t="n">
        <v>45344</v>
      </c>
      <c r="D550" t="inlineStr">
        <is>
          <t>GÄVLEBORGS LÄN</t>
        </is>
      </c>
      <c r="E550" t="inlineStr">
        <is>
          <t>LJUSDAL</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50992-2018</t>
        </is>
      </c>
      <c r="B551" s="1" t="n">
        <v>43382</v>
      </c>
      <c r="C551" s="1" t="n">
        <v>45344</v>
      </c>
      <c r="D551" t="inlineStr">
        <is>
          <t>GÄVLEBORGS LÄN</t>
        </is>
      </c>
      <c r="E551" t="inlineStr">
        <is>
          <t>BOLLNÄS</t>
        </is>
      </c>
      <c r="G551" t="n">
        <v>2.8</v>
      </c>
      <c r="H551" t="n">
        <v>0</v>
      </c>
      <c r="I551" t="n">
        <v>0</v>
      </c>
      <c r="J551" t="n">
        <v>0</v>
      </c>
      <c r="K551" t="n">
        <v>0</v>
      </c>
      <c r="L551" t="n">
        <v>0</v>
      </c>
      <c r="M551" t="n">
        <v>0</v>
      </c>
      <c r="N551" t="n">
        <v>0</v>
      </c>
      <c r="O551" t="n">
        <v>0</v>
      </c>
      <c r="P551" t="n">
        <v>0</v>
      </c>
      <c r="Q551" t="n">
        <v>0</v>
      </c>
      <c r="R551" s="2" t="inlineStr"/>
    </row>
    <row r="552" ht="15" customHeight="1">
      <c r="A552" t="inlineStr">
        <is>
          <t>A 51016-2018</t>
        </is>
      </c>
      <c r="B552" s="1" t="n">
        <v>43382</v>
      </c>
      <c r="C552" s="1" t="n">
        <v>45344</v>
      </c>
      <c r="D552" t="inlineStr">
        <is>
          <t>GÄVLEBORGS LÄN</t>
        </is>
      </c>
      <c r="E552" t="inlineStr">
        <is>
          <t>LJUSDAL</t>
        </is>
      </c>
      <c r="F552" t="inlineStr">
        <is>
          <t>Sveaskog</t>
        </is>
      </c>
      <c r="G552" t="n">
        <v>1.4</v>
      </c>
      <c r="H552" t="n">
        <v>0</v>
      </c>
      <c r="I552" t="n">
        <v>0</v>
      </c>
      <c r="J552" t="n">
        <v>0</v>
      </c>
      <c r="K552" t="n">
        <v>0</v>
      </c>
      <c r="L552" t="n">
        <v>0</v>
      </c>
      <c r="M552" t="n">
        <v>0</v>
      </c>
      <c r="N552" t="n">
        <v>0</v>
      </c>
      <c r="O552" t="n">
        <v>0</v>
      </c>
      <c r="P552" t="n">
        <v>0</v>
      </c>
      <c r="Q552" t="n">
        <v>0</v>
      </c>
      <c r="R552" s="2" t="inlineStr"/>
    </row>
    <row r="553" ht="15" customHeight="1">
      <c r="A553" t="inlineStr">
        <is>
          <t>A 51423-2018</t>
        </is>
      </c>
      <c r="B553" s="1" t="n">
        <v>43383</v>
      </c>
      <c r="C553" s="1" t="n">
        <v>45344</v>
      </c>
      <c r="D553" t="inlineStr">
        <is>
          <t>GÄVLEBORGS LÄN</t>
        </is>
      </c>
      <c r="E553" t="inlineStr">
        <is>
          <t>HUDIKSVALL</t>
        </is>
      </c>
      <c r="G553" t="n">
        <v>13.1</v>
      </c>
      <c r="H553" t="n">
        <v>0</v>
      </c>
      <c r="I553" t="n">
        <v>0</v>
      </c>
      <c r="J553" t="n">
        <v>0</v>
      </c>
      <c r="K553" t="n">
        <v>0</v>
      </c>
      <c r="L553" t="n">
        <v>0</v>
      </c>
      <c r="M553" t="n">
        <v>0</v>
      </c>
      <c r="N553" t="n">
        <v>0</v>
      </c>
      <c r="O553" t="n">
        <v>0</v>
      </c>
      <c r="P553" t="n">
        <v>0</v>
      </c>
      <c r="Q553" t="n">
        <v>0</v>
      </c>
      <c r="R553" s="2" t="inlineStr"/>
    </row>
    <row r="554" ht="15" customHeight="1">
      <c r="A554" t="inlineStr">
        <is>
          <t>A 52628-2018</t>
        </is>
      </c>
      <c r="B554" s="1" t="n">
        <v>43383</v>
      </c>
      <c r="C554" s="1" t="n">
        <v>45344</v>
      </c>
      <c r="D554" t="inlineStr">
        <is>
          <t>GÄVLEBORGS LÄN</t>
        </is>
      </c>
      <c r="E554" t="inlineStr">
        <is>
          <t>OCKELBO</t>
        </is>
      </c>
      <c r="G554" t="n">
        <v>1.5</v>
      </c>
      <c r="H554" t="n">
        <v>0</v>
      </c>
      <c r="I554" t="n">
        <v>0</v>
      </c>
      <c r="J554" t="n">
        <v>0</v>
      </c>
      <c r="K554" t="n">
        <v>0</v>
      </c>
      <c r="L554" t="n">
        <v>0</v>
      </c>
      <c r="M554" t="n">
        <v>0</v>
      </c>
      <c r="N554" t="n">
        <v>0</v>
      </c>
      <c r="O554" t="n">
        <v>0</v>
      </c>
      <c r="P554" t="n">
        <v>0</v>
      </c>
      <c r="Q554" t="n">
        <v>0</v>
      </c>
      <c r="R554" s="2" t="inlineStr"/>
    </row>
    <row r="555" ht="15" customHeight="1">
      <c r="A555" t="inlineStr">
        <is>
          <t>A 62146-2018</t>
        </is>
      </c>
      <c r="B555" s="1" t="n">
        <v>43385</v>
      </c>
      <c r="C555" s="1" t="n">
        <v>45344</v>
      </c>
      <c r="D555" t="inlineStr">
        <is>
          <t>GÄVLEBORGS LÄN</t>
        </is>
      </c>
      <c r="E555" t="inlineStr">
        <is>
          <t>LJUSDAL</t>
        </is>
      </c>
      <c r="F555" t="inlineStr">
        <is>
          <t>Bergvik skog väst AB</t>
        </is>
      </c>
      <c r="G555" t="n">
        <v>13.6</v>
      </c>
      <c r="H555" t="n">
        <v>0</v>
      </c>
      <c r="I555" t="n">
        <v>0</v>
      </c>
      <c r="J555" t="n">
        <v>0</v>
      </c>
      <c r="K555" t="n">
        <v>0</v>
      </c>
      <c r="L555" t="n">
        <v>0</v>
      </c>
      <c r="M555" t="n">
        <v>0</v>
      </c>
      <c r="N555" t="n">
        <v>0</v>
      </c>
      <c r="O555" t="n">
        <v>0</v>
      </c>
      <c r="P555" t="n">
        <v>0</v>
      </c>
      <c r="Q555" t="n">
        <v>0</v>
      </c>
      <c r="R555" s="2" t="inlineStr"/>
    </row>
    <row r="556" ht="15" customHeight="1">
      <c r="A556" t="inlineStr">
        <is>
          <t>A 52001-2018</t>
        </is>
      </c>
      <c r="B556" s="1" t="n">
        <v>43385</v>
      </c>
      <c r="C556" s="1" t="n">
        <v>45344</v>
      </c>
      <c r="D556" t="inlineStr">
        <is>
          <t>GÄVLEBORGS LÄN</t>
        </is>
      </c>
      <c r="E556" t="inlineStr">
        <is>
          <t>HUDIKSVALL</t>
        </is>
      </c>
      <c r="G556" t="n">
        <v>1</v>
      </c>
      <c r="H556" t="n">
        <v>0</v>
      </c>
      <c r="I556" t="n">
        <v>0</v>
      </c>
      <c r="J556" t="n">
        <v>0</v>
      </c>
      <c r="K556" t="n">
        <v>0</v>
      </c>
      <c r="L556" t="n">
        <v>0</v>
      </c>
      <c r="M556" t="n">
        <v>0</v>
      </c>
      <c r="N556" t="n">
        <v>0</v>
      </c>
      <c r="O556" t="n">
        <v>0</v>
      </c>
      <c r="P556" t="n">
        <v>0</v>
      </c>
      <c r="Q556" t="n">
        <v>0</v>
      </c>
      <c r="R556" s="2" t="inlineStr"/>
    </row>
    <row r="557" ht="15" customHeight="1">
      <c r="A557" t="inlineStr">
        <is>
          <t>A 62143-2018</t>
        </is>
      </c>
      <c r="B557" s="1" t="n">
        <v>43385</v>
      </c>
      <c r="C557" s="1" t="n">
        <v>45344</v>
      </c>
      <c r="D557" t="inlineStr">
        <is>
          <t>GÄVLEBORGS LÄN</t>
        </is>
      </c>
      <c r="E557" t="inlineStr">
        <is>
          <t>OCKELBO</t>
        </is>
      </c>
      <c r="F557" t="inlineStr">
        <is>
          <t>Bergvik skog väst AB</t>
        </is>
      </c>
      <c r="G557" t="n">
        <v>19.6</v>
      </c>
      <c r="H557" t="n">
        <v>0</v>
      </c>
      <c r="I557" t="n">
        <v>0</v>
      </c>
      <c r="J557" t="n">
        <v>0</v>
      </c>
      <c r="K557" t="n">
        <v>0</v>
      </c>
      <c r="L557" t="n">
        <v>0</v>
      </c>
      <c r="M557" t="n">
        <v>0</v>
      </c>
      <c r="N557" t="n">
        <v>0</v>
      </c>
      <c r="O557" t="n">
        <v>0</v>
      </c>
      <c r="P557" t="n">
        <v>0</v>
      </c>
      <c r="Q557" t="n">
        <v>0</v>
      </c>
      <c r="R557" s="2" t="inlineStr"/>
    </row>
    <row r="558" ht="15" customHeight="1">
      <c r="A558" t="inlineStr">
        <is>
          <t>A 52041-2018</t>
        </is>
      </c>
      <c r="B558" s="1" t="n">
        <v>43385</v>
      </c>
      <c r="C558" s="1" t="n">
        <v>45344</v>
      </c>
      <c r="D558" t="inlineStr">
        <is>
          <t>GÄVLEBORGS LÄN</t>
        </is>
      </c>
      <c r="E558" t="inlineStr">
        <is>
          <t>LJUSDAL</t>
        </is>
      </c>
      <c r="F558" t="inlineStr">
        <is>
          <t>Holmen skog AB</t>
        </is>
      </c>
      <c r="G558" t="n">
        <v>5.8</v>
      </c>
      <c r="H558" t="n">
        <v>0</v>
      </c>
      <c r="I558" t="n">
        <v>0</v>
      </c>
      <c r="J558" t="n">
        <v>0</v>
      </c>
      <c r="K558" t="n">
        <v>0</v>
      </c>
      <c r="L558" t="n">
        <v>0</v>
      </c>
      <c r="M558" t="n">
        <v>0</v>
      </c>
      <c r="N558" t="n">
        <v>0</v>
      </c>
      <c r="O558" t="n">
        <v>0</v>
      </c>
      <c r="P558" t="n">
        <v>0</v>
      </c>
      <c r="Q558" t="n">
        <v>0</v>
      </c>
      <c r="R558" s="2" t="inlineStr"/>
    </row>
    <row r="559" ht="15" customHeight="1">
      <c r="A559" t="inlineStr">
        <is>
          <t>A 51976-2018</t>
        </is>
      </c>
      <c r="B559" s="1" t="n">
        <v>43385</v>
      </c>
      <c r="C559" s="1" t="n">
        <v>45344</v>
      </c>
      <c r="D559" t="inlineStr">
        <is>
          <t>GÄVLEBORGS LÄN</t>
        </is>
      </c>
      <c r="E559" t="inlineStr">
        <is>
          <t>NORDANSTIG</t>
        </is>
      </c>
      <c r="G559" t="n">
        <v>9.199999999999999</v>
      </c>
      <c r="H559" t="n">
        <v>0</v>
      </c>
      <c r="I559" t="n">
        <v>0</v>
      </c>
      <c r="J559" t="n">
        <v>0</v>
      </c>
      <c r="K559" t="n">
        <v>0</v>
      </c>
      <c r="L559" t="n">
        <v>0</v>
      </c>
      <c r="M559" t="n">
        <v>0</v>
      </c>
      <c r="N559" t="n">
        <v>0</v>
      </c>
      <c r="O559" t="n">
        <v>0</v>
      </c>
      <c r="P559" t="n">
        <v>0</v>
      </c>
      <c r="Q559" t="n">
        <v>0</v>
      </c>
      <c r="R559" s="2" t="inlineStr"/>
    </row>
    <row r="560" ht="15" customHeight="1">
      <c r="A560" t="inlineStr">
        <is>
          <t>A 51929-2018</t>
        </is>
      </c>
      <c r="B560" s="1" t="n">
        <v>43385</v>
      </c>
      <c r="C560" s="1" t="n">
        <v>45344</v>
      </c>
      <c r="D560" t="inlineStr">
        <is>
          <t>GÄVLEBORGS LÄN</t>
        </is>
      </c>
      <c r="E560" t="inlineStr">
        <is>
          <t>NORDANSTIG</t>
        </is>
      </c>
      <c r="G560" t="n">
        <v>0.7</v>
      </c>
      <c r="H560" t="n">
        <v>0</v>
      </c>
      <c r="I560" t="n">
        <v>0</v>
      </c>
      <c r="J560" t="n">
        <v>0</v>
      </c>
      <c r="K560" t="n">
        <v>0</v>
      </c>
      <c r="L560" t="n">
        <v>0</v>
      </c>
      <c r="M560" t="n">
        <v>0</v>
      </c>
      <c r="N560" t="n">
        <v>0</v>
      </c>
      <c r="O560" t="n">
        <v>0</v>
      </c>
      <c r="P560" t="n">
        <v>0</v>
      </c>
      <c r="Q560" t="n">
        <v>0</v>
      </c>
      <c r="R560" s="2" t="inlineStr"/>
    </row>
    <row r="561" ht="15" customHeight="1">
      <c r="A561" t="inlineStr">
        <is>
          <t>A 72677-2018</t>
        </is>
      </c>
      <c r="B561" s="1" t="n">
        <v>43389</v>
      </c>
      <c r="C561" s="1" t="n">
        <v>45344</v>
      </c>
      <c r="D561" t="inlineStr">
        <is>
          <t>GÄVLEBORGS LÄN</t>
        </is>
      </c>
      <c r="E561" t="inlineStr">
        <is>
          <t>BOLLNÄS</t>
        </is>
      </c>
      <c r="G561" t="n">
        <v>4.2</v>
      </c>
      <c r="H561" t="n">
        <v>0</v>
      </c>
      <c r="I561" t="n">
        <v>0</v>
      </c>
      <c r="J561" t="n">
        <v>0</v>
      </c>
      <c r="K561" t="n">
        <v>0</v>
      </c>
      <c r="L561" t="n">
        <v>0</v>
      </c>
      <c r="M561" t="n">
        <v>0</v>
      </c>
      <c r="N561" t="n">
        <v>0</v>
      </c>
      <c r="O561" t="n">
        <v>0</v>
      </c>
      <c r="P561" t="n">
        <v>0</v>
      </c>
      <c r="Q561" t="n">
        <v>0</v>
      </c>
      <c r="R561" s="2" t="inlineStr"/>
    </row>
    <row r="562" ht="15" customHeight="1">
      <c r="A562" t="inlineStr">
        <is>
          <t>A 63970-2018</t>
        </is>
      </c>
      <c r="B562" s="1" t="n">
        <v>43389</v>
      </c>
      <c r="C562" s="1" t="n">
        <v>45344</v>
      </c>
      <c r="D562" t="inlineStr">
        <is>
          <t>GÄVLEBORGS LÄN</t>
        </is>
      </c>
      <c r="E562" t="inlineStr">
        <is>
          <t>LJUSDAL</t>
        </is>
      </c>
      <c r="F562" t="inlineStr">
        <is>
          <t>Bergvik skog väst AB</t>
        </is>
      </c>
      <c r="G562" t="n">
        <v>13.6</v>
      </c>
      <c r="H562" t="n">
        <v>0</v>
      </c>
      <c r="I562" t="n">
        <v>0</v>
      </c>
      <c r="J562" t="n">
        <v>0</v>
      </c>
      <c r="K562" t="n">
        <v>0</v>
      </c>
      <c r="L562" t="n">
        <v>0</v>
      </c>
      <c r="M562" t="n">
        <v>0</v>
      </c>
      <c r="N562" t="n">
        <v>0</v>
      </c>
      <c r="O562" t="n">
        <v>0</v>
      </c>
      <c r="P562" t="n">
        <v>0</v>
      </c>
      <c r="Q562" t="n">
        <v>0</v>
      </c>
      <c r="R562" s="2" t="inlineStr"/>
    </row>
    <row r="563" ht="15" customHeight="1">
      <c r="A563" t="inlineStr">
        <is>
          <t>A 53763-2018</t>
        </is>
      </c>
      <c r="B563" s="1" t="n">
        <v>43391</v>
      </c>
      <c r="C563" s="1" t="n">
        <v>45344</v>
      </c>
      <c r="D563" t="inlineStr">
        <is>
          <t>GÄVLEBORGS LÄN</t>
        </is>
      </c>
      <c r="E563" t="inlineStr">
        <is>
          <t>LJUSDAL</t>
        </is>
      </c>
      <c r="G563" t="n">
        <v>4.5</v>
      </c>
      <c r="H563" t="n">
        <v>0</v>
      </c>
      <c r="I563" t="n">
        <v>0</v>
      </c>
      <c r="J563" t="n">
        <v>0</v>
      </c>
      <c r="K563" t="n">
        <v>0</v>
      </c>
      <c r="L563" t="n">
        <v>0</v>
      </c>
      <c r="M563" t="n">
        <v>0</v>
      </c>
      <c r="N563" t="n">
        <v>0</v>
      </c>
      <c r="O563" t="n">
        <v>0</v>
      </c>
      <c r="P563" t="n">
        <v>0</v>
      </c>
      <c r="Q563" t="n">
        <v>0</v>
      </c>
      <c r="R563" s="2" t="inlineStr"/>
    </row>
    <row r="564" ht="15" customHeight="1">
      <c r="A564" t="inlineStr">
        <is>
          <t>A 53768-2018</t>
        </is>
      </c>
      <c r="B564" s="1" t="n">
        <v>43391</v>
      </c>
      <c r="C564" s="1" t="n">
        <v>45344</v>
      </c>
      <c r="D564" t="inlineStr">
        <is>
          <t>GÄVLEBORGS LÄN</t>
        </is>
      </c>
      <c r="E564" t="inlineStr">
        <is>
          <t>LJUSDAL</t>
        </is>
      </c>
      <c r="G564" t="n">
        <v>15.8</v>
      </c>
      <c r="H564" t="n">
        <v>0</v>
      </c>
      <c r="I564" t="n">
        <v>0</v>
      </c>
      <c r="J564" t="n">
        <v>0</v>
      </c>
      <c r="K564" t="n">
        <v>0</v>
      </c>
      <c r="L564" t="n">
        <v>0</v>
      </c>
      <c r="M564" t="n">
        <v>0</v>
      </c>
      <c r="N564" t="n">
        <v>0</v>
      </c>
      <c r="O564" t="n">
        <v>0</v>
      </c>
      <c r="P564" t="n">
        <v>0</v>
      </c>
      <c r="Q564" t="n">
        <v>0</v>
      </c>
      <c r="R564" s="2" t="inlineStr"/>
    </row>
    <row r="565" ht="15" customHeight="1">
      <c r="A565" t="inlineStr">
        <is>
          <t>A 53856-2018</t>
        </is>
      </c>
      <c r="B565" s="1" t="n">
        <v>43391</v>
      </c>
      <c r="C565" s="1" t="n">
        <v>45344</v>
      </c>
      <c r="D565" t="inlineStr">
        <is>
          <t>GÄVLEBORGS LÄN</t>
        </is>
      </c>
      <c r="E565" t="inlineStr">
        <is>
          <t>OCKELBO</t>
        </is>
      </c>
      <c r="G565" t="n">
        <v>5.7</v>
      </c>
      <c r="H565" t="n">
        <v>0</v>
      </c>
      <c r="I565" t="n">
        <v>0</v>
      </c>
      <c r="J565" t="n">
        <v>0</v>
      </c>
      <c r="K565" t="n">
        <v>0</v>
      </c>
      <c r="L565" t="n">
        <v>0</v>
      </c>
      <c r="M565" t="n">
        <v>0</v>
      </c>
      <c r="N565" t="n">
        <v>0</v>
      </c>
      <c r="O565" t="n">
        <v>0</v>
      </c>
      <c r="P565" t="n">
        <v>0</v>
      </c>
      <c r="Q565" t="n">
        <v>0</v>
      </c>
      <c r="R565" s="2" t="inlineStr"/>
    </row>
    <row r="566" ht="15" customHeight="1">
      <c r="A566" t="inlineStr">
        <is>
          <t>A 54085-2018</t>
        </is>
      </c>
      <c r="B566" s="1" t="n">
        <v>43392</v>
      </c>
      <c r="C566" s="1" t="n">
        <v>45344</v>
      </c>
      <c r="D566" t="inlineStr">
        <is>
          <t>GÄVLEBORGS LÄN</t>
        </is>
      </c>
      <c r="E566" t="inlineStr">
        <is>
          <t>BOLLNÄS</t>
        </is>
      </c>
      <c r="G566" t="n">
        <v>4.5</v>
      </c>
      <c r="H566" t="n">
        <v>0</v>
      </c>
      <c r="I566" t="n">
        <v>0</v>
      </c>
      <c r="J566" t="n">
        <v>0</v>
      </c>
      <c r="K566" t="n">
        <v>0</v>
      </c>
      <c r="L566" t="n">
        <v>0</v>
      </c>
      <c r="M566" t="n">
        <v>0</v>
      </c>
      <c r="N566" t="n">
        <v>0</v>
      </c>
      <c r="O566" t="n">
        <v>0</v>
      </c>
      <c r="P566" t="n">
        <v>0</v>
      </c>
      <c r="Q566" t="n">
        <v>0</v>
      </c>
      <c r="R566" s="2" t="inlineStr"/>
    </row>
    <row r="567" ht="15" customHeight="1">
      <c r="A567" t="inlineStr">
        <is>
          <t>A 54222-2018</t>
        </is>
      </c>
      <c r="B567" s="1" t="n">
        <v>43392</v>
      </c>
      <c r="C567" s="1" t="n">
        <v>45344</v>
      </c>
      <c r="D567" t="inlineStr">
        <is>
          <t>GÄVLEBORGS LÄN</t>
        </is>
      </c>
      <c r="E567" t="inlineStr">
        <is>
          <t>HUDIKSVALL</t>
        </is>
      </c>
      <c r="G567" t="n">
        <v>9.699999999999999</v>
      </c>
      <c r="H567" t="n">
        <v>0</v>
      </c>
      <c r="I567" t="n">
        <v>0</v>
      </c>
      <c r="J567" t="n">
        <v>0</v>
      </c>
      <c r="K567" t="n">
        <v>0</v>
      </c>
      <c r="L567" t="n">
        <v>0</v>
      </c>
      <c r="M567" t="n">
        <v>0</v>
      </c>
      <c r="N567" t="n">
        <v>0</v>
      </c>
      <c r="O567" t="n">
        <v>0</v>
      </c>
      <c r="P567" t="n">
        <v>0</v>
      </c>
      <c r="Q567" t="n">
        <v>0</v>
      </c>
      <c r="R567" s="2" t="inlineStr"/>
    </row>
    <row r="568" ht="15" customHeight="1">
      <c r="A568" t="inlineStr">
        <is>
          <t>A 55426-2018</t>
        </is>
      </c>
      <c r="B568" s="1" t="n">
        <v>43392</v>
      </c>
      <c r="C568" s="1" t="n">
        <v>45344</v>
      </c>
      <c r="D568" t="inlineStr">
        <is>
          <t>GÄVLEBORGS LÄN</t>
        </is>
      </c>
      <c r="E568" t="inlineStr">
        <is>
          <t>OVANÅKER</t>
        </is>
      </c>
      <c r="G568" t="n">
        <v>1.3</v>
      </c>
      <c r="H568" t="n">
        <v>0</v>
      </c>
      <c r="I568" t="n">
        <v>0</v>
      </c>
      <c r="J568" t="n">
        <v>0</v>
      </c>
      <c r="K568" t="n">
        <v>0</v>
      </c>
      <c r="L568" t="n">
        <v>0</v>
      </c>
      <c r="M568" t="n">
        <v>0</v>
      </c>
      <c r="N568" t="n">
        <v>0</v>
      </c>
      <c r="O568" t="n">
        <v>0</v>
      </c>
      <c r="P568" t="n">
        <v>0</v>
      </c>
      <c r="Q568" t="n">
        <v>0</v>
      </c>
      <c r="R568" s="2" t="inlineStr"/>
    </row>
    <row r="569" ht="15" customHeight="1">
      <c r="A569" t="inlineStr">
        <is>
          <t>A 56021-2018</t>
        </is>
      </c>
      <c r="B569" s="1" t="n">
        <v>43392</v>
      </c>
      <c r="C569" s="1" t="n">
        <v>45344</v>
      </c>
      <c r="D569" t="inlineStr">
        <is>
          <t>GÄVLEBORGS LÄN</t>
        </is>
      </c>
      <c r="E569" t="inlineStr">
        <is>
          <t>OVANÅKER</t>
        </is>
      </c>
      <c r="G569" t="n">
        <v>0.9</v>
      </c>
      <c r="H569" t="n">
        <v>0</v>
      </c>
      <c r="I569" t="n">
        <v>0</v>
      </c>
      <c r="J569" t="n">
        <v>0</v>
      </c>
      <c r="K569" t="n">
        <v>0</v>
      </c>
      <c r="L569" t="n">
        <v>0</v>
      </c>
      <c r="M569" t="n">
        <v>0</v>
      </c>
      <c r="N569" t="n">
        <v>0</v>
      </c>
      <c r="O569" t="n">
        <v>0</v>
      </c>
      <c r="P569" t="n">
        <v>0</v>
      </c>
      <c r="Q569" t="n">
        <v>0</v>
      </c>
      <c r="R569" s="2" t="inlineStr"/>
    </row>
    <row r="570" ht="15" customHeight="1">
      <c r="A570" t="inlineStr">
        <is>
          <t>A 54680-2018</t>
        </is>
      </c>
      <c r="B570" s="1" t="n">
        <v>43395</v>
      </c>
      <c r="C570" s="1" t="n">
        <v>45344</v>
      </c>
      <c r="D570" t="inlineStr">
        <is>
          <t>GÄVLEBORGS LÄN</t>
        </is>
      </c>
      <c r="E570" t="inlineStr">
        <is>
          <t>LJUSDAL</t>
        </is>
      </c>
      <c r="G570" t="n">
        <v>221.6</v>
      </c>
      <c r="H570" t="n">
        <v>0</v>
      </c>
      <c r="I570" t="n">
        <v>0</v>
      </c>
      <c r="J570" t="n">
        <v>0</v>
      </c>
      <c r="K570" t="n">
        <v>0</v>
      </c>
      <c r="L570" t="n">
        <v>0</v>
      </c>
      <c r="M570" t="n">
        <v>0</v>
      </c>
      <c r="N570" t="n">
        <v>0</v>
      </c>
      <c r="O570" t="n">
        <v>0</v>
      </c>
      <c r="P570" t="n">
        <v>0</v>
      </c>
      <c r="Q570" t="n">
        <v>0</v>
      </c>
      <c r="R570" s="2" t="inlineStr"/>
    </row>
    <row r="571" ht="15" customHeight="1">
      <c r="A571" t="inlineStr">
        <is>
          <t>A 54903-2018</t>
        </is>
      </c>
      <c r="B571" s="1" t="n">
        <v>43396</v>
      </c>
      <c r="C571" s="1" t="n">
        <v>45344</v>
      </c>
      <c r="D571" t="inlineStr">
        <is>
          <t>GÄVLEBORGS LÄN</t>
        </is>
      </c>
      <c r="E571" t="inlineStr">
        <is>
          <t>SANDVIKEN</t>
        </is>
      </c>
      <c r="G571" t="n">
        <v>3.7</v>
      </c>
      <c r="H571" t="n">
        <v>0</v>
      </c>
      <c r="I571" t="n">
        <v>0</v>
      </c>
      <c r="J571" t="n">
        <v>0</v>
      </c>
      <c r="K571" t="n">
        <v>0</v>
      </c>
      <c r="L571" t="n">
        <v>0</v>
      </c>
      <c r="M571" t="n">
        <v>0</v>
      </c>
      <c r="N571" t="n">
        <v>0</v>
      </c>
      <c r="O571" t="n">
        <v>0</v>
      </c>
      <c r="P571" t="n">
        <v>0</v>
      </c>
      <c r="Q571" t="n">
        <v>0</v>
      </c>
      <c r="R571" s="2" t="inlineStr"/>
    </row>
    <row r="572" ht="15" customHeight="1">
      <c r="A572" t="inlineStr">
        <is>
          <t>A 55505-2018</t>
        </is>
      </c>
      <c r="B572" s="1" t="n">
        <v>43397</v>
      </c>
      <c r="C572" s="1" t="n">
        <v>45344</v>
      </c>
      <c r="D572" t="inlineStr">
        <is>
          <t>GÄVLEBORGS LÄN</t>
        </is>
      </c>
      <c r="E572" t="inlineStr">
        <is>
          <t>NORDANSTIG</t>
        </is>
      </c>
      <c r="G572" t="n">
        <v>4.2</v>
      </c>
      <c r="H572" t="n">
        <v>0</v>
      </c>
      <c r="I572" t="n">
        <v>0</v>
      </c>
      <c r="J572" t="n">
        <v>0</v>
      </c>
      <c r="K572" t="n">
        <v>0</v>
      </c>
      <c r="L572" t="n">
        <v>0</v>
      </c>
      <c r="M572" t="n">
        <v>0</v>
      </c>
      <c r="N572" t="n">
        <v>0</v>
      </c>
      <c r="O572" t="n">
        <v>0</v>
      </c>
      <c r="P572" t="n">
        <v>0</v>
      </c>
      <c r="Q572" t="n">
        <v>0</v>
      </c>
      <c r="R572" s="2" t="inlineStr"/>
    </row>
    <row r="573" ht="15" customHeight="1">
      <c r="A573" t="inlineStr">
        <is>
          <t>A 56606-2018</t>
        </is>
      </c>
      <c r="B573" s="1" t="n">
        <v>43402</v>
      </c>
      <c r="C573" s="1" t="n">
        <v>45344</v>
      </c>
      <c r="D573" t="inlineStr">
        <is>
          <t>GÄVLEBORGS LÄN</t>
        </is>
      </c>
      <c r="E573" t="inlineStr">
        <is>
          <t>OVANÅKER</t>
        </is>
      </c>
      <c r="G573" t="n">
        <v>3.1</v>
      </c>
      <c r="H573" t="n">
        <v>0</v>
      </c>
      <c r="I573" t="n">
        <v>0</v>
      </c>
      <c r="J573" t="n">
        <v>0</v>
      </c>
      <c r="K573" t="n">
        <v>0</v>
      </c>
      <c r="L573" t="n">
        <v>0</v>
      </c>
      <c r="M573" t="n">
        <v>0</v>
      </c>
      <c r="N573" t="n">
        <v>0</v>
      </c>
      <c r="O573" t="n">
        <v>0</v>
      </c>
      <c r="P573" t="n">
        <v>0</v>
      </c>
      <c r="Q573" t="n">
        <v>0</v>
      </c>
      <c r="R573" s="2" t="inlineStr"/>
    </row>
    <row r="574" ht="15" customHeight="1">
      <c r="A574" t="inlineStr">
        <is>
          <t>A 63972-2018</t>
        </is>
      </c>
      <c r="B574" s="1" t="n">
        <v>43402</v>
      </c>
      <c r="C574" s="1" t="n">
        <v>45344</v>
      </c>
      <c r="D574" t="inlineStr">
        <is>
          <t>GÄVLEBORGS LÄN</t>
        </is>
      </c>
      <c r="E574" t="inlineStr">
        <is>
          <t>HUDIKSVALL</t>
        </is>
      </c>
      <c r="G574" t="n">
        <v>0.8</v>
      </c>
      <c r="H574" t="n">
        <v>0</v>
      </c>
      <c r="I574" t="n">
        <v>0</v>
      </c>
      <c r="J574" t="n">
        <v>0</v>
      </c>
      <c r="K574" t="n">
        <v>0</v>
      </c>
      <c r="L574" t="n">
        <v>0</v>
      </c>
      <c r="M574" t="n">
        <v>0</v>
      </c>
      <c r="N574" t="n">
        <v>0</v>
      </c>
      <c r="O574" t="n">
        <v>0</v>
      </c>
      <c r="P574" t="n">
        <v>0</v>
      </c>
      <c r="Q574" t="n">
        <v>0</v>
      </c>
      <c r="R574" s="2" t="inlineStr"/>
    </row>
    <row r="575" ht="15" customHeight="1">
      <c r="A575" t="inlineStr">
        <is>
          <t>A 57064-2018</t>
        </is>
      </c>
      <c r="B575" s="1" t="n">
        <v>43403</v>
      </c>
      <c r="C575" s="1" t="n">
        <v>45344</v>
      </c>
      <c r="D575" t="inlineStr">
        <is>
          <t>GÄVLEBORGS LÄN</t>
        </is>
      </c>
      <c r="E575" t="inlineStr">
        <is>
          <t>LJUSDAL</t>
        </is>
      </c>
      <c r="F575" t="inlineStr">
        <is>
          <t>Allmännings- och besparingsskogar</t>
        </is>
      </c>
      <c r="G575" t="n">
        <v>42.9</v>
      </c>
      <c r="H575" t="n">
        <v>0</v>
      </c>
      <c r="I575" t="n">
        <v>0</v>
      </c>
      <c r="J575" t="n">
        <v>0</v>
      </c>
      <c r="K575" t="n">
        <v>0</v>
      </c>
      <c r="L575" t="n">
        <v>0</v>
      </c>
      <c r="M575" t="n">
        <v>0</v>
      </c>
      <c r="N575" t="n">
        <v>0</v>
      </c>
      <c r="O575" t="n">
        <v>0</v>
      </c>
      <c r="P575" t="n">
        <v>0</v>
      </c>
      <c r="Q575" t="n">
        <v>0</v>
      </c>
      <c r="R575" s="2" t="inlineStr"/>
    </row>
    <row r="576" ht="15" customHeight="1">
      <c r="A576" t="inlineStr">
        <is>
          <t>A 57074-2018</t>
        </is>
      </c>
      <c r="B576" s="1" t="n">
        <v>43403</v>
      </c>
      <c r="C576" s="1" t="n">
        <v>45344</v>
      </c>
      <c r="D576" t="inlineStr">
        <is>
          <t>GÄVLEBORGS LÄN</t>
        </is>
      </c>
      <c r="E576" t="inlineStr">
        <is>
          <t>OVANÅKER</t>
        </is>
      </c>
      <c r="G576" t="n">
        <v>2.5</v>
      </c>
      <c r="H576" t="n">
        <v>0</v>
      </c>
      <c r="I576" t="n">
        <v>0</v>
      </c>
      <c r="J576" t="n">
        <v>0</v>
      </c>
      <c r="K576" t="n">
        <v>0</v>
      </c>
      <c r="L576" t="n">
        <v>0</v>
      </c>
      <c r="M576" t="n">
        <v>0</v>
      </c>
      <c r="N576" t="n">
        <v>0</v>
      </c>
      <c r="O576" t="n">
        <v>0</v>
      </c>
      <c r="P576" t="n">
        <v>0</v>
      </c>
      <c r="Q576" t="n">
        <v>0</v>
      </c>
      <c r="R576" s="2" t="inlineStr"/>
    </row>
    <row r="577" ht="15" customHeight="1">
      <c r="A577" t="inlineStr">
        <is>
          <t>A 57113-2018</t>
        </is>
      </c>
      <c r="B577" s="1" t="n">
        <v>43403</v>
      </c>
      <c r="C577" s="1" t="n">
        <v>45344</v>
      </c>
      <c r="D577" t="inlineStr">
        <is>
          <t>GÄVLEBORGS LÄN</t>
        </is>
      </c>
      <c r="E577" t="inlineStr">
        <is>
          <t>GÄVLE</t>
        </is>
      </c>
      <c r="G577" t="n">
        <v>4.2</v>
      </c>
      <c r="H577" t="n">
        <v>0</v>
      </c>
      <c r="I577" t="n">
        <v>0</v>
      </c>
      <c r="J577" t="n">
        <v>0</v>
      </c>
      <c r="K577" t="n">
        <v>0</v>
      </c>
      <c r="L577" t="n">
        <v>0</v>
      </c>
      <c r="M577" t="n">
        <v>0</v>
      </c>
      <c r="N577" t="n">
        <v>0</v>
      </c>
      <c r="O577" t="n">
        <v>0</v>
      </c>
      <c r="P577" t="n">
        <v>0</v>
      </c>
      <c r="Q577" t="n">
        <v>0</v>
      </c>
      <c r="R577" s="2" t="inlineStr"/>
    </row>
    <row r="578" ht="15" customHeight="1">
      <c r="A578" t="inlineStr">
        <is>
          <t>A 58203-2018</t>
        </is>
      </c>
      <c r="B578" s="1" t="n">
        <v>43408</v>
      </c>
      <c r="C578" s="1" t="n">
        <v>45344</v>
      </c>
      <c r="D578" t="inlineStr">
        <is>
          <t>GÄVLEBORGS LÄN</t>
        </is>
      </c>
      <c r="E578" t="inlineStr">
        <is>
          <t>HUDIKSVALL</t>
        </is>
      </c>
      <c r="G578" t="n">
        <v>16.8</v>
      </c>
      <c r="H578" t="n">
        <v>0</v>
      </c>
      <c r="I578" t="n">
        <v>0</v>
      </c>
      <c r="J578" t="n">
        <v>0</v>
      </c>
      <c r="K578" t="n">
        <v>0</v>
      </c>
      <c r="L578" t="n">
        <v>0</v>
      </c>
      <c r="M578" t="n">
        <v>0</v>
      </c>
      <c r="N578" t="n">
        <v>0</v>
      </c>
      <c r="O578" t="n">
        <v>0</v>
      </c>
      <c r="P578" t="n">
        <v>0</v>
      </c>
      <c r="Q578" t="n">
        <v>0</v>
      </c>
      <c r="R578" s="2" t="inlineStr"/>
    </row>
    <row r="579" ht="15" customHeight="1">
      <c r="A579" t="inlineStr">
        <is>
          <t>A 58205-2018</t>
        </is>
      </c>
      <c r="B579" s="1" t="n">
        <v>43408</v>
      </c>
      <c r="C579" s="1" t="n">
        <v>45344</v>
      </c>
      <c r="D579" t="inlineStr">
        <is>
          <t>GÄVLEBORGS LÄN</t>
        </is>
      </c>
      <c r="E579" t="inlineStr">
        <is>
          <t>HUDIKSVALL</t>
        </is>
      </c>
      <c r="G579" t="n">
        <v>3.3</v>
      </c>
      <c r="H579" t="n">
        <v>0</v>
      </c>
      <c r="I579" t="n">
        <v>0</v>
      </c>
      <c r="J579" t="n">
        <v>0</v>
      </c>
      <c r="K579" t="n">
        <v>0</v>
      </c>
      <c r="L579" t="n">
        <v>0</v>
      </c>
      <c r="M579" t="n">
        <v>0</v>
      </c>
      <c r="N579" t="n">
        <v>0</v>
      </c>
      <c r="O579" t="n">
        <v>0</v>
      </c>
      <c r="P579" t="n">
        <v>0</v>
      </c>
      <c r="Q579" t="n">
        <v>0</v>
      </c>
      <c r="R579" s="2" t="inlineStr"/>
    </row>
    <row r="580" ht="15" customHeight="1">
      <c r="A580" t="inlineStr">
        <is>
          <t>A 58491-2018</t>
        </is>
      </c>
      <c r="B580" s="1" t="n">
        <v>43409</v>
      </c>
      <c r="C580" s="1" t="n">
        <v>45344</v>
      </c>
      <c r="D580" t="inlineStr">
        <is>
          <t>GÄVLEBORGS LÄN</t>
        </is>
      </c>
      <c r="E580" t="inlineStr">
        <is>
          <t>LJUSDAL</t>
        </is>
      </c>
      <c r="G580" t="n">
        <v>2.9</v>
      </c>
      <c r="H580" t="n">
        <v>0</v>
      </c>
      <c r="I580" t="n">
        <v>0</v>
      </c>
      <c r="J580" t="n">
        <v>0</v>
      </c>
      <c r="K580" t="n">
        <v>0</v>
      </c>
      <c r="L580" t="n">
        <v>0</v>
      </c>
      <c r="M580" t="n">
        <v>0</v>
      </c>
      <c r="N580" t="n">
        <v>0</v>
      </c>
      <c r="O580" t="n">
        <v>0</v>
      </c>
      <c r="P580" t="n">
        <v>0</v>
      </c>
      <c r="Q580" t="n">
        <v>0</v>
      </c>
      <c r="R580" s="2" t="inlineStr"/>
    </row>
    <row r="581" ht="15" customHeight="1">
      <c r="A581" t="inlineStr">
        <is>
          <t>A 58608-2018</t>
        </is>
      </c>
      <c r="B581" s="1" t="n">
        <v>43409</v>
      </c>
      <c r="C581" s="1" t="n">
        <v>45344</v>
      </c>
      <c r="D581" t="inlineStr">
        <is>
          <t>GÄVLEBORGS LÄN</t>
        </is>
      </c>
      <c r="E581" t="inlineStr">
        <is>
          <t>OVANÅKER</t>
        </is>
      </c>
      <c r="G581" t="n">
        <v>0.8</v>
      </c>
      <c r="H581" t="n">
        <v>0</v>
      </c>
      <c r="I581" t="n">
        <v>0</v>
      </c>
      <c r="J581" t="n">
        <v>0</v>
      </c>
      <c r="K581" t="n">
        <v>0</v>
      </c>
      <c r="L581" t="n">
        <v>0</v>
      </c>
      <c r="M581" t="n">
        <v>0</v>
      </c>
      <c r="N581" t="n">
        <v>0</v>
      </c>
      <c r="O581" t="n">
        <v>0</v>
      </c>
      <c r="P581" t="n">
        <v>0</v>
      </c>
      <c r="Q581" t="n">
        <v>0</v>
      </c>
      <c r="R581" s="2" t="inlineStr"/>
    </row>
    <row r="582" ht="15" customHeight="1">
      <c r="A582" t="inlineStr">
        <is>
          <t>A 58329-2018</t>
        </is>
      </c>
      <c r="B582" s="1" t="n">
        <v>43409</v>
      </c>
      <c r="C582" s="1" t="n">
        <v>45344</v>
      </c>
      <c r="D582" t="inlineStr">
        <is>
          <t>GÄVLEBORGS LÄN</t>
        </is>
      </c>
      <c r="E582" t="inlineStr">
        <is>
          <t>HUDIKSVALL</t>
        </is>
      </c>
      <c r="F582" t="inlineStr">
        <is>
          <t>Holmen skog AB</t>
        </is>
      </c>
      <c r="G582" t="n">
        <v>18.7</v>
      </c>
      <c r="H582" t="n">
        <v>0</v>
      </c>
      <c r="I582" t="n">
        <v>0</v>
      </c>
      <c r="J582" t="n">
        <v>0</v>
      </c>
      <c r="K582" t="n">
        <v>0</v>
      </c>
      <c r="L582" t="n">
        <v>0</v>
      </c>
      <c r="M582" t="n">
        <v>0</v>
      </c>
      <c r="N582" t="n">
        <v>0</v>
      </c>
      <c r="O582" t="n">
        <v>0</v>
      </c>
      <c r="P582" t="n">
        <v>0</v>
      </c>
      <c r="Q582" t="n">
        <v>0</v>
      </c>
      <c r="R582" s="2" t="inlineStr"/>
    </row>
    <row r="583" ht="15" customHeight="1">
      <c r="A583" t="inlineStr">
        <is>
          <t>A 58405-2018</t>
        </is>
      </c>
      <c r="B583" s="1" t="n">
        <v>43409</v>
      </c>
      <c r="C583" s="1" t="n">
        <v>45344</v>
      </c>
      <c r="D583" t="inlineStr">
        <is>
          <t>GÄVLEBORGS LÄN</t>
        </is>
      </c>
      <c r="E583" t="inlineStr">
        <is>
          <t>OVANÅKER</t>
        </is>
      </c>
      <c r="G583" t="n">
        <v>1.4</v>
      </c>
      <c r="H583" t="n">
        <v>0</v>
      </c>
      <c r="I583" t="n">
        <v>0</v>
      </c>
      <c r="J583" t="n">
        <v>0</v>
      </c>
      <c r="K583" t="n">
        <v>0</v>
      </c>
      <c r="L583" t="n">
        <v>0</v>
      </c>
      <c r="M583" t="n">
        <v>0</v>
      </c>
      <c r="N583" t="n">
        <v>0</v>
      </c>
      <c r="O583" t="n">
        <v>0</v>
      </c>
      <c r="P583" t="n">
        <v>0</v>
      </c>
      <c r="Q583" t="n">
        <v>0</v>
      </c>
      <c r="R583" s="2" t="inlineStr"/>
    </row>
    <row r="584" ht="15" customHeight="1">
      <c r="A584" t="inlineStr">
        <is>
          <t>A 58406-2018</t>
        </is>
      </c>
      <c r="B584" s="1" t="n">
        <v>43409</v>
      </c>
      <c r="C584" s="1" t="n">
        <v>45344</v>
      </c>
      <c r="D584" t="inlineStr">
        <is>
          <t>GÄVLEBORGS LÄN</t>
        </is>
      </c>
      <c r="E584" t="inlineStr">
        <is>
          <t>OVANÅKER</t>
        </is>
      </c>
      <c r="G584" t="n">
        <v>8.6</v>
      </c>
      <c r="H584" t="n">
        <v>0</v>
      </c>
      <c r="I584" t="n">
        <v>0</v>
      </c>
      <c r="J584" t="n">
        <v>0</v>
      </c>
      <c r="K584" t="n">
        <v>0</v>
      </c>
      <c r="L584" t="n">
        <v>0</v>
      </c>
      <c r="M584" t="n">
        <v>0</v>
      </c>
      <c r="N584" t="n">
        <v>0</v>
      </c>
      <c r="O584" t="n">
        <v>0</v>
      </c>
      <c r="P584" t="n">
        <v>0</v>
      </c>
      <c r="Q584" t="n">
        <v>0</v>
      </c>
      <c r="R584" s="2" t="inlineStr"/>
    </row>
    <row r="585" ht="15" customHeight="1">
      <c r="A585" t="inlineStr">
        <is>
          <t>A 58520-2018</t>
        </is>
      </c>
      <c r="B585" s="1" t="n">
        <v>43409</v>
      </c>
      <c r="C585" s="1" t="n">
        <v>45344</v>
      </c>
      <c r="D585" t="inlineStr">
        <is>
          <t>GÄVLEBORGS LÄN</t>
        </is>
      </c>
      <c r="E585" t="inlineStr">
        <is>
          <t>LJUSDAL</t>
        </is>
      </c>
      <c r="G585" t="n">
        <v>2.4</v>
      </c>
      <c r="H585" t="n">
        <v>0</v>
      </c>
      <c r="I585" t="n">
        <v>0</v>
      </c>
      <c r="J585" t="n">
        <v>0</v>
      </c>
      <c r="K585" t="n">
        <v>0</v>
      </c>
      <c r="L585" t="n">
        <v>0</v>
      </c>
      <c r="M585" t="n">
        <v>0</v>
      </c>
      <c r="N585" t="n">
        <v>0</v>
      </c>
      <c r="O585" t="n">
        <v>0</v>
      </c>
      <c r="P585" t="n">
        <v>0</v>
      </c>
      <c r="Q585" t="n">
        <v>0</v>
      </c>
      <c r="R585" s="2" t="inlineStr"/>
    </row>
    <row r="586" ht="15" customHeight="1">
      <c r="A586" t="inlineStr">
        <is>
          <t>A 58860-2018</t>
        </is>
      </c>
      <c r="B586" s="1" t="n">
        <v>43410</v>
      </c>
      <c r="C586" s="1" t="n">
        <v>45344</v>
      </c>
      <c r="D586" t="inlineStr">
        <is>
          <t>GÄVLEBORGS LÄN</t>
        </is>
      </c>
      <c r="E586" t="inlineStr">
        <is>
          <t>SÖDERHAMN</t>
        </is>
      </c>
      <c r="G586" t="n">
        <v>1.5</v>
      </c>
      <c r="H586" t="n">
        <v>0</v>
      </c>
      <c r="I586" t="n">
        <v>0</v>
      </c>
      <c r="J586" t="n">
        <v>0</v>
      </c>
      <c r="K586" t="n">
        <v>0</v>
      </c>
      <c r="L586" t="n">
        <v>0</v>
      </c>
      <c r="M586" t="n">
        <v>0</v>
      </c>
      <c r="N586" t="n">
        <v>0</v>
      </c>
      <c r="O586" t="n">
        <v>0</v>
      </c>
      <c r="P586" t="n">
        <v>0</v>
      </c>
      <c r="Q586" t="n">
        <v>0</v>
      </c>
      <c r="R586" s="2" t="inlineStr"/>
    </row>
    <row r="587" ht="15" customHeight="1">
      <c r="A587" t="inlineStr">
        <is>
          <t>A 58622-2018</t>
        </is>
      </c>
      <c r="B587" s="1" t="n">
        <v>43410</v>
      </c>
      <c r="C587" s="1" t="n">
        <v>45344</v>
      </c>
      <c r="D587" t="inlineStr">
        <is>
          <t>GÄVLEBORGS LÄN</t>
        </is>
      </c>
      <c r="E587" t="inlineStr">
        <is>
          <t>LJUSDAL</t>
        </is>
      </c>
      <c r="G587" t="n">
        <v>30</v>
      </c>
      <c r="H587" t="n">
        <v>0</v>
      </c>
      <c r="I587" t="n">
        <v>0</v>
      </c>
      <c r="J587" t="n">
        <v>0</v>
      </c>
      <c r="K587" t="n">
        <v>0</v>
      </c>
      <c r="L587" t="n">
        <v>0</v>
      </c>
      <c r="M587" t="n">
        <v>0</v>
      </c>
      <c r="N587" t="n">
        <v>0</v>
      </c>
      <c r="O587" t="n">
        <v>0</v>
      </c>
      <c r="P587" t="n">
        <v>0</v>
      </c>
      <c r="Q587" t="n">
        <v>0</v>
      </c>
      <c r="R587" s="2" t="inlineStr"/>
    </row>
    <row r="588" ht="15" customHeight="1">
      <c r="A588" t="inlineStr">
        <is>
          <t>A 58847-2018</t>
        </is>
      </c>
      <c r="B588" s="1" t="n">
        <v>43410</v>
      </c>
      <c r="C588" s="1" t="n">
        <v>45344</v>
      </c>
      <c r="D588" t="inlineStr">
        <is>
          <t>GÄVLEBORGS LÄN</t>
        </is>
      </c>
      <c r="E588" t="inlineStr">
        <is>
          <t>LJUSDAL</t>
        </is>
      </c>
      <c r="F588" t="inlineStr">
        <is>
          <t>Sveaskog</t>
        </is>
      </c>
      <c r="G588" t="n">
        <v>3.4</v>
      </c>
      <c r="H588" t="n">
        <v>0</v>
      </c>
      <c r="I588" t="n">
        <v>0</v>
      </c>
      <c r="J588" t="n">
        <v>0</v>
      </c>
      <c r="K588" t="n">
        <v>0</v>
      </c>
      <c r="L588" t="n">
        <v>0</v>
      </c>
      <c r="M588" t="n">
        <v>0</v>
      </c>
      <c r="N588" t="n">
        <v>0</v>
      </c>
      <c r="O588" t="n">
        <v>0</v>
      </c>
      <c r="P588" t="n">
        <v>0</v>
      </c>
      <c r="Q588" t="n">
        <v>0</v>
      </c>
      <c r="R588" s="2" t="inlineStr"/>
    </row>
    <row r="589" ht="15" customHeight="1">
      <c r="A589" t="inlineStr">
        <is>
          <t>A 58916-2018</t>
        </is>
      </c>
      <c r="B589" s="1" t="n">
        <v>43410</v>
      </c>
      <c r="C589" s="1" t="n">
        <v>45344</v>
      </c>
      <c r="D589" t="inlineStr">
        <is>
          <t>GÄVLEBORGS LÄN</t>
        </is>
      </c>
      <c r="E589" t="inlineStr">
        <is>
          <t>BOLLNÄS</t>
        </is>
      </c>
      <c r="G589" t="n">
        <v>2.9</v>
      </c>
      <c r="H589" t="n">
        <v>0</v>
      </c>
      <c r="I589" t="n">
        <v>0</v>
      </c>
      <c r="J589" t="n">
        <v>0</v>
      </c>
      <c r="K589" t="n">
        <v>0</v>
      </c>
      <c r="L589" t="n">
        <v>0</v>
      </c>
      <c r="M589" t="n">
        <v>0</v>
      </c>
      <c r="N589" t="n">
        <v>0</v>
      </c>
      <c r="O589" t="n">
        <v>0</v>
      </c>
      <c r="P589" t="n">
        <v>0</v>
      </c>
      <c r="Q589" t="n">
        <v>0</v>
      </c>
      <c r="R589" s="2" t="inlineStr"/>
    </row>
    <row r="590" ht="15" customHeight="1">
      <c r="A590" t="inlineStr">
        <is>
          <t>A 58662-2018</t>
        </is>
      </c>
      <c r="B590" s="1" t="n">
        <v>43410</v>
      </c>
      <c r="C590" s="1" t="n">
        <v>45344</v>
      </c>
      <c r="D590" t="inlineStr">
        <is>
          <t>GÄVLEBORGS LÄN</t>
        </is>
      </c>
      <c r="E590" t="inlineStr">
        <is>
          <t>OVANÅKER</t>
        </is>
      </c>
      <c r="G590" t="n">
        <v>1.4</v>
      </c>
      <c r="H590" t="n">
        <v>0</v>
      </c>
      <c r="I590" t="n">
        <v>0</v>
      </c>
      <c r="J590" t="n">
        <v>0</v>
      </c>
      <c r="K590" t="n">
        <v>0</v>
      </c>
      <c r="L590" t="n">
        <v>0</v>
      </c>
      <c r="M590" t="n">
        <v>0</v>
      </c>
      <c r="N590" t="n">
        <v>0</v>
      </c>
      <c r="O590" t="n">
        <v>0</v>
      </c>
      <c r="P590" t="n">
        <v>0</v>
      </c>
      <c r="Q590" t="n">
        <v>0</v>
      </c>
      <c r="R590" s="2" t="inlineStr"/>
    </row>
    <row r="591" ht="15" customHeight="1">
      <c r="A591" t="inlineStr">
        <is>
          <t>A 58854-2018</t>
        </is>
      </c>
      <c r="B591" s="1" t="n">
        <v>43410</v>
      </c>
      <c r="C591" s="1" t="n">
        <v>45344</v>
      </c>
      <c r="D591" t="inlineStr">
        <is>
          <t>GÄVLEBORGS LÄN</t>
        </is>
      </c>
      <c r="E591" t="inlineStr">
        <is>
          <t>LJUSDAL</t>
        </is>
      </c>
      <c r="F591" t="inlineStr">
        <is>
          <t>Sveaskog</t>
        </is>
      </c>
      <c r="G591" t="n">
        <v>3.3</v>
      </c>
      <c r="H591" t="n">
        <v>0</v>
      </c>
      <c r="I591" t="n">
        <v>0</v>
      </c>
      <c r="J591" t="n">
        <v>0</v>
      </c>
      <c r="K591" t="n">
        <v>0</v>
      </c>
      <c r="L591" t="n">
        <v>0</v>
      </c>
      <c r="M591" t="n">
        <v>0</v>
      </c>
      <c r="N591" t="n">
        <v>0</v>
      </c>
      <c r="O591" t="n">
        <v>0</v>
      </c>
      <c r="P591" t="n">
        <v>0</v>
      </c>
      <c r="Q591" t="n">
        <v>0</v>
      </c>
      <c r="R591" s="2" t="inlineStr"/>
    </row>
    <row r="592" ht="15" customHeight="1">
      <c r="A592" t="inlineStr">
        <is>
          <t>A 59123-2018</t>
        </is>
      </c>
      <c r="B592" s="1" t="n">
        <v>43411</v>
      </c>
      <c r="C592" s="1" t="n">
        <v>45344</v>
      </c>
      <c r="D592" t="inlineStr">
        <is>
          <t>GÄVLEBORGS LÄN</t>
        </is>
      </c>
      <c r="E592" t="inlineStr">
        <is>
          <t>GÄVLE</t>
        </is>
      </c>
      <c r="F592" t="inlineStr">
        <is>
          <t>Bergvik skog öst AB</t>
        </is>
      </c>
      <c r="G592" t="n">
        <v>3.8</v>
      </c>
      <c r="H592" t="n">
        <v>0</v>
      </c>
      <c r="I592" t="n">
        <v>0</v>
      </c>
      <c r="J592" t="n">
        <v>0</v>
      </c>
      <c r="K592" t="n">
        <v>0</v>
      </c>
      <c r="L592" t="n">
        <v>0</v>
      </c>
      <c r="M592" t="n">
        <v>0</v>
      </c>
      <c r="N592" t="n">
        <v>0</v>
      </c>
      <c r="O592" t="n">
        <v>0</v>
      </c>
      <c r="P592" t="n">
        <v>0</v>
      </c>
      <c r="Q592" t="n">
        <v>0</v>
      </c>
      <c r="R592" s="2" t="inlineStr"/>
    </row>
    <row r="593" ht="15" customHeight="1">
      <c r="A593" t="inlineStr">
        <is>
          <t>A 59120-2018</t>
        </is>
      </c>
      <c r="B593" s="1" t="n">
        <v>43411</v>
      </c>
      <c r="C593" s="1" t="n">
        <v>45344</v>
      </c>
      <c r="D593" t="inlineStr">
        <is>
          <t>GÄVLEBORGS LÄN</t>
        </is>
      </c>
      <c r="E593" t="inlineStr">
        <is>
          <t>OCKELBO</t>
        </is>
      </c>
      <c r="G593" t="n">
        <v>2.2</v>
      </c>
      <c r="H593" t="n">
        <v>0</v>
      </c>
      <c r="I593" t="n">
        <v>0</v>
      </c>
      <c r="J593" t="n">
        <v>0</v>
      </c>
      <c r="K593" t="n">
        <v>0</v>
      </c>
      <c r="L593" t="n">
        <v>0</v>
      </c>
      <c r="M593" t="n">
        <v>0</v>
      </c>
      <c r="N593" t="n">
        <v>0</v>
      </c>
      <c r="O593" t="n">
        <v>0</v>
      </c>
      <c r="P593" t="n">
        <v>0</v>
      </c>
      <c r="Q593" t="n">
        <v>0</v>
      </c>
      <c r="R593" s="2" t="inlineStr"/>
    </row>
    <row r="594" ht="15" customHeight="1">
      <c r="A594" t="inlineStr">
        <is>
          <t>A 59708-2018</t>
        </is>
      </c>
      <c r="B594" s="1" t="n">
        <v>43411</v>
      </c>
      <c r="C594" s="1" t="n">
        <v>45344</v>
      </c>
      <c r="D594" t="inlineStr">
        <is>
          <t>GÄVLEBORGS LÄN</t>
        </is>
      </c>
      <c r="E594" t="inlineStr">
        <is>
          <t>NORDANSTIG</t>
        </is>
      </c>
      <c r="G594" t="n">
        <v>5.7</v>
      </c>
      <c r="H594" t="n">
        <v>0</v>
      </c>
      <c r="I594" t="n">
        <v>0</v>
      </c>
      <c r="J594" t="n">
        <v>0</v>
      </c>
      <c r="K594" t="n">
        <v>0</v>
      </c>
      <c r="L594" t="n">
        <v>0</v>
      </c>
      <c r="M594" t="n">
        <v>0</v>
      </c>
      <c r="N594" t="n">
        <v>0</v>
      </c>
      <c r="O594" t="n">
        <v>0</v>
      </c>
      <c r="P594" t="n">
        <v>0</v>
      </c>
      <c r="Q594" t="n">
        <v>0</v>
      </c>
      <c r="R594" s="2" t="inlineStr"/>
    </row>
    <row r="595" ht="15" customHeight="1">
      <c r="A595" t="inlineStr">
        <is>
          <t>A 59089-2018</t>
        </is>
      </c>
      <c r="B595" s="1" t="n">
        <v>43411</v>
      </c>
      <c r="C595" s="1" t="n">
        <v>45344</v>
      </c>
      <c r="D595" t="inlineStr">
        <is>
          <t>GÄVLEBORGS LÄN</t>
        </is>
      </c>
      <c r="E595" t="inlineStr">
        <is>
          <t>LJUSDAL</t>
        </is>
      </c>
      <c r="G595" t="n">
        <v>33.1</v>
      </c>
      <c r="H595" t="n">
        <v>0</v>
      </c>
      <c r="I595" t="n">
        <v>0</v>
      </c>
      <c r="J595" t="n">
        <v>0</v>
      </c>
      <c r="K595" t="n">
        <v>0</v>
      </c>
      <c r="L595" t="n">
        <v>0</v>
      </c>
      <c r="M595" t="n">
        <v>0</v>
      </c>
      <c r="N595" t="n">
        <v>0</v>
      </c>
      <c r="O595" t="n">
        <v>0</v>
      </c>
      <c r="P595" t="n">
        <v>0</v>
      </c>
      <c r="Q595" t="n">
        <v>0</v>
      </c>
      <c r="R595" s="2" t="inlineStr"/>
    </row>
    <row r="596" ht="15" customHeight="1">
      <c r="A596" t="inlineStr">
        <is>
          <t>A 59115-2018</t>
        </is>
      </c>
      <c r="B596" s="1" t="n">
        <v>43411</v>
      </c>
      <c r="C596" s="1" t="n">
        <v>45344</v>
      </c>
      <c r="D596" t="inlineStr">
        <is>
          <t>GÄVLEBORGS LÄN</t>
        </is>
      </c>
      <c r="E596" t="inlineStr">
        <is>
          <t>GÄVLE</t>
        </is>
      </c>
      <c r="F596" t="inlineStr">
        <is>
          <t>Bergvik skog öst AB</t>
        </is>
      </c>
      <c r="G596" t="n">
        <v>5.1</v>
      </c>
      <c r="H596" t="n">
        <v>0</v>
      </c>
      <c r="I596" t="n">
        <v>0</v>
      </c>
      <c r="J596" t="n">
        <v>0</v>
      </c>
      <c r="K596" t="n">
        <v>0</v>
      </c>
      <c r="L596" t="n">
        <v>0</v>
      </c>
      <c r="M596" t="n">
        <v>0</v>
      </c>
      <c r="N596" t="n">
        <v>0</v>
      </c>
      <c r="O596" t="n">
        <v>0</v>
      </c>
      <c r="P596" t="n">
        <v>0</v>
      </c>
      <c r="Q596" t="n">
        <v>0</v>
      </c>
      <c r="R596" s="2" t="inlineStr"/>
    </row>
    <row r="597" ht="15" customHeight="1">
      <c r="A597" t="inlineStr">
        <is>
          <t>A 59749-2018</t>
        </is>
      </c>
      <c r="B597" s="1" t="n">
        <v>43411</v>
      </c>
      <c r="C597" s="1" t="n">
        <v>45344</v>
      </c>
      <c r="D597" t="inlineStr">
        <is>
          <t>GÄVLEBORGS LÄN</t>
        </is>
      </c>
      <c r="E597" t="inlineStr">
        <is>
          <t>NORDANSTIG</t>
        </is>
      </c>
      <c r="F597" t="inlineStr">
        <is>
          <t>Holmen skog AB</t>
        </is>
      </c>
      <c r="G597" t="n">
        <v>2.6</v>
      </c>
      <c r="H597" t="n">
        <v>0</v>
      </c>
      <c r="I597" t="n">
        <v>0</v>
      </c>
      <c r="J597" t="n">
        <v>0</v>
      </c>
      <c r="K597" t="n">
        <v>0</v>
      </c>
      <c r="L597" t="n">
        <v>0</v>
      </c>
      <c r="M597" t="n">
        <v>0</v>
      </c>
      <c r="N597" t="n">
        <v>0</v>
      </c>
      <c r="O597" t="n">
        <v>0</v>
      </c>
      <c r="P597" t="n">
        <v>0</v>
      </c>
      <c r="Q597" t="n">
        <v>0</v>
      </c>
      <c r="R597" s="2" t="inlineStr"/>
    </row>
    <row r="598" ht="15" customHeight="1">
      <c r="A598" t="inlineStr">
        <is>
          <t>A 59778-2018</t>
        </is>
      </c>
      <c r="B598" s="1" t="n">
        <v>43411</v>
      </c>
      <c r="C598" s="1" t="n">
        <v>45344</v>
      </c>
      <c r="D598" t="inlineStr">
        <is>
          <t>GÄVLEBORGS LÄN</t>
        </is>
      </c>
      <c r="E598" t="inlineStr">
        <is>
          <t>NORDANSTIG</t>
        </is>
      </c>
      <c r="F598" t="inlineStr">
        <is>
          <t>Holmen skog AB</t>
        </is>
      </c>
      <c r="G598" t="n">
        <v>1.8</v>
      </c>
      <c r="H598" t="n">
        <v>0</v>
      </c>
      <c r="I598" t="n">
        <v>0</v>
      </c>
      <c r="J598" t="n">
        <v>0</v>
      </c>
      <c r="K598" t="n">
        <v>0</v>
      </c>
      <c r="L598" t="n">
        <v>0</v>
      </c>
      <c r="M598" t="n">
        <v>0</v>
      </c>
      <c r="N598" t="n">
        <v>0</v>
      </c>
      <c r="O598" t="n">
        <v>0</v>
      </c>
      <c r="P598" t="n">
        <v>0</v>
      </c>
      <c r="Q598" t="n">
        <v>0</v>
      </c>
      <c r="R598" s="2" t="inlineStr"/>
    </row>
    <row r="599" ht="15" customHeight="1">
      <c r="A599" t="inlineStr">
        <is>
          <t>A 60100-2018</t>
        </is>
      </c>
      <c r="B599" s="1" t="n">
        <v>43412</v>
      </c>
      <c r="C599" s="1" t="n">
        <v>45344</v>
      </c>
      <c r="D599" t="inlineStr">
        <is>
          <t>GÄVLEBORGS LÄN</t>
        </is>
      </c>
      <c r="E599" t="inlineStr">
        <is>
          <t>OVANÅKER</t>
        </is>
      </c>
      <c r="G599" t="n">
        <v>8.9</v>
      </c>
      <c r="H599" t="n">
        <v>0</v>
      </c>
      <c r="I599" t="n">
        <v>0</v>
      </c>
      <c r="J599" t="n">
        <v>0</v>
      </c>
      <c r="K599" t="n">
        <v>0</v>
      </c>
      <c r="L599" t="n">
        <v>0</v>
      </c>
      <c r="M599" t="n">
        <v>0</v>
      </c>
      <c r="N599" t="n">
        <v>0</v>
      </c>
      <c r="O599" t="n">
        <v>0</v>
      </c>
      <c r="P599" t="n">
        <v>0</v>
      </c>
      <c r="Q599" t="n">
        <v>0</v>
      </c>
      <c r="R599" s="2" t="inlineStr"/>
    </row>
    <row r="600" ht="15" customHeight="1">
      <c r="A600" t="inlineStr">
        <is>
          <t>A 60169-2018</t>
        </is>
      </c>
      <c r="B600" s="1" t="n">
        <v>43412</v>
      </c>
      <c r="C600" s="1" t="n">
        <v>45344</v>
      </c>
      <c r="D600" t="inlineStr">
        <is>
          <t>GÄVLEBORGS LÄN</t>
        </is>
      </c>
      <c r="E600" t="inlineStr">
        <is>
          <t>NORDANSTIG</t>
        </is>
      </c>
      <c r="G600" t="n">
        <v>0.5</v>
      </c>
      <c r="H600" t="n">
        <v>0</v>
      </c>
      <c r="I600" t="n">
        <v>0</v>
      </c>
      <c r="J600" t="n">
        <v>0</v>
      </c>
      <c r="K600" t="n">
        <v>0</v>
      </c>
      <c r="L600" t="n">
        <v>0</v>
      </c>
      <c r="M600" t="n">
        <v>0</v>
      </c>
      <c r="N600" t="n">
        <v>0</v>
      </c>
      <c r="O600" t="n">
        <v>0</v>
      </c>
      <c r="P600" t="n">
        <v>0</v>
      </c>
      <c r="Q600" t="n">
        <v>0</v>
      </c>
      <c r="R600" s="2" t="inlineStr"/>
    </row>
    <row r="601" ht="15" customHeight="1">
      <c r="A601" t="inlineStr">
        <is>
          <t>A 60188-2018</t>
        </is>
      </c>
      <c r="B601" s="1" t="n">
        <v>43412</v>
      </c>
      <c r="C601" s="1" t="n">
        <v>45344</v>
      </c>
      <c r="D601" t="inlineStr">
        <is>
          <t>GÄVLEBORGS LÄN</t>
        </is>
      </c>
      <c r="E601" t="inlineStr">
        <is>
          <t>NORDANSTIG</t>
        </is>
      </c>
      <c r="G601" t="n">
        <v>0.9</v>
      </c>
      <c r="H601" t="n">
        <v>0</v>
      </c>
      <c r="I601" t="n">
        <v>0</v>
      </c>
      <c r="J601" t="n">
        <v>0</v>
      </c>
      <c r="K601" t="n">
        <v>0</v>
      </c>
      <c r="L601" t="n">
        <v>0</v>
      </c>
      <c r="M601" t="n">
        <v>0</v>
      </c>
      <c r="N601" t="n">
        <v>0</v>
      </c>
      <c r="O601" t="n">
        <v>0</v>
      </c>
      <c r="P601" t="n">
        <v>0</v>
      </c>
      <c r="Q601" t="n">
        <v>0</v>
      </c>
      <c r="R601" s="2" t="inlineStr"/>
    </row>
    <row r="602" ht="15" customHeight="1">
      <c r="A602" t="inlineStr">
        <is>
          <t>A 60021-2018</t>
        </is>
      </c>
      <c r="B602" s="1" t="n">
        <v>43412</v>
      </c>
      <c r="C602" s="1" t="n">
        <v>45344</v>
      </c>
      <c r="D602" t="inlineStr">
        <is>
          <t>GÄVLEBORGS LÄN</t>
        </is>
      </c>
      <c r="E602" t="inlineStr">
        <is>
          <t>NORDANSTIG</t>
        </is>
      </c>
      <c r="F602" t="inlineStr">
        <is>
          <t>Holmen skog AB</t>
        </is>
      </c>
      <c r="G602" t="n">
        <v>6.4</v>
      </c>
      <c r="H602" t="n">
        <v>0</v>
      </c>
      <c r="I602" t="n">
        <v>0</v>
      </c>
      <c r="J602" t="n">
        <v>0</v>
      </c>
      <c r="K602" t="n">
        <v>0</v>
      </c>
      <c r="L602" t="n">
        <v>0</v>
      </c>
      <c r="M602" t="n">
        <v>0</v>
      </c>
      <c r="N602" t="n">
        <v>0</v>
      </c>
      <c r="O602" t="n">
        <v>0</v>
      </c>
      <c r="P602" t="n">
        <v>0</v>
      </c>
      <c r="Q602" t="n">
        <v>0</v>
      </c>
      <c r="R602" s="2" t="inlineStr"/>
    </row>
    <row r="603" ht="15" customHeight="1">
      <c r="A603" t="inlineStr">
        <is>
          <t>A 60164-2018</t>
        </is>
      </c>
      <c r="B603" s="1" t="n">
        <v>43412</v>
      </c>
      <c r="C603" s="1" t="n">
        <v>45344</v>
      </c>
      <c r="D603" t="inlineStr">
        <is>
          <t>GÄVLEBORGS LÄN</t>
        </is>
      </c>
      <c r="E603" t="inlineStr">
        <is>
          <t>NORDANSTIG</t>
        </is>
      </c>
      <c r="G603" t="n">
        <v>2.2</v>
      </c>
      <c r="H603" t="n">
        <v>0</v>
      </c>
      <c r="I603" t="n">
        <v>0</v>
      </c>
      <c r="J603" t="n">
        <v>0</v>
      </c>
      <c r="K603" t="n">
        <v>0</v>
      </c>
      <c r="L603" t="n">
        <v>0</v>
      </c>
      <c r="M603" t="n">
        <v>0</v>
      </c>
      <c r="N603" t="n">
        <v>0</v>
      </c>
      <c r="O603" t="n">
        <v>0</v>
      </c>
      <c r="P603" t="n">
        <v>0</v>
      </c>
      <c r="Q603" t="n">
        <v>0</v>
      </c>
      <c r="R603" s="2" t="inlineStr"/>
    </row>
    <row r="604" ht="15" customHeight="1">
      <c r="A604" t="inlineStr">
        <is>
          <t>A 60019-2018</t>
        </is>
      </c>
      <c r="B604" s="1" t="n">
        <v>43412</v>
      </c>
      <c r="C604" s="1" t="n">
        <v>45344</v>
      </c>
      <c r="D604" t="inlineStr">
        <is>
          <t>GÄVLEBORGS LÄN</t>
        </is>
      </c>
      <c r="E604" t="inlineStr">
        <is>
          <t>NORDANSTIG</t>
        </is>
      </c>
      <c r="F604" t="inlineStr">
        <is>
          <t>Holmen skog AB</t>
        </is>
      </c>
      <c r="G604" t="n">
        <v>6.4</v>
      </c>
      <c r="H604" t="n">
        <v>0</v>
      </c>
      <c r="I604" t="n">
        <v>0</v>
      </c>
      <c r="J604" t="n">
        <v>0</v>
      </c>
      <c r="K604" t="n">
        <v>0</v>
      </c>
      <c r="L604" t="n">
        <v>0</v>
      </c>
      <c r="M604" t="n">
        <v>0</v>
      </c>
      <c r="N604" t="n">
        <v>0</v>
      </c>
      <c r="O604" t="n">
        <v>0</v>
      </c>
      <c r="P604" t="n">
        <v>0</v>
      </c>
      <c r="Q604" t="n">
        <v>0</v>
      </c>
      <c r="R604" s="2" t="inlineStr"/>
    </row>
    <row r="605" ht="15" customHeight="1">
      <c r="A605" t="inlineStr">
        <is>
          <t>A 60034-2018</t>
        </is>
      </c>
      <c r="B605" s="1" t="n">
        <v>43412</v>
      </c>
      <c r="C605" s="1" t="n">
        <v>45344</v>
      </c>
      <c r="D605" t="inlineStr">
        <is>
          <t>GÄVLEBORGS LÄN</t>
        </is>
      </c>
      <c r="E605" t="inlineStr">
        <is>
          <t>NORDANSTIG</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60167-2018</t>
        </is>
      </c>
      <c r="B606" s="1" t="n">
        <v>43412</v>
      </c>
      <c r="C606" s="1" t="n">
        <v>45344</v>
      </c>
      <c r="D606" t="inlineStr">
        <is>
          <t>GÄVLEBORGS LÄN</t>
        </is>
      </c>
      <c r="E606" t="inlineStr">
        <is>
          <t>NORDANSTIG</t>
        </is>
      </c>
      <c r="G606" t="n">
        <v>11.8</v>
      </c>
      <c r="H606" t="n">
        <v>0</v>
      </c>
      <c r="I606" t="n">
        <v>0</v>
      </c>
      <c r="J606" t="n">
        <v>0</v>
      </c>
      <c r="K606" t="n">
        <v>0</v>
      </c>
      <c r="L606" t="n">
        <v>0</v>
      </c>
      <c r="M606" t="n">
        <v>0</v>
      </c>
      <c r="N606" t="n">
        <v>0</v>
      </c>
      <c r="O606" t="n">
        <v>0</v>
      </c>
      <c r="P606" t="n">
        <v>0</v>
      </c>
      <c r="Q606" t="n">
        <v>0</v>
      </c>
      <c r="R606" s="2" t="inlineStr"/>
    </row>
    <row r="607" ht="15" customHeight="1">
      <c r="A607" t="inlineStr">
        <is>
          <t>A 60010-2018</t>
        </is>
      </c>
      <c r="B607" s="1" t="n">
        <v>43412</v>
      </c>
      <c r="C607" s="1" t="n">
        <v>45344</v>
      </c>
      <c r="D607" t="inlineStr">
        <is>
          <t>GÄVLEBORGS LÄN</t>
        </is>
      </c>
      <c r="E607" t="inlineStr">
        <is>
          <t>LJUSDAL</t>
        </is>
      </c>
      <c r="G607" t="n">
        <v>1</v>
      </c>
      <c r="H607" t="n">
        <v>0</v>
      </c>
      <c r="I607" t="n">
        <v>0</v>
      </c>
      <c r="J607" t="n">
        <v>0</v>
      </c>
      <c r="K607" t="n">
        <v>0</v>
      </c>
      <c r="L607" t="n">
        <v>0</v>
      </c>
      <c r="M607" t="n">
        <v>0</v>
      </c>
      <c r="N607" t="n">
        <v>0</v>
      </c>
      <c r="O607" t="n">
        <v>0</v>
      </c>
      <c r="P607" t="n">
        <v>0</v>
      </c>
      <c r="Q607" t="n">
        <v>0</v>
      </c>
      <c r="R607" s="2" t="inlineStr"/>
    </row>
    <row r="608" ht="15" customHeight="1">
      <c r="A608" t="inlineStr">
        <is>
          <t>A 60093-2018</t>
        </is>
      </c>
      <c r="B608" s="1" t="n">
        <v>43412</v>
      </c>
      <c r="C608" s="1" t="n">
        <v>45344</v>
      </c>
      <c r="D608" t="inlineStr">
        <is>
          <t>GÄVLEBORGS LÄN</t>
        </is>
      </c>
      <c r="E608" t="inlineStr">
        <is>
          <t>LJUSDAL</t>
        </is>
      </c>
      <c r="G608" t="n">
        <v>1.2</v>
      </c>
      <c r="H608" t="n">
        <v>0</v>
      </c>
      <c r="I608" t="n">
        <v>0</v>
      </c>
      <c r="J608" t="n">
        <v>0</v>
      </c>
      <c r="K608" t="n">
        <v>0</v>
      </c>
      <c r="L608" t="n">
        <v>0</v>
      </c>
      <c r="M608" t="n">
        <v>0</v>
      </c>
      <c r="N608" t="n">
        <v>0</v>
      </c>
      <c r="O608" t="n">
        <v>0</v>
      </c>
      <c r="P608" t="n">
        <v>0</v>
      </c>
      <c r="Q608" t="n">
        <v>0</v>
      </c>
      <c r="R608" s="2" t="inlineStr"/>
    </row>
    <row r="609" ht="15" customHeight="1">
      <c r="A609" t="inlineStr">
        <is>
          <t>A 60097-2018</t>
        </is>
      </c>
      <c r="B609" s="1" t="n">
        <v>43412</v>
      </c>
      <c r="C609" s="1" t="n">
        <v>45344</v>
      </c>
      <c r="D609" t="inlineStr">
        <is>
          <t>GÄVLEBORGS LÄN</t>
        </is>
      </c>
      <c r="E609" t="inlineStr">
        <is>
          <t>LJUSDAL</t>
        </is>
      </c>
      <c r="G609" t="n">
        <v>1.8</v>
      </c>
      <c r="H609" t="n">
        <v>0</v>
      </c>
      <c r="I609" t="n">
        <v>0</v>
      </c>
      <c r="J609" t="n">
        <v>0</v>
      </c>
      <c r="K609" t="n">
        <v>0</v>
      </c>
      <c r="L609" t="n">
        <v>0</v>
      </c>
      <c r="M609" t="n">
        <v>0</v>
      </c>
      <c r="N609" t="n">
        <v>0</v>
      </c>
      <c r="O609" t="n">
        <v>0</v>
      </c>
      <c r="P609" t="n">
        <v>0</v>
      </c>
      <c r="Q609" t="n">
        <v>0</v>
      </c>
      <c r="R609" s="2" t="inlineStr"/>
    </row>
    <row r="610" ht="15" customHeight="1">
      <c r="A610" t="inlineStr">
        <is>
          <t>A 60103-2018</t>
        </is>
      </c>
      <c r="B610" s="1" t="n">
        <v>43412</v>
      </c>
      <c r="C610" s="1" t="n">
        <v>45344</v>
      </c>
      <c r="D610" t="inlineStr">
        <is>
          <t>GÄVLEBORGS LÄN</t>
        </is>
      </c>
      <c r="E610" t="inlineStr">
        <is>
          <t>OVANÅKER</t>
        </is>
      </c>
      <c r="G610" t="n">
        <v>2.8</v>
      </c>
      <c r="H610" t="n">
        <v>0</v>
      </c>
      <c r="I610" t="n">
        <v>0</v>
      </c>
      <c r="J610" t="n">
        <v>0</v>
      </c>
      <c r="K610" t="n">
        <v>0</v>
      </c>
      <c r="L610" t="n">
        <v>0</v>
      </c>
      <c r="M610" t="n">
        <v>0</v>
      </c>
      <c r="N610" t="n">
        <v>0</v>
      </c>
      <c r="O610" t="n">
        <v>0</v>
      </c>
      <c r="P610" t="n">
        <v>0</v>
      </c>
      <c r="Q610" t="n">
        <v>0</v>
      </c>
      <c r="R610" s="2" t="inlineStr"/>
    </row>
    <row r="611" ht="15" customHeight="1">
      <c r="A611" t="inlineStr">
        <is>
          <t>A 60185-2018</t>
        </is>
      </c>
      <c r="B611" s="1" t="n">
        <v>43412</v>
      </c>
      <c r="C611" s="1" t="n">
        <v>45344</v>
      </c>
      <c r="D611" t="inlineStr">
        <is>
          <t>GÄVLEBORGS LÄN</t>
        </is>
      </c>
      <c r="E611" t="inlineStr">
        <is>
          <t>NORDANSTIG</t>
        </is>
      </c>
      <c r="G611" t="n">
        <v>14.3</v>
      </c>
      <c r="H611" t="n">
        <v>0</v>
      </c>
      <c r="I611" t="n">
        <v>0</v>
      </c>
      <c r="J611" t="n">
        <v>0</v>
      </c>
      <c r="K611" t="n">
        <v>0</v>
      </c>
      <c r="L611" t="n">
        <v>0</v>
      </c>
      <c r="M611" t="n">
        <v>0</v>
      </c>
      <c r="N611" t="n">
        <v>0</v>
      </c>
      <c r="O611" t="n">
        <v>0</v>
      </c>
      <c r="P611" t="n">
        <v>0</v>
      </c>
      <c r="Q611" t="n">
        <v>0</v>
      </c>
      <c r="R611" s="2" t="inlineStr"/>
    </row>
    <row r="612" ht="15" customHeight="1">
      <c r="A612" t="inlineStr">
        <is>
          <t>A 62684-2018</t>
        </is>
      </c>
      <c r="B612" s="1" t="n">
        <v>43413</v>
      </c>
      <c r="C612" s="1" t="n">
        <v>45344</v>
      </c>
      <c r="D612" t="inlineStr">
        <is>
          <t>GÄVLEBORGS LÄN</t>
        </is>
      </c>
      <c r="E612" t="inlineStr">
        <is>
          <t>OCKELBO</t>
        </is>
      </c>
      <c r="F612" t="inlineStr">
        <is>
          <t>Bergvik skog väst AB</t>
        </is>
      </c>
      <c r="G612" t="n">
        <v>6.8</v>
      </c>
      <c r="H612" t="n">
        <v>0</v>
      </c>
      <c r="I612" t="n">
        <v>0</v>
      </c>
      <c r="J612" t="n">
        <v>0</v>
      </c>
      <c r="K612" t="n">
        <v>0</v>
      </c>
      <c r="L612" t="n">
        <v>0</v>
      </c>
      <c r="M612" t="n">
        <v>0</v>
      </c>
      <c r="N612" t="n">
        <v>0</v>
      </c>
      <c r="O612" t="n">
        <v>0</v>
      </c>
      <c r="P612" t="n">
        <v>0</v>
      </c>
      <c r="Q612" t="n">
        <v>0</v>
      </c>
      <c r="R612" s="2" t="inlineStr"/>
    </row>
    <row r="613" ht="15" customHeight="1">
      <c r="A613" t="inlineStr">
        <is>
          <t>A 62692-2018</t>
        </is>
      </c>
      <c r="B613" s="1" t="n">
        <v>43413</v>
      </c>
      <c r="C613" s="1" t="n">
        <v>45344</v>
      </c>
      <c r="D613" t="inlineStr">
        <is>
          <t>GÄVLEBORGS LÄN</t>
        </is>
      </c>
      <c r="E613" t="inlineStr">
        <is>
          <t>OCKELBO</t>
        </is>
      </c>
      <c r="F613" t="inlineStr">
        <is>
          <t>Bergvik skog väst AB</t>
        </is>
      </c>
      <c r="G613" t="n">
        <v>1.8</v>
      </c>
      <c r="H613" t="n">
        <v>0</v>
      </c>
      <c r="I613" t="n">
        <v>0</v>
      </c>
      <c r="J613" t="n">
        <v>0</v>
      </c>
      <c r="K613" t="n">
        <v>0</v>
      </c>
      <c r="L613" t="n">
        <v>0</v>
      </c>
      <c r="M613" t="n">
        <v>0</v>
      </c>
      <c r="N613" t="n">
        <v>0</v>
      </c>
      <c r="O613" t="n">
        <v>0</v>
      </c>
      <c r="P613" t="n">
        <v>0</v>
      </c>
      <c r="Q613" t="n">
        <v>0</v>
      </c>
      <c r="R613" s="2" t="inlineStr"/>
    </row>
    <row r="614" ht="15" customHeight="1">
      <c r="A614" t="inlineStr">
        <is>
          <t>A 58965-2018</t>
        </is>
      </c>
      <c r="B614" s="1" t="n">
        <v>43413</v>
      </c>
      <c r="C614" s="1" t="n">
        <v>45344</v>
      </c>
      <c r="D614" t="inlineStr">
        <is>
          <t>GÄVLEBORGS LÄN</t>
        </is>
      </c>
      <c r="E614" t="inlineStr">
        <is>
          <t>GÄVLE</t>
        </is>
      </c>
      <c r="F614" t="inlineStr">
        <is>
          <t>Övriga statliga verk och myndigheter</t>
        </is>
      </c>
      <c r="G614" t="n">
        <v>0.7</v>
      </c>
      <c r="H614" t="n">
        <v>0</v>
      </c>
      <c r="I614" t="n">
        <v>0</v>
      </c>
      <c r="J614" t="n">
        <v>0</v>
      </c>
      <c r="K614" t="n">
        <v>0</v>
      </c>
      <c r="L614" t="n">
        <v>0</v>
      </c>
      <c r="M614" t="n">
        <v>0</v>
      </c>
      <c r="N614" t="n">
        <v>0</v>
      </c>
      <c r="O614" t="n">
        <v>0</v>
      </c>
      <c r="P614" t="n">
        <v>0</v>
      </c>
      <c r="Q614" t="n">
        <v>0</v>
      </c>
      <c r="R614" s="2" t="inlineStr"/>
    </row>
    <row r="615" ht="15" customHeight="1">
      <c r="A615" t="inlineStr">
        <is>
          <t>A 62718-2018</t>
        </is>
      </c>
      <c r="B615" s="1" t="n">
        <v>43413</v>
      </c>
      <c r="C615" s="1" t="n">
        <v>45344</v>
      </c>
      <c r="D615" t="inlineStr">
        <is>
          <t>GÄVLEBORGS LÄN</t>
        </is>
      </c>
      <c r="E615" t="inlineStr">
        <is>
          <t>BOLLNÄS</t>
        </is>
      </c>
      <c r="F615" t="inlineStr">
        <is>
          <t>Bergvik skog öst AB</t>
        </is>
      </c>
      <c r="G615" t="n">
        <v>6.7</v>
      </c>
      <c r="H615" t="n">
        <v>0</v>
      </c>
      <c r="I615" t="n">
        <v>0</v>
      </c>
      <c r="J615" t="n">
        <v>0</v>
      </c>
      <c r="K615" t="n">
        <v>0</v>
      </c>
      <c r="L615" t="n">
        <v>0</v>
      </c>
      <c r="M615" t="n">
        <v>0</v>
      </c>
      <c r="N615" t="n">
        <v>0</v>
      </c>
      <c r="O615" t="n">
        <v>0</v>
      </c>
      <c r="P615" t="n">
        <v>0</v>
      </c>
      <c r="Q615" t="n">
        <v>0</v>
      </c>
      <c r="R615" s="2" t="inlineStr"/>
    </row>
    <row r="616" ht="15" customHeight="1">
      <c r="A616" t="inlineStr">
        <is>
          <t>A 62131-2018</t>
        </is>
      </c>
      <c r="B616" s="1" t="n">
        <v>43416</v>
      </c>
      <c r="C616" s="1" t="n">
        <v>45344</v>
      </c>
      <c r="D616" t="inlineStr">
        <is>
          <t>GÄVLEBORGS LÄN</t>
        </is>
      </c>
      <c r="E616" t="inlineStr">
        <is>
          <t>BOLLNÄS</t>
        </is>
      </c>
      <c r="G616" t="n">
        <v>0.4</v>
      </c>
      <c r="H616" t="n">
        <v>0</v>
      </c>
      <c r="I616" t="n">
        <v>0</v>
      </c>
      <c r="J616" t="n">
        <v>0</v>
      </c>
      <c r="K616" t="n">
        <v>0</v>
      </c>
      <c r="L616" t="n">
        <v>0</v>
      </c>
      <c r="M616" t="n">
        <v>0</v>
      </c>
      <c r="N616" t="n">
        <v>0</v>
      </c>
      <c r="O616" t="n">
        <v>0</v>
      </c>
      <c r="P616" t="n">
        <v>0</v>
      </c>
      <c r="Q616" t="n">
        <v>0</v>
      </c>
      <c r="R616" s="2" t="inlineStr"/>
    </row>
    <row r="617" ht="15" customHeight="1">
      <c r="A617" t="inlineStr">
        <is>
          <t>A 62366-2018</t>
        </is>
      </c>
      <c r="B617" s="1" t="n">
        <v>43416</v>
      </c>
      <c r="C617" s="1" t="n">
        <v>45344</v>
      </c>
      <c r="D617" t="inlineStr">
        <is>
          <t>GÄVLEBORGS LÄN</t>
        </is>
      </c>
      <c r="E617" t="inlineStr">
        <is>
          <t>LJUSDAL</t>
        </is>
      </c>
      <c r="F617" t="inlineStr">
        <is>
          <t>Bergvik skog väst AB</t>
        </is>
      </c>
      <c r="G617" t="n">
        <v>11.4</v>
      </c>
      <c r="H617" t="n">
        <v>0</v>
      </c>
      <c r="I617" t="n">
        <v>0</v>
      </c>
      <c r="J617" t="n">
        <v>0</v>
      </c>
      <c r="K617" t="n">
        <v>0</v>
      </c>
      <c r="L617" t="n">
        <v>0</v>
      </c>
      <c r="M617" t="n">
        <v>0</v>
      </c>
      <c r="N617" t="n">
        <v>0</v>
      </c>
      <c r="O617" t="n">
        <v>0</v>
      </c>
      <c r="P617" t="n">
        <v>0</v>
      </c>
      <c r="Q617" t="n">
        <v>0</v>
      </c>
      <c r="R617" s="2" t="inlineStr"/>
    </row>
    <row r="618" ht="15" customHeight="1">
      <c r="A618" t="inlineStr">
        <is>
          <t>A 62021-2018</t>
        </is>
      </c>
      <c r="B618" s="1" t="n">
        <v>43416</v>
      </c>
      <c r="C618" s="1" t="n">
        <v>45344</v>
      </c>
      <c r="D618" t="inlineStr">
        <is>
          <t>GÄVLEBORGS LÄN</t>
        </is>
      </c>
      <c r="E618" t="inlineStr">
        <is>
          <t>OVANÅKER</t>
        </is>
      </c>
      <c r="G618" t="n">
        <v>1.4</v>
      </c>
      <c r="H618" t="n">
        <v>0</v>
      </c>
      <c r="I618" t="n">
        <v>0</v>
      </c>
      <c r="J618" t="n">
        <v>0</v>
      </c>
      <c r="K618" t="n">
        <v>0</v>
      </c>
      <c r="L618" t="n">
        <v>0</v>
      </c>
      <c r="M618" t="n">
        <v>0</v>
      </c>
      <c r="N618" t="n">
        <v>0</v>
      </c>
      <c r="O618" t="n">
        <v>0</v>
      </c>
      <c r="P618" t="n">
        <v>0</v>
      </c>
      <c r="Q618" t="n">
        <v>0</v>
      </c>
      <c r="R618" s="2" t="inlineStr"/>
    </row>
    <row r="619" ht="15" customHeight="1">
      <c r="A619" t="inlineStr">
        <is>
          <t>A 62363-2018</t>
        </is>
      </c>
      <c r="B619" s="1" t="n">
        <v>43416</v>
      </c>
      <c r="C619" s="1" t="n">
        <v>45344</v>
      </c>
      <c r="D619" t="inlineStr">
        <is>
          <t>GÄVLEBORGS LÄN</t>
        </is>
      </c>
      <c r="E619" t="inlineStr">
        <is>
          <t>SANDVIKEN</t>
        </is>
      </c>
      <c r="G619" t="n">
        <v>0.7</v>
      </c>
      <c r="H619" t="n">
        <v>0</v>
      </c>
      <c r="I619" t="n">
        <v>0</v>
      </c>
      <c r="J619" t="n">
        <v>0</v>
      </c>
      <c r="K619" t="n">
        <v>0</v>
      </c>
      <c r="L619" t="n">
        <v>0</v>
      </c>
      <c r="M619" t="n">
        <v>0</v>
      </c>
      <c r="N619" t="n">
        <v>0</v>
      </c>
      <c r="O619" t="n">
        <v>0</v>
      </c>
      <c r="P619" t="n">
        <v>0</v>
      </c>
      <c r="Q619" t="n">
        <v>0</v>
      </c>
      <c r="R619" s="2" t="inlineStr"/>
    </row>
    <row r="620" ht="15" customHeight="1">
      <c r="A620" t="inlineStr">
        <is>
          <t>A 63416-2018</t>
        </is>
      </c>
      <c r="B620" s="1" t="n">
        <v>43416</v>
      </c>
      <c r="C620" s="1" t="n">
        <v>45344</v>
      </c>
      <c r="D620" t="inlineStr">
        <is>
          <t>GÄVLEBORGS LÄN</t>
        </is>
      </c>
      <c r="E620" t="inlineStr">
        <is>
          <t>OVANÅKER</t>
        </is>
      </c>
      <c r="G620" t="n">
        <v>1.9</v>
      </c>
      <c r="H620" t="n">
        <v>0</v>
      </c>
      <c r="I620" t="n">
        <v>0</v>
      </c>
      <c r="J620" t="n">
        <v>0</v>
      </c>
      <c r="K620" t="n">
        <v>0</v>
      </c>
      <c r="L620" t="n">
        <v>0</v>
      </c>
      <c r="M620" t="n">
        <v>0</v>
      </c>
      <c r="N620" t="n">
        <v>0</v>
      </c>
      <c r="O620" t="n">
        <v>0</v>
      </c>
      <c r="P620" t="n">
        <v>0</v>
      </c>
      <c r="Q620" t="n">
        <v>0</v>
      </c>
      <c r="R620" s="2" t="inlineStr"/>
    </row>
    <row r="621" ht="15" customHeight="1">
      <c r="A621" t="inlineStr">
        <is>
          <t>A 62364-2018</t>
        </is>
      </c>
      <c r="B621" s="1" t="n">
        <v>43416</v>
      </c>
      <c r="C621" s="1" t="n">
        <v>45344</v>
      </c>
      <c r="D621" t="inlineStr">
        <is>
          <t>GÄVLEBORGS LÄN</t>
        </is>
      </c>
      <c r="E621" t="inlineStr">
        <is>
          <t>LJUSDAL</t>
        </is>
      </c>
      <c r="F621" t="inlineStr">
        <is>
          <t>Bergvik skog väst AB</t>
        </is>
      </c>
      <c r="G621" t="n">
        <v>11.4</v>
      </c>
      <c r="H621" t="n">
        <v>0</v>
      </c>
      <c r="I621" t="n">
        <v>0</v>
      </c>
      <c r="J621" t="n">
        <v>0</v>
      </c>
      <c r="K621" t="n">
        <v>0</v>
      </c>
      <c r="L621" t="n">
        <v>0</v>
      </c>
      <c r="M621" t="n">
        <v>0</v>
      </c>
      <c r="N621" t="n">
        <v>0</v>
      </c>
      <c r="O621" t="n">
        <v>0</v>
      </c>
      <c r="P621" t="n">
        <v>0</v>
      </c>
      <c r="Q621" t="n">
        <v>0</v>
      </c>
      <c r="R621" s="2" t="inlineStr"/>
    </row>
    <row r="622" ht="15" customHeight="1">
      <c r="A622" t="inlineStr">
        <is>
          <t>A 59335-2018</t>
        </is>
      </c>
      <c r="B622" s="1" t="n">
        <v>43418</v>
      </c>
      <c r="C622" s="1" t="n">
        <v>45344</v>
      </c>
      <c r="D622" t="inlineStr">
        <is>
          <t>GÄVLEBORGS LÄN</t>
        </is>
      </c>
      <c r="E622" t="inlineStr">
        <is>
          <t>HUDIKSVALL</t>
        </is>
      </c>
      <c r="G622" t="n">
        <v>1.4</v>
      </c>
      <c r="H622" t="n">
        <v>0</v>
      </c>
      <c r="I622" t="n">
        <v>0</v>
      </c>
      <c r="J622" t="n">
        <v>0</v>
      </c>
      <c r="K622" t="n">
        <v>0</v>
      </c>
      <c r="L622" t="n">
        <v>0</v>
      </c>
      <c r="M622" t="n">
        <v>0</v>
      </c>
      <c r="N622" t="n">
        <v>0</v>
      </c>
      <c r="O622" t="n">
        <v>0</v>
      </c>
      <c r="P622" t="n">
        <v>0</v>
      </c>
      <c r="Q622" t="n">
        <v>0</v>
      </c>
      <c r="R622" s="2" t="inlineStr"/>
    </row>
    <row r="623" ht="15" customHeight="1">
      <c r="A623" t="inlineStr">
        <is>
          <t>A 59397-2018</t>
        </is>
      </c>
      <c r="B623" s="1" t="n">
        <v>43418</v>
      </c>
      <c r="C623" s="1" t="n">
        <v>45344</v>
      </c>
      <c r="D623" t="inlineStr">
        <is>
          <t>GÄVLEBORGS LÄN</t>
        </is>
      </c>
      <c r="E623" t="inlineStr">
        <is>
          <t>GÄVLE</t>
        </is>
      </c>
      <c r="G623" t="n">
        <v>1.9</v>
      </c>
      <c r="H623" t="n">
        <v>0</v>
      </c>
      <c r="I623" t="n">
        <v>0</v>
      </c>
      <c r="J623" t="n">
        <v>0</v>
      </c>
      <c r="K623" t="n">
        <v>0</v>
      </c>
      <c r="L623" t="n">
        <v>0</v>
      </c>
      <c r="M623" t="n">
        <v>0</v>
      </c>
      <c r="N623" t="n">
        <v>0</v>
      </c>
      <c r="O623" t="n">
        <v>0</v>
      </c>
      <c r="P623" t="n">
        <v>0</v>
      </c>
      <c r="Q623" t="n">
        <v>0</v>
      </c>
      <c r="R623" s="2" t="inlineStr"/>
    </row>
    <row r="624" ht="15" customHeight="1">
      <c r="A624" t="inlineStr">
        <is>
          <t>A 63067-2018</t>
        </is>
      </c>
      <c r="B624" s="1" t="n">
        <v>43418</v>
      </c>
      <c r="C624" s="1" t="n">
        <v>45344</v>
      </c>
      <c r="D624" t="inlineStr">
        <is>
          <t>GÄVLEBORGS LÄN</t>
        </is>
      </c>
      <c r="E624" t="inlineStr">
        <is>
          <t>GÄVLE</t>
        </is>
      </c>
      <c r="F624" t="inlineStr">
        <is>
          <t>Bergvik skog väst AB</t>
        </is>
      </c>
      <c r="G624" t="n">
        <v>1.7</v>
      </c>
      <c r="H624" t="n">
        <v>0</v>
      </c>
      <c r="I624" t="n">
        <v>0</v>
      </c>
      <c r="J624" t="n">
        <v>0</v>
      </c>
      <c r="K624" t="n">
        <v>0</v>
      </c>
      <c r="L624" t="n">
        <v>0</v>
      </c>
      <c r="M624" t="n">
        <v>0</v>
      </c>
      <c r="N624" t="n">
        <v>0</v>
      </c>
      <c r="O624" t="n">
        <v>0</v>
      </c>
      <c r="P624" t="n">
        <v>0</v>
      </c>
      <c r="Q624" t="n">
        <v>0</v>
      </c>
      <c r="R624" s="2" t="inlineStr"/>
    </row>
    <row r="625" ht="15" customHeight="1">
      <c r="A625" t="inlineStr">
        <is>
          <t>A 59345-2018</t>
        </is>
      </c>
      <c r="B625" s="1" t="n">
        <v>43418</v>
      </c>
      <c r="C625" s="1" t="n">
        <v>45344</v>
      </c>
      <c r="D625" t="inlineStr">
        <is>
          <t>GÄVLEBORGS LÄN</t>
        </is>
      </c>
      <c r="E625" t="inlineStr">
        <is>
          <t>HUDIKSVALL</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63169-2018</t>
        </is>
      </c>
      <c r="B626" s="1" t="n">
        <v>43418</v>
      </c>
      <c r="C626" s="1" t="n">
        <v>45344</v>
      </c>
      <c r="D626" t="inlineStr">
        <is>
          <t>GÄVLEBORGS LÄN</t>
        </is>
      </c>
      <c r="E626" t="inlineStr">
        <is>
          <t>BOLLNÄS</t>
        </is>
      </c>
      <c r="G626" t="n">
        <v>0.3</v>
      </c>
      <c r="H626" t="n">
        <v>0</v>
      </c>
      <c r="I626" t="n">
        <v>0</v>
      </c>
      <c r="J626" t="n">
        <v>0</v>
      </c>
      <c r="K626" t="n">
        <v>0</v>
      </c>
      <c r="L626" t="n">
        <v>0</v>
      </c>
      <c r="M626" t="n">
        <v>0</v>
      </c>
      <c r="N626" t="n">
        <v>0</v>
      </c>
      <c r="O626" t="n">
        <v>0</v>
      </c>
      <c r="P626" t="n">
        <v>0</v>
      </c>
      <c r="Q626" t="n">
        <v>0</v>
      </c>
      <c r="R626" s="2" t="inlineStr"/>
    </row>
    <row r="627" ht="15" customHeight="1">
      <c r="A627" t="inlineStr">
        <is>
          <t>A 63168-2018</t>
        </is>
      </c>
      <c r="B627" s="1" t="n">
        <v>43418</v>
      </c>
      <c r="C627" s="1" t="n">
        <v>45344</v>
      </c>
      <c r="D627" t="inlineStr">
        <is>
          <t>GÄVLEBORGS LÄN</t>
        </is>
      </c>
      <c r="E627" t="inlineStr">
        <is>
          <t>BOLLNÄS</t>
        </is>
      </c>
      <c r="G627" t="n">
        <v>0.1</v>
      </c>
      <c r="H627" t="n">
        <v>0</v>
      </c>
      <c r="I627" t="n">
        <v>0</v>
      </c>
      <c r="J627" t="n">
        <v>0</v>
      </c>
      <c r="K627" t="n">
        <v>0</v>
      </c>
      <c r="L627" t="n">
        <v>0</v>
      </c>
      <c r="M627" t="n">
        <v>0</v>
      </c>
      <c r="N627" t="n">
        <v>0</v>
      </c>
      <c r="O627" t="n">
        <v>0</v>
      </c>
      <c r="P627" t="n">
        <v>0</v>
      </c>
      <c r="Q627" t="n">
        <v>0</v>
      </c>
      <c r="R627" s="2" t="inlineStr"/>
    </row>
    <row r="628" ht="15" customHeight="1">
      <c r="A628" t="inlineStr">
        <is>
          <t>A 63026-2018</t>
        </is>
      </c>
      <c r="B628" s="1" t="n">
        <v>43418</v>
      </c>
      <c r="C628" s="1" t="n">
        <v>45344</v>
      </c>
      <c r="D628" t="inlineStr">
        <is>
          <t>GÄVLEBORGS LÄN</t>
        </is>
      </c>
      <c r="E628" t="inlineStr">
        <is>
          <t>BOLLNÄS</t>
        </is>
      </c>
      <c r="G628" t="n">
        <v>0.6</v>
      </c>
      <c r="H628" t="n">
        <v>0</v>
      </c>
      <c r="I628" t="n">
        <v>0</v>
      </c>
      <c r="J628" t="n">
        <v>0</v>
      </c>
      <c r="K628" t="n">
        <v>0</v>
      </c>
      <c r="L628" t="n">
        <v>0</v>
      </c>
      <c r="M628" t="n">
        <v>0</v>
      </c>
      <c r="N628" t="n">
        <v>0</v>
      </c>
      <c r="O628" t="n">
        <v>0</v>
      </c>
      <c r="P628" t="n">
        <v>0</v>
      </c>
      <c r="Q628" t="n">
        <v>0</v>
      </c>
      <c r="R628" s="2" t="inlineStr"/>
    </row>
    <row r="629" ht="15" customHeight="1">
      <c r="A629" t="inlineStr">
        <is>
          <t>A 59347-2018</t>
        </is>
      </c>
      <c r="B629" s="1" t="n">
        <v>43418</v>
      </c>
      <c r="C629" s="1" t="n">
        <v>45344</v>
      </c>
      <c r="D629" t="inlineStr">
        <is>
          <t>GÄVLEBORGS LÄN</t>
        </is>
      </c>
      <c r="E629" t="inlineStr">
        <is>
          <t>HUDIKSVALL</t>
        </is>
      </c>
      <c r="F629" t="inlineStr">
        <is>
          <t>Holmen skog AB</t>
        </is>
      </c>
      <c r="G629" t="n">
        <v>1.7</v>
      </c>
      <c r="H629" t="n">
        <v>0</v>
      </c>
      <c r="I629" t="n">
        <v>0</v>
      </c>
      <c r="J629" t="n">
        <v>0</v>
      </c>
      <c r="K629" t="n">
        <v>0</v>
      </c>
      <c r="L629" t="n">
        <v>0</v>
      </c>
      <c r="M629" t="n">
        <v>0</v>
      </c>
      <c r="N629" t="n">
        <v>0</v>
      </c>
      <c r="O629" t="n">
        <v>0</v>
      </c>
      <c r="P629" t="n">
        <v>0</v>
      </c>
      <c r="Q629" t="n">
        <v>0</v>
      </c>
      <c r="R629" s="2" t="inlineStr"/>
    </row>
    <row r="630" ht="15" customHeight="1">
      <c r="A630" t="inlineStr">
        <is>
          <t>A 59644-2018</t>
        </is>
      </c>
      <c r="B630" s="1" t="n">
        <v>43419</v>
      </c>
      <c r="C630" s="1" t="n">
        <v>45344</v>
      </c>
      <c r="D630" t="inlineStr">
        <is>
          <t>GÄVLEBORGS LÄN</t>
        </is>
      </c>
      <c r="E630" t="inlineStr">
        <is>
          <t>OVANÅKER</t>
        </is>
      </c>
      <c r="G630" t="n">
        <v>1.4</v>
      </c>
      <c r="H630" t="n">
        <v>0</v>
      </c>
      <c r="I630" t="n">
        <v>0</v>
      </c>
      <c r="J630" t="n">
        <v>0</v>
      </c>
      <c r="K630" t="n">
        <v>0</v>
      </c>
      <c r="L630" t="n">
        <v>0</v>
      </c>
      <c r="M630" t="n">
        <v>0</v>
      </c>
      <c r="N630" t="n">
        <v>0</v>
      </c>
      <c r="O630" t="n">
        <v>0</v>
      </c>
      <c r="P630" t="n">
        <v>0</v>
      </c>
      <c r="Q630" t="n">
        <v>0</v>
      </c>
      <c r="R630" s="2" t="inlineStr"/>
    </row>
    <row r="631" ht="15" customHeight="1">
      <c r="A631" t="inlineStr">
        <is>
          <t>A 64500-2018</t>
        </is>
      </c>
      <c r="B631" s="1" t="n">
        <v>43419</v>
      </c>
      <c r="C631" s="1" t="n">
        <v>45344</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59524-2018</t>
        </is>
      </c>
      <c r="B632" s="1" t="n">
        <v>43419</v>
      </c>
      <c r="C632" s="1" t="n">
        <v>45344</v>
      </c>
      <c r="D632" t="inlineStr">
        <is>
          <t>GÄVLEBORGS LÄN</t>
        </is>
      </c>
      <c r="E632" t="inlineStr">
        <is>
          <t>HUDIKSVALL</t>
        </is>
      </c>
      <c r="G632" t="n">
        <v>2.3</v>
      </c>
      <c r="H632" t="n">
        <v>0</v>
      </c>
      <c r="I632" t="n">
        <v>0</v>
      </c>
      <c r="J632" t="n">
        <v>0</v>
      </c>
      <c r="K632" t="n">
        <v>0</v>
      </c>
      <c r="L632" t="n">
        <v>0</v>
      </c>
      <c r="M632" t="n">
        <v>0</v>
      </c>
      <c r="N632" t="n">
        <v>0</v>
      </c>
      <c r="O632" t="n">
        <v>0</v>
      </c>
      <c r="P632" t="n">
        <v>0</v>
      </c>
      <c r="Q632" t="n">
        <v>0</v>
      </c>
      <c r="R632" s="2" t="inlineStr"/>
    </row>
    <row r="633" ht="15" customHeight="1">
      <c r="A633" t="inlineStr">
        <is>
          <t>A 59474-2018</t>
        </is>
      </c>
      <c r="B633" s="1" t="n">
        <v>43419</v>
      </c>
      <c r="C633" s="1" t="n">
        <v>45344</v>
      </c>
      <c r="D633" t="inlineStr">
        <is>
          <t>GÄVLEBORGS LÄN</t>
        </is>
      </c>
      <c r="E633" t="inlineStr">
        <is>
          <t>LJUSDAL</t>
        </is>
      </c>
      <c r="G633" t="n">
        <v>0.6</v>
      </c>
      <c r="H633" t="n">
        <v>0</v>
      </c>
      <c r="I633" t="n">
        <v>0</v>
      </c>
      <c r="J633" t="n">
        <v>0</v>
      </c>
      <c r="K633" t="n">
        <v>0</v>
      </c>
      <c r="L633" t="n">
        <v>0</v>
      </c>
      <c r="M633" t="n">
        <v>0</v>
      </c>
      <c r="N633" t="n">
        <v>0</v>
      </c>
      <c r="O633" t="n">
        <v>0</v>
      </c>
      <c r="P633" t="n">
        <v>0</v>
      </c>
      <c r="Q633" t="n">
        <v>0</v>
      </c>
      <c r="R633" s="2" t="inlineStr"/>
    </row>
    <row r="634" ht="15" customHeight="1">
      <c r="A634" t="inlineStr">
        <is>
          <t>A 59439-2018</t>
        </is>
      </c>
      <c r="B634" s="1" t="n">
        <v>43419</v>
      </c>
      <c r="C634" s="1" t="n">
        <v>45344</v>
      </c>
      <c r="D634" t="inlineStr">
        <is>
          <t>GÄVLEBORGS LÄN</t>
        </is>
      </c>
      <c r="E634" t="inlineStr">
        <is>
          <t>SANDVIKEN</t>
        </is>
      </c>
      <c r="G634" t="n">
        <v>7.9</v>
      </c>
      <c r="H634" t="n">
        <v>0</v>
      </c>
      <c r="I634" t="n">
        <v>0</v>
      </c>
      <c r="J634" t="n">
        <v>0</v>
      </c>
      <c r="K634" t="n">
        <v>0</v>
      </c>
      <c r="L634" t="n">
        <v>0</v>
      </c>
      <c r="M634" t="n">
        <v>0</v>
      </c>
      <c r="N634" t="n">
        <v>0</v>
      </c>
      <c r="O634" t="n">
        <v>0</v>
      </c>
      <c r="P634" t="n">
        <v>0</v>
      </c>
      <c r="Q634" t="n">
        <v>0</v>
      </c>
      <c r="R634" s="2" t="inlineStr"/>
    </row>
    <row r="635" ht="15" customHeight="1">
      <c r="A635" t="inlineStr">
        <is>
          <t>A 59547-2018</t>
        </is>
      </c>
      <c r="B635" s="1" t="n">
        <v>43419</v>
      </c>
      <c r="C635" s="1" t="n">
        <v>45344</v>
      </c>
      <c r="D635" t="inlineStr">
        <is>
          <t>GÄVLEBORGS LÄN</t>
        </is>
      </c>
      <c r="E635" t="inlineStr">
        <is>
          <t>BOLLNÄS</t>
        </is>
      </c>
      <c r="G635" t="n">
        <v>2.1</v>
      </c>
      <c r="H635" t="n">
        <v>0</v>
      </c>
      <c r="I635" t="n">
        <v>0</v>
      </c>
      <c r="J635" t="n">
        <v>0</v>
      </c>
      <c r="K635" t="n">
        <v>0</v>
      </c>
      <c r="L635" t="n">
        <v>0</v>
      </c>
      <c r="M635" t="n">
        <v>0</v>
      </c>
      <c r="N635" t="n">
        <v>0</v>
      </c>
      <c r="O635" t="n">
        <v>0</v>
      </c>
      <c r="P635" t="n">
        <v>0</v>
      </c>
      <c r="Q635" t="n">
        <v>0</v>
      </c>
      <c r="R635" s="2" t="inlineStr"/>
    </row>
    <row r="636" ht="15" customHeight="1">
      <c r="A636" t="inlineStr">
        <is>
          <t>A 59658-2018</t>
        </is>
      </c>
      <c r="B636" s="1" t="n">
        <v>43419</v>
      </c>
      <c r="C636" s="1" t="n">
        <v>45344</v>
      </c>
      <c r="D636" t="inlineStr">
        <is>
          <t>GÄVLEBORGS LÄN</t>
        </is>
      </c>
      <c r="E636" t="inlineStr">
        <is>
          <t>OVANÅKER</t>
        </is>
      </c>
      <c r="G636" t="n">
        <v>1.3</v>
      </c>
      <c r="H636" t="n">
        <v>0</v>
      </c>
      <c r="I636" t="n">
        <v>0</v>
      </c>
      <c r="J636" t="n">
        <v>0</v>
      </c>
      <c r="K636" t="n">
        <v>0</v>
      </c>
      <c r="L636" t="n">
        <v>0</v>
      </c>
      <c r="M636" t="n">
        <v>0</v>
      </c>
      <c r="N636" t="n">
        <v>0</v>
      </c>
      <c r="O636" t="n">
        <v>0</v>
      </c>
      <c r="P636" t="n">
        <v>0</v>
      </c>
      <c r="Q636" t="n">
        <v>0</v>
      </c>
      <c r="R636" s="2" t="inlineStr"/>
    </row>
    <row r="637" ht="15" customHeight="1">
      <c r="A637" t="inlineStr">
        <is>
          <t>A 59643-2018</t>
        </is>
      </c>
      <c r="B637" s="1" t="n">
        <v>43419</v>
      </c>
      <c r="C637" s="1" t="n">
        <v>45344</v>
      </c>
      <c r="D637" t="inlineStr">
        <is>
          <t>GÄVLEBORGS LÄN</t>
        </is>
      </c>
      <c r="E637" t="inlineStr">
        <is>
          <t>OVANÅKER</t>
        </is>
      </c>
      <c r="G637" t="n">
        <v>1.4</v>
      </c>
      <c r="H637" t="n">
        <v>0</v>
      </c>
      <c r="I637" t="n">
        <v>0</v>
      </c>
      <c r="J637" t="n">
        <v>0</v>
      </c>
      <c r="K637" t="n">
        <v>0</v>
      </c>
      <c r="L637" t="n">
        <v>0</v>
      </c>
      <c r="M637" t="n">
        <v>0</v>
      </c>
      <c r="N637" t="n">
        <v>0</v>
      </c>
      <c r="O637" t="n">
        <v>0</v>
      </c>
      <c r="P637" t="n">
        <v>0</v>
      </c>
      <c r="Q637" t="n">
        <v>0</v>
      </c>
      <c r="R637" s="2" t="inlineStr"/>
    </row>
    <row r="638" ht="15" customHeight="1">
      <c r="A638" t="inlineStr">
        <is>
          <t>A 60384-2018</t>
        </is>
      </c>
      <c r="B638" s="1" t="n">
        <v>43420</v>
      </c>
      <c r="C638" s="1" t="n">
        <v>45344</v>
      </c>
      <c r="D638" t="inlineStr">
        <is>
          <t>GÄVLEBORGS LÄN</t>
        </is>
      </c>
      <c r="E638" t="inlineStr">
        <is>
          <t>OCKELBO</t>
        </is>
      </c>
      <c r="G638" t="n">
        <v>2.4</v>
      </c>
      <c r="H638" t="n">
        <v>0</v>
      </c>
      <c r="I638" t="n">
        <v>0</v>
      </c>
      <c r="J638" t="n">
        <v>0</v>
      </c>
      <c r="K638" t="n">
        <v>0</v>
      </c>
      <c r="L638" t="n">
        <v>0</v>
      </c>
      <c r="M638" t="n">
        <v>0</v>
      </c>
      <c r="N638" t="n">
        <v>0</v>
      </c>
      <c r="O638" t="n">
        <v>0</v>
      </c>
      <c r="P638" t="n">
        <v>0</v>
      </c>
      <c r="Q638" t="n">
        <v>0</v>
      </c>
      <c r="R638" s="2" t="inlineStr"/>
    </row>
    <row r="639" ht="15" customHeight="1">
      <c r="A639" t="inlineStr">
        <is>
          <t>A 64639-2018</t>
        </is>
      </c>
      <c r="B639" s="1" t="n">
        <v>43420</v>
      </c>
      <c r="C639" s="1" t="n">
        <v>45344</v>
      </c>
      <c r="D639" t="inlineStr">
        <is>
          <t>GÄVLEBORGS LÄN</t>
        </is>
      </c>
      <c r="E639" t="inlineStr">
        <is>
          <t>SANDVIKEN</t>
        </is>
      </c>
      <c r="F639" t="inlineStr">
        <is>
          <t>Kommuner</t>
        </is>
      </c>
      <c r="G639" t="n">
        <v>2.4</v>
      </c>
      <c r="H639" t="n">
        <v>0</v>
      </c>
      <c r="I639" t="n">
        <v>0</v>
      </c>
      <c r="J639" t="n">
        <v>0</v>
      </c>
      <c r="K639" t="n">
        <v>0</v>
      </c>
      <c r="L639" t="n">
        <v>0</v>
      </c>
      <c r="M639" t="n">
        <v>0</v>
      </c>
      <c r="N639" t="n">
        <v>0</v>
      </c>
      <c r="O639" t="n">
        <v>0</v>
      </c>
      <c r="P639" t="n">
        <v>0</v>
      </c>
      <c r="Q639" t="n">
        <v>0</v>
      </c>
      <c r="R639" s="2" t="inlineStr"/>
    </row>
    <row r="640" ht="15" customHeight="1">
      <c r="A640" t="inlineStr">
        <is>
          <t>A 60349-2018</t>
        </is>
      </c>
      <c r="B640" s="1" t="n">
        <v>43420</v>
      </c>
      <c r="C640" s="1" t="n">
        <v>45344</v>
      </c>
      <c r="D640" t="inlineStr">
        <is>
          <t>GÄVLEBORGS LÄN</t>
        </is>
      </c>
      <c r="E640" t="inlineStr">
        <is>
          <t>OCKELBO</t>
        </is>
      </c>
      <c r="G640" t="n">
        <v>1</v>
      </c>
      <c r="H640" t="n">
        <v>0</v>
      </c>
      <c r="I640" t="n">
        <v>0</v>
      </c>
      <c r="J640" t="n">
        <v>0</v>
      </c>
      <c r="K640" t="n">
        <v>0</v>
      </c>
      <c r="L640" t="n">
        <v>0</v>
      </c>
      <c r="M640" t="n">
        <v>0</v>
      </c>
      <c r="N640" t="n">
        <v>0</v>
      </c>
      <c r="O640" t="n">
        <v>0</v>
      </c>
      <c r="P640" t="n">
        <v>0</v>
      </c>
      <c r="Q640" t="n">
        <v>0</v>
      </c>
      <c r="R640" s="2" t="inlineStr"/>
    </row>
    <row r="641" ht="15" customHeight="1">
      <c r="A641" t="inlineStr">
        <is>
          <t>A 60332-2018</t>
        </is>
      </c>
      <c r="B641" s="1" t="n">
        <v>43420</v>
      </c>
      <c r="C641" s="1" t="n">
        <v>45344</v>
      </c>
      <c r="D641" t="inlineStr">
        <is>
          <t>GÄVLEBORGS LÄN</t>
        </is>
      </c>
      <c r="E641" t="inlineStr">
        <is>
          <t>LJUSDAL</t>
        </is>
      </c>
      <c r="G641" t="n">
        <v>17.1</v>
      </c>
      <c r="H641" t="n">
        <v>0</v>
      </c>
      <c r="I641" t="n">
        <v>0</v>
      </c>
      <c r="J641" t="n">
        <v>0</v>
      </c>
      <c r="K641" t="n">
        <v>0</v>
      </c>
      <c r="L641" t="n">
        <v>0</v>
      </c>
      <c r="M641" t="n">
        <v>0</v>
      </c>
      <c r="N641" t="n">
        <v>0</v>
      </c>
      <c r="O641" t="n">
        <v>0</v>
      </c>
      <c r="P641" t="n">
        <v>0</v>
      </c>
      <c r="Q641" t="n">
        <v>0</v>
      </c>
      <c r="R641" s="2" t="inlineStr"/>
    </row>
    <row r="642" ht="15" customHeight="1">
      <c r="A642" t="inlineStr">
        <is>
          <t>A 60378-2018</t>
        </is>
      </c>
      <c r="B642" s="1" t="n">
        <v>43420</v>
      </c>
      <c r="C642" s="1" t="n">
        <v>45344</v>
      </c>
      <c r="D642" t="inlineStr">
        <is>
          <t>GÄVLEBORGS LÄN</t>
        </is>
      </c>
      <c r="E642" t="inlineStr">
        <is>
          <t>OCKELBO</t>
        </is>
      </c>
      <c r="G642" t="n">
        <v>2.5</v>
      </c>
      <c r="H642" t="n">
        <v>0</v>
      </c>
      <c r="I642" t="n">
        <v>0</v>
      </c>
      <c r="J642" t="n">
        <v>0</v>
      </c>
      <c r="K642" t="n">
        <v>0</v>
      </c>
      <c r="L642" t="n">
        <v>0</v>
      </c>
      <c r="M642" t="n">
        <v>0</v>
      </c>
      <c r="N642" t="n">
        <v>0</v>
      </c>
      <c r="O642" t="n">
        <v>0</v>
      </c>
      <c r="P642" t="n">
        <v>0</v>
      </c>
      <c r="Q642" t="n">
        <v>0</v>
      </c>
      <c r="R642" s="2" t="inlineStr"/>
    </row>
    <row r="643" ht="15" customHeight="1">
      <c r="A643" t="inlineStr">
        <is>
          <t>A 60387-2018</t>
        </is>
      </c>
      <c r="B643" s="1" t="n">
        <v>43420</v>
      </c>
      <c r="C643" s="1" t="n">
        <v>45344</v>
      </c>
      <c r="D643" t="inlineStr">
        <is>
          <t>GÄVLEBORGS LÄN</t>
        </is>
      </c>
      <c r="E643" t="inlineStr">
        <is>
          <t>LJUSDAL</t>
        </is>
      </c>
      <c r="G643" t="n">
        <v>1.7</v>
      </c>
      <c r="H643" t="n">
        <v>0</v>
      </c>
      <c r="I643" t="n">
        <v>0</v>
      </c>
      <c r="J643" t="n">
        <v>0</v>
      </c>
      <c r="K643" t="n">
        <v>0</v>
      </c>
      <c r="L643" t="n">
        <v>0</v>
      </c>
      <c r="M643" t="n">
        <v>0</v>
      </c>
      <c r="N643" t="n">
        <v>0</v>
      </c>
      <c r="O643" t="n">
        <v>0</v>
      </c>
      <c r="P643" t="n">
        <v>0</v>
      </c>
      <c r="Q643" t="n">
        <v>0</v>
      </c>
      <c r="R643" s="2" t="inlineStr"/>
    </row>
    <row r="644" ht="15" customHeight="1">
      <c r="A644" t="inlineStr">
        <is>
          <t>A 60392-2018</t>
        </is>
      </c>
      <c r="B644" s="1" t="n">
        <v>43420</v>
      </c>
      <c r="C644" s="1" t="n">
        <v>45344</v>
      </c>
      <c r="D644" t="inlineStr">
        <is>
          <t>GÄVLEBORGS LÄN</t>
        </is>
      </c>
      <c r="E644" t="inlineStr">
        <is>
          <t>OCKELBO</t>
        </is>
      </c>
      <c r="G644" t="n">
        <v>1.7</v>
      </c>
      <c r="H644" t="n">
        <v>0</v>
      </c>
      <c r="I644" t="n">
        <v>0</v>
      </c>
      <c r="J644" t="n">
        <v>0</v>
      </c>
      <c r="K644" t="n">
        <v>0</v>
      </c>
      <c r="L644" t="n">
        <v>0</v>
      </c>
      <c r="M644" t="n">
        <v>0</v>
      </c>
      <c r="N644" t="n">
        <v>0</v>
      </c>
      <c r="O644" t="n">
        <v>0</v>
      </c>
      <c r="P644" t="n">
        <v>0</v>
      </c>
      <c r="Q644" t="n">
        <v>0</v>
      </c>
      <c r="R644" s="2" t="inlineStr"/>
    </row>
    <row r="645" ht="15" customHeight="1">
      <c r="A645" t="inlineStr">
        <is>
          <t>A 60355-2018</t>
        </is>
      </c>
      <c r="B645" s="1" t="n">
        <v>43420</v>
      </c>
      <c r="C645" s="1" t="n">
        <v>45344</v>
      </c>
      <c r="D645" t="inlineStr">
        <is>
          <t>GÄVLEBORGS LÄN</t>
        </is>
      </c>
      <c r="E645" t="inlineStr">
        <is>
          <t>LJUSDAL</t>
        </is>
      </c>
      <c r="G645" t="n">
        <v>0.8</v>
      </c>
      <c r="H645" t="n">
        <v>0</v>
      </c>
      <c r="I645" t="n">
        <v>0</v>
      </c>
      <c r="J645" t="n">
        <v>0</v>
      </c>
      <c r="K645" t="n">
        <v>0</v>
      </c>
      <c r="L645" t="n">
        <v>0</v>
      </c>
      <c r="M645" t="n">
        <v>0</v>
      </c>
      <c r="N645" t="n">
        <v>0</v>
      </c>
      <c r="O645" t="n">
        <v>0</v>
      </c>
      <c r="P645" t="n">
        <v>0</v>
      </c>
      <c r="Q645" t="n">
        <v>0</v>
      </c>
      <c r="R645" s="2" t="inlineStr"/>
    </row>
    <row r="646" ht="15" customHeight="1">
      <c r="A646" t="inlineStr">
        <is>
          <t>A 60361-2018</t>
        </is>
      </c>
      <c r="B646" s="1" t="n">
        <v>43420</v>
      </c>
      <c r="C646" s="1" t="n">
        <v>45344</v>
      </c>
      <c r="D646" t="inlineStr">
        <is>
          <t>GÄVLEBORGS LÄN</t>
        </is>
      </c>
      <c r="E646" t="inlineStr">
        <is>
          <t>OCKELBO</t>
        </is>
      </c>
      <c r="G646" t="n">
        <v>3.8</v>
      </c>
      <c r="H646" t="n">
        <v>0</v>
      </c>
      <c r="I646" t="n">
        <v>0</v>
      </c>
      <c r="J646" t="n">
        <v>0</v>
      </c>
      <c r="K646" t="n">
        <v>0</v>
      </c>
      <c r="L646" t="n">
        <v>0</v>
      </c>
      <c r="M646" t="n">
        <v>0</v>
      </c>
      <c r="N646" t="n">
        <v>0</v>
      </c>
      <c r="O646" t="n">
        <v>0</v>
      </c>
      <c r="P646" t="n">
        <v>0</v>
      </c>
      <c r="Q646" t="n">
        <v>0</v>
      </c>
      <c r="R646" s="2" t="inlineStr"/>
    </row>
    <row r="647" ht="15" customHeight="1">
      <c r="A647" t="inlineStr">
        <is>
          <t>A 60367-2018</t>
        </is>
      </c>
      <c r="B647" s="1" t="n">
        <v>43420</v>
      </c>
      <c r="C647" s="1" t="n">
        <v>45344</v>
      </c>
      <c r="D647" t="inlineStr">
        <is>
          <t>GÄVLEBORGS LÄN</t>
        </is>
      </c>
      <c r="E647" t="inlineStr">
        <is>
          <t>BOLLNÄS</t>
        </is>
      </c>
      <c r="G647" t="n">
        <v>2.6</v>
      </c>
      <c r="H647" t="n">
        <v>0</v>
      </c>
      <c r="I647" t="n">
        <v>0</v>
      </c>
      <c r="J647" t="n">
        <v>0</v>
      </c>
      <c r="K647" t="n">
        <v>0</v>
      </c>
      <c r="L647" t="n">
        <v>0</v>
      </c>
      <c r="M647" t="n">
        <v>0</v>
      </c>
      <c r="N647" t="n">
        <v>0</v>
      </c>
      <c r="O647" t="n">
        <v>0</v>
      </c>
      <c r="P647" t="n">
        <v>0</v>
      </c>
      <c r="Q647" t="n">
        <v>0</v>
      </c>
      <c r="R647" s="2" t="inlineStr"/>
    </row>
    <row r="648" ht="15" customHeight="1">
      <c r="A648" t="inlineStr">
        <is>
          <t>A 60344-2018</t>
        </is>
      </c>
      <c r="B648" s="1" t="n">
        <v>43420</v>
      </c>
      <c r="C648" s="1" t="n">
        <v>45344</v>
      </c>
      <c r="D648" t="inlineStr">
        <is>
          <t>GÄVLEBORGS LÄN</t>
        </is>
      </c>
      <c r="E648" t="inlineStr">
        <is>
          <t>OCKELBO</t>
        </is>
      </c>
      <c r="G648" t="n">
        <v>1.5</v>
      </c>
      <c r="H648" t="n">
        <v>0</v>
      </c>
      <c r="I648" t="n">
        <v>0</v>
      </c>
      <c r="J648" t="n">
        <v>0</v>
      </c>
      <c r="K648" t="n">
        <v>0</v>
      </c>
      <c r="L648" t="n">
        <v>0</v>
      </c>
      <c r="M648" t="n">
        <v>0</v>
      </c>
      <c r="N648" t="n">
        <v>0</v>
      </c>
      <c r="O648" t="n">
        <v>0</v>
      </c>
      <c r="P648" t="n">
        <v>0</v>
      </c>
      <c r="Q648" t="n">
        <v>0</v>
      </c>
      <c r="R648" s="2" t="inlineStr"/>
    </row>
    <row r="649" ht="15" customHeight="1">
      <c r="A649" t="inlineStr">
        <is>
          <t>A 60310-2018</t>
        </is>
      </c>
      <c r="B649" s="1" t="n">
        <v>43420</v>
      </c>
      <c r="C649" s="1" t="n">
        <v>45344</v>
      </c>
      <c r="D649" t="inlineStr">
        <is>
          <t>GÄVLEBORGS LÄN</t>
        </is>
      </c>
      <c r="E649" t="inlineStr">
        <is>
          <t>OCKELBO</t>
        </is>
      </c>
      <c r="G649" t="n">
        <v>10</v>
      </c>
      <c r="H649" t="n">
        <v>0</v>
      </c>
      <c r="I649" t="n">
        <v>0</v>
      </c>
      <c r="J649" t="n">
        <v>0</v>
      </c>
      <c r="K649" t="n">
        <v>0</v>
      </c>
      <c r="L649" t="n">
        <v>0</v>
      </c>
      <c r="M649" t="n">
        <v>0</v>
      </c>
      <c r="N649" t="n">
        <v>0</v>
      </c>
      <c r="O649" t="n">
        <v>0</v>
      </c>
      <c r="P649" t="n">
        <v>0</v>
      </c>
      <c r="Q649" t="n">
        <v>0</v>
      </c>
      <c r="R649" s="2" t="inlineStr"/>
    </row>
    <row r="650" ht="15" customHeight="1">
      <c r="A650" t="inlineStr">
        <is>
          <t>A 61275-2018</t>
        </is>
      </c>
      <c r="B650" s="1" t="n">
        <v>43423</v>
      </c>
      <c r="C650" s="1" t="n">
        <v>45344</v>
      </c>
      <c r="D650" t="inlineStr">
        <is>
          <t>GÄVLEBORGS LÄN</t>
        </is>
      </c>
      <c r="E650" t="inlineStr">
        <is>
          <t>NORDANSTIG</t>
        </is>
      </c>
      <c r="G650" t="n">
        <v>2</v>
      </c>
      <c r="H650" t="n">
        <v>0</v>
      </c>
      <c r="I650" t="n">
        <v>0</v>
      </c>
      <c r="J650" t="n">
        <v>0</v>
      </c>
      <c r="K650" t="n">
        <v>0</v>
      </c>
      <c r="L650" t="n">
        <v>0</v>
      </c>
      <c r="M650" t="n">
        <v>0</v>
      </c>
      <c r="N650" t="n">
        <v>0</v>
      </c>
      <c r="O650" t="n">
        <v>0</v>
      </c>
      <c r="P650" t="n">
        <v>0</v>
      </c>
      <c r="Q650" t="n">
        <v>0</v>
      </c>
      <c r="R650" s="2" t="inlineStr"/>
    </row>
    <row r="651" ht="15" customHeight="1">
      <c r="A651" t="inlineStr">
        <is>
          <t>A 61276-2018</t>
        </is>
      </c>
      <c r="B651" s="1" t="n">
        <v>43423</v>
      </c>
      <c r="C651" s="1" t="n">
        <v>45344</v>
      </c>
      <c r="D651" t="inlineStr">
        <is>
          <t>GÄVLEBORGS LÄN</t>
        </is>
      </c>
      <c r="E651" t="inlineStr">
        <is>
          <t>NORDANSTIG</t>
        </is>
      </c>
      <c r="G651" t="n">
        <v>23.6</v>
      </c>
      <c r="H651" t="n">
        <v>0</v>
      </c>
      <c r="I651" t="n">
        <v>0</v>
      </c>
      <c r="J651" t="n">
        <v>0</v>
      </c>
      <c r="K651" t="n">
        <v>0</v>
      </c>
      <c r="L651" t="n">
        <v>0</v>
      </c>
      <c r="M651" t="n">
        <v>0</v>
      </c>
      <c r="N651" t="n">
        <v>0</v>
      </c>
      <c r="O651" t="n">
        <v>0</v>
      </c>
      <c r="P651" t="n">
        <v>0</v>
      </c>
      <c r="Q651" t="n">
        <v>0</v>
      </c>
      <c r="R651" s="2" t="inlineStr"/>
    </row>
    <row r="652" ht="15" customHeight="1">
      <c r="A652" t="inlineStr">
        <is>
          <t>A 61034-2018</t>
        </is>
      </c>
      <c r="B652" s="1" t="n">
        <v>43423</v>
      </c>
      <c r="C652" s="1" t="n">
        <v>45344</v>
      </c>
      <c r="D652" t="inlineStr">
        <is>
          <t>GÄVLEBORGS LÄN</t>
        </is>
      </c>
      <c r="E652" t="inlineStr">
        <is>
          <t>NORDANSTIG</t>
        </is>
      </c>
      <c r="G652" t="n">
        <v>1.7</v>
      </c>
      <c r="H652" t="n">
        <v>0</v>
      </c>
      <c r="I652" t="n">
        <v>0</v>
      </c>
      <c r="J652" t="n">
        <v>0</v>
      </c>
      <c r="K652" t="n">
        <v>0</v>
      </c>
      <c r="L652" t="n">
        <v>0</v>
      </c>
      <c r="M652" t="n">
        <v>0</v>
      </c>
      <c r="N652" t="n">
        <v>0</v>
      </c>
      <c r="O652" t="n">
        <v>0</v>
      </c>
      <c r="P652" t="n">
        <v>0</v>
      </c>
      <c r="Q652" t="n">
        <v>0</v>
      </c>
      <c r="R652" s="2" t="inlineStr"/>
    </row>
    <row r="653" ht="15" customHeight="1">
      <c r="A653" t="inlineStr">
        <is>
          <t>A 64795-2018</t>
        </is>
      </c>
      <c r="B653" s="1" t="n">
        <v>43423</v>
      </c>
      <c r="C653" s="1" t="n">
        <v>45344</v>
      </c>
      <c r="D653" t="inlineStr">
        <is>
          <t>GÄVLEBORGS LÄN</t>
        </is>
      </c>
      <c r="E653" t="inlineStr">
        <is>
          <t>GÄVLE</t>
        </is>
      </c>
      <c r="G653" t="n">
        <v>0.8</v>
      </c>
      <c r="H653" t="n">
        <v>0</v>
      </c>
      <c r="I653" t="n">
        <v>0</v>
      </c>
      <c r="J653" t="n">
        <v>0</v>
      </c>
      <c r="K653" t="n">
        <v>0</v>
      </c>
      <c r="L653" t="n">
        <v>0</v>
      </c>
      <c r="M653" t="n">
        <v>0</v>
      </c>
      <c r="N653" t="n">
        <v>0</v>
      </c>
      <c r="O653" t="n">
        <v>0</v>
      </c>
      <c r="P653" t="n">
        <v>0</v>
      </c>
      <c r="Q653" t="n">
        <v>0</v>
      </c>
      <c r="R653" s="2" t="inlineStr"/>
    </row>
    <row r="654" ht="15" customHeight="1">
      <c r="A654" t="inlineStr">
        <is>
          <t>A 61253-2018</t>
        </is>
      </c>
      <c r="B654" s="1" t="n">
        <v>43423</v>
      </c>
      <c r="C654" s="1" t="n">
        <v>45344</v>
      </c>
      <c r="D654" t="inlineStr">
        <is>
          <t>GÄVLEBORGS LÄN</t>
        </is>
      </c>
      <c r="E654" t="inlineStr">
        <is>
          <t>HUDIKSVALL</t>
        </is>
      </c>
      <c r="G654" t="n">
        <v>1.4</v>
      </c>
      <c r="H654" t="n">
        <v>0</v>
      </c>
      <c r="I654" t="n">
        <v>0</v>
      </c>
      <c r="J654" t="n">
        <v>0</v>
      </c>
      <c r="K654" t="n">
        <v>0</v>
      </c>
      <c r="L654" t="n">
        <v>0</v>
      </c>
      <c r="M654" t="n">
        <v>0</v>
      </c>
      <c r="N654" t="n">
        <v>0</v>
      </c>
      <c r="O654" t="n">
        <v>0</v>
      </c>
      <c r="P654" t="n">
        <v>0</v>
      </c>
      <c r="Q654" t="n">
        <v>0</v>
      </c>
      <c r="R654" s="2" t="inlineStr"/>
    </row>
    <row r="655" ht="15" customHeight="1">
      <c r="A655" t="inlineStr">
        <is>
          <t>A 61335-2018</t>
        </is>
      </c>
      <c r="B655" s="1" t="n">
        <v>43424</v>
      </c>
      <c r="C655" s="1" t="n">
        <v>45344</v>
      </c>
      <c r="D655" t="inlineStr">
        <is>
          <t>GÄVLEBORGS LÄN</t>
        </is>
      </c>
      <c r="E655" t="inlineStr">
        <is>
          <t>OVANÅKER</t>
        </is>
      </c>
      <c r="G655" t="n">
        <v>2.6</v>
      </c>
      <c r="H655" t="n">
        <v>0</v>
      </c>
      <c r="I655" t="n">
        <v>0</v>
      </c>
      <c r="J655" t="n">
        <v>0</v>
      </c>
      <c r="K655" t="n">
        <v>0</v>
      </c>
      <c r="L655" t="n">
        <v>0</v>
      </c>
      <c r="M655" t="n">
        <v>0</v>
      </c>
      <c r="N655" t="n">
        <v>0</v>
      </c>
      <c r="O655" t="n">
        <v>0</v>
      </c>
      <c r="P655" t="n">
        <v>0</v>
      </c>
      <c r="Q655" t="n">
        <v>0</v>
      </c>
      <c r="R655" s="2" t="inlineStr"/>
    </row>
    <row r="656" ht="15" customHeight="1">
      <c r="A656" t="inlineStr">
        <is>
          <t>A 61419-2018</t>
        </is>
      </c>
      <c r="B656" s="1" t="n">
        <v>43424</v>
      </c>
      <c r="C656" s="1" t="n">
        <v>45344</v>
      </c>
      <c r="D656" t="inlineStr">
        <is>
          <t>GÄVLEBORGS LÄN</t>
        </is>
      </c>
      <c r="E656" t="inlineStr">
        <is>
          <t>BOLLNÄS</t>
        </is>
      </c>
      <c r="G656" t="n">
        <v>1.8</v>
      </c>
      <c r="H656" t="n">
        <v>0</v>
      </c>
      <c r="I656" t="n">
        <v>0</v>
      </c>
      <c r="J656" t="n">
        <v>0</v>
      </c>
      <c r="K656" t="n">
        <v>0</v>
      </c>
      <c r="L656" t="n">
        <v>0</v>
      </c>
      <c r="M656" t="n">
        <v>0</v>
      </c>
      <c r="N656" t="n">
        <v>0</v>
      </c>
      <c r="O656" t="n">
        <v>0</v>
      </c>
      <c r="P656" t="n">
        <v>0</v>
      </c>
      <c r="Q656" t="n">
        <v>0</v>
      </c>
      <c r="R656" s="2" t="inlineStr"/>
    </row>
    <row r="657" ht="15" customHeight="1">
      <c r="A657" t="inlineStr">
        <is>
          <t>A 61588-2018</t>
        </is>
      </c>
      <c r="B657" s="1" t="n">
        <v>43424</v>
      </c>
      <c r="C657" s="1" t="n">
        <v>45344</v>
      </c>
      <c r="D657" t="inlineStr">
        <is>
          <t>GÄVLEBORGS LÄN</t>
        </is>
      </c>
      <c r="E657" t="inlineStr">
        <is>
          <t>HUDIKSVALL</t>
        </is>
      </c>
      <c r="G657" t="n">
        <v>1.1</v>
      </c>
      <c r="H657" t="n">
        <v>0</v>
      </c>
      <c r="I657" t="n">
        <v>0</v>
      </c>
      <c r="J657" t="n">
        <v>0</v>
      </c>
      <c r="K657" t="n">
        <v>0</v>
      </c>
      <c r="L657" t="n">
        <v>0</v>
      </c>
      <c r="M657" t="n">
        <v>0</v>
      </c>
      <c r="N657" t="n">
        <v>0</v>
      </c>
      <c r="O657" t="n">
        <v>0</v>
      </c>
      <c r="P657" t="n">
        <v>0</v>
      </c>
      <c r="Q657" t="n">
        <v>0</v>
      </c>
      <c r="R657" s="2" t="inlineStr"/>
    </row>
    <row r="658" ht="15" customHeight="1">
      <c r="A658" t="inlineStr">
        <is>
          <t>A 61453-2018</t>
        </is>
      </c>
      <c r="B658" s="1" t="n">
        <v>43424</v>
      </c>
      <c r="C658" s="1" t="n">
        <v>45344</v>
      </c>
      <c r="D658" t="inlineStr">
        <is>
          <t>GÄVLEBORGS LÄN</t>
        </is>
      </c>
      <c r="E658" t="inlineStr">
        <is>
          <t>BOLLNÄS</t>
        </is>
      </c>
      <c r="G658" t="n">
        <v>2.9</v>
      </c>
      <c r="H658" t="n">
        <v>0</v>
      </c>
      <c r="I658" t="n">
        <v>0</v>
      </c>
      <c r="J658" t="n">
        <v>0</v>
      </c>
      <c r="K658" t="n">
        <v>0</v>
      </c>
      <c r="L658" t="n">
        <v>0</v>
      </c>
      <c r="M658" t="n">
        <v>0</v>
      </c>
      <c r="N658" t="n">
        <v>0</v>
      </c>
      <c r="O658" t="n">
        <v>0</v>
      </c>
      <c r="P658" t="n">
        <v>0</v>
      </c>
      <c r="Q658" t="n">
        <v>0</v>
      </c>
      <c r="R658" s="2" t="inlineStr"/>
    </row>
    <row r="659" ht="15" customHeight="1">
      <c r="A659" t="inlineStr">
        <is>
          <t>A 61488-2018</t>
        </is>
      </c>
      <c r="B659" s="1" t="n">
        <v>43424</v>
      </c>
      <c r="C659" s="1" t="n">
        <v>45344</v>
      </c>
      <c r="D659" t="inlineStr">
        <is>
          <t>GÄVLEBORGS LÄN</t>
        </is>
      </c>
      <c r="E659" t="inlineStr">
        <is>
          <t>BOLLNÄS</t>
        </is>
      </c>
      <c r="G659" t="n">
        <v>1.7</v>
      </c>
      <c r="H659" t="n">
        <v>0</v>
      </c>
      <c r="I659" t="n">
        <v>0</v>
      </c>
      <c r="J659" t="n">
        <v>0</v>
      </c>
      <c r="K659" t="n">
        <v>0</v>
      </c>
      <c r="L659" t="n">
        <v>0</v>
      </c>
      <c r="M659" t="n">
        <v>0</v>
      </c>
      <c r="N659" t="n">
        <v>0</v>
      </c>
      <c r="O659" t="n">
        <v>0</v>
      </c>
      <c r="P659" t="n">
        <v>0</v>
      </c>
      <c r="Q659" t="n">
        <v>0</v>
      </c>
      <c r="R659" s="2" t="inlineStr"/>
    </row>
    <row r="660" ht="15" customHeight="1">
      <c r="A660" t="inlineStr">
        <is>
          <t>A 65275-2018</t>
        </is>
      </c>
      <c r="B660" s="1" t="n">
        <v>43424</v>
      </c>
      <c r="C660" s="1" t="n">
        <v>45344</v>
      </c>
      <c r="D660" t="inlineStr">
        <is>
          <t>GÄVLEBORGS LÄN</t>
        </is>
      </c>
      <c r="E660" t="inlineStr">
        <is>
          <t>BOLLNÄS</t>
        </is>
      </c>
      <c r="G660" t="n">
        <v>2.1</v>
      </c>
      <c r="H660" t="n">
        <v>0</v>
      </c>
      <c r="I660" t="n">
        <v>0</v>
      </c>
      <c r="J660" t="n">
        <v>0</v>
      </c>
      <c r="K660" t="n">
        <v>0</v>
      </c>
      <c r="L660" t="n">
        <v>0</v>
      </c>
      <c r="M660" t="n">
        <v>0</v>
      </c>
      <c r="N660" t="n">
        <v>0</v>
      </c>
      <c r="O660" t="n">
        <v>0</v>
      </c>
      <c r="P660" t="n">
        <v>0</v>
      </c>
      <c r="Q660" t="n">
        <v>0</v>
      </c>
      <c r="R660" s="2" t="inlineStr"/>
    </row>
    <row r="661" ht="15" customHeight="1">
      <c r="A661" t="inlineStr">
        <is>
          <t>A 61381-2018</t>
        </is>
      </c>
      <c r="B661" s="1" t="n">
        <v>43424</v>
      </c>
      <c r="C661" s="1" t="n">
        <v>45344</v>
      </c>
      <c r="D661" t="inlineStr">
        <is>
          <t>GÄVLEBORGS LÄN</t>
        </is>
      </c>
      <c r="E661" t="inlineStr">
        <is>
          <t>NORDANSTIG</t>
        </is>
      </c>
      <c r="G661" t="n">
        <v>1.1</v>
      </c>
      <c r="H661" t="n">
        <v>0</v>
      </c>
      <c r="I661" t="n">
        <v>0</v>
      </c>
      <c r="J661" t="n">
        <v>0</v>
      </c>
      <c r="K661" t="n">
        <v>0</v>
      </c>
      <c r="L661" t="n">
        <v>0</v>
      </c>
      <c r="M661" t="n">
        <v>0</v>
      </c>
      <c r="N661" t="n">
        <v>0</v>
      </c>
      <c r="O661" t="n">
        <v>0</v>
      </c>
      <c r="P661" t="n">
        <v>0</v>
      </c>
      <c r="Q661" t="n">
        <v>0</v>
      </c>
      <c r="R661" s="2" t="inlineStr"/>
    </row>
    <row r="662" ht="15" customHeight="1">
      <c r="A662" t="inlineStr">
        <is>
          <t>A 61608-2018</t>
        </is>
      </c>
      <c r="B662" s="1" t="n">
        <v>43424</v>
      </c>
      <c r="C662" s="1" t="n">
        <v>45344</v>
      </c>
      <c r="D662" t="inlineStr">
        <is>
          <t>GÄVLEBORGS LÄN</t>
        </is>
      </c>
      <c r="E662" t="inlineStr">
        <is>
          <t>LJUSDAL</t>
        </is>
      </c>
      <c r="G662" t="n">
        <v>1.2</v>
      </c>
      <c r="H662" t="n">
        <v>0</v>
      </c>
      <c r="I662" t="n">
        <v>0</v>
      </c>
      <c r="J662" t="n">
        <v>0</v>
      </c>
      <c r="K662" t="n">
        <v>0</v>
      </c>
      <c r="L662" t="n">
        <v>0</v>
      </c>
      <c r="M662" t="n">
        <v>0</v>
      </c>
      <c r="N662" t="n">
        <v>0</v>
      </c>
      <c r="O662" t="n">
        <v>0</v>
      </c>
      <c r="P662" t="n">
        <v>0</v>
      </c>
      <c r="Q662" t="n">
        <v>0</v>
      </c>
      <c r="R662" s="2" t="inlineStr"/>
    </row>
    <row r="663" ht="15" customHeight="1">
      <c r="A663" t="inlineStr">
        <is>
          <t>A 61498-2018</t>
        </is>
      </c>
      <c r="B663" s="1" t="n">
        <v>43424</v>
      </c>
      <c r="C663" s="1" t="n">
        <v>45344</v>
      </c>
      <c r="D663" t="inlineStr">
        <is>
          <t>GÄVLEBORGS LÄN</t>
        </is>
      </c>
      <c r="E663" t="inlineStr">
        <is>
          <t>BOLLNÄS</t>
        </is>
      </c>
      <c r="G663" t="n">
        <v>0.6</v>
      </c>
      <c r="H663" t="n">
        <v>0</v>
      </c>
      <c r="I663" t="n">
        <v>0</v>
      </c>
      <c r="J663" t="n">
        <v>0</v>
      </c>
      <c r="K663" t="n">
        <v>0</v>
      </c>
      <c r="L663" t="n">
        <v>0</v>
      </c>
      <c r="M663" t="n">
        <v>0</v>
      </c>
      <c r="N663" t="n">
        <v>0</v>
      </c>
      <c r="O663" t="n">
        <v>0</v>
      </c>
      <c r="P663" t="n">
        <v>0</v>
      </c>
      <c r="Q663" t="n">
        <v>0</v>
      </c>
      <c r="R663" s="2" t="inlineStr"/>
    </row>
    <row r="664" ht="15" customHeight="1">
      <c r="A664" t="inlineStr">
        <is>
          <t>A 61429-2018</t>
        </is>
      </c>
      <c r="B664" s="1" t="n">
        <v>43424</v>
      </c>
      <c r="C664" s="1" t="n">
        <v>45344</v>
      </c>
      <c r="D664" t="inlineStr">
        <is>
          <t>GÄVLEBORGS LÄN</t>
        </is>
      </c>
      <c r="E664" t="inlineStr">
        <is>
          <t>BOLLNÄS</t>
        </is>
      </c>
      <c r="G664" t="n">
        <v>0.7</v>
      </c>
      <c r="H664" t="n">
        <v>0</v>
      </c>
      <c r="I664" t="n">
        <v>0</v>
      </c>
      <c r="J664" t="n">
        <v>0</v>
      </c>
      <c r="K664" t="n">
        <v>0</v>
      </c>
      <c r="L664" t="n">
        <v>0</v>
      </c>
      <c r="M664" t="n">
        <v>0</v>
      </c>
      <c r="N664" t="n">
        <v>0</v>
      </c>
      <c r="O664" t="n">
        <v>0</v>
      </c>
      <c r="P664" t="n">
        <v>0</v>
      </c>
      <c r="Q664" t="n">
        <v>0</v>
      </c>
      <c r="R664" s="2" t="inlineStr"/>
    </row>
    <row r="665" ht="15" customHeight="1">
      <c r="A665" t="inlineStr">
        <is>
          <t>A 61444-2018</t>
        </is>
      </c>
      <c r="B665" s="1" t="n">
        <v>43424</v>
      </c>
      <c r="C665" s="1" t="n">
        <v>45344</v>
      </c>
      <c r="D665" t="inlineStr">
        <is>
          <t>GÄVLEBORGS LÄN</t>
        </is>
      </c>
      <c r="E665" t="inlineStr">
        <is>
          <t>SANDVIKEN</t>
        </is>
      </c>
      <c r="G665" t="n">
        <v>4.6</v>
      </c>
      <c r="H665" t="n">
        <v>0</v>
      </c>
      <c r="I665" t="n">
        <v>0</v>
      </c>
      <c r="J665" t="n">
        <v>0</v>
      </c>
      <c r="K665" t="n">
        <v>0</v>
      </c>
      <c r="L665" t="n">
        <v>0</v>
      </c>
      <c r="M665" t="n">
        <v>0</v>
      </c>
      <c r="N665" t="n">
        <v>0</v>
      </c>
      <c r="O665" t="n">
        <v>0</v>
      </c>
      <c r="P665" t="n">
        <v>0</v>
      </c>
      <c r="Q665" t="n">
        <v>0</v>
      </c>
      <c r="R665" s="2" t="inlineStr"/>
    </row>
    <row r="666" ht="15" customHeight="1">
      <c r="A666" t="inlineStr">
        <is>
          <t>A 61617-2018</t>
        </is>
      </c>
      <c r="B666" s="1" t="n">
        <v>43424</v>
      </c>
      <c r="C666" s="1" t="n">
        <v>45344</v>
      </c>
      <c r="D666" t="inlineStr">
        <is>
          <t>GÄVLEBORGS LÄN</t>
        </is>
      </c>
      <c r="E666" t="inlineStr">
        <is>
          <t>GÄVLE</t>
        </is>
      </c>
      <c r="G666" t="n">
        <v>0.6</v>
      </c>
      <c r="H666" t="n">
        <v>0</v>
      </c>
      <c r="I666" t="n">
        <v>0</v>
      </c>
      <c r="J666" t="n">
        <v>0</v>
      </c>
      <c r="K666" t="n">
        <v>0</v>
      </c>
      <c r="L666" t="n">
        <v>0</v>
      </c>
      <c r="M666" t="n">
        <v>0</v>
      </c>
      <c r="N666" t="n">
        <v>0</v>
      </c>
      <c r="O666" t="n">
        <v>0</v>
      </c>
      <c r="P666" t="n">
        <v>0</v>
      </c>
      <c r="Q666" t="n">
        <v>0</v>
      </c>
      <c r="R666" s="2" t="inlineStr"/>
    </row>
    <row r="667" ht="15" customHeight="1">
      <c r="A667" t="inlineStr">
        <is>
          <t>A 61410-2018</t>
        </is>
      </c>
      <c r="B667" s="1" t="n">
        <v>43424</v>
      </c>
      <c r="C667" s="1" t="n">
        <v>45344</v>
      </c>
      <c r="D667" t="inlineStr">
        <is>
          <t>GÄVLEBORGS LÄN</t>
        </is>
      </c>
      <c r="E667" t="inlineStr">
        <is>
          <t>BOLLNÄS</t>
        </is>
      </c>
      <c r="G667" t="n">
        <v>1.7</v>
      </c>
      <c r="H667" t="n">
        <v>0</v>
      </c>
      <c r="I667" t="n">
        <v>0</v>
      </c>
      <c r="J667" t="n">
        <v>0</v>
      </c>
      <c r="K667" t="n">
        <v>0</v>
      </c>
      <c r="L667" t="n">
        <v>0</v>
      </c>
      <c r="M667" t="n">
        <v>0</v>
      </c>
      <c r="N667" t="n">
        <v>0</v>
      </c>
      <c r="O667" t="n">
        <v>0</v>
      </c>
      <c r="P667" t="n">
        <v>0</v>
      </c>
      <c r="Q667" t="n">
        <v>0</v>
      </c>
      <c r="R667" s="2" t="inlineStr"/>
    </row>
    <row r="668" ht="15" customHeight="1">
      <c r="A668" t="inlineStr">
        <is>
          <t>A 61668-2018</t>
        </is>
      </c>
      <c r="B668" s="1" t="n">
        <v>43425</v>
      </c>
      <c r="C668" s="1" t="n">
        <v>45344</v>
      </c>
      <c r="D668" t="inlineStr">
        <is>
          <t>GÄVLEBORGS LÄN</t>
        </is>
      </c>
      <c r="E668" t="inlineStr">
        <is>
          <t>LJUSDAL</t>
        </is>
      </c>
      <c r="F668" t="inlineStr">
        <is>
          <t>Holmen skog AB</t>
        </is>
      </c>
      <c r="G668" t="n">
        <v>3.6</v>
      </c>
      <c r="H668" t="n">
        <v>0</v>
      </c>
      <c r="I668" t="n">
        <v>0</v>
      </c>
      <c r="J668" t="n">
        <v>0</v>
      </c>
      <c r="K668" t="n">
        <v>0</v>
      </c>
      <c r="L668" t="n">
        <v>0</v>
      </c>
      <c r="M668" t="n">
        <v>0</v>
      </c>
      <c r="N668" t="n">
        <v>0</v>
      </c>
      <c r="O668" t="n">
        <v>0</v>
      </c>
      <c r="P668" t="n">
        <v>0</v>
      </c>
      <c r="Q668" t="n">
        <v>0</v>
      </c>
      <c r="R668" s="2" t="inlineStr"/>
    </row>
    <row r="669" ht="15" customHeight="1">
      <c r="A669" t="inlineStr">
        <is>
          <t>A 61702-2018</t>
        </is>
      </c>
      <c r="B669" s="1" t="n">
        <v>43425</v>
      </c>
      <c r="C669" s="1" t="n">
        <v>45344</v>
      </c>
      <c r="D669" t="inlineStr">
        <is>
          <t>GÄVLEBORGS LÄN</t>
        </is>
      </c>
      <c r="E669" t="inlineStr">
        <is>
          <t>LJUSDAL</t>
        </is>
      </c>
      <c r="F669" t="inlineStr">
        <is>
          <t>Holmen skog AB</t>
        </is>
      </c>
      <c r="G669" t="n">
        <v>14.5</v>
      </c>
      <c r="H669" t="n">
        <v>0</v>
      </c>
      <c r="I669" t="n">
        <v>0</v>
      </c>
      <c r="J669" t="n">
        <v>0</v>
      </c>
      <c r="K669" t="n">
        <v>0</v>
      </c>
      <c r="L669" t="n">
        <v>0</v>
      </c>
      <c r="M669" t="n">
        <v>0</v>
      </c>
      <c r="N669" t="n">
        <v>0</v>
      </c>
      <c r="O669" t="n">
        <v>0</v>
      </c>
      <c r="P669" t="n">
        <v>0</v>
      </c>
      <c r="Q669" t="n">
        <v>0</v>
      </c>
      <c r="R669" s="2" t="inlineStr"/>
    </row>
    <row r="670" ht="15" customHeight="1">
      <c r="A670" t="inlineStr">
        <is>
          <t>A 65634-2018</t>
        </is>
      </c>
      <c r="B670" s="1" t="n">
        <v>43425</v>
      </c>
      <c r="C670" s="1" t="n">
        <v>45344</v>
      </c>
      <c r="D670" t="inlineStr">
        <is>
          <t>GÄVLEBORGS LÄN</t>
        </is>
      </c>
      <c r="E670" t="inlineStr">
        <is>
          <t>HUDIKSVALL</t>
        </is>
      </c>
      <c r="G670" t="n">
        <v>0.6</v>
      </c>
      <c r="H670" t="n">
        <v>0</v>
      </c>
      <c r="I670" t="n">
        <v>0</v>
      </c>
      <c r="J670" t="n">
        <v>0</v>
      </c>
      <c r="K670" t="n">
        <v>0</v>
      </c>
      <c r="L670" t="n">
        <v>0</v>
      </c>
      <c r="M670" t="n">
        <v>0</v>
      </c>
      <c r="N670" t="n">
        <v>0</v>
      </c>
      <c r="O670" t="n">
        <v>0</v>
      </c>
      <c r="P670" t="n">
        <v>0</v>
      </c>
      <c r="Q670" t="n">
        <v>0</v>
      </c>
      <c r="R670" s="2" t="inlineStr"/>
    </row>
    <row r="671" ht="15" customHeight="1">
      <c r="A671" t="inlineStr">
        <is>
          <t>A 62245-2018</t>
        </is>
      </c>
      <c r="B671" s="1" t="n">
        <v>43425</v>
      </c>
      <c r="C671" s="1" t="n">
        <v>45344</v>
      </c>
      <c r="D671" t="inlineStr">
        <is>
          <t>GÄVLEBORGS LÄN</t>
        </is>
      </c>
      <c r="E671" t="inlineStr">
        <is>
          <t>SANDVIKEN</t>
        </is>
      </c>
      <c r="G671" t="n">
        <v>2.5</v>
      </c>
      <c r="H671" t="n">
        <v>0</v>
      </c>
      <c r="I671" t="n">
        <v>0</v>
      </c>
      <c r="J671" t="n">
        <v>0</v>
      </c>
      <c r="K671" t="n">
        <v>0</v>
      </c>
      <c r="L671" t="n">
        <v>0</v>
      </c>
      <c r="M671" t="n">
        <v>0</v>
      </c>
      <c r="N671" t="n">
        <v>0</v>
      </c>
      <c r="O671" t="n">
        <v>0</v>
      </c>
      <c r="P671" t="n">
        <v>0</v>
      </c>
      <c r="Q671" t="n">
        <v>0</v>
      </c>
      <c r="R671" s="2" t="inlineStr"/>
    </row>
    <row r="672" ht="15" customHeight="1">
      <c r="A672" t="inlineStr">
        <is>
          <t>A 62193-2018</t>
        </is>
      </c>
      <c r="B672" s="1" t="n">
        <v>43425</v>
      </c>
      <c r="C672" s="1" t="n">
        <v>45344</v>
      </c>
      <c r="D672" t="inlineStr">
        <is>
          <t>GÄVLEBORGS LÄN</t>
        </is>
      </c>
      <c r="E672" t="inlineStr">
        <is>
          <t>HUDIKSVALL</t>
        </is>
      </c>
      <c r="F672" t="inlineStr">
        <is>
          <t>Holmen skog AB</t>
        </is>
      </c>
      <c r="G672" t="n">
        <v>1.7</v>
      </c>
      <c r="H672" t="n">
        <v>0</v>
      </c>
      <c r="I672" t="n">
        <v>0</v>
      </c>
      <c r="J672" t="n">
        <v>0</v>
      </c>
      <c r="K672" t="n">
        <v>0</v>
      </c>
      <c r="L672" t="n">
        <v>0</v>
      </c>
      <c r="M672" t="n">
        <v>0</v>
      </c>
      <c r="N672" t="n">
        <v>0</v>
      </c>
      <c r="O672" t="n">
        <v>0</v>
      </c>
      <c r="P672" t="n">
        <v>0</v>
      </c>
      <c r="Q672" t="n">
        <v>0</v>
      </c>
      <c r="R672" s="2" t="inlineStr"/>
    </row>
    <row r="673" ht="15" customHeight="1">
      <c r="A673" t="inlineStr">
        <is>
          <t>A 61733-2018</t>
        </is>
      </c>
      <c r="B673" s="1" t="n">
        <v>43425</v>
      </c>
      <c r="C673" s="1" t="n">
        <v>45344</v>
      </c>
      <c r="D673" t="inlineStr">
        <is>
          <t>GÄVLEBORGS LÄN</t>
        </is>
      </c>
      <c r="E673" t="inlineStr">
        <is>
          <t>LJUSDAL</t>
        </is>
      </c>
      <c r="G673" t="n">
        <v>1.6</v>
      </c>
      <c r="H673" t="n">
        <v>0</v>
      </c>
      <c r="I673" t="n">
        <v>0</v>
      </c>
      <c r="J673" t="n">
        <v>0</v>
      </c>
      <c r="K673" t="n">
        <v>0</v>
      </c>
      <c r="L673" t="n">
        <v>0</v>
      </c>
      <c r="M673" t="n">
        <v>0</v>
      </c>
      <c r="N673" t="n">
        <v>0</v>
      </c>
      <c r="O673" t="n">
        <v>0</v>
      </c>
      <c r="P673" t="n">
        <v>0</v>
      </c>
      <c r="Q673" t="n">
        <v>0</v>
      </c>
      <c r="R673" s="2" t="inlineStr"/>
    </row>
    <row r="674" ht="15" customHeight="1">
      <c r="A674" t="inlineStr">
        <is>
          <t>A 61734-2018</t>
        </is>
      </c>
      <c r="B674" s="1" t="n">
        <v>43425</v>
      </c>
      <c r="C674" s="1" t="n">
        <v>45344</v>
      </c>
      <c r="D674" t="inlineStr">
        <is>
          <t>GÄVLEBORGS LÄN</t>
        </is>
      </c>
      <c r="E674" t="inlineStr">
        <is>
          <t>LJUSDAL</t>
        </is>
      </c>
      <c r="G674" t="n">
        <v>2.1</v>
      </c>
      <c r="H674" t="n">
        <v>0</v>
      </c>
      <c r="I674" t="n">
        <v>0</v>
      </c>
      <c r="J674" t="n">
        <v>0</v>
      </c>
      <c r="K674" t="n">
        <v>0</v>
      </c>
      <c r="L674" t="n">
        <v>0</v>
      </c>
      <c r="M674" t="n">
        <v>0</v>
      </c>
      <c r="N674" t="n">
        <v>0</v>
      </c>
      <c r="O674" t="n">
        <v>0</v>
      </c>
      <c r="P674" t="n">
        <v>0</v>
      </c>
      <c r="Q674" t="n">
        <v>0</v>
      </c>
      <c r="R674" s="2" t="inlineStr"/>
    </row>
    <row r="675" ht="15" customHeight="1">
      <c r="A675" t="inlineStr">
        <is>
          <t>A 62259-2018</t>
        </is>
      </c>
      <c r="B675" s="1" t="n">
        <v>43425</v>
      </c>
      <c r="C675" s="1" t="n">
        <v>45344</v>
      </c>
      <c r="D675" t="inlineStr">
        <is>
          <t>GÄVLEBORGS LÄN</t>
        </is>
      </c>
      <c r="E675" t="inlineStr">
        <is>
          <t>SÖDERHAMN</t>
        </is>
      </c>
      <c r="G675" t="n">
        <v>0.7</v>
      </c>
      <c r="H675" t="n">
        <v>0</v>
      </c>
      <c r="I675" t="n">
        <v>0</v>
      </c>
      <c r="J675" t="n">
        <v>0</v>
      </c>
      <c r="K675" t="n">
        <v>0</v>
      </c>
      <c r="L675" t="n">
        <v>0</v>
      </c>
      <c r="M675" t="n">
        <v>0</v>
      </c>
      <c r="N675" t="n">
        <v>0</v>
      </c>
      <c r="O675" t="n">
        <v>0</v>
      </c>
      <c r="P675" t="n">
        <v>0</v>
      </c>
      <c r="Q675" t="n">
        <v>0</v>
      </c>
      <c r="R675" s="2" t="inlineStr"/>
    </row>
    <row r="676" ht="15" customHeight="1">
      <c r="A676" t="inlineStr">
        <is>
          <t>A 62617-2018</t>
        </is>
      </c>
      <c r="B676" s="1" t="n">
        <v>43426</v>
      </c>
      <c r="C676" s="1" t="n">
        <v>45344</v>
      </c>
      <c r="D676" t="inlineStr">
        <is>
          <t>GÄVLEBORGS LÄN</t>
        </is>
      </c>
      <c r="E676" t="inlineStr">
        <is>
          <t>OCKELBO</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62909-2018</t>
        </is>
      </c>
      <c r="B677" s="1" t="n">
        <v>43426</v>
      </c>
      <c r="C677" s="1" t="n">
        <v>45344</v>
      </c>
      <c r="D677" t="inlineStr">
        <is>
          <t>GÄVLEBORGS LÄN</t>
        </is>
      </c>
      <c r="E677" t="inlineStr">
        <is>
          <t>GÄVLE</t>
        </is>
      </c>
      <c r="G677" t="n">
        <v>3.5</v>
      </c>
      <c r="H677" t="n">
        <v>0</v>
      </c>
      <c r="I677" t="n">
        <v>0</v>
      </c>
      <c r="J677" t="n">
        <v>0</v>
      </c>
      <c r="K677" t="n">
        <v>0</v>
      </c>
      <c r="L677" t="n">
        <v>0</v>
      </c>
      <c r="M677" t="n">
        <v>0</v>
      </c>
      <c r="N677" t="n">
        <v>0</v>
      </c>
      <c r="O677" t="n">
        <v>0</v>
      </c>
      <c r="P677" t="n">
        <v>0</v>
      </c>
      <c r="Q677" t="n">
        <v>0</v>
      </c>
      <c r="R677" s="2" t="inlineStr"/>
    </row>
    <row r="678" ht="15" customHeight="1">
      <c r="A678" t="inlineStr">
        <is>
          <t>A 66319-2018</t>
        </is>
      </c>
      <c r="B678" s="1" t="n">
        <v>43427</v>
      </c>
      <c r="C678" s="1" t="n">
        <v>45344</v>
      </c>
      <c r="D678" t="inlineStr">
        <is>
          <t>GÄVLEBORGS LÄN</t>
        </is>
      </c>
      <c r="E678" t="inlineStr">
        <is>
          <t>BOLLNÄS</t>
        </is>
      </c>
      <c r="G678" t="n">
        <v>1.1</v>
      </c>
      <c r="H678" t="n">
        <v>0</v>
      </c>
      <c r="I678" t="n">
        <v>0</v>
      </c>
      <c r="J678" t="n">
        <v>0</v>
      </c>
      <c r="K678" t="n">
        <v>0</v>
      </c>
      <c r="L678" t="n">
        <v>0</v>
      </c>
      <c r="M678" t="n">
        <v>0</v>
      </c>
      <c r="N678" t="n">
        <v>0</v>
      </c>
      <c r="O678" t="n">
        <v>0</v>
      </c>
      <c r="P678" t="n">
        <v>0</v>
      </c>
      <c r="Q678" t="n">
        <v>0</v>
      </c>
      <c r="R678" s="2" t="inlineStr"/>
    </row>
    <row r="679" ht="15" customHeight="1">
      <c r="A679" t="inlineStr">
        <is>
          <t>A 63517-2018</t>
        </is>
      </c>
      <c r="B679" s="1" t="n">
        <v>43427</v>
      </c>
      <c r="C679" s="1" t="n">
        <v>45344</v>
      </c>
      <c r="D679" t="inlineStr">
        <is>
          <t>GÄVLEBORGS LÄN</t>
        </is>
      </c>
      <c r="E679" t="inlineStr">
        <is>
          <t>SÖDERHAMN</t>
        </is>
      </c>
      <c r="F679" t="inlineStr">
        <is>
          <t>Bergvik skog väst AB</t>
        </is>
      </c>
      <c r="G679" t="n">
        <v>1.2</v>
      </c>
      <c r="H679" t="n">
        <v>0</v>
      </c>
      <c r="I679" t="n">
        <v>0</v>
      </c>
      <c r="J679" t="n">
        <v>0</v>
      </c>
      <c r="K679" t="n">
        <v>0</v>
      </c>
      <c r="L679" t="n">
        <v>0</v>
      </c>
      <c r="M679" t="n">
        <v>0</v>
      </c>
      <c r="N679" t="n">
        <v>0</v>
      </c>
      <c r="O679" t="n">
        <v>0</v>
      </c>
      <c r="P679" t="n">
        <v>0</v>
      </c>
      <c r="Q679" t="n">
        <v>0</v>
      </c>
      <c r="R679" s="2" t="inlineStr"/>
    </row>
    <row r="680" ht="15" customHeight="1">
      <c r="A680" t="inlineStr">
        <is>
          <t>A 66313-2018</t>
        </is>
      </c>
      <c r="B680" s="1" t="n">
        <v>43427</v>
      </c>
      <c r="C680" s="1" t="n">
        <v>45344</v>
      </c>
      <c r="D680" t="inlineStr">
        <is>
          <t>GÄVLEBORGS LÄN</t>
        </is>
      </c>
      <c r="E680" t="inlineStr">
        <is>
          <t>BOLLNÄS</t>
        </is>
      </c>
      <c r="G680" t="n">
        <v>2.7</v>
      </c>
      <c r="H680" t="n">
        <v>0</v>
      </c>
      <c r="I680" t="n">
        <v>0</v>
      </c>
      <c r="J680" t="n">
        <v>0</v>
      </c>
      <c r="K680" t="n">
        <v>0</v>
      </c>
      <c r="L680" t="n">
        <v>0</v>
      </c>
      <c r="M680" t="n">
        <v>0</v>
      </c>
      <c r="N680" t="n">
        <v>0</v>
      </c>
      <c r="O680" t="n">
        <v>0</v>
      </c>
      <c r="P680" t="n">
        <v>0</v>
      </c>
      <c r="Q680" t="n">
        <v>0</v>
      </c>
      <c r="R680" s="2" t="inlineStr"/>
    </row>
    <row r="681" ht="15" customHeight="1">
      <c r="A681" t="inlineStr">
        <is>
          <t>A 63314-2018</t>
        </is>
      </c>
      <c r="B681" s="1" t="n">
        <v>43427</v>
      </c>
      <c r="C681" s="1" t="n">
        <v>45344</v>
      </c>
      <c r="D681" t="inlineStr">
        <is>
          <t>GÄVLEBORGS LÄN</t>
        </is>
      </c>
      <c r="E681" t="inlineStr">
        <is>
          <t>SANDVIKEN</t>
        </is>
      </c>
      <c r="G681" t="n">
        <v>0.3</v>
      </c>
      <c r="H681" t="n">
        <v>0</v>
      </c>
      <c r="I681" t="n">
        <v>0</v>
      </c>
      <c r="J681" t="n">
        <v>0</v>
      </c>
      <c r="K681" t="n">
        <v>0</v>
      </c>
      <c r="L681" t="n">
        <v>0</v>
      </c>
      <c r="M681" t="n">
        <v>0</v>
      </c>
      <c r="N681" t="n">
        <v>0</v>
      </c>
      <c r="O681" t="n">
        <v>0</v>
      </c>
      <c r="P681" t="n">
        <v>0</v>
      </c>
      <c r="Q681" t="n">
        <v>0</v>
      </c>
      <c r="R681" s="2" t="inlineStr"/>
    </row>
    <row r="682" ht="15" customHeight="1">
      <c r="A682" t="inlineStr">
        <is>
          <t>A 63584-2018</t>
        </is>
      </c>
      <c r="B682" s="1" t="n">
        <v>43427</v>
      </c>
      <c r="C682" s="1" t="n">
        <v>45344</v>
      </c>
      <c r="D682" t="inlineStr">
        <is>
          <t>GÄVLEBORGS LÄN</t>
        </is>
      </c>
      <c r="E682" t="inlineStr">
        <is>
          <t>BOLLNÄS</t>
        </is>
      </c>
      <c r="G682" t="n">
        <v>1.1</v>
      </c>
      <c r="H682" t="n">
        <v>0</v>
      </c>
      <c r="I682" t="n">
        <v>0</v>
      </c>
      <c r="J682" t="n">
        <v>0</v>
      </c>
      <c r="K682" t="n">
        <v>0</v>
      </c>
      <c r="L682" t="n">
        <v>0</v>
      </c>
      <c r="M682" t="n">
        <v>0</v>
      </c>
      <c r="N682" t="n">
        <v>0</v>
      </c>
      <c r="O682" t="n">
        <v>0</v>
      </c>
      <c r="P682" t="n">
        <v>0</v>
      </c>
      <c r="Q682" t="n">
        <v>0</v>
      </c>
      <c r="R682" s="2" t="inlineStr"/>
    </row>
    <row r="683" ht="15" customHeight="1">
      <c r="A683" t="inlineStr">
        <is>
          <t>A 63448-2018</t>
        </is>
      </c>
      <c r="B683" s="1" t="n">
        <v>43427</v>
      </c>
      <c r="C683" s="1" t="n">
        <v>45344</v>
      </c>
      <c r="D683" t="inlineStr">
        <is>
          <t>GÄVLEBORGS LÄN</t>
        </is>
      </c>
      <c r="E683" t="inlineStr">
        <is>
          <t>NORDANSTIG</t>
        </is>
      </c>
      <c r="G683" t="n">
        <v>5.2</v>
      </c>
      <c r="H683" t="n">
        <v>0</v>
      </c>
      <c r="I683" t="n">
        <v>0</v>
      </c>
      <c r="J683" t="n">
        <v>0</v>
      </c>
      <c r="K683" t="n">
        <v>0</v>
      </c>
      <c r="L683" t="n">
        <v>0</v>
      </c>
      <c r="M683" t="n">
        <v>0</v>
      </c>
      <c r="N683" t="n">
        <v>0</v>
      </c>
      <c r="O683" t="n">
        <v>0</v>
      </c>
      <c r="P683" t="n">
        <v>0</v>
      </c>
      <c r="Q683" t="n">
        <v>0</v>
      </c>
      <c r="R683" s="2" t="inlineStr"/>
    </row>
    <row r="684" ht="15" customHeight="1">
      <c r="A684" t="inlineStr">
        <is>
          <t>A 66317-2018</t>
        </is>
      </c>
      <c r="B684" s="1" t="n">
        <v>43427</v>
      </c>
      <c r="C684" s="1" t="n">
        <v>45344</v>
      </c>
      <c r="D684" t="inlineStr">
        <is>
          <t>GÄVLEBORGS LÄN</t>
        </is>
      </c>
      <c r="E684" t="inlineStr">
        <is>
          <t>BOLLNÄS</t>
        </is>
      </c>
      <c r="G684" t="n">
        <v>1.3</v>
      </c>
      <c r="H684" t="n">
        <v>0</v>
      </c>
      <c r="I684" t="n">
        <v>0</v>
      </c>
      <c r="J684" t="n">
        <v>0</v>
      </c>
      <c r="K684" t="n">
        <v>0</v>
      </c>
      <c r="L684" t="n">
        <v>0</v>
      </c>
      <c r="M684" t="n">
        <v>0</v>
      </c>
      <c r="N684" t="n">
        <v>0</v>
      </c>
      <c r="O684" t="n">
        <v>0</v>
      </c>
      <c r="P684" t="n">
        <v>0</v>
      </c>
      <c r="Q684" t="n">
        <v>0</v>
      </c>
      <c r="R684" s="2" t="inlineStr"/>
    </row>
    <row r="685" ht="15" customHeight="1">
      <c r="A685" t="inlineStr">
        <is>
          <t>A 63445-2018</t>
        </is>
      </c>
      <c r="B685" s="1" t="n">
        <v>43427</v>
      </c>
      <c r="C685" s="1" t="n">
        <v>45344</v>
      </c>
      <c r="D685" t="inlineStr">
        <is>
          <t>GÄVLEBORGS LÄN</t>
        </is>
      </c>
      <c r="E685" t="inlineStr">
        <is>
          <t>LJUSDAL</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63334-2018</t>
        </is>
      </c>
      <c r="B686" s="1" t="n">
        <v>43427</v>
      </c>
      <c r="C686" s="1" t="n">
        <v>45344</v>
      </c>
      <c r="D686" t="inlineStr">
        <is>
          <t>GÄVLEBORGS LÄN</t>
        </is>
      </c>
      <c r="E686" t="inlineStr">
        <is>
          <t>BOLLNÄS</t>
        </is>
      </c>
      <c r="G686" t="n">
        <v>5</v>
      </c>
      <c r="H686" t="n">
        <v>0</v>
      </c>
      <c r="I686" t="n">
        <v>0</v>
      </c>
      <c r="J686" t="n">
        <v>0</v>
      </c>
      <c r="K686" t="n">
        <v>0</v>
      </c>
      <c r="L686" t="n">
        <v>0</v>
      </c>
      <c r="M686" t="n">
        <v>0</v>
      </c>
      <c r="N686" t="n">
        <v>0</v>
      </c>
      <c r="O686" t="n">
        <v>0</v>
      </c>
      <c r="P686" t="n">
        <v>0</v>
      </c>
      <c r="Q686" t="n">
        <v>0</v>
      </c>
      <c r="R686" s="2" t="inlineStr"/>
    </row>
    <row r="687" ht="15" customHeight="1">
      <c r="A687" t="inlineStr">
        <is>
          <t>A 64155-2018</t>
        </is>
      </c>
      <c r="B687" s="1" t="n">
        <v>43430</v>
      </c>
      <c r="C687" s="1" t="n">
        <v>45344</v>
      </c>
      <c r="D687" t="inlineStr">
        <is>
          <t>GÄVLEBORGS LÄN</t>
        </is>
      </c>
      <c r="E687" t="inlineStr">
        <is>
          <t>OVANÅKER</t>
        </is>
      </c>
      <c r="G687" t="n">
        <v>3.3</v>
      </c>
      <c r="H687" t="n">
        <v>0</v>
      </c>
      <c r="I687" t="n">
        <v>0</v>
      </c>
      <c r="J687" t="n">
        <v>0</v>
      </c>
      <c r="K687" t="n">
        <v>0</v>
      </c>
      <c r="L687" t="n">
        <v>0</v>
      </c>
      <c r="M687" t="n">
        <v>0</v>
      </c>
      <c r="N687" t="n">
        <v>0</v>
      </c>
      <c r="O687" t="n">
        <v>0</v>
      </c>
      <c r="P687" t="n">
        <v>0</v>
      </c>
      <c r="Q687" t="n">
        <v>0</v>
      </c>
      <c r="R687" s="2" t="inlineStr"/>
    </row>
    <row r="688" ht="15" customHeight="1">
      <c r="A688" t="inlineStr">
        <is>
          <t>A 64219-2018</t>
        </is>
      </c>
      <c r="B688" s="1" t="n">
        <v>43430</v>
      </c>
      <c r="C688" s="1" t="n">
        <v>45344</v>
      </c>
      <c r="D688" t="inlineStr">
        <is>
          <t>GÄVLEBORGS LÄN</t>
        </is>
      </c>
      <c r="E688" t="inlineStr">
        <is>
          <t>LJUSDAL</t>
        </is>
      </c>
      <c r="F688" t="inlineStr">
        <is>
          <t>Sveaskog</t>
        </is>
      </c>
      <c r="G688" t="n">
        <v>6.3</v>
      </c>
      <c r="H688" t="n">
        <v>0</v>
      </c>
      <c r="I688" t="n">
        <v>0</v>
      </c>
      <c r="J688" t="n">
        <v>0</v>
      </c>
      <c r="K688" t="n">
        <v>0</v>
      </c>
      <c r="L688" t="n">
        <v>0</v>
      </c>
      <c r="M688" t="n">
        <v>0</v>
      </c>
      <c r="N688" t="n">
        <v>0</v>
      </c>
      <c r="O688" t="n">
        <v>0</v>
      </c>
      <c r="P688" t="n">
        <v>0</v>
      </c>
      <c r="Q688" t="n">
        <v>0</v>
      </c>
      <c r="R688" s="2" t="inlineStr"/>
    </row>
    <row r="689" ht="15" customHeight="1">
      <c r="A689" t="inlineStr">
        <is>
          <t>A 64384-2018</t>
        </is>
      </c>
      <c r="B689" s="1" t="n">
        <v>43430</v>
      </c>
      <c r="C689" s="1" t="n">
        <v>45344</v>
      </c>
      <c r="D689" t="inlineStr">
        <is>
          <t>GÄVLEBORGS LÄN</t>
        </is>
      </c>
      <c r="E689" t="inlineStr">
        <is>
          <t>HUDIKSVALL</t>
        </is>
      </c>
      <c r="G689" t="n">
        <v>0.7</v>
      </c>
      <c r="H689" t="n">
        <v>0</v>
      </c>
      <c r="I689" t="n">
        <v>0</v>
      </c>
      <c r="J689" t="n">
        <v>0</v>
      </c>
      <c r="K689" t="n">
        <v>0</v>
      </c>
      <c r="L689" t="n">
        <v>0</v>
      </c>
      <c r="M689" t="n">
        <v>0</v>
      </c>
      <c r="N689" t="n">
        <v>0</v>
      </c>
      <c r="O689" t="n">
        <v>0</v>
      </c>
      <c r="P689" t="n">
        <v>0</v>
      </c>
      <c r="Q689" t="n">
        <v>0</v>
      </c>
      <c r="R689" s="2" t="inlineStr"/>
    </row>
    <row r="690" ht="15" customHeight="1">
      <c r="A690" t="inlineStr">
        <is>
          <t>A 64283-2018</t>
        </is>
      </c>
      <c r="B690" s="1" t="n">
        <v>43430</v>
      </c>
      <c r="C690" s="1" t="n">
        <v>45344</v>
      </c>
      <c r="D690" t="inlineStr">
        <is>
          <t>GÄVLEBORGS LÄN</t>
        </is>
      </c>
      <c r="E690" t="inlineStr">
        <is>
          <t>BOLLNÄS</t>
        </is>
      </c>
      <c r="G690" t="n">
        <v>2</v>
      </c>
      <c r="H690" t="n">
        <v>0</v>
      </c>
      <c r="I690" t="n">
        <v>0</v>
      </c>
      <c r="J690" t="n">
        <v>0</v>
      </c>
      <c r="K690" t="n">
        <v>0</v>
      </c>
      <c r="L690" t="n">
        <v>0</v>
      </c>
      <c r="M690" t="n">
        <v>0</v>
      </c>
      <c r="N690" t="n">
        <v>0</v>
      </c>
      <c r="O690" t="n">
        <v>0</v>
      </c>
      <c r="P690" t="n">
        <v>0</v>
      </c>
      <c r="Q690" t="n">
        <v>0</v>
      </c>
      <c r="R690" s="2" t="inlineStr"/>
    </row>
    <row r="691" ht="15" customHeight="1">
      <c r="A691" t="inlineStr">
        <is>
          <t>A 64168-2018</t>
        </is>
      </c>
      <c r="B691" s="1" t="n">
        <v>43430</v>
      </c>
      <c r="C691" s="1" t="n">
        <v>45344</v>
      </c>
      <c r="D691" t="inlineStr">
        <is>
          <t>GÄVLEBORGS LÄN</t>
        </is>
      </c>
      <c r="E691" t="inlineStr">
        <is>
          <t>GÄVLE</t>
        </is>
      </c>
      <c r="G691" t="n">
        <v>10.2</v>
      </c>
      <c r="H691" t="n">
        <v>0</v>
      </c>
      <c r="I691" t="n">
        <v>0</v>
      </c>
      <c r="J691" t="n">
        <v>0</v>
      </c>
      <c r="K691" t="n">
        <v>0</v>
      </c>
      <c r="L691" t="n">
        <v>0</v>
      </c>
      <c r="M691" t="n">
        <v>0</v>
      </c>
      <c r="N691" t="n">
        <v>0</v>
      </c>
      <c r="O691" t="n">
        <v>0</v>
      </c>
      <c r="P691" t="n">
        <v>0</v>
      </c>
      <c r="Q691" t="n">
        <v>0</v>
      </c>
      <c r="R691" s="2" t="inlineStr"/>
    </row>
    <row r="692" ht="15" customHeight="1">
      <c r="A692" t="inlineStr">
        <is>
          <t>A 63980-2018</t>
        </is>
      </c>
      <c r="B692" s="1" t="n">
        <v>43430</v>
      </c>
      <c r="C692" s="1" t="n">
        <v>45344</v>
      </c>
      <c r="D692" t="inlineStr">
        <is>
          <t>GÄVLEBORGS LÄN</t>
        </is>
      </c>
      <c r="E692" t="inlineStr">
        <is>
          <t>GÄVLE</t>
        </is>
      </c>
      <c r="G692" t="n">
        <v>6.2</v>
      </c>
      <c r="H692" t="n">
        <v>0</v>
      </c>
      <c r="I692" t="n">
        <v>0</v>
      </c>
      <c r="J692" t="n">
        <v>0</v>
      </c>
      <c r="K692" t="n">
        <v>0</v>
      </c>
      <c r="L692" t="n">
        <v>0</v>
      </c>
      <c r="M692" t="n">
        <v>0</v>
      </c>
      <c r="N692" t="n">
        <v>0</v>
      </c>
      <c r="O692" t="n">
        <v>0</v>
      </c>
      <c r="P692" t="n">
        <v>0</v>
      </c>
      <c r="Q692" t="n">
        <v>0</v>
      </c>
      <c r="R692" s="2" t="inlineStr"/>
    </row>
    <row r="693" ht="15" customHeight="1">
      <c r="A693" t="inlineStr">
        <is>
          <t>A 64757-2018</t>
        </is>
      </c>
      <c r="B693" s="1" t="n">
        <v>43431</v>
      </c>
      <c r="C693" s="1" t="n">
        <v>45344</v>
      </c>
      <c r="D693" t="inlineStr">
        <is>
          <t>GÄVLEBORGS LÄN</t>
        </is>
      </c>
      <c r="E693" t="inlineStr">
        <is>
          <t>LJUSDAL</t>
        </is>
      </c>
      <c r="F693" t="inlineStr">
        <is>
          <t>Sveaskog</t>
        </is>
      </c>
      <c r="G693" t="n">
        <v>6</v>
      </c>
      <c r="H693" t="n">
        <v>0</v>
      </c>
      <c r="I693" t="n">
        <v>0</v>
      </c>
      <c r="J693" t="n">
        <v>0</v>
      </c>
      <c r="K693" t="n">
        <v>0</v>
      </c>
      <c r="L693" t="n">
        <v>0</v>
      </c>
      <c r="M693" t="n">
        <v>0</v>
      </c>
      <c r="N693" t="n">
        <v>0</v>
      </c>
      <c r="O693" t="n">
        <v>0</v>
      </c>
      <c r="P693" t="n">
        <v>0</v>
      </c>
      <c r="Q693" t="n">
        <v>0</v>
      </c>
      <c r="R693" s="2" t="inlineStr"/>
    </row>
    <row r="694" ht="15" customHeight="1">
      <c r="A694" t="inlineStr">
        <is>
          <t>A 64894-2018</t>
        </is>
      </c>
      <c r="B694" s="1" t="n">
        <v>43431</v>
      </c>
      <c r="C694" s="1" t="n">
        <v>45344</v>
      </c>
      <c r="D694" t="inlineStr">
        <is>
          <t>GÄVLEBORGS LÄN</t>
        </is>
      </c>
      <c r="E694" t="inlineStr">
        <is>
          <t>SÖDERHAMN</t>
        </is>
      </c>
      <c r="G694" t="n">
        <v>0.8</v>
      </c>
      <c r="H694" t="n">
        <v>0</v>
      </c>
      <c r="I694" t="n">
        <v>0</v>
      </c>
      <c r="J694" t="n">
        <v>0</v>
      </c>
      <c r="K694" t="n">
        <v>0</v>
      </c>
      <c r="L694" t="n">
        <v>0</v>
      </c>
      <c r="M694" t="n">
        <v>0</v>
      </c>
      <c r="N694" t="n">
        <v>0</v>
      </c>
      <c r="O694" t="n">
        <v>0</v>
      </c>
      <c r="P694" t="n">
        <v>0</v>
      </c>
      <c r="Q694" t="n">
        <v>0</v>
      </c>
      <c r="R694" s="2" t="inlineStr"/>
    </row>
    <row r="695" ht="15" customHeight="1">
      <c r="A695" t="inlineStr">
        <is>
          <t>A 64539-2018</t>
        </is>
      </c>
      <c r="B695" s="1" t="n">
        <v>43431</v>
      </c>
      <c r="C695" s="1" t="n">
        <v>45344</v>
      </c>
      <c r="D695" t="inlineStr">
        <is>
          <t>GÄVLEBORGS LÄN</t>
        </is>
      </c>
      <c r="E695" t="inlineStr">
        <is>
          <t>GÄVLE</t>
        </is>
      </c>
      <c r="G695" t="n">
        <v>1.1</v>
      </c>
      <c r="H695" t="n">
        <v>0</v>
      </c>
      <c r="I695" t="n">
        <v>0</v>
      </c>
      <c r="J695" t="n">
        <v>0</v>
      </c>
      <c r="K695" t="n">
        <v>0</v>
      </c>
      <c r="L695" t="n">
        <v>0</v>
      </c>
      <c r="M695" t="n">
        <v>0</v>
      </c>
      <c r="N695" t="n">
        <v>0</v>
      </c>
      <c r="O695" t="n">
        <v>0</v>
      </c>
      <c r="P695" t="n">
        <v>0</v>
      </c>
      <c r="Q695" t="n">
        <v>0</v>
      </c>
      <c r="R695" s="2" t="inlineStr"/>
    </row>
    <row r="696" ht="15" customHeight="1">
      <c r="A696" t="inlineStr">
        <is>
          <t>A 64827-2018</t>
        </is>
      </c>
      <c r="B696" s="1" t="n">
        <v>43431</v>
      </c>
      <c r="C696" s="1" t="n">
        <v>45344</v>
      </c>
      <c r="D696" t="inlineStr">
        <is>
          <t>GÄVLEBORGS LÄN</t>
        </is>
      </c>
      <c r="E696" t="inlineStr">
        <is>
          <t>BOLLNÄS</t>
        </is>
      </c>
      <c r="G696" t="n">
        <v>4.4</v>
      </c>
      <c r="H696" t="n">
        <v>0</v>
      </c>
      <c r="I696" t="n">
        <v>0</v>
      </c>
      <c r="J696" t="n">
        <v>0</v>
      </c>
      <c r="K696" t="n">
        <v>0</v>
      </c>
      <c r="L696" t="n">
        <v>0</v>
      </c>
      <c r="M696" t="n">
        <v>0</v>
      </c>
      <c r="N696" t="n">
        <v>0</v>
      </c>
      <c r="O696" t="n">
        <v>0</v>
      </c>
      <c r="P696" t="n">
        <v>0</v>
      </c>
      <c r="Q696" t="n">
        <v>0</v>
      </c>
      <c r="R696" s="2" t="inlineStr"/>
    </row>
    <row r="697" ht="15" customHeight="1">
      <c r="A697" t="inlineStr">
        <is>
          <t>A 64806-2018</t>
        </is>
      </c>
      <c r="B697" s="1" t="n">
        <v>43431</v>
      </c>
      <c r="C697" s="1" t="n">
        <v>45344</v>
      </c>
      <c r="D697" t="inlineStr">
        <is>
          <t>GÄVLEBORGS LÄN</t>
        </is>
      </c>
      <c r="E697" t="inlineStr">
        <is>
          <t>BOLLNÄS</t>
        </is>
      </c>
      <c r="G697" t="n">
        <v>1.7</v>
      </c>
      <c r="H697" t="n">
        <v>0</v>
      </c>
      <c r="I697" t="n">
        <v>0</v>
      </c>
      <c r="J697" t="n">
        <v>0</v>
      </c>
      <c r="K697" t="n">
        <v>0</v>
      </c>
      <c r="L697" t="n">
        <v>0</v>
      </c>
      <c r="M697" t="n">
        <v>0</v>
      </c>
      <c r="N697" t="n">
        <v>0</v>
      </c>
      <c r="O697" t="n">
        <v>0</v>
      </c>
      <c r="P697" t="n">
        <v>0</v>
      </c>
      <c r="Q697" t="n">
        <v>0</v>
      </c>
      <c r="R697" s="2" t="inlineStr"/>
    </row>
    <row r="698" ht="15" customHeight="1">
      <c r="A698" t="inlineStr">
        <is>
          <t>A 64784-2018</t>
        </is>
      </c>
      <c r="B698" s="1" t="n">
        <v>43431</v>
      </c>
      <c r="C698" s="1" t="n">
        <v>45344</v>
      </c>
      <c r="D698" t="inlineStr">
        <is>
          <t>GÄVLEBORGS LÄN</t>
        </is>
      </c>
      <c r="E698" t="inlineStr">
        <is>
          <t>LJUSDAL</t>
        </is>
      </c>
      <c r="G698" t="n">
        <v>1.1</v>
      </c>
      <c r="H698" t="n">
        <v>0</v>
      </c>
      <c r="I698" t="n">
        <v>0</v>
      </c>
      <c r="J698" t="n">
        <v>0</v>
      </c>
      <c r="K698" t="n">
        <v>0</v>
      </c>
      <c r="L698" t="n">
        <v>0</v>
      </c>
      <c r="M698" t="n">
        <v>0</v>
      </c>
      <c r="N698" t="n">
        <v>0</v>
      </c>
      <c r="O698" t="n">
        <v>0</v>
      </c>
      <c r="P698" t="n">
        <v>0</v>
      </c>
      <c r="Q698" t="n">
        <v>0</v>
      </c>
      <c r="R698" s="2" t="inlineStr"/>
    </row>
    <row r="699" ht="15" customHeight="1">
      <c r="A699" t="inlineStr">
        <is>
          <t>A 64610-2018</t>
        </is>
      </c>
      <c r="B699" s="1" t="n">
        <v>43431</v>
      </c>
      <c r="C699" s="1" t="n">
        <v>45344</v>
      </c>
      <c r="D699" t="inlineStr">
        <is>
          <t>GÄVLEBORGS LÄN</t>
        </is>
      </c>
      <c r="E699" t="inlineStr">
        <is>
          <t>SANDVIKEN</t>
        </is>
      </c>
      <c r="G699" t="n">
        <v>1.9</v>
      </c>
      <c r="H699" t="n">
        <v>0</v>
      </c>
      <c r="I699" t="n">
        <v>0</v>
      </c>
      <c r="J699" t="n">
        <v>0</v>
      </c>
      <c r="K699" t="n">
        <v>0</v>
      </c>
      <c r="L699" t="n">
        <v>0</v>
      </c>
      <c r="M699" t="n">
        <v>0</v>
      </c>
      <c r="N699" t="n">
        <v>0</v>
      </c>
      <c r="O699" t="n">
        <v>0</v>
      </c>
      <c r="P699" t="n">
        <v>0</v>
      </c>
      <c r="Q699" t="n">
        <v>0</v>
      </c>
      <c r="R699" s="2" t="inlineStr"/>
    </row>
    <row r="700" ht="15" customHeight="1">
      <c r="A700" t="inlineStr">
        <is>
          <t>A 67526-2018</t>
        </is>
      </c>
      <c r="B700" s="1" t="n">
        <v>43432</v>
      </c>
      <c r="C700" s="1" t="n">
        <v>45344</v>
      </c>
      <c r="D700" t="inlineStr">
        <is>
          <t>GÄVLEBORGS LÄN</t>
        </is>
      </c>
      <c r="E700" t="inlineStr">
        <is>
          <t>LJUSDAL</t>
        </is>
      </c>
      <c r="F700" t="inlineStr">
        <is>
          <t>Sveaskog</t>
        </is>
      </c>
      <c r="G700" t="n">
        <v>69.90000000000001</v>
      </c>
      <c r="H700" t="n">
        <v>0</v>
      </c>
      <c r="I700" t="n">
        <v>0</v>
      </c>
      <c r="J700" t="n">
        <v>0</v>
      </c>
      <c r="K700" t="n">
        <v>0</v>
      </c>
      <c r="L700" t="n">
        <v>0</v>
      </c>
      <c r="M700" t="n">
        <v>0</v>
      </c>
      <c r="N700" t="n">
        <v>0</v>
      </c>
      <c r="O700" t="n">
        <v>0</v>
      </c>
      <c r="P700" t="n">
        <v>0</v>
      </c>
      <c r="Q700" t="n">
        <v>0</v>
      </c>
      <c r="R700" s="2" t="inlineStr"/>
    </row>
    <row r="701" ht="15" customHeight="1">
      <c r="A701" t="inlineStr">
        <is>
          <t>A 65223-2018</t>
        </is>
      </c>
      <c r="B701" s="1" t="n">
        <v>43432</v>
      </c>
      <c r="C701" s="1" t="n">
        <v>45344</v>
      </c>
      <c r="D701" t="inlineStr">
        <is>
          <t>GÄVLEBORGS LÄN</t>
        </is>
      </c>
      <c r="E701" t="inlineStr">
        <is>
          <t>OCKELBO</t>
        </is>
      </c>
      <c r="F701" t="inlineStr">
        <is>
          <t>Bergvik skog väst AB</t>
        </is>
      </c>
      <c r="G701" t="n">
        <v>2.2</v>
      </c>
      <c r="H701" t="n">
        <v>0</v>
      </c>
      <c r="I701" t="n">
        <v>0</v>
      </c>
      <c r="J701" t="n">
        <v>0</v>
      </c>
      <c r="K701" t="n">
        <v>0</v>
      </c>
      <c r="L701" t="n">
        <v>0</v>
      </c>
      <c r="M701" t="n">
        <v>0</v>
      </c>
      <c r="N701" t="n">
        <v>0</v>
      </c>
      <c r="O701" t="n">
        <v>0</v>
      </c>
      <c r="P701" t="n">
        <v>0</v>
      </c>
      <c r="Q701" t="n">
        <v>0</v>
      </c>
      <c r="R701" s="2" t="inlineStr"/>
    </row>
    <row r="702" ht="15" customHeight="1">
      <c r="A702" t="inlineStr">
        <is>
          <t>A 65208-2018</t>
        </is>
      </c>
      <c r="B702" s="1" t="n">
        <v>43432</v>
      </c>
      <c r="C702" s="1" t="n">
        <v>45344</v>
      </c>
      <c r="D702" t="inlineStr">
        <is>
          <t>GÄVLEBORGS LÄN</t>
        </is>
      </c>
      <c r="E702" t="inlineStr">
        <is>
          <t>SANDVIKEN</t>
        </is>
      </c>
      <c r="G702" t="n">
        <v>1.3</v>
      </c>
      <c r="H702" t="n">
        <v>0</v>
      </c>
      <c r="I702" t="n">
        <v>0</v>
      </c>
      <c r="J702" t="n">
        <v>0</v>
      </c>
      <c r="K702" t="n">
        <v>0</v>
      </c>
      <c r="L702" t="n">
        <v>0</v>
      </c>
      <c r="M702" t="n">
        <v>0</v>
      </c>
      <c r="N702" t="n">
        <v>0</v>
      </c>
      <c r="O702" t="n">
        <v>0</v>
      </c>
      <c r="P702" t="n">
        <v>0</v>
      </c>
      <c r="Q702" t="n">
        <v>0</v>
      </c>
      <c r="R702" s="2" t="inlineStr"/>
    </row>
    <row r="703" ht="15" customHeight="1">
      <c r="A703" t="inlineStr">
        <is>
          <t>A 65158-2018</t>
        </is>
      </c>
      <c r="B703" s="1" t="n">
        <v>43432</v>
      </c>
      <c r="C703" s="1" t="n">
        <v>45344</v>
      </c>
      <c r="D703" t="inlineStr">
        <is>
          <t>GÄVLEBORGS LÄN</t>
        </is>
      </c>
      <c r="E703" t="inlineStr">
        <is>
          <t>NORDANSTIG</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65261-2018</t>
        </is>
      </c>
      <c r="B704" s="1" t="n">
        <v>43432</v>
      </c>
      <c r="C704" s="1" t="n">
        <v>45344</v>
      </c>
      <c r="D704" t="inlineStr">
        <is>
          <t>GÄVLEBORGS LÄN</t>
        </is>
      </c>
      <c r="E704" t="inlineStr">
        <is>
          <t>HUDIKSVALL</t>
        </is>
      </c>
      <c r="G704" t="n">
        <v>3.2</v>
      </c>
      <c r="H704" t="n">
        <v>0</v>
      </c>
      <c r="I704" t="n">
        <v>0</v>
      </c>
      <c r="J704" t="n">
        <v>0</v>
      </c>
      <c r="K704" t="n">
        <v>0</v>
      </c>
      <c r="L704" t="n">
        <v>0</v>
      </c>
      <c r="M704" t="n">
        <v>0</v>
      </c>
      <c r="N704" t="n">
        <v>0</v>
      </c>
      <c r="O704" t="n">
        <v>0</v>
      </c>
      <c r="P704" t="n">
        <v>0</v>
      </c>
      <c r="Q704" t="n">
        <v>0</v>
      </c>
      <c r="R704" s="2" t="inlineStr"/>
    </row>
    <row r="705" ht="15" customHeight="1">
      <c r="A705" t="inlineStr">
        <is>
          <t>A 65056-2018</t>
        </is>
      </c>
      <c r="B705" s="1" t="n">
        <v>43432</v>
      </c>
      <c r="C705" s="1" t="n">
        <v>45344</v>
      </c>
      <c r="D705" t="inlineStr">
        <is>
          <t>GÄVLEBORGS LÄN</t>
        </is>
      </c>
      <c r="E705" t="inlineStr">
        <is>
          <t>LJUSDAL</t>
        </is>
      </c>
      <c r="F705" t="inlineStr">
        <is>
          <t>Bergvik skog väst AB</t>
        </is>
      </c>
      <c r="G705" t="n">
        <v>2.5</v>
      </c>
      <c r="H705" t="n">
        <v>0</v>
      </c>
      <c r="I705" t="n">
        <v>0</v>
      </c>
      <c r="J705" t="n">
        <v>0</v>
      </c>
      <c r="K705" t="n">
        <v>0</v>
      </c>
      <c r="L705" t="n">
        <v>0</v>
      </c>
      <c r="M705" t="n">
        <v>0</v>
      </c>
      <c r="N705" t="n">
        <v>0</v>
      </c>
      <c r="O705" t="n">
        <v>0</v>
      </c>
      <c r="P705" t="n">
        <v>0</v>
      </c>
      <c r="Q705" t="n">
        <v>0</v>
      </c>
      <c r="R705" s="2" t="inlineStr"/>
    </row>
    <row r="706" ht="15" customHeight="1">
      <c r="A706" t="inlineStr">
        <is>
          <t>A 65033-2018</t>
        </is>
      </c>
      <c r="B706" s="1" t="n">
        <v>43432</v>
      </c>
      <c r="C706" s="1" t="n">
        <v>45344</v>
      </c>
      <c r="D706" t="inlineStr">
        <is>
          <t>GÄVLEBORGS LÄN</t>
        </is>
      </c>
      <c r="E706" t="inlineStr">
        <is>
          <t>LJUSDAL</t>
        </is>
      </c>
      <c r="G706" t="n">
        <v>13.1</v>
      </c>
      <c r="H706" t="n">
        <v>0</v>
      </c>
      <c r="I706" t="n">
        <v>0</v>
      </c>
      <c r="J706" t="n">
        <v>0</v>
      </c>
      <c r="K706" t="n">
        <v>0</v>
      </c>
      <c r="L706" t="n">
        <v>0</v>
      </c>
      <c r="M706" t="n">
        <v>0</v>
      </c>
      <c r="N706" t="n">
        <v>0</v>
      </c>
      <c r="O706" t="n">
        <v>0</v>
      </c>
      <c r="P706" t="n">
        <v>0</v>
      </c>
      <c r="Q706" t="n">
        <v>0</v>
      </c>
      <c r="R706" s="2" t="inlineStr"/>
    </row>
    <row r="707" ht="15" customHeight="1">
      <c r="A707" t="inlineStr">
        <is>
          <t>A 65567-2018</t>
        </is>
      </c>
      <c r="B707" s="1" t="n">
        <v>43433</v>
      </c>
      <c r="C707" s="1" t="n">
        <v>45344</v>
      </c>
      <c r="D707" t="inlineStr">
        <is>
          <t>GÄVLEBORGS LÄN</t>
        </is>
      </c>
      <c r="E707" t="inlineStr">
        <is>
          <t>SANDVIKEN</t>
        </is>
      </c>
      <c r="F707" t="inlineStr">
        <is>
          <t>Sveaskog</t>
        </is>
      </c>
      <c r="G707" t="n">
        <v>0.8</v>
      </c>
      <c r="H707" t="n">
        <v>0</v>
      </c>
      <c r="I707" t="n">
        <v>0</v>
      </c>
      <c r="J707" t="n">
        <v>0</v>
      </c>
      <c r="K707" t="n">
        <v>0</v>
      </c>
      <c r="L707" t="n">
        <v>0</v>
      </c>
      <c r="M707" t="n">
        <v>0</v>
      </c>
      <c r="N707" t="n">
        <v>0</v>
      </c>
      <c r="O707" t="n">
        <v>0</v>
      </c>
      <c r="P707" t="n">
        <v>0</v>
      </c>
      <c r="Q707" t="n">
        <v>0</v>
      </c>
      <c r="R707" s="2" t="inlineStr"/>
    </row>
    <row r="708" ht="15" customHeight="1">
      <c r="A708" t="inlineStr">
        <is>
          <t>A 65365-2018</t>
        </is>
      </c>
      <c r="B708" s="1" t="n">
        <v>43433</v>
      </c>
      <c r="C708" s="1" t="n">
        <v>45344</v>
      </c>
      <c r="D708" t="inlineStr">
        <is>
          <t>GÄVLEBORGS LÄN</t>
        </is>
      </c>
      <c r="E708" t="inlineStr">
        <is>
          <t>HUDIKSVALL</t>
        </is>
      </c>
      <c r="G708" t="n">
        <v>1.2</v>
      </c>
      <c r="H708" t="n">
        <v>0</v>
      </c>
      <c r="I708" t="n">
        <v>0</v>
      </c>
      <c r="J708" t="n">
        <v>0</v>
      </c>
      <c r="K708" t="n">
        <v>0</v>
      </c>
      <c r="L708" t="n">
        <v>0</v>
      </c>
      <c r="M708" t="n">
        <v>0</v>
      </c>
      <c r="N708" t="n">
        <v>0</v>
      </c>
      <c r="O708" t="n">
        <v>0</v>
      </c>
      <c r="P708" t="n">
        <v>0</v>
      </c>
      <c r="Q708" t="n">
        <v>0</v>
      </c>
      <c r="R708" s="2" t="inlineStr"/>
    </row>
    <row r="709" ht="15" customHeight="1">
      <c r="A709" t="inlineStr">
        <is>
          <t>A 65433-2018</t>
        </is>
      </c>
      <c r="B709" s="1" t="n">
        <v>43433</v>
      </c>
      <c r="C709" s="1" t="n">
        <v>45344</v>
      </c>
      <c r="D709" t="inlineStr">
        <is>
          <t>GÄVLEBORGS LÄN</t>
        </is>
      </c>
      <c r="E709" t="inlineStr">
        <is>
          <t>HUDIKSVALL</t>
        </is>
      </c>
      <c r="G709" t="n">
        <v>0.7</v>
      </c>
      <c r="H709" t="n">
        <v>0</v>
      </c>
      <c r="I709" t="n">
        <v>0</v>
      </c>
      <c r="J709" t="n">
        <v>0</v>
      </c>
      <c r="K709" t="n">
        <v>0</v>
      </c>
      <c r="L709" t="n">
        <v>0</v>
      </c>
      <c r="M709" t="n">
        <v>0</v>
      </c>
      <c r="N709" t="n">
        <v>0</v>
      </c>
      <c r="O709" t="n">
        <v>0</v>
      </c>
      <c r="P709" t="n">
        <v>0</v>
      </c>
      <c r="Q709" t="n">
        <v>0</v>
      </c>
      <c r="R709" s="2" t="inlineStr"/>
    </row>
    <row r="710" ht="15" customHeight="1">
      <c r="A710" t="inlineStr">
        <is>
          <t>A 66088-2018</t>
        </is>
      </c>
      <c r="B710" s="1" t="n">
        <v>43434</v>
      </c>
      <c r="C710" s="1" t="n">
        <v>45344</v>
      </c>
      <c r="D710" t="inlineStr">
        <is>
          <t>GÄVLEBORGS LÄN</t>
        </is>
      </c>
      <c r="E710" t="inlineStr">
        <is>
          <t>BOLLNÄS</t>
        </is>
      </c>
      <c r="G710" t="n">
        <v>4.7</v>
      </c>
      <c r="H710" t="n">
        <v>0</v>
      </c>
      <c r="I710" t="n">
        <v>0</v>
      </c>
      <c r="J710" t="n">
        <v>0</v>
      </c>
      <c r="K710" t="n">
        <v>0</v>
      </c>
      <c r="L710" t="n">
        <v>0</v>
      </c>
      <c r="M710" t="n">
        <v>0</v>
      </c>
      <c r="N710" t="n">
        <v>0</v>
      </c>
      <c r="O710" t="n">
        <v>0</v>
      </c>
      <c r="P710" t="n">
        <v>0</v>
      </c>
      <c r="Q710" t="n">
        <v>0</v>
      </c>
      <c r="R710" s="2" t="inlineStr"/>
    </row>
    <row r="711" ht="15" customHeight="1">
      <c r="A711" t="inlineStr">
        <is>
          <t>A 65997-2018</t>
        </is>
      </c>
      <c r="B711" s="1" t="n">
        <v>43434</v>
      </c>
      <c r="C711" s="1" t="n">
        <v>45344</v>
      </c>
      <c r="D711" t="inlineStr">
        <is>
          <t>GÄVLEBORGS LÄN</t>
        </is>
      </c>
      <c r="E711" t="inlineStr">
        <is>
          <t>HUDIKSVALL</t>
        </is>
      </c>
      <c r="F711" t="inlineStr">
        <is>
          <t>Holmen skog AB</t>
        </is>
      </c>
      <c r="G711" t="n">
        <v>12.4</v>
      </c>
      <c r="H711" t="n">
        <v>0</v>
      </c>
      <c r="I711" t="n">
        <v>0</v>
      </c>
      <c r="J711" t="n">
        <v>0</v>
      </c>
      <c r="K711" t="n">
        <v>0</v>
      </c>
      <c r="L711" t="n">
        <v>0</v>
      </c>
      <c r="M711" t="n">
        <v>0</v>
      </c>
      <c r="N711" t="n">
        <v>0</v>
      </c>
      <c r="O711" t="n">
        <v>0</v>
      </c>
      <c r="P711" t="n">
        <v>0</v>
      </c>
      <c r="Q711" t="n">
        <v>0</v>
      </c>
      <c r="R711" s="2" t="inlineStr"/>
    </row>
    <row r="712" ht="15" customHeight="1">
      <c r="A712" t="inlineStr">
        <is>
          <t>A 66178-2018</t>
        </is>
      </c>
      <c r="B712" s="1" t="n">
        <v>43434</v>
      </c>
      <c r="C712" s="1" t="n">
        <v>45344</v>
      </c>
      <c r="D712" t="inlineStr">
        <is>
          <t>GÄVLEBORGS LÄN</t>
        </is>
      </c>
      <c r="E712" t="inlineStr">
        <is>
          <t>SÖDERHAMN</t>
        </is>
      </c>
      <c r="G712" t="n">
        <v>8</v>
      </c>
      <c r="H712" t="n">
        <v>0</v>
      </c>
      <c r="I712" t="n">
        <v>0</v>
      </c>
      <c r="J712" t="n">
        <v>0</v>
      </c>
      <c r="K712" t="n">
        <v>0</v>
      </c>
      <c r="L712" t="n">
        <v>0</v>
      </c>
      <c r="M712" t="n">
        <v>0</v>
      </c>
      <c r="N712" t="n">
        <v>0</v>
      </c>
      <c r="O712" t="n">
        <v>0</v>
      </c>
      <c r="P712" t="n">
        <v>0</v>
      </c>
      <c r="Q712" t="n">
        <v>0</v>
      </c>
      <c r="R712" s="2" t="inlineStr"/>
    </row>
    <row r="713" ht="15" customHeight="1">
      <c r="A713" t="inlineStr">
        <is>
          <t>A 66192-2018</t>
        </is>
      </c>
      <c r="B713" s="1" t="n">
        <v>43434</v>
      </c>
      <c r="C713" s="1" t="n">
        <v>45344</v>
      </c>
      <c r="D713" t="inlineStr">
        <is>
          <t>GÄVLEBORGS LÄN</t>
        </is>
      </c>
      <c r="E713" t="inlineStr">
        <is>
          <t>NORDANSTIG</t>
        </is>
      </c>
      <c r="G713" t="n">
        <v>5.8</v>
      </c>
      <c r="H713" t="n">
        <v>0</v>
      </c>
      <c r="I713" t="n">
        <v>0</v>
      </c>
      <c r="J713" t="n">
        <v>0</v>
      </c>
      <c r="K713" t="n">
        <v>0</v>
      </c>
      <c r="L713" t="n">
        <v>0</v>
      </c>
      <c r="M713" t="n">
        <v>0</v>
      </c>
      <c r="N713" t="n">
        <v>0</v>
      </c>
      <c r="O713" t="n">
        <v>0</v>
      </c>
      <c r="P713" t="n">
        <v>0</v>
      </c>
      <c r="Q713" t="n">
        <v>0</v>
      </c>
      <c r="R713" s="2" t="inlineStr"/>
    </row>
    <row r="714" ht="15" customHeight="1">
      <c r="A714" t="inlineStr">
        <is>
          <t>A 66126-2018</t>
        </is>
      </c>
      <c r="B714" s="1" t="n">
        <v>43434</v>
      </c>
      <c r="C714" s="1" t="n">
        <v>45344</v>
      </c>
      <c r="D714" t="inlineStr">
        <is>
          <t>GÄVLEBORGS LÄN</t>
        </is>
      </c>
      <c r="E714" t="inlineStr">
        <is>
          <t>LJUSDAL</t>
        </is>
      </c>
      <c r="F714" t="inlineStr">
        <is>
          <t>Sveaskog</t>
        </is>
      </c>
      <c r="G714" t="n">
        <v>2.9</v>
      </c>
      <c r="H714" t="n">
        <v>0</v>
      </c>
      <c r="I714" t="n">
        <v>0</v>
      </c>
      <c r="J714" t="n">
        <v>0</v>
      </c>
      <c r="K714" t="n">
        <v>0</v>
      </c>
      <c r="L714" t="n">
        <v>0</v>
      </c>
      <c r="M714" t="n">
        <v>0</v>
      </c>
      <c r="N714" t="n">
        <v>0</v>
      </c>
      <c r="O714" t="n">
        <v>0</v>
      </c>
      <c r="P714" t="n">
        <v>0</v>
      </c>
      <c r="Q714" t="n">
        <v>0</v>
      </c>
      <c r="R714" s="2" t="inlineStr"/>
    </row>
    <row r="715" ht="15" customHeight="1">
      <c r="A715" t="inlineStr">
        <is>
          <t>A 66191-2018</t>
        </is>
      </c>
      <c r="B715" s="1" t="n">
        <v>43434</v>
      </c>
      <c r="C715" s="1" t="n">
        <v>45344</v>
      </c>
      <c r="D715" t="inlineStr">
        <is>
          <t>GÄVLEBORGS LÄN</t>
        </is>
      </c>
      <c r="E715" t="inlineStr">
        <is>
          <t>NORDANSTIG</t>
        </is>
      </c>
      <c r="G715" t="n">
        <v>1.4</v>
      </c>
      <c r="H715" t="n">
        <v>0</v>
      </c>
      <c r="I715" t="n">
        <v>0</v>
      </c>
      <c r="J715" t="n">
        <v>0</v>
      </c>
      <c r="K715" t="n">
        <v>0</v>
      </c>
      <c r="L715" t="n">
        <v>0</v>
      </c>
      <c r="M715" t="n">
        <v>0</v>
      </c>
      <c r="N715" t="n">
        <v>0</v>
      </c>
      <c r="O715" t="n">
        <v>0</v>
      </c>
      <c r="P715" t="n">
        <v>0</v>
      </c>
      <c r="Q715" t="n">
        <v>0</v>
      </c>
      <c r="R715" s="2" t="inlineStr"/>
    </row>
    <row r="716" ht="15" customHeight="1">
      <c r="A716" t="inlineStr">
        <is>
          <t>A 65872-2018</t>
        </is>
      </c>
      <c r="B716" s="1" t="n">
        <v>43434</v>
      </c>
      <c r="C716" s="1" t="n">
        <v>45344</v>
      </c>
      <c r="D716" t="inlineStr">
        <is>
          <t>GÄVLEBORGS LÄN</t>
        </is>
      </c>
      <c r="E716" t="inlineStr">
        <is>
          <t>OVANÅKER</t>
        </is>
      </c>
      <c r="G716" t="n">
        <v>3.4</v>
      </c>
      <c r="H716" t="n">
        <v>0</v>
      </c>
      <c r="I716" t="n">
        <v>0</v>
      </c>
      <c r="J716" t="n">
        <v>0</v>
      </c>
      <c r="K716" t="n">
        <v>0</v>
      </c>
      <c r="L716" t="n">
        <v>0</v>
      </c>
      <c r="M716" t="n">
        <v>0</v>
      </c>
      <c r="N716" t="n">
        <v>0</v>
      </c>
      <c r="O716" t="n">
        <v>0</v>
      </c>
      <c r="P716" t="n">
        <v>0</v>
      </c>
      <c r="Q716" t="n">
        <v>0</v>
      </c>
      <c r="R716" s="2" t="inlineStr"/>
    </row>
    <row r="717" ht="15" customHeight="1">
      <c r="A717" t="inlineStr">
        <is>
          <t>A 66092-2018</t>
        </is>
      </c>
      <c r="B717" s="1" t="n">
        <v>43434</v>
      </c>
      <c r="C717" s="1" t="n">
        <v>45344</v>
      </c>
      <c r="D717" t="inlineStr">
        <is>
          <t>GÄVLEBORGS LÄN</t>
        </is>
      </c>
      <c r="E717" t="inlineStr">
        <is>
          <t>BOLLNÄS</t>
        </is>
      </c>
      <c r="G717" t="n">
        <v>2.2</v>
      </c>
      <c r="H717" t="n">
        <v>0</v>
      </c>
      <c r="I717" t="n">
        <v>0</v>
      </c>
      <c r="J717" t="n">
        <v>0</v>
      </c>
      <c r="K717" t="n">
        <v>0</v>
      </c>
      <c r="L717" t="n">
        <v>0</v>
      </c>
      <c r="M717" t="n">
        <v>0</v>
      </c>
      <c r="N717" t="n">
        <v>0</v>
      </c>
      <c r="O717" t="n">
        <v>0</v>
      </c>
      <c r="P717" t="n">
        <v>0</v>
      </c>
      <c r="Q717" t="n">
        <v>0</v>
      </c>
      <c r="R717" s="2" t="inlineStr"/>
    </row>
    <row r="718" ht="15" customHeight="1">
      <c r="A718" t="inlineStr">
        <is>
          <t>A 66460-2018</t>
        </is>
      </c>
      <c r="B718" s="1" t="n">
        <v>43437</v>
      </c>
      <c r="C718" s="1" t="n">
        <v>45344</v>
      </c>
      <c r="D718" t="inlineStr">
        <is>
          <t>GÄVLEBORGS LÄN</t>
        </is>
      </c>
      <c r="E718" t="inlineStr">
        <is>
          <t>BOLLNÄS</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66662-2018</t>
        </is>
      </c>
      <c r="B719" s="1" t="n">
        <v>43437</v>
      </c>
      <c r="C719" s="1" t="n">
        <v>45344</v>
      </c>
      <c r="D719" t="inlineStr">
        <is>
          <t>GÄVLEBORGS LÄN</t>
        </is>
      </c>
      <c r="E719" t="inlineStr">
        <is>
          <t>OVANÅKER</t>
        </is>
      </c>
      <c r="G719" t="n">
        <v>0.8</v>
      </c>
      <c r="H719" t="n">
        <v>0</v>
      </c>
      <c r="I719" t="n">
        <v>0</v>
      </c>
      <c r="J719" t="n">
        <v>0</v>
      </c>
      <c r="K719" t="n">
        <v>0</v>
      </c>
      <c r="L719" t="n">
        <v>0</v>
      </c>
      <c r="M719" t="n">
        <v>0</v>
      </c>
      <c r="N719" t="n">
        <v>0</v>
      </c>
      <c r="O719" t="n">
        <v>0</v>
      </c>
      <c r="P719" t="n">
        <v>0</v>
      </c>
      <c r="Q719" t="n">
        <v>0</v>
      </c>
      <c r="R719" s="2" t="inlineStr"/>
    </row>
    <row r="720" ht="15" customHeight="1">
      <c r="A720" t="inlineStr">
        <is>
          <t>A 66541-2018</t>
        </is>
      </c>
      <c r="B720" s="1" t="n">
        <v>43437</v>
      </c>
      <c r="C720" s="1" t="n">
        <v>45344</v>
      </c>
      <c r="D720" t="inlineStr">
        <is>
          <t>GÄVLEBORGS LÄN</t>
        </is>
      </c>
      <c r="E720" t="inlineStr">
        <is>
          <t>HUDIKSVALL</t>
        </is>
      </c>
      <c r="F720" t="inlineStr">
        <is>
          <t>Holmen skog AB</t>
        </is>
      </c>
      <c r="G720" t="n">
        <v>2.2</v>
      </c>
      <c r="H720" t="n">
        <v>0</v>
      </c>
      <c r="I720" t="n">
        <v>0</v>
      </c>
      <c r="J720" t="n">
        <v>0</v>
      </c>
      <c r="K720" t="n">
        <v>0</v>
      </c>
      <c r="L720" t="n">
        <v>0</v>
      </c>
      <c r="M720" t="n">
        <v>0</v>
      </c>
      <c r="N720" t="n">
        <v>0</v>
      </c>
      <c r="O720" t="n">
        <v>0</v>
      </c>
      <c r="P720" t="n">
        <v>0</v>
      </c>
      <c r="Q720" t="n">
        <v>0</v>
      </c>
      <c r="R720" s="2" t="inlineStr"/>
    </row>
    <row r="721" ht="15" customHeight="1">
      <c r="A721" t="inlineStr">
        <is>
          <t>A 66514-2018</t>
        </is>
      </c>
      <c r="B721" s="1" t="n">
        <v>43437</v>
      </c>
      <c r="C721" s="1" t="n">
        <v>45344</v>
      </c>
      <c r="D721" t="inlineStr">
        <is>
          <t>GÄVLEBORGS LÄN</t>
        </is>
      </c>
      <c r="E721" t="inlineStr">
        <is>
          <t>HUDIKSVALL</t>
        </is>
      </c>
      <c r="F721" t="inlineStr">
        <is>
          <t>Holmen skog AB</t>
        </is>
      </c>
      <c r="G721" t="n">
        <v>4.5</v>
      </c>
      <c r="H721" t="n">
        <v>0</v>
      </c>
      <c r="I721" t="n">
        <v>0</v>
      </c>
      <c r="J721" t="n">
        <v>0</v>
      </c>
      <c r="K721" t="n">
        <v>0</v>
      </c>
      <c r="L721" t="n">
        <v>0</v>
      </c>
      <c r="M721" t="n">
        <v>0</v>
      </c>
      <c r="N721" t="n">
        <v>0</v>
      </c>
      <c r="O721" t="n">
        <v>0</v>
      </c>
      <c r="P721" t="n">
        <v>0</v>
      </c>
      <c r="Q721" t="n">
        <v>0</v>
      </c>
      <c r="R721" s="2" t="inlineStr"/>
    </row>
    <row r="722" ht="15" customHeight="1">
      <c r="A722" t="inlineStr">
        <is>
          <t>A 66404-2018</t>
        </is>
      </c>
      <c r="B722" s="1" t="n">
        <v>43437</v>
      </c>
      <c r="C722" s="1" t="n">
        <v>45344</v>
      </c>
      <c r="D722" t="inlineStr">
        <is>
          <t>GÄVLEBORGS LÄN</t>
        </is>
      </c>
      <c r="E722" t="inlineStr">
        <is>
          <t>HUDIKSVALL</t>
        </is>
      </c>
      <c r="G722" t="n">
        <v>5</v>
      </c>
      <c r="H722" t="n">
        <v>0</v>
      </c>
      <c r="I722" t="n">
        <v>0</v>
      </c>
      <c r="J722" t="n">
        <v>0</v>
      </c>
      <c r="K722" t="n">
        <v>0</v>
      </c>
      <c r="L722" t="n">
        <v>0</v>
      </c>
      <c r="M722" t="n">
        <v>0</v>
      </c>
      <c r="N722" t="n">
        <v>0</v>
      </c>
      <c r="O722" t="n">
        <v>0</v>
      </c>
      <c r="P722" t="n">
        <v>0</v>
      </c>
      <c r="Q722" t="n">
        <v>0</v>
      </c>
      <c r="R722" s="2" t="inlineStr"/>
    </row>
    <row r="723" ht="15" customHeight="1">
      <c r="A723" t="inlineStr">
        <is>
          <t>A 66533-2018</t>
        </is>
      </c>
      <c r="B723" s="1" t="n">
        <v>43437</v>
      </c>
      <c r="C723" s="1" t="n">
        <v>45344</v>
      </c>
      <c r="D723" t="inlineStr">
        <is>
          <t>GÄVLEBORGS LÄN</t>
        </is>
      </c>
      <c r="E723" t="inlineStr">
        <is>
          <t>LJUSDAL</t>
        </is>
      </c>
      <c r="F723" t="inlineStr">
        <is>
          <t>Bergvik skog väst AB</t>
        </is>
      </c>
      <c r="G723" t="n">
        <v>1.8</v>
      </c>
      <c r="H723" t="n">
        <v>0</v>
      </c>
      <c r="I723" t="n">
        <v>0</v>
      </c>
      <c r="J723" t="n">
        <v>0</v>
      </c>
      <c r="K723" t="n">
        <v>0</v>
      </c>
      <c r="L723" t="n">
        <v>0</v>
      </c>
      <c r="M723" t="n">
        <v>0</v>
      </c>
      <c r="N723" t="n">
        <v>0</v>
      </c>
      <c r="O723" t="n">
        <v>0</v>
      </c>
      <c r="P723" t="n">
        <v>0</v>
      </c>
      <c r="Q723" t="n">
        <v>0</v>
      </c>
      <c r="R723" s="2" t="inlineStr"/>
    </row>
    <row r="724" ht="15" customHeight="1">
      <c r="A724" t="inlineStr">
        <is>
          <t>A 67159-2018</t>
        </is>
      </c>
      <c r="B724" s="1" t="n">
        <v>43438</v>
      </c>
      <c r="C724" s="1" t="n">
        <v>45344</v>
      </c>
      <c r="D724" t="inlineStr">
        <is>
          <t>GÄVLEBORGS LÄN</t>
        </is>
      </c>
      <c r="E724" t="inlineStr">
        <is>
          <t>LJUSDAL</t>
        </is>
      </c>
      <c r="F724" t="inlineStr">
        <is>
          <t>Sveaskog</t>
        </is>
      </c>
      <c r="G724" t="n">
        <v>27.6</v>
      </c>
      <c r="H724" t="n">
        <v>0</v>
      </c>
      <c r="I724" t="n">
        <v>0</v>
      </c>
      <c r="J724" t="n">
        <v>0</v>
      </c>
      <c r="K724" t="n">
        <v>0</v>
      </c>
      <c r="L724" t="n">
        <v>0</v>
      </c>
      <c r="M724" t="n">
        <v>0</v>
      </c>
      <c r="N724" t="n">
        <v>0</v>
      </c>
      <c r="O724" t="n">
        <v>0</v>
      </c>
      <c r="P724" t="n">
        <v>0</v>
      </c>
      <c r="Q724" t="n">
        <v>0</v>
      </c>
      <c r="R724" s="2" t="inlineStr"/>
    </row>
    <row r="725" ht="15" customHeight="1">
      <c r="A725" t="inlineStr">
        <is>
          <t>A 67129-2018</t>
        </is>
      </c>
      <c r="B725" s="1" t="n">
        <v>43438</v>
      </c>
      <c r="C725" s="1" t="n">
        <v>45344</v>
      </c>
      <c r="D725" t="inlineStr">
        <is>
          <t>GÄVLEBORGS LÄN</t>
        </is>
      </c>
      <c r="E725" t="inlineStr">
        <is>
          <t>NORDANSTIG</t>
        </is>
      </c>
      <c r="G725" t="n">
        <v>2.5</v>
      </c>
      <c r="H725" t="n">
        <v>0</v>
      </c>
      <c r="I725" t="n">
        <v>0</v>
      </c>
      <c r="J725" t="n">
        <v>0</v>
      </c>
      <c r="K725" t="n">
        <v>0</v>
      </c>
      <c r="L725" t="n">
        <v>0</v>
      </c>
      <c r="M725" t="n">
        <v>0</v>
      </c>
      <c r="N725" t="n">
        <v>0</v>
      </c>
      <c r="O725" t="n">
        <v>0</v>
      </c>
      <c r="P725" t="n">
        <v>0</v>
      </c>
      <c r="Q725" t="n">
        <v>0</v>
      </c>
      <c r="R725" s="2" t="inlineStr"/>
    </row>
    <row r="726" ht="15" customHeight="1">
      <c r="A726" t="inlineStr">
        <is>
          <t>A 67524-2018</t>
        </is>
      </c>
      <c r="B726" s="1" t="n">
        <v>43439</v>
      </c>
      <c r="C726" s="1" t="n">
        <v>45344</v>
      </c>
      <c r="D726" t="inlineStr">
        <is>
          <t>GÄVLEBORGS LÄN</t>
        </is>
      </c>
      <c r="E726" t="inlineStr">
        <is>
          <t>LJUSDAL</t>
        </is>
      </c>
      <c r="G726" t="n">
        <v>7.6</v>
      </c>
      <c r="H726" t="n">
        <v>0</v>
      </c>
      <c r="I726" t="n">
        <v>0</v>
      </c>
      <c r="J726" t="n">
        <v>0</v>
      </c>
      <c r="K726" t="n">
        <v>0</v>
      </c>
      <c r="L726" t="n">
        <v>0</v>
      </c>
      <c r="M726" t="n">
        <v>0</v>
      </c>
      <c r="N726" t="n">
        <v>0</v>
      </c>
      <c r="O726" t="n">
        <v>0</v>
      </c>
      <c r="P726" t="n">
        <v>0</v>
      </c>
      <c r="Q726" t="n">
        <v>0</v>
      </c>
      <c r="R726" s="2" t="inlineStr"/>
    </row>
    <row r="727" ht="15" customHeight="1">
      <c r="A727" t="inlineStr">
        <is>
          <t>A 67538-2018</t>
        </is>
      </c>
      <c r="B727" s="1" t="n">
        <v>43439</v>
      </c>
      <c r="C727" s="1" t="n">
        <v>45344</v>
      </c>
      <c r="D727" t="inlineStr">
        <is>
          <t>GÄVLEBORGS LÄN</t>
        </is>
      </c>
      <c r="E727" t="inlineStr">
        <is>
          <t>LJUSDAL</t>
        </is>
      </c>
      <c r="G727" t="n">
        <v>12.7</v>
      </c>
      <c r="H727" t="n">
        <v>0</v>
      </c>
      <c r="I727" t="n">
        <v>0</v>
      </c>
      <c r="J727" t="n">
        <v>0</v>
      </c>
      <c r="K727" t="n">
        <v>0</v>
      </c>
      <c r="L727" t="n">
        <v>0</v>
      </c>
      <c r="M727" t="n">
        <v>0</v>
      </c>
      <c r="N727" t="n">
        <v>0</v>
      </c>
      <c r="O727" t="n">
        <v>0</v>
      </c>
      <c r="P727" t="n">
        <v>0</v>
      </c>
      <c r="Q727" t="n">
        <v>0</v>
      </c>
      <c r="R727" s="2" t="inlineStr"/>
    </row>
    <row r="728" ht="15" customHeight="1">
      <c r="A728" t="inlineStr">
        <is>
          <t>A 67437-2018</t>
        </is>
      </c>
      <c r="B728" s="1" t="n">
        <v>43439</v>
      </c>
      <c r="C728" s="1" t="n">
        <v>45344</v>
      </c>
      <c r="D728" t="inlineStr">
        <is>
          <t>GÄVLEBORGS LÄN</t>
        </is>
      </c>
      <c r="E728" t="inlineStr">
        <is>
          <t>OCKELBO</t>
        </is>
      </c>
      <c r="G728" t="n">
        <v>2.7</v>
      </c>
      <c r="H728" t="n">
        <v>0</v>
      </c>
      <c r="I728" t="n">
        <v>0</v>
      </c>
      <c r="J728" t="n">
        <v>0</v>
      </c>
      <c r="K728" t="n">
        <v>0</v>
      </c>
      <c r="L728" t="n">
        <v>0</v>
      </c>
      <c r="M728" t="n">
        <v>0</v>
      </c>
      <c r="N728" t="n">
        <v>0</v>
      </c>
      <c r="O728" t="n">
        <v>0</v>
      </c>
      <c r="P728" t="n">
        <v>0</v>
      </c>
      <c r="Q728" t="n">
        <v>0</v>
      </c>
      <c r="R728" s="2" t="inlineStr"/>
    </row>
    <row r="729" ht="15" customHeight="1">
      <c r="A729" t="inlineStr">
        <is>
          <t>A 67486-2018</t>
        </is>
      </c>
      <c r="B729" s="1" t="n">
        <v>43439</v>
      </c>
      <c r="C729" s="1" t="n">
        <v>45344</v>
      </c>
      <c r="D729" t="inlineStr">
        <is>
          <t>GÄVLEBORGS LÄN</t>
        </is>
      </c>
      <c r="E729" t="inlineStr">
        <is>
          <t>HUDIKSVALL</t>
        </is>
      </c>
      <c r="G729" t="n">
        <v>3</v>
      </c>
      <c r="H729" t="n">
        <v>0</v>
      </c>
      <c r="I729" t="n">
        <v>0</v>
      </c>
      <c r="J729" t="n">
        <v>0</v>
      </c>
      <c r="K729" t="n">
        <v>0</v>
      </c>
      <c r="L729" t="n">
        <v>0</v>
      </c>
      <c r="M729" t="n">
        <v>0</v>
      </c>
      <c r="N729" t="n">
        <v>0</v>
      </c>
      <c r="O729" t="n">
        <v>0</v>
      </c>
      <c r="P729" t="n">
        <v>0</v>
      </c>
      <c r="Q729" t="n">
        <v>0</v>
      </c>
      <c r="R729" s="2" t="inlineStr"/>
    </row>
    <row r="730" ht="15" customHeight="1">
      <c r="A730" t="inlineStr">
        <is>
          <t>A 67513-2018</t>
        </is>
      </c>
      <c r="B730" s="1" t="n">
        <v>43439</v>
      </c>
      <c r="C730" s="1" t="n">
        <v>45344</v>
      </c>
      <c r="D730" t="inlineStr">
        <is>
          <t>GÄVLEBORGS LÄN</t>
        </is>
      </c>
      <c r="E730" t="inlineStr">
        <is>
          <t>LJUSDAL</t>
        </is>
      </c>
      <c r="G730" t="n">
        <v>7</v>
      </c>
      <c r="H730" t="n">
        <v>0</v>
      </c>
      <c r="I730" t="n">
        <v>0</v>
      </c>
      <c r="J730" t="n">
        <v>0</v>
      </c>
      <c r="K730" t="n">
        <v>0</v>
      </c>
      <c r="L730" t="n">
        <v>0</v>
      </c>
      <c r="M730" t="n">
        <v>0</v>
      </c>
      <c r="N730" t="n">
        <v>0</v>
      </c>
      <c r="O730" t="n">
        <v>0</v>
      </c>
      <c r="P730" t="n">
        <v>0</v>
      </c>
      <c r="Q730" t="n">
        <v>0</v>
      </c>
      <c r="R730" s="2" t="inlineStr"/>
    </row>
    <row r="731" ht="15" customHeight="1">
      <c r="A731" t="inlineStr">
        <is>
          <t>A 67347-2018</t>
        </is>
      </c>
      <c r="B731" s="1" t="n">
        <v>43439</v>
      </c>
      <c r="C731" s="1" t="n">
        <v>45344</v>
      </c>
      <c r="D731" t="inlineStr">
        <is>
          <t>GÄVLEBORGS LÄN</t>
        </is>
      </c>
      <c r="E731" t="inlineStr">
        <is>
          <t>OCKELBO</t>
        </is>
      </c>
      <c r="G731" t="n">
        <v>1.5</v>
      </c>
      <c r="H731" t="n">
        <v>0</v>
      </c>
      <c r="I731" t="n">
        <v>0</v>
      </c>
      <c r="J731" t="n">
        <v>0</v>
      </c>
      <c r="K731" t="n">
        <v>0</v>
      </c>
      <c r="L731" t="n">
        <v>0</v>
      </c>
      <c r="M731" t="n">
        <v>0</v>
      </c>
      <c r="N731" t="n">
        <v>0</v>
      </c>
      <c r="O731" t="n">
        <v>0</v>
      </c>
      <c r="P731" t="n">
        <v>0</v>
      </c>
      <c r="Q731" t="n">
        <v>0</v>
      </c>
      <c r="R731" s="2" t="inlineStr"/>
    </row>
    <row r="732" ht="15" customHeight="1">
      <c r="A732" t="inlineStr">
        <is>
          <t>A 67447-2018</t>
        </is>
      </c>
      <c r="B732" s="1" t="n">
        <v>43439</v>
      </c>
      <c r="C732" s="1" t="n">
        <v>45344</v>
      </c>
      <c r="D732" t="inlineStr">
        <is>
          <t>GÄVLEBORGS LÄN</t>
        </is>
      </c>
      <c r="E732" t="inlineStr">
        <is>
          <t>OCKELBO</t>
        </is>
      </c>
      <c r="G732" t="n">
        <v>1.6</v>
      </c>
      <c r="H732" t="n">
        <v>0</v>
      </c>
      <c r="I732" t="n">
        <v>0</v>
      </c>
      <c r="J732" t="n">
        <v>0</v>
      </c>
      <c r="K732" t="n">
        <v>0</v>
      </c>
      <c r="L732" t="n">
        <v>0</v>
      </c>
      <c r="M732" t="n">
        <v>0</v>
      </c>
      <c r="N732" t="n">
        <v>0</v>
      </c>
      <c r="O732" t="n">
        <v>0</v>
      </c>
      <c r="P732" t="n">
        <v>0</v>
      </c>
      <c r="Q732" t="n">
        <v>0</v>
      </c>
      <c r="R732" s="2" t="inlineStr"/>
    </row>
    <row r="733" ht="15" customHeight="1">
      <c r="A733" t="inlineStr">
        <is>
          <t>A 67368-2018</t>
        </is>
      </c>
      <c r="B733" s="1" t="n">
        <v>43439</v>
      </c>
      <c r="C733" s="1" t="n">
        <v>45344</v>
      </c>
      <c r="D733" t="inlineStr">
        <is>
          <t>GÄVLEBORGS LÄN</t>
        </is>
      </c>
      <c r="E733" t="inlineStr">
        <is>
          <t>OCKELBO</t>
        </is>
      </c>
      <c r="G733" t="n">
        <v>0.5</v>
      </c>
      <c r="H733" t="n">
        <v>0</v>
      </c>
      <c r="I733" t="n">
        <v>0</v>
      </c>
      <c r="J733" t="n">
        <v>0</v>
      </c>
      <c r="K733" t="n">
        <v>0</v>
      </c>
      <c r="L733" t="n">
        <v>0</v>
      </c>
      <c r="M733" t="n">
        <v>0</v>
      </c>
      <c r="N733" t="n">
        <v>0</v>
      </c>
      <c r="O733" t="n">
        <v>0</v>
      </c>
      <c r="P733" t="n">
        <v>0</v>
      </c>
      <c r="Q733" t="n">
        <v>0</v>
      </c>
      <c r="R733" s="2" t="inlineStr"/>
    </row>
    <row r="734" ht="15" customHeight="1">
      <c r="A734" t="inlineStr">
        <is>
          <t>A 67257-2018</t>
        </is>
      </c>
      <c r="B734" s="1" t="n">
        <v>43439</v>
      </c>
      <c r="C734" s="1" t="n">
        <v>45344</v>
      </c>
      <c r="D734" t="inlineStr">
        <is>
          <t>GÄVLEBORGS LÄN</t>
        </is>
      </c>
      <c r="E734" t="inlineStr">
        <is>
          <t>SANDVIKEN</t>
        </is>
      </c>
      <c r="G734" t="n">
        <v>2.6</v>
      </c>
      <c r="H734" t="n">
        <v>0</v>
      </c>
      <c r="I734" t="n">
        <v>0</v>
      </c>
      <c r="J734" t="n">
        <v>0</v>
      </c>
      <c r="K734" t="n">
        <v>0</v>
      </c>
      <c r="L734" t="n">
        <v>0</v>
      </c>
      <c r="M734" t="n">
        <v>0</v>
      </c>
      <c r="N734" t="n">
        <v>0</v>
      </c>
      <c r="O734" t="n">
        <v>0</v>
      </c>
      <c r="P734" t="n">
        <v>0</v>
      </c>
      <c r="Q734" t="n">
        <v>0</v>
      </c>
      <c r="R734" s="2" t="inlineStr"/>
    </row>
    <row r="735" ht="15" customHeight="1">
      <c r="A735" t="inlineStr">
        <is>
          <t>A 67764-2018</t>
        </is>
      </c>
      <c r="B735" s="1" t="n">
        <v>43440</v>
      </c>
      <c r="C735" s="1" t="n">
        <v>45344</v>
      </c>
      <c r="D735" t="inlineStr">
        <is>
          <t>GÄVLEBORGS LÄN</t>
        </is>
      </c>
      <c r="E735" t="inlineStr">
        <is>
          <t>GÄVLE</t>
        </is>
      </c>
      <c r="G735" t="n">
        <v>2.9</v>
      </c>
      <c r="H735" t="n">
        <v>0</v>
      </c>
      <c r="I735" t="n">
        <v>0</v>
      </c>
      <c r="J735" t="n">
        <v>0</v>
      </c>
      <c r="K735" t="n">
        <v>0</v>
      </c>
      <c r="L735" t="n">
        <v>0</v>
      </c>
      <c r="M735" t="n">
        <v>0</v>
      </c>
      <c r="N735" t="n">
        <v>0</v>
      </c>
      <c r="O735" t="n">
        <v>0</v>
      </c>
      <c r="P735" t="n">
        <v>0</v>
      </c>
      <c r="Q735" t="n">
        <v>0</v>
      </c>
      <c r="R735" s="2" t="inlineStr"/>
    </row>
    <row r="736" ht="15" customHeight="1">
      <c r="A736" t="inlineStr">
        <is>
          <t>A 67682-2018</t>
        </is>
      </c>
      <c r="B736" s="1" t="n">
        <v>43440</v>
      </c>
      <c r="C736" s="1" t="n">
        <v>45344</v>
      </c>
      <c r="D736" t="inlineStr">
        <is>
          <t>GÄVLEBORGS LÄN</t>
        </is>
      </c>
      <c r="E736" t="inlineStr">
        <is>
          <t>NORDANSTIG</t>
        </is>
      </c>
      <c r="G736" t="n">
        <v>0.5</v>
      </c>
      <c r="H736" t="n">
        <v>0</v>
      </c>
      <c r="I736" t="n">
        <v>0</v>
      </c>
      <c r="J736" t="n">
        <v>0</v>
      </c>
      <c r="K736" t="n">
        <v>0</v>
      </c>
      <c r="L736" t="n">
        <v>0</v>
      </c>
      <c r="M736" t="n">
        <v>0</v>
      </c>
      <c r="N736" t="n">
        <v>0</v>
      </c>
      <c r="O736" t="n">
        <v>0</v>
      </c>
      <c r="P736" t="n">
        <v>0</v>
      </c>
      <c r="Q736" t="n">
        <v>0</v>
      </c>
      <c r="R736" s="2" t="inlineStr"/>
    </row>
    <row r="737" ht="15" customHeight="1">
      <c r="A737" t="inlineStr">
        <is>
          <t>A 67751-2018</t>
        </is>
      </c>
      <c r="B737" s="1" t="n">
        <v>43440</v>
      </c>
      <c r="C737" s="1" t="n">
        <v>45344</v>
      </c>
      <c r="D737" t="inlineStr">
        <is>
          <t>GÄVLEBORGS LÄN</t>
        </is>
      </c>
      <c r="E737" t="inlineStr">
        <is>
          <t>NORDANSTIG</t>
        </is>
      </c>
      <c r="G737" t="n">
        <v>3.7</v>
      </c>
      <c r="H737" t="n">
        <v>0</v>
      </c>
      <c r="I737" t="n">
        <v>0</v>
      </c>
      <c r="J737" t="n">
        <v>0</v>
      </c>
      <c r="K737" t="n">
        <v>0</v>
      </c>
      <c r="L737" t="n">
        <v>0</v>
      </c>
      <c r="M737" t="n">
        <v>0</v>
      </c>
      <c r="N737" t="n">
        <v>0</v>
      </c>
      <c r="O737" t="n">
        <v>0</v>
      </c>
      <c r="P737" t="n">
        <v>0</v>
      </c>
      <c r="Q737" t="n">
        <v>0</v>
      </c>
      <c r="R737" s="2" t="inlineStr"/>
    </row>
    <row r="738" ht="15" customHeight="1">
      <c r="A738" t="inlineStr">
        <is>
          <t>A 69065-2018</t>
        </is>
      </c>
      <c r="B738" s="1" t="n">
        <v>43440</v>
      </c>
      <c r="C738" s="1" t="n">
        <v>45344</v>
      </c>
      <c r="D738" t="inlineStr">
        <is>
          <t>GÄVLEBORGS LÄN</t>
        </is>
      </c>
      <c r="E738" t="inlineStr">
        <is>
          <t>OCKELBO</t>
        </is>
      </c>
      <c r="G738" t="n">
        <v>1.2</v>
      </c>
      <c r="H738" t="n">
        <v>0</v>
      </c>
      <c r="I738" t="n">
        <v>0</v>
      </c>
      <c r="J738" t="n">
        <v>0</v>
      </c>
      <c r="K738" t="n">
        <v>0</v>
      </c>
      <c r="L738" t="n">
        <v>0</v>
      </c>
      <c r="M738" t="n">
        <v>0</v>
      </c>
      <c r="N738" t="n">
        <v>0</v>
      </c>
      <c r="O738" t="n">
        <v>0</v>
      </c>
      <c r="P738" t="n">
        <v>0</v>
      </c>
      <c r="Q738" t="n">
        <v>0</v>
      </c>
      <c r="R738" s="2" t="inlineStr"/>
    </row>
    <row r="739" ht="15" customHeight="1">
      <c r="A739" t="inlineStr">
        <is>
          <t>A 69084-2018</t>
        </is>
      </c>
      <c r="B739" s="1" t="n">
        <v>43440</v>
      </c>
      <c r="C739" s="1" t="n">
        <v>45344</v>
      </c>
      <c r="D739" t="inlineStr">
        <is>
          <t>GÄVLEBORGS LÄN</t>
        </is>
      </c>
      <c r="E739" t="inlineStr">
        <is>
          <t>OCKELBO</t>
        </is>
      </c>
      <c r="G739" t="n">
        <v>4.8</v>
      </c>
      <c r="H739" t="n">
        <v>0</v>
      </c>
      <c r="I739" t="n">
        <v>0</v>
      </c>
      <c r="J739" t="n">
        <v>0</v>
      </c>
      <c r="K739" t="n">
        <v>0</v>
      </c>
      <c r="L739" t="n">
        <v>0</v>
      </c>
      <c r="M739" t="n">
        <v>0</v>
      </c>
      <c r="N739" t="n">
        <v>0</v>
      </c>
      <c r="O739" t="n">
        <v>0</v>
      </c>
      <c r="P739" t="n">
        <v>0</v>
      </c>
      <c r="Q739" t="n">
        <v>0</v>
      </c>
      <c r="R739" s="2" t="inlineStr"/>
    </row>
    <row r="740" ht="15" customHeight="1">
      <c r="A740" t="inlineStr">
        <is>
          <t>A 67664-2018</t>
        </is>
      </c>
      <c r="B740" s="1" t="n">
        <v>43440</v>
      </c>
      <c r="C740" s="1" t="n">
        <v>45344</v>
      </c>
      <c r="D740" t="inlineStr">
        <is>
          <t>GÄVLEBORGS LÄN</t>
        </is>
      </c>
      <c r="E740" t="inlineStr">
        <is>
          <t>OVANÅKER</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68950-2018</t>
        </is>
      </c>
      <c r="B741" s="1" t="n">
        <v>43440</v>
      </c>
      <c r="C741" s="1" t="n">
        <v>45344</v>
      </c>
      <c r="D741" t="inlineStr">
        <is>
          <t>GÄVLEBORGS LÄN</t>
        </is>
      </c>
      <c r="E741" t="inlineStr">
        <is>
          <t>OVANÅKER</t>
        </is>
      </c>
      <c r="G741" t="n">
        <v>0.7</v>
      </c>
      <c r="H741" t="n">
        <v>0</v>
      </c>
      <c r="I741" t="n">
        <v>0</v>
      </c>
      <c r="J741" t="n">
        <v>0</v>
      </c>
      <c r="K741" t="n">
        <v>0</v>
      </c>
      <c r="L741" t="n">
        <v>0</v>
      </c>
      <c r="M741" t="n">
        <v>0</v>
      </c>
      <c r="N741" t="n">
        <v>0</v>
      </c>
      <c r="O741" t="n">
        <v>0</v>
      </c>
      <c r="P741" t="n">
        <v>0</v>
      </c>
      <c r="Q741" t="n">
        <v>0</v>
      </c>
      <c r="R741" s="2" t="inlineStr"/>
    </row>
    <row r="742" ht="15" customHeight="1">
      <c r="A742" t="inlineStr">
        <is>
          <t>A 67675-2018</t>
        </is>
      </c>
      <c r="B742" s="1" t="n">
        <v>43440</v>
      </c>
      <c r="C742" s="1" t="n">
        <v>45344</v>
      </c>
      <c r="D742" t="inlineStr">
        <is>
          <t>GÄVLEBORGS LÄN</t>
        </is>
      </c>
      <c r="E742" t="inlineStr">
        <is>
          <t>OVANÅKER</t>
        </is>
      </c>
      <c r="F742" t="inlineStr">
        <is>
          <t>Sveaskog</t>
        </is>
      </c>
      <c r="G742" t="n">
        <v>1.3</v>
      </c>
      <c r="H742" t="n">
        <v>0</v>
      </c>
      <c r="I742" t="n">
        <v>0</v>
      </c>
      <c r="J742" t="n">
        <v>0</v>
      </c>
      <c r="K742" t="n">
        <v>0</v>
      </c>
      <c r="L742" t="n">
        <v>0</v>
      </c>
      <c r="M742" t="n">
        <v>0</v>
      </c>
      <c r="N742" t="n">
        <v>0</v>
      </c>
      <c r="O742" t="n">
        <v>0</v>
      </c>
      <c r="P742" t="n">
        <v>0</v>
      </c>
      <c r="Q742" t="n">
        <v>0</v>
      </c>
      <c r="R742" s="2" t="inlineStr"/>
    </row>
    <row r="743" ht="15" customHeight="1">
      <c r="A743" t="inlineStr">
        <is>
          <t>A 67945-2018</t>
        </is>
      </c>
      <c r="B743" s="1" t="n">
        <v>43440</v>
      </c>
      <c r="C743" s="1" t="n">
        <v>45344</v>
      </c>
      <c r="D743" t="inlineStr">
        <is>
          <t>GÄVLEBORGS LÄN</t>
        </is>
      </c>
      <c r="E743" t="inlineStr">
        <is>
          <t>SÖDERHAMN</t>
        </is>
      </c>
      <c r="G743" t="n">
        <v>2.1</v>
      </c>
      <c r="H743" t="n">
        <v>0</v>
      </c>
      <c r="I743" t="n">
        <v>0</v>
      </c>
      <c r="J743" t="n">
        <v>0</v>
      </c>
      <c r="K743" t="n">
        <v>0</v>
      </c>
      <c r="L743" t="n">
        <v>0</v>
      </c>
      <c r="M743" t="n">
        <v>0</v>
      </c>
      <c r="N743" t="n">
        <v>0</v>
      </c>
      <c r="O743" t="n">
        <v>0</v>
      </c>
      <c r="P743" t="n">
        <v>0</v>
      </c>
      <c r="Q743" t="n">
        <v>0</v>
      </c>
      <c r="R743" s="2" t="inlineStr"/>
    </row>
    <row r="744" ht="15" customHeight="1">
      <c r="A744" t="inlineStr">
        <is>
          <t>A 67667-2018</t>
        </is>
      </c>
      <c r="B744" s="1" t="n">
        <v>43440</v>
      </c>
      <c r="C744" s="1" t="n">
        <v>45344</v>
      </c>
      <c r="D744" t="inlineStr">
        <is>
          <t>GÄVLEBORGS LÄN</t>
        </is>
      </c>
      <c r="E744" t="inlineStr">
        <is>
          <t>OVANÅKER</t>
        </is>
      </c>
      <c r="F744" t="inlineStr">
        <is>
          <t>Sveaskog</t>
        </is>
      </c>
      <c r="G744" t="n">
        <v>8.1</v>
      </c>
      <c r="H744" t="n">
        <v>0</v>
      </c>
      <c r="I744" t="n">
        <v>0</v>
      </c>
      <c r="J744" t="n">
        <v>0</v>
      </c>
      <c r="K744" t="n">
        <v>0</v>
      </c>
      <c r="L744" t="n">
        <v>0</v>
      </c>
      <c r="M744" t="n">
        <v>0</v>
      </c>
      <c r="N744" t="n">
        <v>0</v>
      </c>
      <c r="O744" t="n">
        <v>0</v>
      </c>
      <c r="P744" t="n">
        <v>0</v>
      </c>
      <c r="Q744" t="n">
        <v>0</v>
      </c>
      <c r="R744" s="2" t="inlineStr"/>
    </row>
    <row r="745" ht="15" customHeight="1">
      <c r="A745" t="inlineStr">
        <is>
          <t>A 68052-2018</t>
        </is>
      </c>
      <c r="B745" s="1" t="n">
        <v>43441</v>
      </c>
      <c r="C745" s="1" t="n">
        <v>45344</v>
      </c>
      <c r="D745" t="inlineStr">
        <is>
          <t>GÄVLEBORGS LÄN</t>
        </is>
      </c>
      <c r="E745" t="inlineStr">
        <is>
          <t>OCKELBO</t>
        </is>
      </c>
      <c r="G745" t="n">
        <v>0.9</v>
      </c>
      <c r="H745" t="n">
        <v>0</v>
      </c>
      <c r="I745" t="n">
        <v>0</v>
      </c>
      <c r="J745" t="n">
        <v>0</v>
      </c>
      <c r="K745" t="n">
        <v>0</v>
      </c>
      <c r="L745" t="n">
        <v>0</v>
      </c>
      <c r="M745" t="n">
        <v>0</v>
      </c>
      <c r="N745" t="n">
        <v>0</v>
      </c>
      <c r="O745" t="n">
        <v>0</v>
      </c>
      <c r="P745" t="n">
        <v>0</v>
      </c>
      <c r="Q745" t="n">
        <v>0</v>
      </c>
      <c r="R745" s="2" t="inlineStr"/>
    </row>
    <row r="746" ht="15" customHeight="1">
      <c r="A746" t="inlineStr">
        <is>
          <t>A 68278-2018</t>
        </is>
      </c>
      <c r="B746" s="1" t="n">
        <v>43441</v>
      </c>
      <c r="C746" s="1" t="n">
        <v>45344</v>
      </c>
      <c r="D746" t="inlineStr">
        <is>
          <t>GÄVLEBORGS LÄN</t>
        </is>
      </c>
      <c r="E746" t="inlineStr">
        <is>
          <t>BOLLNÄS</t>
        </is>
      </c>
      <c r="G746" t="n">
        <v>3.6</v>
      </c>
      <c r="H746" t="n">
        <v>0</v>
      </c>
      <c r="I746" t="n">
        <v>0</v>
      </c>
      <c r="J746" t="n">
        <v>0</v>
      </c>
      <c r="K746" t="n">
        <v>0</v>
      </c>
      <c r="L746" t="n">
        <v>0</v>
      </c>
      <c r="M746" t="n">
        <v>0</v>
      </c>
      <c r="N746" t="n">
        <v>0</v>
      </c>
      <c r="O746" t="n">
        <v>0</v>
      </c>
      <c r="P746" t="n">
        <v>0</v>
      </c>
      <c r="Q746" t="n">
        <v>0</v>
      </c>
      <c r="R746" s="2" t="inlineStr"/>
    </row>
    <row r="747" ht="15" customHeight="1">
      <c r="A747" t="inlineStr">
        <is>
          <t>A 68129-2018</t>
        </is>
      </c>
      <c r="B747" s="1" t="n">
        <v>43441</v>
      </c>
      <c r="C747" s="1" t="n">
        <v>45344</v>
      </c>
      <c r="D747" t="inlineStr">
        <is>
          <t>GÄVLEBORGS LÄN</t>
        </is>
      </c>
      <c r="E747" t="inlineStr">
        <is>
          <t>LJUSDAL</t>
        </is>
      </c>
      <c r="G747" t="n">
        <v>2.3</v>
      </c>
      <c r="H747" t="n">
        <v>0</v>
      </c>
      <c r="I747" t="n">
        <v>0</v>
      </c>
      <c r="J747" t="n">
        <v>0</v>
      </c>
      <c r="K747" t="n">
        <v>0</v>
      </c>
      <c r="L747" t="n">
        <v>0</v>
      </c>
      <c r="M747" t="n">
        <v>0</v>
      </c>
      <c r="N747" t="n">
        <v>0</v>
      </c>
      <c r="O747" t="n">
        <v>0</v>
      </c>
      <c r="P747" t="n">
        <v>0</v>
      </c>
      <c r="Q747" t="n">
        <v>0</v>
      </c>
      <c r="R747" s="2" t="inlineStr"/>
    </row>
    <row r="748" ht="15" customHeight="1">
      <c r="A748" t="inlineStr">
        <is>
          <t>A 68264-2018</t>
        </is>
      </c>
      <c r="B748" s="1" t="n">
        <v>43441</v>
      </c>
      <c r="C748" s="1" t="n">
        <v>45344</v>
      </c>
      <c r="D748" t="inlineStr">
        <is>
          <t>GÄVLEBORGS LÄN</t>
        </is>
      </c>
      <c r="E748" t="inlineStr">
        <is>
          <t>LJUSDAL</t>
        </is>
      </c>
      <c r="F748" t="inlineStr">
        <is>
          <t>Bergvik skog väst AB</t>
        </is>
      </c>
      <c r="G748" t="n">
        <v>2.2</v>
      </c>
      <c r="H748" t="n">
        <v>0</v>
      </c>
      <c r="I748" t="n">
        <v>0</v>
      </c>
      <c r="J748" t="n">
        <v>0</v>
      </c>
      <c r="K748" t="n">
        <v>0</v>
      </c>
      <c r="L748" t="n">
        <v>0</v>
      </c>
      <c r="M748" t="n">
        <v>0</v>
      </c>
      <c r="N748" t="n">
        <v>0</v>
      </c>
      <c r="O748" t="n">
        <v>0</v>
      </c>
      <c r="P748" t="n">
        <v>0</v>
      </c>
      <c r="Q748" t="n">
        <v>0</v>
      </c>
      <c r="R748" s="2" t="inlineStr"/>
    </row>
    <row r="749" ht="15" customHeight="1">
      <c r="A749" t="inlineStr">
        <is>
          <t>A 68329-2018</t>
        </is>
      </c>
      <c r="B749" s="1" t="n">
        <v>43441</v>
      </c>
      <c r="C749" s="1" t="n">
        <v>45344</v>
      </c>
      <c r="D749" t="inlineStr">
        <is>
          <t>GÄVLEBORGS LÄN</t>
        </is>
      </c>
      <c r="E749" t="inlineStr">
        <is>
          <t>NORDANSTIG</t>
        </is>
      </c>
      <c r="G749" t="n">
        <v>5.2</v>
      </c>
      <c r="H749" t="n">
        <v>0</v>
      </c>
      <c r="I749" t="n">
        <v>0</v>
      </c>
      <c r="J749" t="n">
        <v>0</v>
      </c>
      <c r="K749" t="n">
        <v>0</v>
      </c>
      <c r="L749" t="n">
        <v>0</v>
      </c>
      <c r="M749" t="n">
        <v>0</v>
      </c>
      <c r="N749" t="n">
        <v>0</v>
      </c>
      <c r="O749" t="n">
        <v>0</v>
      </c>
      <c r="P749" t="n">
        <v>0</v>
      </c>
      <c r="Q749" t="n">
        <v>0</v>
      </c>
      <c r="R749" s="2" t="inlineStr"/>
    </row>
    <row r="750" ht="15" customHeight="1">
      <c r="A750" t="inlineStr">
        <is>
          <t>A 68227-2018</t>
        </is>
      </c>
      <c r="B750" s="1" t="n">
        <v>43441</v>
      </c>
      <c r="C750" s="1" t="n">
        <v>45344</v>
      </c>
      <c r="D750" t="inlineStr">
        <is>
          <t>GÄVLEBORGS LÄN</t>
        </is>
      </c>
      <c r="E750" t="inlineStr">
        <is>
          <t>SÖDERHAMN</t>
        </is>
      </c>
      <c r="G750" t="n">
        <v>8</v>
      </c>
      <c r="H750" t="n">
        <v>0</v>
      </c>
      <c r="I750" t="n">
        <v>0</v>
      </c>
      <c r="J750" t="n">
        <v>0</v>
      </c>
      <c r="K750" t="n">
        <v>0</v>
      </c>
      <c r="L750" t="n">
        <v>0</v>
      </c>
      <c r="M750" t="n">
        <v>0</v>
      </c>
      <c r="N750" t="n">
        <v>0</v>
      </c>
      <c r="O750" t="n">
        <v>0</v>
      </c>
      <c r="P750" t="n">
        <v>0</v>
      </c>
      <c r="Q750" t="n">
        <v>0</v>
      </c>
      <c r="R750" s="2" t="inlineStr"/>
    </row>
    <row r="751" ht="15" customHeight="1">
      <c r="A751" t="inlineStr">
        <is>
          <t>A 68488-2018</t>
        </is>
      </c>
      <c r="B751" s="1" t="n">
        <v>43442</v>
      </c>
      <c r="C751" s="1" t="n">
        <v>45344</v>
      </c>
      <c r="D751" t="inlineStr">
        <is>
          <t>GÄVLEBORGS LÄN</t>
        </is>
      </c>
      <c r="E751" t="inlineStr">
        <is>
          <t>LJUSDAL</t>
        </is>
      </c>
      <c r="G751" t="n">
        <v>2.8</v>
      </c>
      <c r="H751" t="n">
        <v>0</v>
      </c>
      <c r="I751" t="n">
        <v>0</v>
      </c>
      <c r="J751" t="n">
        <v>0</v>
      </c>
      <c r="K751" t="n">
        <v>0</v>
      </c>
      <c r="L751" t="n">
        <v>0</v>
      </c>
      <c r="M751" t="n">
        <v>0</v>
      </c>
      <c r="N751" t="n">
        <v>0</v>
      </c>
      <c r="O751" t="n">
        <v>0</v>
      </c>
      <c r="P751" t="n">
        <v>0</v>
      </c>
      <c r="Q751" t="n">
        <v>0</v>
      </c>
      <c r="R751" s="2" t="inlineStr"/>
    </row>
    <row r="752" ht="15" customHeight="1">
      <c r="A752" t="inlineStr">
        <is>
          <t>A 68573-2018</t>
        </is>
      </c>
      <c r="B752" s="1" t="n">
        <v>43444</v>
      </c>
      <c r="C752" s="1" t="n">
        <v>45344</v>
      </c>
      <c r="D752" t="inlineStr">
        <is>
          <t>GÄVLEBORGS LÄN</t>
        </is>
      </c>
      <c r="E752" t="inlineStr">
        <is>
          <t>OVANÅKER</t>
        </is>
      </c>
      <c r="G752" t="n">
        <v>3.8</v>
      </c>
      <c r="H752" t="n">
        <v>0</v>
      </c>
      <c r="I752" t="n">
        <v>0</v>
      </c>
      <c r="J752" t="n">
        <v>0</v>
      </c>
      <c r="K752" t="n">
        <v>0</v>
      </c>
      <c r="L752" t="n">
        <v>0</v>
      </c>
      <c r="M752" t="n">
        <v>0</v>
      </c>
      <c r="N752" t="n">
        <v>0</v>
      </c>
      <c r="O752" t="n">
        <v>0</v>
      </c>
      <c r="P752" t="n">
        <v>0</v>
      </c>
      <c r="Q752" t="n">
        <v>0</v>
      </c>
      <c r="R752" s="2" t="inlineStr"/>
    </row>
    <row r="753" ht="15" customHeight="1">
      <c r="A753" t="inlineStr">
        <is>
          <t>A 68703-2018</t>
        </is>
      </c>
      <c r="B753" s="1" t="n">
        <v>43444</v>
      </c>
      <c r="C753" s="1" t="n">
        <v>45344</v>
      </c>
      <c r="D753" t="inlineStr">
        <is>
          <t>GÄVLEBORGS LÄN</t>
        </is>
      </c>
      <c r="E753" t="inlineStr">
        <is>
          <t>OCKELBO</t>
        </is>
      </c>
      <c r="G753" t="n">
        <v>4</v>
      </c>
      <c r="H753" t="n">
        <v>0</v>
      </c>
      <c r="I753" t="n">
        <v>0</v>
      </c>
      <c r="J753" t="n">
        <v>0</v>
      </c>
      <c r="K753" t="n">
        <v>0</v>
      </c>
      <c r="L753" t="n">
        <v>0</v>
      </c>
      <c r="M753" t="n">
        <v>0</v>
      </c>
      <c r="N753" t="n">
        <v>0</v>
      </c>
      <c r="O753" t="n">
        <v>0</v>
      </c>
      <c r="P753" t="n">
        <v>0</v>
      </c>
      <c r="Q753" t="n">
        <v>0</v>
      </c>
      <c r="R753" s="2" t="inlineStr"/>
    </row>
    <row r="754" ht="15" customHeight="1">
      <c r="A754" t="inlineStr">
        <is>
          <t>A 68578-2018</t>
        </is>
      </c>
      <c r="B754" s="1" t="n">
        <v>43444</v>
      </c>
      <c r="C754" s="1" t="n">
        <v>45344</v>
      </c>
      <c r="D754" t="inlineStr">
        <is>
          <t>GÄVLEBORGS LÄN</t>
        </is>
      </c>
      <c r="E754" t="inlineStr">
        <is>
          <t>LJUSDAL</t>
        </is>
      </c>
      <c r="G754" t="n">
        <v>4.4</v>
      </c>
      <c r="H754" t="n">
        <v>0</v>
      </c>
      <c r="I754" t="n">
        <v>0</v>
      </c>
      <c r="J754" t="n">
        <v>0</v>
      </c>
      <c r="K754" t="n">
        <v>0</v>
      </c>
      <c r="L754" t="n">
        <v>0</v>
      </c>
      <c r="M754" t="n">
        <v>0</v>
      </c>
      <c r="N754" t="n">
        <v>0</v>
      </c>
      <c r="O754" t="n">
        <v>0</v>
      </c>
      <c r="P754" t="n">
        <v>0</v>
      </c>
      <c r="Q754" t="n">
        <v>0</v>
      </c>
      <c r="R754" s="2" t="inlineStr"/>
    </row>
    <row r="755" ht="15" customHeight="1">
      <c r="A755" t="inlineStr">
        <is>
          <t>A 69675-2018</t>
        </is>
      </c>
      <c r="B755" s="1" t="n">
        <v>43444</v>
      </c>
      <c r="C755" s="1" t="n">
        <v>45344</v>
      </c>
      <c r="D755" t="inlineStr">
        <is>
          <t>GÄVLEBORGS LÄN</t>
        </is>
      </c>
      <c r="E755" t="inlineStr">
        <is>
          <t>HOFORS</t>
        </is>
      </c>
      <c r="G755" t="n">
        <v>2.7</v>
      </c>
      <c r="H755" t="n">
        <v>0</v>
      </c>
      <c r="I755" t="n">
        <v>0</v>
      </c>
      <c r="J755" t="n">
        <v>0</v>
      </c>
      <c r="K755" t="n">
        <v>0</v>
      </c>
      <c r="L755" t="n">
        <v>0</v>
      </c>
      <c r="M755" t="n">
        <v>0</v>
      </c>
      <c r="N755" t="n">
        <v>0</v>
      </c>
      <c r="O755" t="n">
        <v>0</v>
      </c>
      <c r="P755" t="n">
        <v>0</v>
      </c>
      <c r="Q755" t="n">
        <v>0</v>
      </c>
      <c r="R755" s="2" t="inlineStr"/>
    </row>
    <row r="756" ht="15" customHeight="1">
      <c r="A756" t="inlineStr">
        <is>
          <t>A 69550-2018</t>
        </is>
      </c>
      <c r="B756" s="1" t="n">
        <v>43444</v>
      </c>
      <c r="C756" s="1" t="n">
        <v>45344</v>
      </c>
      <c r="D756" t="inlineStr">
        <is>
          <t>GÄVLEBORGS LÄN</t>
        </is>
      </c>
      <c r="E756" t="inlineStr">
        <is>
          <t>NORDANSTIG</t>
        </is>
      </c>
      <c r="G756" t="n">
        <v>3.4</v>
      </c>
      <c r="H756" t="n">
        <v>0</v>
      </c>
      <c r="I756" t="n">
        <v>0</v>
      </c>
      <c r="J756" t="n">
        <v>0</v>
      </c>
      <c r="K756" t="n">
        <v>0</v>
      </c>
      <c r="L756" t="n">
        <v>0</v>
      </c>
      <c r="M756" t="n">
        <v>0</v>
      </c>
      <c r="N756" t="n">
        <v>0</v>
      </c>
      <c r="O756" t="n">
        <v>0</v>
      </c>
      <c r="P756" t="n">
        <v>0</v>
      </c>
      <c r="Q756" t="n">
        <v>0</v>
      </c>
      <c r="R756" s="2" t="inlineStr"/>
    </row>
    <row r="757" ht="15" customHeight="1">
      <c r="A757" t="inlineStr">
        <is>
          <t>A 68824-2018</t>
        </is>
      </c>
      <c r="B757" s="1" t="n">
        <v>43444</v>
      </c>
      <c r="C757" s="1" t="n">
        <v>45344</v>
      </c>
      <c r="D757" t="inlineStr">
        <is>
          <t>GÄVLEBORGS LÄN</t>
        </is>
      </c>
      <c r="E757" t="inlineStr">
        <is>
          <t>LJUSDAL</t>
        </is>
      </c>
      <c r="G757" t="n">
        <v>4.5</v>
      </c>
      <c r="H757" t="n">
        <v>0</v>
      </c>
      <c r="I757" t="n">
        <v>0</v>
      </c>
      <c r="J757" t="n">
        <v>0</v>
      </c>
      <c r="K757" t="n">
        <v>0</v>
      </c>
      <c r="L757" t="n">
        <v>0</v>
      </c>
      <c r="M757" t="n">
        <v>0</v>
      </c>
      <c r="N757" t="n">
        <v>0</v>
      </c>
      <c r="O757" t="n">
        <v>0</v>
      </c>
      <c r="P757" t="n">
        <v>0</v>
      </c>
      <c r="Q757" t="n">
        <v>0</v>
      </c>
      <c r="R757" s="2" t="inlineStr"/>
    </row>
    <row r="758" ht="15" customHeight="1">
      <c r="A758" t="inlineStr">
        <is>
          <t>A 68583-2018</t>
        </is>
      </c>
      <c r="B758" s="1" t="n">
        <v>43444</v>
      </c>
      <c r="C758" s="1" t="n">
        <v>45344</v>
      </c>
      <c r="D758" t="inlineStr">
        <is>
          <t>GÄVLEBORGS LÄN</t>
        </is>
      </c>
      <c r="E758" t="inlineStr">
        <is>
          <t>OVANÅKER</t>
        </is>
      </c>
      <c r="G758" t="n">
        <v>2.1</v>
      </c>
      <c r="H758" t="n">
        <v>0</v>
      </c>
      <c r="I758" t="n">
        <v>0</v>
      </c>
      <c r="J758" t="n">
        <v>0</v>
      </c>
      <c r="K758" t="n">
        <v>0</v>
      </c>
      <c r="L758" t="n">
        <v>0</v>
      </c>
      <c r="M758" t="n">
        <v>0</v>
      </c>
      <c r="N758" t="n">
        <v>0</v>
      </c>
      <c r="O758" t="n">
        <v>0</v>
      </c>
      <c r="P758" t="n">
        <v>0</v>
      </c>
      <c r="Q758" t="n">
        <v>0</v>
      </c>
      <c r="R758" s="2" t="inlineStr"/>
    </row>
    <row r="759" ht="15" customHeight="1">
      <c r="A759" t="inlineStr">
        <is>
          <t>A 68840-2018</t>
        </is>
      </c>
      <c r="B759" s="1" t="n">
        <v>43444</v>
      </c>
      <c r="C759" s="1" t="n">
        <v>45344</v>
      </c>
      <c r="D759" t="inlineStr">
        <is>
          <t>GÄVLEBORGS LÄN</t>
        </is>
      </c>
      <c r="E759" t="inlineStr">
        <is>
          <t>LJUSDAL</t>
        </is>
      </c>
      <c r="G759" t="n">
        <v>2.9</v>
      </c>
      <c r="H759" t="n">
        <v>0</v>
      </c>
      <c r="I759" t="n">
        <v>0</v>
      </c>
      <c r="J759" t="n">
        <v>0</v>
      </c>
      <c r="K759" t="n">
        <v>0</v>
      </c>
      <c r="L759" t="n">
        <v>0</v>
      </c>
      <c r="M759" t="n">
        <v>0</v>
      </c>
      <c r="N759" t="n">
        <v>0</v>
      </c>
      <c r="O759" t="n">
        <v>0</v>
      </c>
      <c r="P759" t="n">
        <v>0</v>
      </c>
      <c r="Q759" t="n">
        <v>0</v>
      </c>
      <c r="R759" s="2" t="inlineStr"/>
    </row>
    <row r="760" ht="15" customHeight="1">
      <c r="A760" t="inlineStr">
        <is>
          <t>A 68770-2018</t>
        </is>
      </c>
      <c r="B760" s="1" t="n">
        <v>43444</v>
      </c>
      <c r="C760" s="1" t="n">
        <v>45344</v>
      </c>
      <c r="D760" t="inlineStr">
        <is>
          <t>GÄVLEBORGS LÄN</t>
        </is>
      </c>
      <c r="E760" t="inlineStr">
        <is>
          <t>OCKELBO</t>
        </is>
      </c>
      <c r="G760" t="n">
        <v>2.4</v>
      </c>
      <c r="H760" t="n">
        <v>0</v>
      </c>
      <c r="I760" t="n">
        <v>0</v>
      </c>
      <c r="J760" t="n">
        <v>0</v>
      </c>
      <c r="K760" t="n">
        <v>0</v>
      </c>
      <c r="L760" t="n">
        <v>0</v>
      </c>
      <c r="M760" t="n">
        <v>0</v>
      </c>
      <c r="N760" t="n">
        <v>0</v>
      </c>
      <c r="O760" t="n">
        <v>0</v>
      </c>
      <c r="P760" t="n">
        <v>0</v>
      </c>
      <c r="Q760" t="n">
        <v>0</v>
      </c>
      <c r="R760" s="2" t="inlineStr"/>
    </row>
    <row r="761" ht="15" customHeight="1">
      <c r="A761" t="inlineStr">
        <is>
          <t>A 68753-2018</t>
        </is>
      </c>
      <c r="B761" s="1" t="n">
        <v>43444</v>
      </c>
      <c r="C761" s="1" t="n">
        <v>45344</v>
      </c>
      <c r="D761" t="inlineStr">
        <is>
          <t>GÄVLEBORGS LÄN</t>
        </is>
      </c>
      <c r="E761" t="inlineStr">
        <is>
          <t>OCKELBO</t>
        </is>
      </c>
      <c r="G761" t="n">
        <v>2.6</v>
      </c>
      <c r="H761" t="n">
        <v>0</v>
      </c>
      <c r="I761" t="n">
        <v>0</v>
      </c>
      <c r="J761" t="n">
        <v>0</v>
      </c>
      <c r="K761" t="n">
        <v>0</v>
      </c>
      <c r="L761" t="n">
        <v>0</v>
      </c>
      <c r="M761" t="n">
        <v>0</v>
      </c>
      <c r="N761" t="n">
        <v>0</v>
      </c>
      <c r="O761" t="n">
        <v>0</v>
      </c>
      <c r="P761" t="n">
        <v>0</v>
      </c>
      <c r="Q761" t="n">
        <v>0</v>
      </c>
      <c r="R761" s="2" t="inlineStr"/>
    </row>
    <row r="762" ht="15" customHeight="1">
      <c r="A762" t="inlineStr">
        <is>
          <t>A 68517-2018</t>
        </is>
      </c>
      <c r="B762" s="1" t="n">
        <v>43444</v>
      </c>
      <c r="C762" s="1" t="n">
        <v>45344</v>
      </c>
      <c r="D762" t="inlineStr">
        <is>
          <t>GÄVLEBORGS LÄN</t>
        </is>
      </c>
      <c r="E762" t="inlineStr">
        <is>
          <t>BOLLNÄS</t>
        </is>
      </c>
      <c r="G762" t="n">
        <v>3.3</v>
      </c>
      <c r="H762" t="n">
        <v>0</v>
      </c>
      <c r="I762" t="n">
        <v>0</v>
      </c>
      <c r="J762" t="n">
        <v>0</v>
      </c>
      <c r="K762" t="n">
        <v>0</v>
      </c>
      <c r="L762" t="n">
        <v>0</v>
      </c>
      <c r="M762" t="n">
        <v>0</v>
      </c>
      <c r="N762" t="n">
        <v>0</v>
      </c>
      <c r="O762" t="n">
        <v>0</v>
      </c>
      <c r="P762" t="n">
        <v>0</v>
      </c>
      <c r="Q762" t="n">
        <v>0</v>
      </c>
      <c r="R762" s="2" t="inlineStr"/>
    </row>
    <row r="763" ht="15" customHeight="1">
      <c r="A763" t="inlineStr">
        <is>
          <t>A 68549-2018</t>
        </is>
      </c>
      <c r="B763" s="1" t="n">
        <v>43444</v>
      </c>
      <c r="C763" s="1" t="n">
        <v>45344</v>
      </c>
      <c r="D763" t="inlineStr">
        <is>
          <t>GÄVLEBORGS LÄN</t>
        </is>
      </c>
      <c r="E763" t="inlineStr">
        <is>
          <t>LJUSDAL</t>
        </is>
      </c>
      <c r="G763" t="n">
        <v>2.1</v>
      </c>
      <c r="H763" t="n">
        <v>0</v>
      </c>
      <c r="I763" t="n">
        <v>0</v>
      </c>
      <c r="J763" t="n">
        <v>0</v>
      </c>
      <c r="K763" t="n">
        <v>0</v>
      </c>
      <c r="L763" t="n">
        <v>0</v>
      </c>
      <c r="M763" t="n">
        <v>0</v>
      </c>
      <c r="N763" t="n">
        <v>0</v>
      </c>
      <c r="O763" t="n">
        <v>0</v>
      </c>
      <c r="P763" t="n">
        <v>0</v>
      </c>
      <c r="Q763" t="n">
        <v>0</v>
      </c>
      <c r="R763" s="2" t="inlineStr"/>
    </row>
    <row r="764" ht="15" customHeight="1">
      <c r="A764" t="inlineStr">
        <is>
          <t>A 69205-2018</t>
        </is>
      </c>
      <c r="B764" s="1" t="n">
        <v>43445</v>
      </c>
      <c r="C764" s="1" t="n">
        <v>45344</v>
      </c>
      <c r="D764" t="inlineStr">
        <is>
          <t>GÄVLEBORGS LÄN</t>
        </is>
      </c>
      <c r="E764" t="inlineStr">
        <is>
          <t>HUDIKSVALL</t>
        </is>
      </c>
      <c r="G764" t="n">
        <v>2.1</v>
      </c>
      <c r="H764" t="n">
        <v>0</v>
      </c>
      <c r="I764" t="n">
        <v>0</v>
      </c>
      <c r="J764" t="n">
        <v>0</v>
      </c>
      <c r="K764" t="n">
        <v>0</v>
      </c>
      <c r="L764" t="n">
        <v>0</v>
      </c>
      <c r="M764" t="n">
        <v>0</v>
      </c>
      <c r="N764" t="n">
        <v>0</v>
      </c>
      <c r="O764" t="n">
        <v>0</v>
      </c>
      <c r="P764" t="n">
        <v>0</v>
      </c>
      <c r="Q764" t="n">
        <v>0</v>
      </c>
      <c r="R764" s="2" t="inlineStr"/>
    </row>
    <row r="765" ht="15" customHeight="1">
      <c r="A765" t="inlineStr">
        <is>
          <t>A 69237-2018</t>
        </is>
      </c>
      <c r="B765" s="1" t="n">
        <v>43445</v>
      </c>
      <c r="C765" s="1" t="n">
        <v>45344</v>
      </c>
      <c r="D765" t="inlineStr">
        <is>
          <t>GÄVLEBORGS LÄN</t>
        </is>
      </c>
      <c r="E765" t="inlineStr">
        <is>
          <t>NORDANSTIG</t>
        </is>
      </c>
      <c r="G765" t="n">
        <v>1.6</v>
      </c>
      <c r="H765" t="n">
        <v>0</v>
      </c>
      <c r="I765" t="n">
        <v>0</v>
      </c>
      <c r="J765" t="n">
        <v>0</v>
      </c>
      <c r="K765" t="n">
        <v>0</v>
      </c>
      <c r="L765" t="n">
        <v>0</v>
      </c>
      <c r="M765" t="n">
        <v>0</v>
      </c>
      <c r="N765" t="n">
        <v>0</v>
      </c>
      <c r="O765" t="n">
        <v>0</v>
      </c>
      <c r="P765" t="n">
        <v>0</v>
      </c>
      <c r="Q765" t="n">
        <v>0</v>
      </c>
      <c r="R765" s="2" t="inlineStr"/>
    </row>
    <row r="766" ht="15" customHeight="1">
      <c r="A766" t="inlineStr">
        <is>
          <t>A 69225-2018</t>
        </is>
      </c>
      <c r="B766" s="1" t="n">
        <v>43445</v>
      </c>
      <c r="C766" s="1" t="n">
        <v>45344</v>
      </c>
      <c r="D766" t="inlineStr">
        <is>
          <t>GÄVLEBORGS LÄN</t>
        </is>
      </c>
      <c r="E766" t="inlineStr">
        <is>
          <t>LJUSDAL</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69227-2018</t>
        </is>
      </c>
      <c r="B767" s="1" t="n">
        <v>43445</v>
      </c>
      <c r="C767" s="1" t="n">
        <v>45344</v>
      </c>
      <c r="D767" t="inlineStr">
        <is>
          <t>GÄVLEBORGS LÄN</t>
        </is>
      </c>
      <c r="E767" t="inlineStr">
        <is>
          <t>HUDIKSVALL</t>
        </is>
      </c>
      <c r="G767" t="n">
        <v>3.7</v>
      </c>
      <c r="H767" t="n">
        <v>0</v>
      </c>
      <c r="I767" t="n">
        <v>0</v>
      </c>
      <c r="J767" t="n">
        <v>0</v>
      </c>
      <c r="K767" t="n">
        <v>0</v>
      </c>
      <c r="L767" t="n">
        <v>0</v>
      </c>
      <c r="M767" t="n">
        <v>0</v>
      </c>
      <c r="N767" t="n">
        <v>0</v>
      </c>
      <c r="O767" t="n">
        <v>0</v>
      </c>
      <c r="P767" t="n">
        <v>0</v>
      </c>
      <c r="Q767" t="n">
        <v>0</v>
      </c>
      <c r="R767" s="2" t="inlineStr"/>
    </row>
    <row r="768" ht="15" customHeight="1">
      <c r="A768" t="inlineStr">
        <is>
          <t>A 68990-2018</t>
        </is>
      </c>
      <c r="B768" s="1" t="n">
        <v>43445</v>
      </c>
      <c r="C768" s="1" t="n">
        <v>45344</v>
      </c>
      <c r="D768" t="inlineStr">
        <is>
          <t>GÄVLEBORGS LÄN</t>
        </is>
      </c>
      <c r="E768" t="inlineStr">
        <is>
          <t>LJUSDAL</t>
        </is>
      </c>
      <c r="F768" t="inlineStr">
        <is>
          <t>Sveaskog</t>
        </is>
      </c>
      <c r="G768" t="n">
        <v>19.4</v>
      </c>
      <c r="H768" t="n">
        <v>0</v>
      </c>
      <c r="I768" t="n">
        <v>0</v>
      </c>
      <c r="J768" t="n">
        <v>0</v>
      </c>
      <c r="K768" t="n">
        <v>0</v>
      </c>
      <c r="L768" t="n">
        <v>0</v>
      </c>
      <c r="M768" t="n">
        <v>0</v>
      </c>
      <c r="N768" t="n">
        <v>0</v>
      </c>
      <c r="O768" t="n">
        <v>0</v>
      </c>
      <c r="P768" t="n">
        <v>0</v>
      </c>
      <c r="Q768" t="n">
        <v>0</v>
      </c>
      <c r="R768" s="2" t="inlineStr"/>
    </row>
    <row r="769" ht="15" customHeight="1">
      <c r="A769" t="inlineStr">
        <is>
          <t>A 69236-2018</t>
        </is>
      </c>
      <c r="B769" s="1" t="n">
        <v>43445</v>
      </c>
      <c r="C769" s="1" t="n">
        <v>45344</v>
      </c>
      <c r="D769" t="inlineStr">
        <is>
          <t>GÄVLEBORGS LÄN</t>
        </is>
      </c>
      <c r="E769" t="inlineStr">
        <is>
          <t>NORDANSTIG</t>
        </is>
      </c>
      <c r="G769" t="n">
        <v>1.2</v>
      </c>
      <c r="H769" t="n">
        <v>0</v>
      </c>
      <c r="I769" t="n">
        <v>0</v>
      </c>
      <c r="J769" t="n">
        <v>0</v>
      </c>
      <c r="K769" t="n">
        <v>0</v>
      </c>
      <c r="L769" t="n">
        <v>0</v>
      </c>
      <c r="M769" t="n">
        <v>0</v>
      </c>
      <c r="N769" t="n">
        <v>0</v>
      </c>
      <c r="O769" t="n">
        <v>0</v>
      </c>
      <c r="P769" t="n">
        <v>0</v>
      </c>
      <c r="Q769" t="n">
        <v>0</v>
      </c>
      <c r="R769" s="2" t="inlineStr"/>
    </row>
    <row r="770" ht="15" customHeight="1">
      <c r="A770" t="inlineStr">
        <is>
          <t>A 69192-2018</t>
        </is>
      </c>
      <c r="B770" s="1" t="n">
        <v>43445</v>
      </c>
      <c r="C770" s="1" t="n">
        <v>45344</v>
      </c>
      <c r="D770" t="inlineStr">
        <is>
          <t>GÄVLEBORGS LÄN</t>
        </is>
      </c>
      <c r="E770" t="inlineStr">
        <is>
          <t>BOLLNÄS</t>
        </is>
      </c>
      <c r="G770" t="n">
        <v>15</v>
      </c>
      <c r="H770" t="n">
        <v>0</v>
      </c>
      <c r="I770" t="n">
        <v>0</v>
      </c>
      <c r="J770" t="n">
        <v>0</v>
      </c>
      <c r="K770" t="n">
        <v>0</v>
      </c>
      <c r="L770" t="n">
        <v>0</v>
      </c>
      <c r="M770" t="n">
        <v>0</v>
      </c>
      <c r="N770" t="n">
        <v>0</v>
      </c>
      <c r="O770" t="n">
        <v>0</v>
      </c>
      <c r="P770" t="n">
        <v>0</v>
      </c>
      <c r="Q770" t="n">
        <v>0</v>
      </c>
      <c r="R770" s="2" t="inlineStr"/>
    </row>
    <row r="771" ht="15" customHeight="1">
      <c r="A771" t="inlineStr">
        <is>
          <t>A 69238-2018</t>
        </is>
      </c>
      <c r="B771" s="1" t="n">
        <v>43445</v>
      </c>
      <c r="C771" s="1" t="n">
        <v>45344</v>
      </c>
      <c r="D771" t="inlineStr">
        <is>
          <t>GÄVLEBORGS LÄN</t>
        </is>
      </c>
      <c r="E771" t="inlineStr">
        <is>
          <t>NORDANSTIG</t>
        </is>
      </c>
      <c r="G771" t="n">
        <v>1.5</v>
      </c>
      <c r="H771" t="n">
        <v>0</v>
      </c>
      <c r="I771" t="n">
        <v>0</v>
      </c>
      <c r="J771" t="n">
        <v>0</v>
      </c>
      <c r="K771" t="n">
        <v>0</v>
      </c>
      <c r="L771" t="n">
        <v>0</v>
      </c>
      <c r="M771" t="n">
        <v>0</v>
      </c>
      <c r="N771" t="n">
        <v>0</v>
      </c>
      <c r="O771" t="n">
        <v>0</v>
      </c>
      <c r="P771" t="n">
        <v>0</v>
      </c>
      <c r="Q771" t="n">
        <v>0</v>
      </c>
      <c r="R771" s="2" t="inlineStr"/>
    </row>
    <row r="772" ht="15" customHeight="1">
      <c r="A772" t="inlineStr">
        <is>
          <t>A 68892-2018</t>
        </is>
      </c>
      <c r="B772" s="1" t="n">
        <v>43445</v>
      </c>
      <c r="C772" s="1" t="n">
        <v>45344</v>
      </c>
      <c r="D772" t="inlineStr">
        <is>
          <t>GÄVLEBORGS LÄN</t>
        </is>
      </c>
      <c r="E772" t="inlineStr">
        <is>
          <t>SANDVIKEN</t>
        </is>
      </c>
      <c r="G772" t="n">
        <v>7.3</v>
      </c>
      <c r="H772" t="n">
        <v>0</v>
      </c>
      <c r="I772" t="n">
        <v>0</v>
      </c>
      <c r="J772" t="n">
        <v>0</v>
      </c>
      <c r="K772" t="n">
        <v>0</v>
      </c>
      <c r="L772" t="n">
        <v>0</v>
      </c>
      <c r="M772" t="n">
        <v>0</v>
      </c>
      <c r="N772" t="n">
        <v>0</v>
      </c>
      <c r="O772" t="n">
        <v>0</v>
      </c>
      <c r="P772" t="n">
        <v>0</v>
      </c>
      <c r="Q772" t="n">
        <v>0</v>
      </c>
      <c r="R772" s="2" t="inlineStr"/>
    </row>
    <row r="773" ht="15" customHeight="1">
      <c r="A773" t="inlineStr">
        <is>
          <t>A 69087-2018</t>
        </is>
      </c>
      <c r="B773" s="1" t="n">
        <v>43445</v>
      </c>
      <c r="C773" s="1" t="n">
        <v>45344</v>
      </c>
      <c r="D773" t="inlineStr">
        <is>
          <t>GÄVLEBORGS LÄN</t>
        </is>
      </c>
      <c r="E773" t="inlineStr">
        <is>
          <t>BOLLNÄS</t>
        </is>
      </c>
      <c r="F773" t="inlineStr">
        <is>
          <t>Holmen skog AB</t>
        </is>
      </c>
      <c r="G773" t="n">
        <v>2.5</v>
      </c>
      <c r="H773" t="n">
        <v>0</v>
      </c>
      <c r="I773" t="n">
        <v>0</v>
      </c>
      <c r="J773" t="n">
        <v>0</v>
      </c>
      <c r="K773" t="n">
        <v>0</v>
      </c>
      <c r="L773" t="n">
        <v>0</v>
      </c>
      <c r="M773" t="n">
        <v>0</v>
      </c>
      <c r="N773" t="n">
        <v>0</v>
      </c>
      <c r="O773" t="n">
        <v>0</v>
      </c>
      <c r="P773" t="n">
        <v>0</v>
      </c>
      <c r="Q773" t="n">
        <v>0</v>
      </c>
      <c r="R773" s="2" t="inlineStr"/>
    </row>
    <row r="774" ht="15" customHeight="1">
      <c r="A774" t="inlineStr">
        <is>
          <t>A 69239-2018</t>
        </is>
      </c>
      <c r="B774" s="1" t="n">
        <v>43445</v>
      </c>
      <c r="C774" s="1" t="n">
        <v>45344</v>
      </c>
      <c r="D774" t="inlineStr">
        <is>
          <t>GÄVLEBORGS LÄN</t>
        </is>
      </c>
      <c r="E774" t="inlineStr">
        <is>
          <t>NORDANSTIG</t>
        </is>
      </c>
      <c r="G774" t="n">
        <v>5.3</v>
      </c>
      <c r="H774" t="n">
        <v>0</v>
      </c>
      <c r="I774" t="n">
        <v>0</v>
      </c>
      <c r="J774" t="n">
        <v>0</v>
      </c>
      <c r="K774" t="n">
        <v>0</v>
      </c>
      <c r="L774" t="n">
        <v>0</v>
      </c>
      <c r="M774" t="n">
        <v>0</v>
      </c>
      <c r="N774" t="n">
        <v>0</v>
      </c>
      <c r="O774" t="n">
        <v>0</v>
      </c>
      <c r="P774" t="n">
        <v>0</v>
      </c>
      <c r="Q774" t="n">
        <v>0</v>
      </c>
      <c r="R774" s="2" t="inlineStr"/>
    </row>
    <row r="775" ht="15" customHeight="1">
      <c r="A775" t="inlineStr">
        <is>
          <t>A 69232-2018</t>
        </is>
      </c>
      <c r="B775" s="1" t="n">
        <v>43445</v>
      </c>
      <c r="C775" s="1" t="n">
        <v>45344</v>
      </c>
      <c r="D775" t="inlineStr">
        <is>
          <t>GÄVLEBORGS LÄN</t>
        </is>
      </c>
      <c r="E775" t="inlineStr">
        <is>
          <t>NORDANSTIG</t>
        </is>
      </c>
      <c r="G775" t="n">
        <v>5.4</v>
      </c>
      <c r="H775" t="n">
        <v>0</v>
      </c>
      <c r="I775" t="n">
        <v>0</v>
      </c>
      <c r="J775" t="n">
        <v>0</v>
      </c>
      <c r="K775" t="n">
        <v>0</v>
      </c>
      <c r="L775" t="n">
        <v>0</v>
      </c>
      <c r="M775" t="n">
        <v>0</v>
      </c>
      <c r="N775" t="n">
        <v>0</v>
      </c>
      <c r="O775" t="n">
        <v>0</v>
      </c>
      <c r="P775" t="n">
        <v>0</v>
      </c>
      <c r="Q775" t="n">
        <v>0</v>
      </c>
      <c r="R775" s="2" t="inlineStr"/>
    </row>
    <row r="776" ht="15" customHeight="1">
      <c r="A776" t="inlineStr">
        <is>
          <t>A 69271-2018</t>
        </is>
      </c>
      <c r="B776" s="1" t="n">
        <v>43446</v>
      </c>
      <c r="C776" s="1" t="n">
        <v>45344</v>
      </c>
      <c r="D776" t="inlineStr">
        <is>
          <t>GÄVLEBORGS LÄN</t>
        </is>
      </c>
      <c r="E776" t="inlineStr">
        <is>
          <t>BOLLNÄS</t>
        </is>
      </c>
      <c r="G776" t="n">
        <v>2.5</v>
      </c>
      <c r="H776" t="n">
        <v>0</v>
      </c>
      <c r="I776" t="n">
        <v>0</v>
      </c>
      <c r="J776" t="n">
        <v>0</v>
      </c>
      <c r="K776" t="n">
        <v>0</v>
      </c>
      <c r="L776" t="n">
        <v>0</v>
      </c>
      <c r="M776" t="n">
        <v>0</v>
      </c>
      <c r="N776" t="n">
        <v>0</v>
      </c>
      <c r="O776" t="n">
        <v>0</v>
      </c>
      <c r="P776" t="n">
        <v>0</v>
      </c>
      <c r="Q776" t="n">
        <v>0</v>
      </c>
      <c r="R776" s="2" t="inlineStr"/>
    </row>
    <row r="777" ht="15" customHeight="1">
      <c r="A777" t="inlineStr">
        <is>
          <t>A 69416-2018</t>
        </is>
      </c>
      <c r="B777" s="1" t="n">
        <v>43446</v>
      </c>
      <c r="C777" s="1" t="n">
        <v>45344</v>
      </c>
      <c r="D777" t="inlineStr">
        <is>
          <t>GÄVLEBORGS LÄN</t>
        </is>
      </c>
      <c r="E777" t="inlineStr">
        <is>
          <t>HUDIKSVALL</t>
        </is>
      </c>
      <c r="G777" t="n">
        <v>1.9</v>
      </c>
      <c r="H777" t="n">
        <v>0</v>
      </c>
      <c r="I777" t="n">
        <v>0</v>
      </c>
      <c r="J777" t="n">
        <v>0</v>
      </c>
      <c r="K777" t="n">
        <v>0</v>
      </c>
      <c r="L777" t="n">
        <v>0</v>
      </c>
      <c r="M777" t="n">
        <v>0</v>
      </c>
      <c r="N777" t="n">
        <v>0</v>
      </c>
      <c r="O777" t="n">
        <v>0</v>
      </c>
      <c r="P777" t="n">
        <v>0</v>
      </c>
      <c r="Q777" t="n">
        <v>0</v>
      </c>
      <c r="R777" s="2" t="inlineStr"/>
    </row>
    <row r="778" ht="15" customHeight="1">
      <c r="A778" t="inlineStr">
        <is>
          <t>A 69253-2018</t>
        </is>
      </c>
      <c r="B778" s="1" t="n">
        <v>43446</v>
      </c>
      <c r="C778" s="1" t="n">
        <v>45344</v>
      </c>
      <c r="D778" t="inlineStr">
        <is>
          <t>GÄVLEBORGS LÄN</t>
        </is>
      </c>
      <c r="E778" t="inlineStr">
        <is>
          <t>BOLLNÄS</t>
        </is>
      </c>
      <c r="G778" t="n">
        <v>6.8</v>
      </c>
      <c r="H778" t="n">
        <v>0</v>
      </c>
      <c r="I778" t="n">
        <v>0</v>
      </c>
      <c r="J778" t="n">
        <v>0</v>
      </c>
      <c r="K778" t="n">
        <v>0</v>
      </c>
      <c r="L778" t="n">
        <v>0</v>
      </c>
      <c r="M778" t="n">
        <v>0</v>
      </c>
      <c r="N778" t="n">
        <v>0</v>
      </c>
      <c r="O778" t="n">
        <v>0</v>
      </c>
      <c r="P778" t="n">
        <v>0</v>
      </c>
      <c r="Q778" t="n">
        <v>0</v>
      </c>
      <c r="R778" s="2" t="inlineStr"/>
    </row>
    <row r="779" ht="15" customHeight="1">
      <c r="A779" t="inlineStr">
        <is>
          <t>A 69723-2018</t>
        </is>
      </c>
      <c r="B779" s="1" t="n">
        <v>43447</v>
      </c>
      <c r="C779" s="1" t="n">
        <v>45344</v>
      </c>
      <c r="D779" t="inlineStr">
        <is>
          <t>GÄVLEBORGS LÄN</t>
        </is>
      </c>
      <c r="E779" t="inlineStr">
        <is>
          <t>BOLLNÄS</t>
        </is>
      </c>
      <c r="G779" t="n">
        <v>1.6</v>
      </c>
      <c r="H779" t="n">
        <v>0</v>
      </c>
      <c r="I779" t="n">
        <v>0</v>
      </c>
      <c r="J779" t="n">
        <v>0</v>
      </c>
      <c r="K779" t="n">
        <v>0</v>
      </c>
      <c r="L779" t="n">
        <v>0</v>
      </c>
      <c r="M779" t="n">
        <v>0</v>
      </c>
      <c r="N779" t="n">
        <v>0</v>
      </c>
      <c r="O779" t="n">
        <v>0</v>
      </c>
      <c r="P779" t="n">
        <v>0</v>
      </c>
      <c r="Q779" t="n">
        <v>0</v>
      </c>
      <c r="R779" s="2" t="inlineStr"/>
    </row>
    <row r="780" ht="15" customHeight="1">
      <c r="A780" t="inlineStr">
        <is>
          <t>A 69772-2018</t>
        </is>
      </c>
      <c r="B780" s="1" t="n">
        <v>43447</v>
      </c>
      <c r="C780" s="1" t="n">
        <v>45344</v>
      </c>
      <c r="D780" t="inlineStr">
        <is>
          <t>GÄVLEBORGS LÄN</t>
        </is>
      </c>
      <c r="E780" t="inlineStr">
        <is>
          <t>GÄVLE</t>
        </is>
      </c>
      <c r="G780" t="n">
        <v>1.7</v>
      </c>
      <c r="H780" t="n">
        <v>0</v>
      </c>
      <c r="I780" t="n">
        <v>0</v>
      </c>
      <c r="J780" t="n">
        <v>0</v>
      </c>
      <c r="K780" t="n">
        <v>0</v>
      </c>
      <c r="L780" t="n">
        <v>0</v>
      </c>
      <c r="M780" t="n">
        <v>0</v>
      </c>
      <c r="N780" t="n">
        <v>0</v>
      </c>
      <c r="O780" t="n">
        <v>0</v>
      </c>
      <c r="P780" t="n">
        <v>0</v>
      </c>
      <c r="Q780" t="n">
        <v>0</v>
      </c>
      <c r="R780" s="2" t="inlineStr"/>
    </row>
    <row r="781" ht="15" customHeight="1">
      <c r="A781" t="inlineStr">
        <is>
          <t>A 69866-2018</t>
        </is>
      </c>
      <c r="B781" s="1" t="n">
        <v>43447</v>
      </c>
      <c r="C781" s="1" t="n">
        <v>45344</v>
      </c>
      <c r="D781" t="inlineStr">
        <is>
          <t>GÄVLEBORGS LÄN</t>
        </is>
      </c>
      <c r="E781" t="inlineStr">
        <is>
          <t>SÖDERHAMN</t>
        </is>
      </c>
      <c r="G781" t="n">
        <v>1.6</v>
      </c>
      <c r="H781" t="n">
        <v>0</v>
      </c>
      <c r="I781" t="n">
        <v>0</v>
      </c>
      <c r="J781" t="n">
        <v>0</v>
      </c>
      <c r="K781" t="n">
        <v>0</v>
      </c>
      <c r="L781" t="n">
        <v>0</v>
      </c>
      <c r="M781" t="n">
        <v>0</v>
      </c>
      <c r="N781" t="n">
        <v>0</v>
      </c>
      <c r="O781" t="n">
        <v>0</v>
      </c>
      <c r="P781" t="n">
        <v>0</v>
      </c>
      <c r="Q781" t="n">
        <v>0</v>
      </c>
      <c r="R781" s="2" t="inlineStr"/>
    </row>
    <row r="782" ht="15" customHeight="1">
      <c r="A782" t="inlineStr">
        <is>
          <t>A 69887-2018</t>
        </is>
      </c>
      <c r="B782" s="1" t="n">
        <v>43447</v>
      </c>
      <c r="C782" s="1" t="n">
        <v>45344</v>
      </c>
      <c r="D782" t="inlineStr">
        <is>
          <t>GÄVLEBORGS LÄN</t>
        </is>
      </c>
      <c r="E782" t="inlineStr">
        <is>
          <t>NORDANSTIG</t>
        </is>
      </c>
      <c r="G782" t="n">
        <v>1</v>
      </c>
      <c r="H782" t="n">
        <v>0</v>
      </c>
      <c r="I782" t="n">
        <v>0</v>
      </c>
      <c r="J782" t="n">
        <v>0</v>
      </c>
      <c r="K782" t="n">
        <v>0</v>
      </c>
      <c r="L782" t="n">
        <v>0</v>
      </c>
      <c r="M782" t="n">
        <v>0</v>
      </c>
      <c r="N782" t="n">
        <v>0</v>
      </c>
      <c r="O782" t="n">
        <v>0</v>
      </c>
      <c r="P782" t="n">
        <v>0</v>
      </c>
      <c r="Q782" t="n">
        <v>0</v>
      </c>
      <c r="R782" s="2" t="inlineStr"/>
    </row>
    <row r="783" ht="15" customHeight="1">
      <c r="A783" t="inlineStr">
        <is>
          <t>A 69719-2018</t>
        </is>
      </c>
      <c r="B783" s="1" t="n">
        <v>43447</v>
      </c>
      <c r="C783" s="1" t="n">
        <v>45344</v>
      </c>
      <c r="D783" t="inlineStr">
        <is>
          <t>GÄVLEBORGS LÄN</t>
        </is>
      </c>
      <c r="E783" t="inlineStr">
        <is>
          <t>GÄVLE</t>
        </is>
      </c>
      <c r="G783" t="n">
        <v>1.6</v>
      </c>
      <c r="H783" t="n">
        <v>0</v>
      </c>
      <c r="I783" t="n">
        <v>0</v>
      </c>
      <c r="J783" t="n">
        <v>0</v>
      </c>
      <c r="K783" t="n">
        <v>0</v>
      </c>
      <c r="L783" t="n">
        <v>0</v>
      </c>
      <c r="M783" t="n">
        <v>0</v>
      </c>
      <c r="N783" t="n">
        <v>0</v>
      </c>
      <c r="O783" t="n">
        <v>0</v>
      </c>
      <c r="P783" t="n">
        <v>0</v>
      </c>
      <c r="Q783" t="n">
        <v>0</v>
      </c>
      <c r="R783" s="2" t="inlineStr"/>
    </row>
    <row r="784" ht="15" customHeight="1">
      <c r="A784" t="inlineStr">
        <is>
          <t>A 69726-2018</t>
        </is>
      </c>
      <c r="B784" s="1" t="n">
        <v>43447</v>
      </c>
      <c r="C784" s="1" t="n">
        <v>45344</v>
      </c>
      <c r="D784" t="inlineStr">
        <is>
          <t>GÄVLEBORGS LÄN</t>
        </is>
      </c>
      <c r="E784" t="inlineStr">
        <is>
          <t>GÄVLE</t>
        </is>
      </c>
      <c r="G784" t="n">
        <v>1.2</v>
      </c>
      <c r="H784" t="n">
        <v>0</v>
      </c>
      <c r="I784" t="n">
        <v>0</v>
      </c>
      <c r="J784" t="n">
        <v>0</v>
      </c>
      <c r="K784" t="n">
        <v>0</v>
      </c>
      <c r="L784" t="n">
        <v>0</v>
      </c>
      <c r="M784" t="n">
        <v>0</v>
      </c>
      <c r="N784" t="n">
        <v>0</v>
      </c>
      <c r="O784" t="n">
        <v>0</v>
      </c>
      <c r="P784" t="n">
        <v>0</v>
      </c>
      <c r="Q784" t="n">
        <v>0</v>
      </c>
      <c r="R784" s="2" t="inlineStr"/>
    </row>
    <row r="785" ht="15" customHeight="1">
      <c r="A785" t="inlineStr">
        <is>
          <t>A 69851-2018</t>
        </is>
      </c>
      <c r="B785" s="1" t="n">
        <v>43447</v>
      </c>
      <c r="C785" s="1" t="n">
        <v>45344</v>
      </c>
      <c r="D785" t="inlineStr">
        <is>
          <t>GÄVLEBORGS LÄN</t>
        </is>
      </c>
      <c r="E785" t="inlineStr">
        <is>
          <t>GÄVLE</t>
        </is>
      </c>
      <c r="G785" t="n">
        <v>2.5</v>
      </c>
      <c r="H785" t="n">
        <v>0</v>
      </c>
      <c r="I785" t="n">
        <v>0</v>
      </c>
      <c r="J785" t="n">
        <v>0</v>
      </c>
      <c r="K785" t="n">
        <v>0</v>
      </c>
      <c r="L785" t="n">
        <v>0</v>
      </c>
      <c r="M785" t="n">
        <v>0</v>
      </c>
      <c r="N785" t="n">
        <v>0</v>
      </c>
      <c r="O785" t="n">
        <v>0</v>
      </c>
      <c r="P785" t="n">
        <v>0</v>
      </c>
      <c r="Q785" t="n">
        <v>0</v>
      </c>
      <c r="R785" s="2" t="inlineStr"/>
    </row>
    <row r="786" ht="15" customHeight="1">
      <c r="A786" t="inlineStr">
        <is>
          <t>A 69868-2018</t>
        </is>
      </c>
      <c r="B786" s="1" t="n">
        <v>43447</v>
      </c>
      <c r="C786" s="1" t="n">
        <v>45344</v>
      </c>
      <c r="D786" t="inlineStr">
        <is>
          <t>GÄVLEBORGS LÄN</t>
        </is>
      </c>
      <c r="E786" t="inlineStr">
        <is>
          <t>SÖDERHAMN</t>
        </is>
      </c>
      <c r="G786" t="n">
        <v>4.4</v>
      </c>
      <c r="H786" t="n">
        <v>0</v>
      </c>
      <c r="I786" t="n">
        <v>0</v>
      </c>
      <c r="J786" t="n">
        <v>0</v>
      </c>
      <c r="K786" t="n">
        <v>0</v>
      </c>
      <c r="L786" t="n">
        <v>0</v>
      </c>
      <c r="M786" t="n">
        <v>0</v>
      </c>
      <c r="N786" t="n">
        <v>0</v>
      </c>
      <c r="O786" t="n">
        <v>0</v>
      </c>
      <c r="P786" t="n">
        <v>0</v>
      </c>
      <c r="Q786" t="n">
        <v>0</v>
      </c>
      <c r="R786" s="2" t="inlineStr"/>
    </row>
    <row r="787" ht="15" customHeight="1">
      <c r="A787" t="inlineStr">
        <is>
          <t>A 69846-2018</t>
        </is>
      </c>
      <c r="B787" s="1" t="n">
        <v>43447</v>
      </c>
      <c r="C787" s="1" t="n">
        <v>45344</v>
      </c>
      <c r="D787" t="inlineStr">
        <is>
          <t>GÄVLEBORGS LÄN</t>
        </is>
      </c>
      <c r="E787" t="inlineStr">
        <is>
          <t>GÄVLE</t>
        </is>
      </c>
      <c r="G787" t="n">
        <v>2.1</v>
      </c>
      <c r="H787" t="n">
        <v>0</v>
      </c>
      <c r="I787" t="n">
        <v>0</v>
      </c>
      <c r="J787" t="n">
        <v>0</v>
      </c>
      <c r="K787" t="n">
        <v>0</v>
      </c>
      <c r="L787" t="n">
        <v>0</v>
      </c>
      <c r="M787" t="n">
        <v>0</v>
      </c>
      <c r="N787" t="n">
        <v>0</v>
      </c>
      <c r="O787" t="n">
        <v>0</v>
      </c>
      <c r="P787" t="n">
        <v>0</v>
      </c>
      <c r="Q787" t="n">
        <v>0</v>
      </c>
      <c r="R787" s="2" t="inlineStr"/>
    </row>
    <row r="788" ht="15" customHeight="1">
      <c r="A788" t="inlineStr">
        <is>
          <t>A 69832-2018</t>
        </is>
      </c>
      <c r="B788" s="1" t="n">
        <v>43447</v>
      </c>
      <c r="C788" s="1" t="n">
        <v>45344</v>
      </c>
      <c r="D788" t="inlineStr">
        <is>
          <t>GÄVLEBORGS LÄN</t>
        </is>
      </c>
      <c r="E788" t="inlineStr">
        <is>
          <t>SANDVIKEN</t>
        </is>
      </c>
      <c r="G788" t="n">
        <v>5.9</v>
      </c>
      <c r="H788" t="n">
        <v>0</v>
      </c>
      <c r="I788" t="n">
        <v>0</v>
      </c>
      <c r="J788" t="n">
        <v>0</v>
      </c>
      <c r="K788" t="n">
        <v>0</v>
      </c>
      <c r="L788" t="n">
        <v>0</v>
      </c>
      <c r="M788" t="n">
        <v>0</v>
      </c>
      <c r="N788" t="n">
        <v>0</v>
      </c>
      <c r="O788" t="n">
        <v>0</v>
      </c>
      <c r="P788" t="n">
        <v>0</v>
      </c>
      <c r="Q788" t="n">
        <v>0</v>
      </c>
      <c r="R788" s="2" t="inlineStr"/>
    </row>
    <row r="789" ht="15" customHeight="1">
      <c r="A789" t="inlineStr">
        <is>
          <t>A 69840-2018</t>
        </is>
      </c>
      <c r="B789" s="1" t="n">
        <v>43447</v>
      </c>
      <c r="C789" s="1" t="n">
        <v>45344</v>
      </c>
      <c r="D789" t="inlineStr">
        <is>
          <t>GÄVLEBORGS LÄN</t>
        </is>
      </c>
      <c r="E789" t="inlineStr">
        <is>
          <t>GÄVLE</t>
        </is>
      </c>
      <c r="G789" t="n">
        <v>3.3</v>
      </c>
      <c r="H789" t="n">
        <v>0</v>
      </c>
      <c r="I789" t="n">
        <v>0</v>
      </c>
      <c r="J789" t="n">
        <v>0</v>
      </c>
      <c r="K789" t="n">
        <v>0</v>
      </c>
      <c r="L789" t="n">
        <v>0</v>
      </c>
      <c r="M789" t="n">
        <v>0</v>
      </c>
      <c r="N789" t="n">
        <v>0</v>
      </c>
      <c r="O789" t="n">
        <v>0</v>
      </c>
      <c r="P789" t="n">
        <v>0</v>
      </c>
      <c r="Q789" t="n">
        <v>0</v>
      </c>
      <c r="R789" s="2" t="inlineStr"/>
    </row>
    <row r="790" ht="15" customHeight="1">
      <c r="A790" t="inlineStr">
        <is>
          <t>A 70151-2018</t>
        </is>
      </c>
      <c r="B790" s="1" t="n">
        <v>43448</v>
      </c>
      <c r="C790" s="1" t="n">
        <v>45344</v>
      </c>
      <c r="D790" t="inlineStr">
        <is>
          <t>GÄVLEBORGS LÄN</t>
        </is>
      </c>
      <c r="E790" t="inlineStr">
        <is>
          <t>OCKELBO</t>
        </is>
      </c>
      <c r="G790" t="n">
        <v>1.4</v>
      </c>
      <c r="H790" t="n">
        <v>0</v>
      </c>
      <c r="I790" t="n">
        <v>0</v>
      </c>
      <c r="J790" t="n">
        <v>0</v>
      </c>
      <c r="K790" t="n">
        <v>0</v>
      </c>
      <c r="L790" t="n">
        <v>0</v>
      </c>
      <c r="M790" t="n">
        <v>0</v>
      </c>
      <c r="N790" t="n">
        <v>0</v>
      </c>
      <c r="O790" t="n">
        <v>0</v>
      </c>
      <c r="P790" t="n">
        <v>0</v>
      </c>
      <c r="Q790" t="n">
        <v>0</v>
      </c>
      <c r="R790" s="2" t="inlineStr"/>
    </row>
    <row r="791" ht="15" customHeight="1">
      <c r="A791" t="inlineStr">
        <is>
          <t>A 70149-2018</t>
        </is>
      </c>
      <c r="B791" s="1" t="n">
        <v>43448</v>
      </c>
      <c r="C791" s="1" t="n">
        <v>45344</v>
      </c>
      <c r="D791" t="inlineStr">
        <is>
          <t>GÄVLEBORGS LÄN</t>
        </is>
      </c>
      <c r="E791" t="inlineStr">
        <is>
          <t>LJUSDAL</t>
        </is>
      </c>
      <c r="F791" t="inlineStr">
        <is>
          <t>Sveaskog</t>
        </is>
      </c>
      <c r="G791" t="n">
        <v>1.3</v>
      </c>
      <c r="H791" t="n">
        <v>0</v>
      </c>
      <c r="I791" t="n">
        <v>0</v>
      </c>
      <c r="J791" t="n">
        <v>0</v>
      </c>
      <c r="K791" t="n">
        <v>0</v>
      </c>
      <c r="L791" t="n">
        <v>0</v>
      </c>
      <c r="M791" t="n">
        <v>0</v>
      </c>
      <c r="N791" t="n">
        <v>0</v>
      </c>
      <c r="O791" t="n">
        <v>0</v>
      </c>
      <c r="P791" t="n">
        <v>0</v>
      </c>
      <c r="Q791" t="n">
        <v>0</v>
      </c>
      <c r="R791" s="2" t="inlineStr"/>
    </row>
    <row r="792" ht="15" customHeight="1">
      <c r="A792" t="inlineStr">
        <is>
          <t>A 70165-2018</t>
        </is>
      </c>
      <c r="B792" s="1" t="n">
        <v>43448</v>
      </c>
      <c r="C792" s="1" t="n">
        <v>45344</v>
      </c>
      <c r="D792" t="inlineStr">
        <is>
          <t>GÄVLEBORGS LÄN</t>
        </is>
      </c>
      <c r="E792" t="inlineStr">
        <is>
          <t>LJUSDAL</t>
        </is>
      </c>
      <c r="F792" t="inlineStr">
        <is>
          <t>Sveaskog</t>
        </is>
      </c>
      <c r="G792" t="n">
        <v>0.1</v>
      </c>
      <c r="H792" t="n">
        <v>0</v>
      </c>
      <c r="I792" t="n">
        <v>0</v>
      </c>
      <c r="J792" t="n">
        <v>0</v>
      </c>
      <c r="K792" t="n">
        <v>0</v>
      </c>
      <c r="L792" t="n">
        <v>0</v>
      </c>
      <c r="M792" t="n">
        <v>0</v>
      </c>
      <c r="N792" t="n">
        <v>0</v>
      </c>
      <c r="O792" t="n">
        <v>0</v>
      </c>
      <c r="P792" t="n">
        <v>0</v>
      </c>
      <c r="Q792" t="n">
        <v>0</v>
      </c>
      <c r="R792" s="2" t="inlineStr"/>
    </row>
    <row r="793" ht="15" customHeight="1">
      <c r="A793" t="inlineStr">
        <is>
          <t>A 70182-2018</t>
        </is>
      </c>
      <c r="B793" s="1" t="n">
        <v>43448</v>
      </c>
      <c r="C793" s="1" t="n">
        <v>45344</v>
      </c>
      <c r="D793" t="inlineStr">
        <is>
          <t>GÄVLEBORGS LÄN</t>
        </is>
      </c>
      <c r="E793" t="inlineStr">
        <is>
          <t>HUDIKSVALL</t>
        </is>
      </c>
      <c r="F793" t="inlineStr">
        <is>
          <t>Holmen skog AB</t>
        </is>
      </c>
      <c r="G793" t="n">
        <v>4.4</v>
      </c>
      <c r="H793" t="n">
        <v>0</v>
      </c>
      <c r="I793" t="n">
        <v>0</v>
      </c>
      <c r="J793" t="n">
        <v>0</v>
      </c>
      <c r="K793" t="n">
        <v>0</v>
      </c>
      <c r="L793" t="n">
        <v>0</v>
      </c>
      <c r="M793" t="n">
        <v>0</v>
      </c>
      <c r="N793" t="n">
        <v>0</v>
      </c>
      <c r="O793" t="n">
        <v>0</v>
      </c>
      <c r="P793" t="n">
        <v>0</v>
      </c>
      <c r="Q793" t="n">
        <v>0</v>
      </c>
      <c r="R793" s="2" t="inlineStr"/>
    </row>
    <row r="794" ht="15" customHeight="1">
      <c r="A794" t="inlineStr">
        <is>
          <t>A 70127-2018</t>
        </is>
      </c>
      <c r="B794" s="1" t="n">
        <v>43448</v>
      </c>
      <c r="C794" s="1" t="n">
        <v>45344</v>
      </c>
      <c r="D794" t="inlineStr">
        <is>
          <t>GÄVLEBORGS LÄN</t>
        </is>
      </c>
      <c r="E794" t="inlineStr">
        <is>
          <t>OCKELBO</t>
        </is>
      </c>
      <c r="G794" t="n">
        <v>1.3</v>
      </c>
      <c r="H794" t="n">
        <v>0</v>
      </c>
      <c r="I794" t="n">
        <v>0</v>
      </c>
      <c r="J794" t="n">
        <v>0</v>
      </c>
      <c r="K794" t="n">
        <v>0</v>
      </c>
      <c r="L794" t="n">
        <v>0</v>
      </c>
      <c r="M794" t="n">
        <v>0</v>
      </c>
      <c r="N794" t="n">
        <v>0</v>
      </c>
      <c r="O794" t="n">
        <v>0</v>
      </c>
      <c r="P794" t="n">
        <v>0</v>
      </c>
      <c r="Q794" t="n">
        <v>0</v>
      </c>
      <c r="R794" s="2" t="inlineStr"/>
    </row>
    <row r="795" ht="15" customHeight="1">
      <c r="A795" t="inlineStr">
        <is>
          <t>A 70255-2018</t>
        </is>
      </c>
      <c r="B795" s="1" t="n">
        <v>43448</v>
      </c>
      <c r="C795" s="1" t="n">
        <v>45344</v>
      </c>
      <c r="D795" t="inlineStr">
        <is>
          <t>GÄVLEBORGS LÄN</t>
        </is>
      </c>
      <c r="E795" t="inlineStr">
        <is>
          <t>NORDANSTIG</t>
        </is>
      </c>
      <c r="F795" t="inlineStr">
        <is>
          <t>SCA</t>
        </is>
      </c>
      <c r="G795" t="n">
        <v>4.1</v>
      </c>
      <c r="H795" t="n">
        <v>0</v>
      </c>
      <c r="I795" t="n">
        <v>0</v>
      </c>
      <c r="J795" t="n">
        <v>0</v>
      </c>
      <c r="K795" t="n">
        <v>0</v>
      </c>
      <c r="L795" t="n">
        <v>0</v>
      </c>
      <c r="M795" t="n">
        <v>0</v>
      </c>
      <c r="N795" t="n">
        <v>0</v>
      </c>
      <c r="O795" t="n">
        <v>0</v>
      </c>
      <c r="P795" t="n">
        <v>0</v>
      </c>
      <c r="Q795" t="n">
        <v>0</v>
      </c>
      <c r="R795" s="2" t="inlineStr"/>
    </row>
    <row r="796" ht="15" customHeight="1">
      <c r="A796" t="inlineStr">
        <is>
          <t>A 70237-2018</t>
        </is>
      </c>
      <c r="B796" s="1" t="n">
        <v>43448</v>
      </c>
      <c r="C796" s="1" t="n">
        <v>45344</v>
      </c>
      <c r="D796" t="inlineStr">
        <is>
          <t>GÄVLEBORGS LÄN</t>
        </is>
      </c>
      <c r="E796" t="inlineStr">
        <is>
          <t>NORDANSTIG</t>
        </is>
      </c>
      <c r="G796" t="n">
        <v>1.6</v>
      </c>
      <c r="H796" t="n">
        <v>0</v>
      </c>
      <c r="I796" t="n">
        <v>0</v>
      </c>
      <c r="J796" t="n">
        <v>0</v>
      </c>
      <c r="K796" t="n">
        <v>0</v>
      </c>
      <c r="L796" t="n">
        <v>0</v>
      </c>
      <c r="M796" t="n">
        <v>0</v>
      </c>
      <c r="N796" t="n">
        <v>0</v>
      </c>
      <c r="O796" t="n">
        <v>0</v>
      </c>
      <c r="P796" t="n">
        <v>0</v>
      </c>
      <c r="Q796" t="n">
        <v>0</v>
      </c>
      <c r="R796" s="2" t="inlineStr"/>
    </row>
    <row r="797" ht="15" customHeight="1">
      <c r="A797" t="inlineStr">
        <is>
          <t>A 70183-2018</t>
        </is>
      </c>
      <c r="B797" s="1" t="n">
        <v>43448</v>
      </c>
      <c r="C797" s="1" t="n">
        <v>45344</v>
      </c>
      <c r="D797" t="inlineStr">
        <is>
          <t>GÄVLEBORGS LÄN</t>
        </is>
      </c>
      <c r="E797" t="inlineStr">
        <is>
          <t>OCKELBO</t>
        </is>
      </c>
      <c r="G797" t="n">
        <v>1.2</v>
      </c>
      <c r="H797" t="n">
        <v>0</v>
      </c>
      <c r="I797" t="n">
        <v>0</v>
      </c>
      <c r="J797" t="n">
        <v>0</v>
      </c>
      <c r="K797" t="n">
        <v>0</v>
      </c>
      <c r="L797" t="n">
        <v>0</v>
      </c>
      <c r="M797" t="n">
        <v>0</v>
      </c>
      <c r="N797" t="n">
        <v>0</v>
      </c>
      <c r="O797" t="n">
        <v>0</v>
      </c>
      <c r="P797" t="n">
        <v>0</v>
      </c>
      <c r="Q797" t="n">
        <v>0</v>
      </c>
      <c r="R797" s="2" t="inlineStr"/>
    </row>
    <row r="798" ht="15" customHeight="1">
      <c r="A798" t="inlineStr">
        <is>
          <t>A 70238-2018</t>
        </is>
      </c>
      <c r="B798" s="1" t="n">
        <v>43448</v>
      </c>
      <c r="C798" s="1" t="n">
        <v>45344</v>
      </c>
      <c r="D798" t="inlineStr">
        <is>
          <t>GÄVLEBORGS LÄN</t>
        </is>
      </c>
      <c r="E798" t="inlineStr">
        <is>
          <t>NORDANSTIG</t>
        </is>
      </c>
      <c r="G798" t="n">
        <v>1.5</v>
      </c>
      <c r="H798" t="n">
        <v>0</v>
      </c>
      <c r="I798" t="n">
        <v>0</v>
      </c>
      <c r="J798" t="n">
        <v>0</v>
      </c>
      <c r="K798" t="n">
        <v>0</v>
      </c>
      <c r="L798" t="n">
        <v>0</v>
      </c>
      <c r="M798" t="n">
        <v>0</v>
      </c>
      <c r="N798" t="n">
        <v>0</v>
      </c>
      <c r="O798" t="n">
        <v>0</v>
      </c>
      <c r="P798" t="n">
        <v>0</v>
      </c>
      <c r="Q798" t="n">
        <v>0</v>
      </c>
      <c r="R798" s="2" t="inlineStr"/>
    </row>
    <row r="799" ht="15" customHeight="1">
      <c r="A799" t="inlineStr">
        <is>
          <t>A 70128-2018</t>
        </is>
      </c>
      <c r="B799" s="1" t="n">
        <v>43448</v>
      </c>
      <c r="C799" s="1" t="n">
        <v>45344</v>
      </c>
      <c r="D799" t="inlineStr">
        <is>
          <t>GÄVLEBORGS LÄN</t>
        </is>
      </c>
      <c r="E799" t="inlineStr">
        <is>
          <t>OCKELBO</t>
        </is>
      </c>
      <c r="G799" t="n">
        <v>0.7</v>
      </c>
      <c r="H799" t="n">
        <v>0</v>
      </c>
      <c r="I799" t="n">
        <v>0</v>
      </c>
      <c r="J799" t="n">
        <v>0</v>
      </c>
      <c r="K799" t="n">
        <v>0</v>
      </c>
      <c r="L799" t="n">
        <v>0</v>
      </c>
      <c r="M799" t="n">
        <v>0</v>
      </c>
      <c r="N799" t="n">
        <v>0</v>
      </c>
      <c r="O799" t="n">
        <v>0</v>
      </c>
      <c r="P799" t="n">
        <v>0</v>
      </c>
      <c r="Q799" t="n">
        <v>0</v>
      </c>
      <c r="R799" s="2" t="inlineStr"/>
    </row>
    <row r="800" ht="15" customHeight="1">
      <c r="A800" t="inlineStr">
        <is>
          <t>A 70211-2018</t>
        </is>
      </c>
      <c r="B800" s="1" t="n">
        <v>43448</v>
      </c>
      <c r="C800" s="1" t="n">
        <v>45344</v>
      </c>
      <c r="D800" t="inlineStr">
        <is>
          <t>GÄVLEBORGS LÄN</t>
        </is>
      </c>
      <c r="E800" t="inlineStr">
        <is>
          <t>HUDIKSVALL</t>
        </is>
      </c>
      <c r="G800" t="n">
        <v>2.3</v>
      </c>
      <c r="H800" t="n">
        <v>0</v>
      </c>
      <c r="I800" t="n">
        <v>0</v>
      </c>
      <c r="J800" t="n">
        <v>0</v>
      </c>
      <c r="K800" t="n">
        <v>0</v>
      </c>
      <c r="L800" t="n">
        <v>0</v>
      </c>
      <c r="M800" t="n">
        <v>0</v>
      </c>
      <c r="N800" t="n">
        <v>0</v>
      </c>
      <c r="O800" t="n">
        <v>0</v>
      </c>
      <c r="P800" t="n">
        <v>0</v>
      </c>
      <c r="Q800" t="n">
        <v>0</v>
      </c>
      <c r="R800" s="2" t="inlineStr"/>
    </row>
    <row r="801" ht="15" customHeight="1">
      <c r="A801" t="inlineStr">
        <is>
          <t>A 70236-2018</t>
        </is>
      </c>
      <c r="B801" s="1" t="n">
        <v>43448</v>
      </c>
      <c r="C801" s="1" t="n">
        <v>45344</v>
      </c>
      <c r="D801" t="inlineStr">
        <is>
          <t>GÄVLEBORGS LÄN</t>
        </is>
      </c>
      <c r="E801" t="inlineStr">
        <is>
          <t>NORDANSTIG</t>
        </is>
      </c>
      <c r="G801" t="n">
        <v>1.2</v>
      </c>
      <c r="H801" t="n">
        <v>0</v>
      </c>
      <c r="I801" t="n">
        <v>0</v>
      </c>
      <c r="J801" t="n">
        <v>0</v>
      </c>
      <c r="K801" t="n">
        <v>0</v>
      </c>
      <c r="L801" t="n">
        <v>0</v>
      </c>
      <c r="M801" t="n">
        <v>0</v>
      </c>
      <c r="N801" t="n">
        <v>0</v>
      </c>
      <c r="O801" t="n">
        <v>0</v>
      </c>
      <c r="P801" t="n">
        <v>0</v>
      </c>
      <c r="Q801" t="n">
        <v>0</v>
      </c>
      <c r="R801" s="2" t="inlineStr"/>
    </row>
    <row r="802" ht="15" customHeight="1">
      <c r="A802" t="inlineStr">
        <is>
          <t>A 70153-2018</t>
        </is>
      </c>
      <c r="B802" s="1" t="n">
        <v>43448</v>
      </c>
      <c r="C802" s="1" t="n">
        <v>45344</v>
      </c>
      <c r="D802" t="inlineStr">
        <is>
          <t>GÄVLEBORGS LÄN</t>
        </is>
      </c>
      <c r="E802" t="inlineStr">
        <is>
          <t>LJUSDAL</t>
        </is>
      </c>
      <c r="F802" t="inlineStr">
        <is>
          <t>Sveaskog</t>
        </is>
      </c>
      <c r="G802" t="n">
        <v>1.1</v>
      </c>
      <c r="H802" t="n">
        <v>0</v>
      </c>
      <c r="I802" t="n">
        <v>0</v>
      </c>
      <c r="J802" t="n">
        <v>0</v>
      </c>
      <c r="K802" t="n">
        <v>0</v>
      </c>
      <c r="L802" t="n">
        <v>0</v>
      </c>
      <c r="M802" t="n">
        <v>0</v>
      </c>
      <c r="N802" t="n">
        <v>0</v>
      </c>
      <c r="O802" t="n">
        <v>0</v>
      </c>
      <c r="P802" t="n">
        <v>0</v>
      </c>
      <c r="Q802" t="n">
        <v>0</v>
      </c>
      <c r="R802" s="2" t="inlineStr"/>
    </row>
    <row r="803" ht="15" customHeight="1">
      <c r="A803" t="inlineStr">
        <is>
          <t>A 70038-2018</t>
        </is>
      </c>
      <c r="B803" s="1" t="n">
        <v>43448</v>
      </c>
      <c r="C803" s="1" t="n">
        <v>45344</v>
      </c>
      <c r="D803" t="inlineStr">
        <is>
          <t>GÄVLEBORGS LÄN</t>
        </is>
      </c>
      <c r="E803" t="inlineStr">
        <is>
          <t>OCKELBO</t>
        </is>
      </c>
      <c r="F803" t="inlineStr">
        <is>
          <t>Bergvik skog väst AB</t>
        </is>
      </c>
      <c r="G803" t="n">
        <v>1.9</v>
      </c>
      <c r="H803" t="n">
        <v>0</v>
      </c>
      <c r="I803" t="n">
        <v>0</v>
      </c>
      <c r="J803" t="n">
        <v>0</v>
      </c>
      <c r="K803" t="n">
        <v>0</v>
      </c>
      <c r="L803" t="n">
        <v>0</v>
      </c>
      <c r="M803" t="n">
        <v>0</v>
      </c>
      <c r="N803" t="n">
        <v>0</v>
      </c>
      <c r="O803" t="n">
        <v>0</v>
      </c>
      <c r="P803" t="n">
        <v>0</v>
      </c>
      <c r="Q803" t="n">
        <v>0</v>
      </c>
      <c r="R803" s="2" t="inlineStr"/>
    </row>
    <row r="804" ht="15" customHeight="1">
      <c r="A804" t="inlineStr">
        <is>
          <t>A 1260-2019</t>
        </is>
      </c>
      <c r="B804" s="1" t="n">
        <v>43448</v>
      </c>
      <c r="C804" s="1" t="n">
        <v>45344</v>
      </c>
      <c r="D804" t="inlineStr">
        <is>
          <t>GÄVLEBORGS LÄN</t>
        </is>
      </c>
      <c r="E804" t="inlineStr">
        <is>
          <t>BOLLNÄS</t>
        </is>
      </c>
      <c r="G804" t="n">
        <v>3</v>
      </c>
      <c r="H804" t="n">
        <v>0</v>
      </c>
      <c r="I804" t="n">
        <v>0</v>
      </c>
      <c r="J804" t="n">
        <v>0</v>
      </c>
      <c r="K804" t="n">
        <v>0</v>
      </c>
      <c r="L804" t="n">
        <v>0</v>
      </c>
      <c r="M804" t="n">
        <v>0</v>
      </c>
      <c r="N804" t="n">
        <v>0</v>
      </c>
      <c r="O804" t="n">
        <v>0</v>
      </c>
      <c r="P804" t="n">
        <v>0</v>
      </c>
      <c r="Q804" t="n">
        <v>0</v>
      </c>
      <c r="R804" s="2" t="inlineStr"/>
    </row>
    <row r="805" ht="15" customHeight="1">
      <c r="A805" t="inlineStr">
        <is>
          <t>A 70283-2018</t>
        </is>
      </c>
      <c r="B805" s="1" t="n">
        <v>43449</v>
      </c>
      <c r="C805" s="1" t="n">
        <v>45344</v>
      </c>
      <c r="D805" t="inlineStr">
        <is>
          <t>GÄVLEBORGS LÄN</t>
        </is>
      </c>
      <c r="E805" t="inlineStr">
        <is>
          <t>LJUSDAL</t>
        </is>
      </c>
      <c r="G805" t="n">
        <v>2.2</v>
      </c>
      <c r="H805" t="n">
        <v>0</v>
      </c>
      <c r="I805" t="n">
        <v>0</v>
      </c>
      <c r="J805" t="n">
        <v>0</v>
      </c>
      <c r="K805" t="n">
        <v>0</v>
      </c>
      <c r="L805" t="n">
        <v>0</v>
      </c>
      <c r="M805" t="n">
        <v>0</v>
      </c>
      <c r="N805" t="n">
        <v>0</v>
      </c>
      <c r="O805" t="n">
        <v>0</v>
      </c>
      <c r="P805" t="n">
        <v>0</v>
      </c>
      <c r="Q805" t="n">
        <v>0</v>
      </c>
      <c r="R805" s="2" t="inlineStr"/>
    </row>
    <row r="806" ht="15" customHeight="1">
      <c r="A806" t="inlineStr">
        <is>
          <t>A 70742-2018</t>
        </is>
      </c>
      <c r="B806" s="1" t="n">
        <v>43451</v>
      </c>
      <c r="C806" s="1" t="n">
        <v>45344</v>
      </c>
      <c r="D806" t="inlineStr">
        <is>
          <t>GÄVLEBORGS LÄN</t>
        </is>
      </c>
      <c r="E806" t="inlineStr">
        <is>
          <t>OVANÅKER</t>
        </is>
      </c>
      <c r="F806" t="inlineStr">
        <is>
          <t>Holmen skog AB</t>
        </is>
      </c>
      <c r="G806" t="n">
        <v>5.6</v>
      </c>
      <c r="H806" t="n">
        <v>0</v>
      </c>
      <c r="I806" t="n">
        <v>0</v>
      </c>
      <c r="J806" t="n">
        <v>0</v>
      </c>
      <c r="K806" t="n">
        <v>0</v>
      </c>
      <c r="L806" t="n">
        <v>0</v>
      </c>
      <c r="M806" t="n">
        <v>0</v>
      </c>
      <c r="N806" t="n">
        <v>0</v>
      </c>
      <c r="O806" t="n">
        <v>0</v>
      </c>
      <c r="P806" t="n">
        <v>0</v>
      </c>
      <c r="Q806" t="n">
        <v>0</v>
      </c>
      <c r="R806" s="2" t="inlineStr"/>
    </row>
    <row r="807" ht="15" customHeight="1">
      <c r="A807" t="inlineStr">
        <is>
          <t>A 70768-2018</t>
        </is>
      </c>
      <c r="B807" s="1" t="n">
        <v>43451</v>
      </c>
      <c r="C807" s="1" t="n">
        <v>45344</v>
      </c>
      <c r="D807" t="inlineStr">
        <is>
          <t>GÄVLEBORGS LÄN</t>
        </is>
      </c>
      <c r="E807" t="inlineStr">
        <is>
          <t>OCKELBO</t>
        </is>
      </c>
      <c r="G807" t="n">
        <v>2.4</v>
      </c>
      <c r="H807" t="n">
        <v>0</v>
      </c>
      <c r="I807" t="n">
        <v>0</v>
      </c>
      <c r="J807" t="n">
        <v>0</v>
      </c>
      <c r="K807" t="n">
        <v>0</v>
      </c>
      <c r="L807" t="n">
        <v>0</v>
      </c>
      <c r="M807" t="n">
        <v>0</v>
      </c>
      <c r="N807" t="n">
        <v>0</v>
      </c>
      <c r="O807" t="n">
        <v>0</v>
      </c>
      <c r="P807" t="n">
        <v>0</v>
      </c>
      <c r="Q807" t="n">
        <v>0</v>
      </c>
      <c r="R807" s="2" t="inlineStr"/>
    </row>
    <row r="808" ht="15" customHeight="1">
      <c r="A808" t="inlineStr">
        <is>
          <t>A 70731-2018</t>
        </is>
      </c>
      <c r="B808" s="1" t="n">
        <v>43451</v>
      </c>
      <c r="C808" s="1" t="n">
        <v>45344</v>
      </c>
      <c r="D808" t="inlineStr">
        <is>
          <t>GÄVLEBORGS LÄN</t>
        </is>
      </c>
      <c r="E808" t="inlineStr">
        <is>
          <t>OVANÅKER</t>
        </is>
      </c>
      <c r="G808" t="n">
        <v>1.5</v>
      </c>
      <c r="H808" t="n">
        <v>0</v>
      </c>
      <c r="I808" t="n">
        <v>0</v>
      </c>
      <c r="J808" t="n">
        <v>0</v>
      </c>
      <c r="K808" t="n">
        <v>0</v>
      </c>
      <c r="L808" t="n">
        <v>0</v>
      </c>
      <c r="M808" t="n">
        <v>0</v>
      </c>
      <c r="N808" t="n">
        <v>0</v>
      </c>
      <c r="O808" t="n">
        <v>0</v>
      </c>
      <c r="P808" t="n">
        <v>0</v>
      </c>
      <c r="Q808" t="n">
        <v>0</v>
      </c>
      <c r="R808" s="2" t="inlineStr"/>
    </row>
    <row r="809" ht="15" customHeight="1">
      <c r="A809" t="inlineStr">
        <is>
          <t>A 70699-2018</t>
        </is>
      </c>
      <c r="B809" s="1" t="n">
        <v>43451</v>
      </c>
      <c r="C809" s="1" t="n">
        <v>45344</v>
      </c>
      <c r="D809" t="inlineStr">
        <is>
          <t>GÄVLEBORGS LÄN</t>
        </is>
      </c>
      <c r="E809" t="inlineStr">
        <is>
          <t>HOFORS</t>
        </is>
      </c>
      <c r="G809" t="n">
        <v>1.6</v>
      </c>
      <c r="H809" t="n">
        <v>0</v>
      </c>
      <c r="I809" t="n">
        <v>0</v>
      </c>
      <c r="J809" t="n">
        <v>0</v>
      </c>
      <c r="K809" t="n">
        <v>0</v>
      </c>
      <c r="L809" t="n">
        <v>0</v>
      </c>
      <c r="M809" t="n">
        <v>0</v>
      </c>
      <c r="N809" t="n">
        <v>0</v>
      </c>
      <c r="O809" t="n">
        <v>0</v>
      </c>
      <c r="P809" t="n">
        <v>0</v>
      </c>
      <c r="Q809" t="n">
        <v>0</v>
      </c>
      <c r="R809" s="2" t="inlineStr"/>
    </row>
    <row r="810" ht="15" customHeight="1">
      <c r="A810" t="inlineStr">
        <is>
          <t>A 71732-2018</t>
        </is>
      </c>
      <c r="B810" s="1" t="n">
        <v>43451</v>
      </c>
      <c r="C810" s="1" t="n">
        <v>45344</v>
      </c>
      <c r="D810" t="inlineStr">
        <is>
          <t>GÄVLEBORGS LÄN</t>
        </is>
      </c>
      <c r="E810" t="inlineStr">
        <is>
          <t>OVANÅKER</t>
        </is>
      </c>
      <c r="G810" t="n">
        <v>15.6</v>
      </c>
      <c r="H810" t="n">
        <v>0</v>
      </c>
      <c r="I810" t="n">
        <v>0</v>
      </c>
      <c r="J810" t="n">
        <v>0</v>
      </c>
      <c r="K810" t="n">
        <v>0</v>
      </c>
      <c r="L810" t="n">
        <v>0</v>
      </c>
      <c r="M810" t="n">
        <v>0</v>
      </c>
      <c r="N810" t="n">
        <v>0</v>
      </c>
      <c r="O810" t="n">
        <v>0</v>
      </c>
      <c r="P810" t="n">
        <v>0</v>
      </c>
      <c r="Q810" t="n">
        <v>0</v>
      </c>
      <c r="R810" s="2" t="inlineStr"/>
    </row>
    <row r="811" ht="15" customHeight="1">
      <c r="A811" t="inlineStr">
        <is>
          <t>A 71220-2018</t>
        </is>
      </c>
      <c r="B811" s="1" t="n">
        <v>43451</v>
      </c>
      <c r="C811" s="1" t="n">
        <v>45344</v>
      </c>
      <c r="D811" t="inlineStr">
        <is>
          <t>GÄVLEBORGS LÄN</t>
        </is>
      </c>
      <c r="E811" t="inlineStr">
        <is>
          <t>OVANÅKER</t>
        </is>
      </c>
      <c r="G811" t="n">
        <v>9.5</v>
      </c>
      <c r="H811" t="n">
        <v>0</v>
      </c>
      <c r="I811" t="n">
        <v>0</v>
      </c>
      <c r="J811" t="n">
        <v>0</v>
      </c>
      <c r="K811" t="n">
        <v>0</v>
      </c>
      <c r="L811" t="n">
        <v>0</v>
      </c>
      <c r="M811" t="n">
        <v>0</v>
      </c>
      <c r="N811" t="n">
        <v>0</v>
      </c>
      <c r="O811" t="n">
        <v>0</v>
      </c>
      <c r="P811" t="n">
        <v>0</v>
      </c>
      <c r="Q811" t="n">
        <v>0</v>
      </c>
      <c r="R811" s="2" t="inlineStr"/>
    </row>
    <row r="812" ht="15" customHeight="1">
      <c r="A812" t="inlineStr">
        <is>
          <t>A 71212-2018</t>
        </is>
      </c>
      <c r="B812" s="1" t="n">
        <v>43451</v>
      </c>
      <c r="C812" s="1" t="n">
        <v>45344</v>
      </c>
      <c r="D812" t="inlineStr">
        <is>
          <t>GÄVLEBORGS LÄN</t>
        </is>
      </c>
      <c r="E812" t="inlineStr">
        <is>
          <t>OVANÅKER</t>
        </is>
      </c>
      <c r="G812" t="n">
        <v>2</v>
      </c>
      <c r="H812" t="n">
        <v>0</v>
      </c>
      <c r="I812" t="n">
        <v>0</v>
      </c>
      <c r="J812" t="n">
        <v>0</v>
      </c>
      <c r="K812" t="n">
        <v>0</v>
      </c>
      <c r="L812" t="n">
        <v>0</v>
      </c>
      <c r="M812" t="n">
        <v>0</v>
      </c>
      <c r="N812" t="n">
        <v>0</v>
      </c>
      <c r="O812" t="n">
        <v>0</v>
      </c>
      <c r="P812" t="n">
        <v>0</v>
      </c>
      <c r="Q812" t="n">
        <v>0</v>
      </c>
      <c r="R812" s="2" t="inlineStr"/>
    </row>
    <row r="813" ht="15" customHeight="1">
      <c r="A813" t="inlineStr">
        <is>
          <t>A 70961-2018</t>
        </is>
      </c>
      <c r="B813" s="1" t="n">
        <v>43452</v>
      </c>
      <c r="C813" s="1" t="n">
        <v>45344</v>
      </c>
      <c r="D813" t="inlineStr">
        <is>
          <t>GÄVLEBORGS LÄN</t>
        </is>
      </c>
      <c r="E813" t="inlineStr">
        <is>
          <t>BOLLNÄS</t>
        </is>
      </c>
      <c r="G813" t="n">
        <v>1</v>
      </c>
      <c r="H813" t="n">
        <v>0</v>
      </c>
      <c r="I813" t="n">
        <v>0</v>
      </c>
      <c r="J813" t="n">
        <v>0</v>
      </c>
      <c r="K813" t="n">
        <v>0</v>
      </c>
      <c r="L813" t="n">
        <v>0</v>
      </c>
      <c r="M813" t="n">
        <v>0</v>
      </c>
      <c r="N813" t="n">
        <v>0</v>
      </c>
      <c r="O813" t="n">
        <v>0</v>
      </c>
      <c r="P813" t="n">
        <v>0</v>
      </c>
      <c r="Q813" t="n">
        <v>0</v>
      </c>
      <c r="R813" s="2" t="inlineStr"/>
    </row>
    <row r="814" ht="15" customHeight="1">
      <c r="A814" t="inlineStr">
        <is>
          <t>A 71015-2018</t>
        </is>
      </c>
      <c r="B814" s="1" t="n">
        <v>43452</v>
      </c>
      <c r="C814" s="1" t="n">
        <v>45344</v>
      </c>
      <c r="D814" t="inlineStr">
        <is>
          <t>GÄVLEBORGS LÄN</t>
        </is>
      </c>
      <c r="E814" t="inlineStr">
        <is>
          <t>NORDANSTIG</t>
        </is>
      </c>
      <c r="G814" t="n">
        <v>1.6</v>
      </c>
      <c r="H814" t="n">
        <v>0</v>
      </c>
      <c r="I814" t="n">
        <v>0</v>
      </c>
      <c r="J814" t="n">
        <v>0</v>
      </c>
      <c r="K814" t="n">
        <v>0</v>
      </c>
      <c r="L814" t="n">
        <v>0</v>
      </c>
      <c r="M814" t="n">
        <v>0</v>
      </c>
      <c r="N814" t="n">
        <v>0</v>
      </c>
      <c r="O814" t="n">
        <v>0</v>
      </c>
      <c r="P814" t="n">
        <v>0</v>
      </c>
      <c r="Q814" t="n">
        <v>0</v>
      </c>
      <c r="R814" s="2" t="inlineStr"/>
    </row>
    <row r="815" ht="15" customHeight="1">
      <c r="A815" t="inlineStr">
        <is>
          <t>A 70865-2018</t>
        </is>
      </c>
      <c r="B815" s="1" t="n">
        <v>43452</v>
      </c>
      <c r="C815" s="1" t="n">
        <v>45344</v>
      </c>
      <c r="D815" t="inlineStr">
        <is>
          <t>GÄVLEBORGS LÄN</t>
        </is>
      </c>
      <c r="E815" t="inlineStr">
        <is>
          <t>LJUSDAL</t>
        </is>
      </c>
      <c r="G815" t="n">
        <v>11.7</v>
      </c>
      <c r="H815" t="n">
        <v>0</v>
      </c>
      <c r="I815" t="n">
        <v>0</v>
      </c>
      <c r="J815" t="n">
        <v>0</v>
      </c>
      <c r="K815" t="n">
        <v>0</v>
      </c>
      <c r="L815" t="n">
        <v>0</v>
      </c>
      <c r="M815" t="n">
        <v>0</v>
      </c>
      <c r="N815" t="n">
        <v>0</v>
      </c>
      <c r="O815" t="n">
        <v>0</v>
      </c>
      <c r="P815" t="n">
        <v>0</v>
      </c>
      <c r="Q815" t="n">
        <v>0</v>
      </c>
      <c r="R815" s="2" t="inlineStr"/>
    </row>
    <row r="816" ht="15" customHeight="1">
      <c r="A816" t="inlineStr">
        <is>
          <t>A 71032-2018</t>
        </is>
      </c>
      <c r="B816" s="1" t="n">
        <v>43452</v>
      </c>
      <c r="C816" s="1" t="n">
        <v>45344</v>
      </c>
      <c r="D816" t="inlineStr">
        <is>
          <t>GÄVLEBORGS LÄN</t>
        </is>
      </c>
      <c r="E816" t="inlineStr">
        <is>
          <t>LJUSDAL</t>
        </is>
      </c>
      <c r="F816" t="inlineStr">
        <is>
          <t>Holmen skog AB</t>
        </is>
      </c>
      <c r="G816" t="n">
        <v>3</v>
      </c>
      <c r="H816" t="n">
        <v>0</v>
      </c>
      <c r="I816" t="n">
        <v>0</v>
      </c>
      <c r="J816" t="n">
        <v>0</v>
      </c>
      <c r="K816" t="n">
        <v>0</v>
      </c>
      <c r="L816" t="n">
        <v>0</v>
      </c>
      <c r="M816" t="n">
        <v>0</v>
      </c>
      <c r="N816" t="n">
        <v>0</v>
      </c>
      <c r="O816" t="n">
        <v>0</v>
      </c>
      <c r="P816" t="n">
        <v>0</v>
      </c>
      <c r="Q816" t="n">
        <v>0</v>
      </c>
      <c r="R816" s="2" t="inlineStr"/>
    </row>
    <row r="817" ht="15" customHeight="1">
      <c r="A817" t="inlineStr">
        <is>
          <t>A 70818-2018</t>
        </is>
      </c>
      <c r="B817" s="1" t="n">
        <v>43452</v>
      </c>
      <c r="C817" s="1" t="n">
        <v>45344</v>
      </c>
      <c r="D817" t="inlineStr">
        <is>
          <t>GÄVLEBORGS LÄN</t>
        </is>
      </c>
      <c r="E817" t="inlineStr">
        <is>
          <t>NORDANSTIG</t>
        </is>
      </c>
      <c r="G817" t="n">
        <v>1.6</v>
      </c>
      <c r="H817" t="n">
        <v>0</v>
      </c>
      <c r="I817" t="n">
        <v>0</v>
      </c>
      <c r="J817" t="n">
        <v>0</v>
      </c>
      <c r="K817" t="n">
        <v>0</v>
      </c>
      <c r="L817" t="n">
        <v>0</v>
      </c>
      <c r="M817" t="n">
        <v>0</v>
      </c>
      <c r="N817" t="n">
        <v>0</v>
      </c>
      <c r="O817" t="n">
        <v>0</v>
      </c>
      <c r="P817" t="n">
        <v>0</v>
      </c>
      <c r="Q817" t="n">
        <v>0</v>
      </c>
      <c r="R817" s="2" t="inlineStr"/>
    </row>
    <row r="818" ht="15" customHeight="1">
      <c r="A818" t="inlineStr">
        <is>
          <t>A 71109-2018</t>
        </is>
      </c>
      <c r="B818" s="1" t="n">
        <v>43452</v>
      </c>
      <c r="C818" s="1" t="n">
        <v>45344</v>
      </c>
      <c r="D818" t="inlineStr">
        <is>
          <t>GÄVLEBORGS LÄN</t>
        </is>
      </c>
      <c r="E818" t="inlineStr">
        <is>
          <t>SANDVIKEN</t>
        </is>
      </c>
      <c r="F818" t="inlineStr">
        <is>
          <t>Sveaskog</t>
        </is>
      </c>
      <c r="G818" t="n">
        <v>2.4</v>
      </c>
      <c r="H818" t="n">
        <v>0</v>
      </c>
      <c r="I818" t="n">
        <v>0</v>
      </c>
      <c r="J818" t="n">
        <v>0</v>
      </c>
      <c r="K818" t="n">
        <v>0</v>
      </c>
      <c r="L818" t="n">
        <v>0</v>
      </c>
      <c r="M818" t="n">
        <v>0</v>
      </c>
      <c r="N818" t="n">
        <v>0</v>
      </c>
      <c r="O818" t="n">
        <v>0</v>
      </c>
      <c r="P818" t="n">
        <v>0</v>
      </c>
      <c r="Q818" t="n">
        <v>0</v>
      </c>
      <c r="R818" s="2" t="inlineStr"/>
    </row>
    <row r="819" ht="15" customHeight="1">
      <c r="A819" t="inlineStr">
        <is>
          <t>A 71021-2018</t>
        </is>
      </c>
      <c r="B819" s="1" t="n">
        <v>43452</v>
      </c>
      <c r="C819" s="1" t="n">
        <v>45344</v>
      </c>
      <c r="D819" t="inlineStr">
        <is>
          <t>GÄVLEBORGS LÄN</t>
        </is>
      </c>
      <c r="E819" t="inlineStr">
        <is>
          <t>HUDIKSVALL</t>
        </is>
      </c>
      <c r="G819" t="n">
        <v>2.2</v>
      </c>
      <c r="H819" t="n">
        <v>0</v>
      </c>
      <c r="I819" t="n">
        <v>0</v>
      </c>
      <c r="J819" t="n">
        <v>0</v>
      </c>
      <c r="K819" t="n">
        <v>0</v>
      </c>
      <c r="L819" t="n">
        <v>0</v>
      </c>
      <c r="M819" t="n">
        <v>0</v>
      </c>
      <c r="N819" t="n">
        <v>0</v>
      </c>
      <c r="O819" t="n">
        <v>0</v>
      </c>
      <c r="P819" t="n">
        <v>0</v>
      </c>
      <c r="Q819" t="n">
        <v>0</v>
      </c>
      <c r="R819" s="2" t="inlineStr"/>
    </row>
    <row r="820" ht="15" customHeight="1">
      <c r="A820" t="inlineStr">
        <is>
          <t>A 70963-2018</t>
        </is>
      </c>
      <c r="B820" s="1" t="n">
        <v>43452</v>
      </c>
      <c r="C820" s="1" t="n">
        <v>45344</v>
      </c>
      <c r="D820" t="inlineStr">
        <is>
          <t>GÄVLEBORGS LÄN</t>
        </is>
      </c>
      <c r="E820" t="inlineStr">
        <is>
          <t>BOLLNÄS</t>
        </is>
      </c>
      <c r="G820" t="n">
        <v>1.2</v>
      </c>
      <c r="H820" t="n">
        <v>0</v>
      </c>
      <c r="I820" t="n">
        <v>0</v>
      </c>
      <c r="J820" t="n">
        <v>0</v>
      </c>
      <c r="K820" t="n">
        <v>0</v>
      </c>
      <c r="L820" t="n">
        <v>0</v>
      </c>
      <c r="M820" t="n">
        <v>0</v>
      </c>
      <c r="N820" t="n">
        <v>0</v>
      </c>
      <c r="O820" t="n">
        <v>0</v>
      </c>
      <c r="P820" t="n">
        <v>0</v>
      </c>
      <c r="Q820" t="n">
        <v>0</v>
      </c>
      <c r="R820" s="2" t="inlineStr"/>
    </row>
    <row r="821" ht="15" customHeight="1">
      <c r="A821" t="inlineStr">
        <is>
          <t>A 71464-2018</t>
        </is>
      </c>
      <c r="B821" s="1" t="n">
        <v>43453</v>
      </c>
      <c r="C821" s="1" t="n">
        <v>45344</v>
      </c>
      <c r="D821" t="inlineStr">
        <is>
          <t>GÄVLEBORGS LÄN</t>
        </is>
      </c>
      <c r="E821" t="inlineStr">
        <is>
          <t>SANDVIKEN</t>
        </is>
      </c>
      <c r="G821" t="n">
        <v>0.6</v>
      </c>
      <c r="H821" t="n">
        <v>0</v>
      </c>
      <c r="I821" t="n">
        <v>0</v>
      </c>
      <c r="J821" t="n">
        <v>0</v>
      </c>
      <c r="K821" t="n">
        <v>0</v>
      </c>
      <c r="L821" t="n">
        <v>0</v>
      </c>
      <c r="M821" t="n">
        <v>0</v>
      </c>
      <c r="N821" t="n">
        <v>0</v>
      </c>
      <c r="O821" t="n">
        <v>0</v>
      </c>
      <c r="P821" t="n">
        <v>0</v>
      </c>
      <c r="Q821" t="n">
        <v>0</v>
      </c>
      <c r="R821" s="2" t="inlineStr"/>
    </row>
    <row r="822" ht="15" customHeight="1">
      <c r="A822" t="inlineStr">
        <is>
          <t>A 71237-2018</t>
        </is>
      </c>
      <c r="B822" s="1" t="n">
        <v>43453</v>
      </c>
      <c r="C822" s="1" t="n">
        <v>45344</v>
      </c>
      <c r="D822" t="inlineStr">
        <is>
          <t>GÄVLEBORGS LÄN</t>
        </is>
      </c>
      <c r="E822" t="inlineStr">
        <is>
          <t>LJUSDAL</t>
        </is>
      </c>
      <c r="G822" t="n">
        <v>1.3</v>
      </c>
      <c r="H822" t="n">
        <v>0</v>
      </c>
      <c r="I822" t="n">
        <v>0</v>
      </c>
      <c r="J822" t="n">
        <v>0</v>
      </c>
      <c r="K822" t="n">
        <v>0</v>
      </c>
      <c r="L822" t="n">
        <v>0</v>
      </c>
      <c r="M822" t="n">
        <v>0</v>
      </c>
      <c r="N822" t="n">
        <v>0</v>
      </c>
      <c r="O822" t="n">
        <v>0</v>
      </c>
      <c r="P822" t="n">
        <v>0</v>
      </c>
      <c r="Q822" t="n">
        <v>0</v>
      </c>
      <c r="R822" s="2" t="inlineStr"/>
    </row>
    <row r="823" ht="15" customHeight="1">
      <c r="A823" t="inlineStr">
        <is>
          <t>A 71498-2018</t>
        </is>
      </c>
      <c r="B823" s="1" t="n">
        <v>43453</v>
      </c>
      <c r="C823" s="1" t="n">
        <v>45344</v>
      </c>
      <c r="D823" t="inlineStr">
        <is>
          <t>GÄVLEBORGS LÄN</t>
        </is>
      </c>
      <c r="E823" t="inlineStr">
        <is>
          <t>GÄVLE</t>
        </is>
      </c>
      <c r="G823" t="n">
        <v>0.2</v>
      </c>
      <c r="H823" t="n">
        <v>0</v>
      </c>
      <c r="I823" t="n">
        <v>0</v>
      </c>
      <c r="J823" t="n">
        <v>0</v>
      </c>
      <c r="K823" t="n">
        <v>0</v>
      </c>
      <c r="L823" t="n">
        <v>0</v>
      </c>
      <c r="M823" t="n">
        <v>0</v>
      </c>
      <c r="N823" t="n">
        <v>0</v>
      </c>
      <c r="O823" t="n">
        <v>0</v>
      </c>
      <c r="P823" t="n">
        <v>0</v>
      </c>
      <c r="Q823" t="n">
        <v>0</v>
      </c>
      <c r="R823" s="2" t="inlineStr"/>
    </row>
    <row r="824" ht="15" customHeight="1">
      <c r="A824" t="inlineStr">
        <is>
          <t>A 71669-2018</t>
        </is>
      </c>
      <c r="B824" s="1" t="n">
        <v>43454</v>
      </c>
      <c r="C824" s="1" t="n">
        <v>45344</v>
      </c>
      <c r="D824" t="inlineStr">
        <is>
          <t>GÄVLEBORGS LÄN</t>
        </is>
      </c>
      <c r="E824" t="inlineStr">
        <is>
          <t>OVANÅKER</t>
        </is>
      </c>
      <c r="G824" t="n">
        <v>15.2</v>
      </c>
      <c r="H824" t="n">
        <v>0</v>
      </c>
      <c r="I824" t="n">
        <v>0</v>
      </c>
      <c r="J824" t="n">
        <v>0</v>
      </c>
      <c r="K824" t="n">
        <v>0</v>
      </c>
      <c r="L824" t="n">
        <v>0</v>
      </c>
      <c r="M824" t="n">
        <v>0</v>
      </c>
      <c r="N824" t="n">
        <v>0</v>
      </c>
      <c r="O824" t="n">
        <v>0</v>
      </c>
      <c r="P824" t="n">
        <v>0</v>
      </c>
      <c r="Q824" t="n">
        <v>0</v>
      </c>
      <c r="R824" s="2" t="inlineStr"/>
    </row>
    <row r="825" ht="15" customHeight="1">
      <c r="A825" t="inlineStr">
        <is>
          <t>A 71679-2018</t>
        </is>
      </c>
      <c r="B825" s="1" t="n">
        <v>43454</v>
      </c>
      <c r="C825" s="1" t="n">
        <v>45344</v>
      </c>
      <c r="D825" t="inlineStr">
        <is>
          <t>GÄVLEBORGS LÄN</t>
        </is>
      </c>
      <c r="E825" t="inlineStr">
        <is>
          <t>OVANÅKER</t>
        </is>
      </c>
      <c r="G825" t="n">
        <v>8.6</v>
      </c>
      <c r="H825" t="n">
        <v>0</v>
      </c>
      <c r="I825" t="n">
        <v>0</v>
      </c>
      <c r="J825" t="n">
        <v>0</v>
      </c>
      <c r="K825" t="n">
        <v>0</v>
      </c>
      <c r="L825" t="n">
        <v>0</v>
      </c>
      <c r="M825" t="n">
        <v>0</v>
      </c>
      <c r="N825" t="n">
        <v>0</v>
      </c>
      <c r="O825" t="n">
        <v>0</v>
      </c>
      <c r="P825" t="n">
        <v>0</v>
      </c>
      <c r="Q825" t="n">
        <v>0</v>
      </c>
      <c r="R825" s="2" t="inlineStr"/>
    </row>
    <row r="826" ht="15" customHeight="1">
      <c r="A826" t="inlineStr">
        <is>
          <t>A 71714-2018</t>
        </is>
      </c>
      <c r="B826" s="1" t="n">
        <v>43454</v>
      </c>
      <c r="C826" s="1" t="n">
        <v>45344</v>
      </c>
      <c r="D826" t="inlineStr">
        <is>
          <t>GÄVLEBORGS LÄN</t>
        </is>
      </c>
      <c r="E826" t="inlineStr">
        <is>
          <t>NORDANSTIG</t>
        </is>
      </c>
      <c r="G826" t="n">
        <v>1.4</v>
      </c>
      <c r="H826" t="n">
        <v>0</v>
      </c>
      <c r="I826" t="n">
        <v>0</v>
      </c>
      <c r="J826" t="n">
        <v>0</v>
      </c>
      <c r="K826" t="n">
        <v>0</v>
      </c>
      <c r="L826" t="n">
        <v>0</v>
      </c>
      <c r="M826" t="n">
        <v>0</v>
      </c>
      <c r="N826" t="n">
        <v>0</v>
      </c>
      <c r="O826" t="n">
        <v>0</v>
      </c>
      <c r="P826" t="n">
        <v>0</v>
      </c>
      <c r="Q826" t="n">
        <v>0</v>
      </c>
      <c r="R826" s="2" t="inlineStr"/>
    </row>
    <row r="827" ht="15" customHeight="1">
      <c r="A827" t="inlineStr">
        <is>
          <t>A 71733-2018</t>
        </is>
      </c>
      <c r="B827" s="1" t="n">
        <v>43454</v>
      </c>
      <c r="C827" s="1" t="n">
        <v>45344</v>
      </c>
      <c r="D827" t="inlineStr">
        <is>
          <t>GÄVLEBORGS LÄN</t>
        </is>
      </c>
      <c r="E827" t="inlineStr">
        <is>
          <t>HUDIKSVALL</t>
        </is>
      </c>
      <c r="G827" t="n">
        <v>0.4</v>
      </c>
      <c r="H827" t="n">
        <v>0</v>
      </c>
      <c r="I827" t="n">
        <v>0</v>
      </c>
      <c r="J827" t="n">
        <v>0</v>
      </c>
      <c r="K827" t="n">
        <v>0</v>
      </c>
      <c r="L827" t="n">
        <v>0</v>
      </c>
      <c r="M827" t="n">
        <v>0</v>
      </c>
      <c r="N827" t="n">
        <v>0</v>
      </c>
      <c r="O827" t="n">
        <v>0</v>
      </c>
      <c r="P827" t="n">
        <v>0</v>
      </c>
      <c r="Q827" t="n">
        <v>0</v>
      </c>
      <c r="R827" s="2" t="inlineStr"/>
    </row>
    <row r="828" ht="15" customHeight="1">
      <c r="A828" t="inlineStr">
        <is>
          <t>A 71573-2018</t>
        </is>
      </c>
      <c r="B828" s="1" t="n">
        <v>43454</v>
      </c>
      <c r="C828" s="1" t="n">
        <v>45344</v>
      </c>
      <c r="D828" t="inlineStr">
        <is>
          <t>GÄVLEBORGS LÄN</t>
        </is>
      </c>
      <c r="E828" t="inlineStr">
        <is>
          <t>SÖDERHAMN</t>
        </is>
      </c>
      <c r="G828" t="n">
        <v>2.2</v>
      </c>
      <c r="H828" t="n">
        <v>0</v>
      </c>
      <c r="I828" t="n">
        <v>0</v>
      </c>
      <c r="J828" t="n">
        <v>0</v>
      </c>
      <c r="K828" t="n">
        <v>0</v>
      </c>
      <c r="L828" t="n">
        <v>0</v>
      </c>
      <c r="M828" t="n">
        <v>0</v>
      </c>
      <c r="N828" t="n">
        <v>0</v>
      </c>
      <c r="O828" t="n">
        <v>0</v>
      </c>
      <c r="P828" t="n">
        <v>0</v>
      </c>
      <c r="Q828" t="n">
        <v>0</v>
      </c>
      <c r="R828" s="2" t="inlineStr"/>
    </row>
    <row r="829" ht="15" customHeight="1">
      <c r="A829" t="inlineStr">
        <is>
          <t>A 71808-2018</t>
        </is>
      </c>
      <c r="B829" s="1" t="n">
        <v>43454</v>
      </c>
      <c r="C829" s="1" t="n">
        <v>45344</v>
      </c>
      <c r="D829" t="inlineStr">
        <is>
          <t>GÄVLEBORGS LÄN</t>
        </is>
      </c>
      <c r="E829" t="inlineStr">
        <is>
          <t>BOLLNÄS</t>
        </is>
      </c>
      <c r="G829" t="n">
        <v>0.3</v>
      </c>
      <c r="H829" t="n">
        <v>0</v>
      </c>
      <c r="I829" t="n">
        <v>0</v>
      </c>
      <c r="J829" t="n">
        <v>0</v>
      </c>
      <c r="K829" t="n">
        <v>0</v>
      </c>
      <c r="L829" t="n">
        <v>0</v>
      </c>
      <c r="M829" t="n">
        <v>0</v>
      </c>
      <c r="N829" t="n">
        <v>0</v>
      </c>
      <c r="O829" t="n">
        <v>0</v>
      </c>
      <c r="P829" t="n">
        <v>0</v>
      </c>
      <c r="Q829" t="n">
        <v>0</v>
      </c>
      <c r="R829" s="2" t="inlineStr"/>
    </row>
    <row r="830" ht="15" customHeight="1">
      <c r="A830" t="inlineStr">
        <is>
          <t>A 71687-2018</t>
        </is>
      </c>
      <c r="B830" s="1" t="n">
        <v>43454</v>
      </c>
      <c r="C830" s="1" t="n">
        <v>45344</v>
      </c>
      <c r="D830" t="inlineStr">
        <is>
          <t>GÄVLEBORGS LÄN</t>
        </is>
      </c>
      <c r="E830" t="inlineStr">
        <is>
          <t>OVANÅKER</t>
        </is>
      </c>
      <c r="G830" t="n">
        <v>2.2</v>
      </c>
      <c r="H830" t="n">
        <v>0</v>
      </c>
      <c r="I830" t="n">
        <v>0</v>
      </c>
      <c r="J830" t="n">
        <v>0</v>
      </c>
      <c r="K830" t="n">
        <v>0</v>
      </c>
      <c r="L830" t="n">
        <v>0</v>
      </c>
      <c r="M830" t="n">
        <v>0</v>
      </c>
      <c r="N830" t="n">
        <v>0</v>
      </c>
      <c r="O830" t="n">
        <v>0</v>
      </c>
      <c r="P830" t="n">
        <v>0</v>
      </c>
      <c r="Q830" t="n">
        <v>0</v>
      </c>
      <c r="R830" s="2" t="inlineStr"/>
    </row>
    <row r="831" ht="15" customHeight="1">
      <c r="A831" t="inlineStr">
        <is>
          <t>A 71527-2018</t>
        </is>
      </c>
      <c r="B831" s="1" t="n">
        <v>43454</v>
      </c>
      <c r="C831" s="1" t="n">
        <v>45344</v>
      </c>
      <c r="D831" t="inlineStr">
        <is>
          <t>GÄVLEBORGS LÄN</t>
        </is>
      </c>
      <c r="E831" t="inlineStr">
        <is>
          <t>GÄVLE</t>
        </is>
      </c>
      <c r="F831" t="inlineStr">
        <is>
          <t>Bergvik skog väst AB</t>
        </is>
      </c>
      <c r="G831" t="n">
        <v>1.8</v>
      </c>
      <c r="H831" t="n">
        <v>0</v>
      </c>
      <c r="I831" t="n">
        <v>0</v>
      </c>
      <c r="J831" t="n">
        <v>0</v>
      </c>
      <c r="K831" t="n">
        <v>0</v>
      </c>
      <c r="L831" t="n">
        <v>0</v>
      </c>
      <c r="M831" t="n">
        <v>0</v>
      </c>
      <c r="N831" t="n">
        <v>0</v>
      </c>
      <c r="O831" t="n">
        <v>0</v>
      </c>
      <c r="P831" t="n">
        <v>0</v>
      </c>
      <c r="Q831" t="n">
        <v>0</v>
      </c>
      <c r="R831" s="2" t="inlineStr"/>
    </row>
    <row r="832" ht="15" customHeight="1">
      <c r="A832" t="inlineStr">
        <is>
          <t>A 72000-2018</t>
        </is>
      </c>
      <c r="B832" s="1" t="n">
        <v>43455</v>
      </c>
      <c r="C832" s="1" t="n">
        <v>45344</v>
      </c>
      <c r="D832" t="inlineStr">
        <is>
          <t>GÄVLEBORGS LÄN</t>
        </is>
      </c>
      <c r="E832" t="inlineStr">
        <is>
          <t>SANDVIKEN</t>
        </is>
      </c>
      <c r="G832" t="n">
        <v>4.9</v>
      </c>
      <c r="H832" t="n">
        <v>0</v>
      </c>
      <c r="I832" t="n">
        <v>0</v>
      </c>
      <c r="J832" t="n">
        <v>0</v>
      </c>
      <c r="K832" t="n">
        <v>0</v>
      </c>
      <c r="L832" t="n">
        <v>0</v>
      </c>
      <c r="M832" t="n">
        <v>0</v>
      </c>
      <c r="N832" t="n">
        <v>0</v>
      </c>
      <c r="O832" t="n">
        <v>0</v>
      </c>
      <c r="P832" t="n">
        <v>0</v>
      </c>
      <c r="Q832" t="n">
        <v>0</v>
      </c>
      <c r="R832" s="2" t="inlineStr"/>
    </row>
    <row r="833" ht="15" customHeight="1">
      <c r="A833" t="inlineStr">
        <is>
          <t>A 72126-2018</t>
        </is>
      </c>
      <c r="B833" s="1" t="n">
        <v>43455</v>
      </c>
      <c r="C833" s="1" t="n">
        <v>45344</v>
      </c>
      <c r="D833" t="inlineStr">
        <is>
          <t>GÄVLEBORGS LÄN</t>
        </is>
      </c>
      <c r="E833" t="inlineStr">
        <is>
          <t>LJUSDAL</t>
        </is>
      </c>
      <c r="G833" t="n">
        <v>2.7</v>
      </c>
      <c r="H833" t="n">
        <v>0</v>
      </c>
      <c r="I833" t="n">
        <v>0</v>
      </c>
      <c r="J833" t="n">
        <v>0</v>
      </c>
      <c r="K833" t="n">
        <v>0</v>
      </c>
      <c r="L833" t="n">
        <v>0</v>
      </c>
      <c r="M833" t="n">
        <v>0</v>
      </c>
      <c r="N833" t="n">
        <v>0</v>
      </c>
      <c r="O833" t="n">
        <v>0</v>
      </c>
      <c r="P833" t="n">
        <v>0</v>
      </c>
      <c r="Q833" t="n">
        <v>0</v>
      </c>
      <c r="R833" s="2" t="inlineStr"/>
    </row>
    <row r="834" ht="15" customHeight="1">
      <c r="A834" t="inlineStr">
        <is>
          <t>A 72140-2018</t>
        </is>
      </c>
      <c r="B834" s="1" t="n">
        <v>43455</v>
      </c>
      <c r="C834" s="1" t="n">
        <v>45344</v>
      </c>
      <c r="D834" t="inlineStr">
        <is>
          <t>GÄVLEBORGS LÄN</t>
        </is>
      </c>
      <c r="E834" t="inlineStr">
        <is>
          <t>SÖDERHAMN</t>
        </is>
      </c>
      <c r="G834" t="n">
        <v>4.1</v>
      </c>
      <c r="H834" t="n">
        <v>0</v>
      </c>
      <c r="I834" t="n">
        <v>0</v>
      </c>
      <c r="J834" t="n">
        <v>0</v>
      </c>
      <c r="K834" t="n">
        <v>0</v>
      </c>
      <c r="L834" t="n">
        <v>0</v>
      </c>
      <c r="M834" t="n">
        <v>0</v>
      </c>
      <c r="N834" t="n">
        <v>0</v>
      </c>
      <c r="O834" t="n">
        <v>0</v>
      </c>
      <c r="P834" t="n">
        <v>0</v>
      </c>
      <c r="Q834" t="n">
        <v>0</v>
      </c>
      <c r="R834" s="2" t="inlineStr"/>
    </row>
    <row r="835" ht="15" customHeight="1">
      <c r="A835" t="inlineStr">
        <is>
          <t>A 643-2019</t>
        </is>
      </c>
      <c r="B835" s="1" t="n">
        <v>43455</v>
      </c>
      <c r="C835" s="1" t="n">
        <v>45344</v>
      </c>
      <c r="D835" t="inlineStr">
        <is>
          <t>GÄVLEBORGS LÄN</t>
        </is>
      </c>
      <c r="E835" t="inlineStr">
        <is>
          <t>LJUSDAL</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791-2019</t>
        </is>
      </c>
      <c r="B836" s="1" t="n">
        <v>43455</v>
      </c>
      <c r="C836" s="1" t="n">
        <v>45344</v>
      </c>
      <c r="D836" t="inlineStr">
        <is>
          <t>GÄVLEBORGS LÄN</t>
        </is>
      </c>
      <c r="E836" t="inlineStr">
        <is>
          <t>BOLLNÄS</t>
        </is>
      </c>
      <c r="G836" t="n">
        <v>3.9</v>
      </c>
      <c r="H836" t="n">
        <v>0</v>
      </c>
      <c r="I836" t="n">
        <v>0</v>
      </c>
      <c r="J836" t="n">
        <v>0</v>
      </c>
      <c r="K836" t="n">
        <v>0</v>
      </c>
      <c r="L836" t="n">
        <v>0</v>
      </c>
      <c r="M836" t="n">
        <v>0</v>
      </c>
      <c r="N836" t="n">
        <v>0</v>
      </c>
      <c r="O836" t="n">
        <v>0</v>
      </c>
      <c r="P836" t="n">
        <v>0</v>
      </c>
      <c r="Q836" t="n">
        <v>0</v>
      </c>
      <c r="R836" s="2" t="inlineStr"/>
    </row>
    <row r="837" ht="15" customHeight="1">
      <c r="A837" t="inlineStr">
        <is>
          <t>A 72303-2018</t>
        </is>
      </c>
      <c r="B837" s="1" t="n">
        <v>43455</v>
      </c>
      <c r="C837" s="1" t="n">
        <v>45344</v>
      </c>
      <c r="D837" t="inlineStr">
        <is>
          <t>GÄVLEBORGS LÄN</t>
        </is>
      </c>
      <c r="E837" t="inlineStr">
        <is>
          <t>NORDANSTIG</t>
        </is>
      </c>
      <c r="G837" t="n">
        <v>10.7</v>
      </c>
      <c r="H837" t="n">
        <v>0</v>
      </c>
      <c r="I837" t="n">
        <v>0</v>
      </c>
      <c r="J837" t="n">
        <v>0</v>
      </c>
      <c r="K837" t="n">
        <v>0</v>
      </c>
      <c r="L837" t="n">
        <v>0</v>
      </c>
      <c r="M837" t="n">
        <v>0</v>
      </c>
      <c r="N837" t="n">
        <v>0</v>
      </c>
      <c r="O837" t="n">
        <v>0</v>
      </c>
      <c r="P837" t="n">
        <v>0</v>
      </c>
      <c r="Q837" t="n">
        <v>0</v>
      </c>
      <c r="R837" s="2" t="inlineStr"/>
    </row>
    <row r="838" ht="15" customHeight="1">
      <c r="A838" t="inlineStr">
        <is>
          <t>A 71915-2018</t>
        </is>
      </c>
      <c r="B838" s="1" t="n">
        <v>43455</v>
      </c>
      <c r="C838" s="1" t="n">
        <v>45344</v>
      </c>
      <c r="D838" t="inlineStr">
        <is>
          <t>GÄVLEBORGS LÄN</t>
        </is>
      </c>
      <c r="E838" t="inlineStr">
        <is>
          <t>BOLLNÄS</t>
        </is>
      </c>
      <c r="G838" t="n">
        <v>0.2</v>
      </c>
      <c r="H838" t="n">
        <v>0</v>
      </c>
      <c r="I838" t="n">
        <v>0</v>
      </c>
      <c r="J838" t="n">
        <v>0</v>
      </c>
      <c r="K838" t="n">
        <v>0</v>
      </c>
      <c r="L838" t="n">
        <v>0</v>
      </c>
      <c r="M838" t="n">
        <v>0</v>
      </c>
      <c r="N838" t="n">
        <v>0</v>
      </c>
      <c r="O838" t="n">
        <v>0</v>
      </c>
      <c r="P838" t="n">
        <v>0</v>
      </c>
      <c r="Q838" t="n">
        <v>0</v>
      </c>
      <c r="R838" s="2" t="inlineStr"/>
    </row>
    <row r="839" ht="15" customHeight="1">
      <c r="A839" t="inlineStr">
        <is>
          <t>A 72305-2018</t>
        </is>
      </c>
      <c r="B839" s="1" t="n">
        <v>43455</v>
      </c>
      <c r="C839" s="1" t="n">
        <v>45344</v>
      </c>
      <c r="D839" t="inlineStr">
        <is>
          <t>GÄVLEBORGS LÄN</t>
        </is>
      </c>
      <c r="E839" t="inlineStr">
        <is>
          <t>NORDANSTIG</t>
        </is>
      </c>
      <c r="G839" t="n">
        <v>10.4</v>
      </c>
      <c r="H839" t="n">
        <v>0</v>
      </c>
      <c r="I839" t="n">
        <v>0</v>
      </c>
      <c r="J839" t="n">
        <v>0</v>
      </c>
      <c r="K839" t="n">
        <v>0</v>
      </c>
      <c r="L839" t="n">
        <v>0</v>
      </c>
      <c r="M839" t="n">
        <v>0</v>
      </c>
      <c r="N839" t="n">
        <v>0</v>
      </c>
      <c r="O839" t="n">
        <v>0</v>
      </c>
      <c r="P839" t="n">
        <v>0</v>
      </c>
      <c r="Q839" t="n">
        <v>0</v>
      </c>
      <c r="R839" s="2" t="inlineStr"/>
    </row>
    <row r="840" ht="15" customHeight="1">
      <c r="A840" t="inlineStr">
        <is>
          <t>A 72462-2018</t>
        </is>
      </c>
      <c r="B840" s="1" t="n">
        <v>43461</v>
      </c>
      <c r="C840" s="1" t="n">
        <v>45344</v>
      </c>
      <c r="D840" t="inlineStr">
        <is>
          <t>GÄVLEBORGS LÄN</t>
        </is>
      </c>
      <c r="E840" t="inlineStr">
        <is>
          <t>SÖDERHAMN</t>
        </is>
      </c>
      <c r="F840" t="inlineStr">
        <is>
          <t>Bergvik skog väst AB</t>
        </is>
      </c>
      <c r="G840" t="n">
        <v>4.6</v>
      </c>
      <c r="H840" t="n">
        <v>0</v>
      </c>
      <c r="I840" t="n">
        <v>0</v>
      </c>
      <c r="J840" t="n">
        <v>0</v>
      </c>
      <c r="K840" t="n">
        <v>0</v>
      </c>
      <c r="L840" t="n">
        <v>0</v>
      </c>
      <c r="M840" t="n">
        <v>0</v>
      </c>
      <c r="N840" t="n">
        <v>0</v>
      </c>
      <c r="O840" t="n">
        <v>0</v>
      </c>
      <c r="P840" t="n">
        <v>0</v>
      </c>
      <c r="Q840" t="n">
        <v>0</v>
      </c>
      <c r="R840" s="2" t="inlineStr"/>
    </row>
    <row r="841" ht="15" customHeight="1">
      <c r="A841" t="inlineStr">
        <is>
          <t>A 1276-2019</t>
        </is>
      </c>
      <c r="B841" s="1" t="n">
        <v>43461</v>
      </c>
      <c r="C841" s="1" t="n">
        <v>45344</v>
      </c>
      <c r="D841" t="inlineStr">
        <is>
          <t>GÄVLEBORGS LÄN</t>
        </is>
      </c>
      <c r="E841" t="inlineStr">
        <is>
          <t>HUDIKSVALL</t>
        </is>
      </c>
      <c r="G841" t="n">
        <v>1.8</v>
      </c>
      <c r="H841" t="n">
        <v>0</v>
      </c>
      <c r="I841" t="n">
        <v>0</v>
      </c>
      <c r="J841" t="n">
        <v>0</v>
      </c>
      <c r="K841" t="n">
        <v>0</v>
      </c>
      <c r="L841" t="n">
        <v>0</v>
      </c>
      <c r="M841" t="n">
        <v>0</v>
      </c>
      <c r="N841" t="n">
        <v>0</v>
      </c>
      <c r="O841" t="n">
        <v>0</v>
      </c>
      <c r="P841" t="n">
        <v>0</v>
      </c>
      <c r="Q841" t="n">
        <v>0</v>
      </c>
      <c r="R841" s="2" t="inlineStr"/>
    </row>
    <row r="842" ht="15" customHeight="1">
      <c r="A842" t="inlineStr">
        <is>
          <t>A 72447-2018</t>
        </is>
      </c>
      <c r="B842" s="1" t="n">
        <v>43461</v>
      </c>
      <c r="C842" s="1" t="n">
        <v>45344</v>
      </c>
      <c r="D842" t="inlineStr">
        <is>
          <t>GÄVLEBORGS LÄN</t>
        </is>
      </c>
      <c r="E842" t="inlineStr">
        <is>
          <t>SÖDERHAMN</t>
        </is>
      </c>
      <c r="G842" t="n">
        <v>3.6</v>
      </c>
      <c r="H842" t="n">
        <v>0</v>
      </c>
      <c r="I842" t="n">
        <v>0</v>
      </c>
      <c r="J842" t="n">
        <v>0</v>
      </c>
      <c r="K842" t="n">
        <v>0</v>
      </c>
      <c r="L842" t="n">
        <v>0</v>
      </c>
      <c r="M842" t="n">
        <v>0</v>
      </c>
      <c r="N842" t="n">
        <v>0</v>
      </c>
      <c r="O842" t="n">
        <v>0</v>
      </c>
      <c r="P842" t="n">
        <v>0</v>
      </c>
      <c r="Q842" t="n">
        <v>0</v>
      </c>
      <c r="R842" s="2" t="inlineStr"/>
    </row>
    <row r="843" ht="15" customHeight="1">
      <c r="A843" t="inlineStr">
        <is>
          <t>A 72461-2018</t>
        </is>
      </c>
      <c r="B843" s="1" t="n">
        <v>43461</v>
      </c>
      <c r="C843" s="1" t="n">
        <v>45344</v>
      </c>
      <c r="D843" t="inlineStr">
        <is>
          <t>GÄVLEBORGS LÄN</t>
        </is>
      </c>
      <c r="E843" t="inlineStr">
        <is>
          <t>NORDANSTIG</t>
        </is>
      </c>
      <c r="G843" t="n">
        <v>0.7</v>
      </c>
      <c r="H843" t="n">
        <v>0</v>
      </c>
      <c r="I843" t="n">
        <v>0</v>
      </c>
      <c r="J843" t="n">
        <v>0</v>
      </c>
      <c r="K843" t="n">
        <v>0</v>
      </c>
      <c r="L843" t="n">
        <v>0</v>
      </c>
      <c r="M843" t="n">
        <v>0</v>
      </c>
      <c r="N843" t="n">
        <v>0</v>
      </c>
      <c r="O843" t="n">
        <v>0</v>
      </c>
      <c r="P843" t="n">
        <v>0</v>
      </c>
      <c r="Q843" t="n">
        <v>0</v>
      </c>
      <c r="R843" s="2" t="inlineStr"/>
    </row>
    <row r="844" ht="15" customHeight="1">
      <c r="A844" t="inlineStr">
        <is>
          <t>A 72589-2018</t>
        </is>
      </c>
      <c r="B844" s="1" t="n">
        <v>43462</v>
      </c>
      <c r="C844" s="1" t="n">
        <v>45344</v>
      </c>
      <c r="D844" t="inlineStr">
        <is>
          <t>GÄVLEBORGS LÄN</t>
        </is>
      </c>
      <c r="E844" t="inlineStr">
        <is>
          <t>OVANÅKER</t>
        </is>
      </c>
      <c r="F844" t="inlineStr">
        <is>
          <t>Bergvik skog väst AB</t>
        </is>
      </c>
      <c r="G844" t="n">
        <v>0.9</v>
      </c>
      <c r="H844" t="n">
        <v>0</v>
      </c>
      <c r="I844" t="n">
        <v>0</v>
      </c>
      <c r="J844" t="n">
        <v>0</v>
      </c>
      <c r="K844" t="n">
        <v>0</v>
      </c>
      <c r="L844" t="n">
        <v>0</v>
      </c>
      <c r="M844" t="n">
        <v>0</v>
      </c>
      <c r="N844" t="n">
        <v>0</v>
      </c>
      <c r="O844" t="n">
        <v>0</v>
      </c>
      <c r="P844" t="n">
        <v>0</v>
      </c>
      <c r="Q844" t="n">
        <v>0</v>
      </c>
      <c r="R844" s="2" t="inlineStr"/>
    </row>
    <row r="845" ht="15" customHeight="1">
      <c r="A845" t="inlineStr">
        <is>
          <t>A 72553-2018</t>
        </is>
      </c>
      <c r="B845" s="1" t="n">
        <v>43462</v>
      </c>
      <c r="C845" s="1" t="n">
        <v>45344</v>
      </c>
      <c r="D845" t="inlineStr">
        <is>
          <t>GÄVLEBORGS LÄN</t>
        </is>
      </c>
      <c r="E845" t="inlineStr">
        <is>
          <t>HUDIKSVALL</t>
        </is>
      </c>
      <c r="G845" t="n">
        <v>2.1</v>
      </c>
      <c r="H845" t="n">
        <v>0</v>
      </c>
      <c r="I845" t="n">
        <v>0</v>
      </c>
      <c r="J845" t="n">
        <v>0</v>
      </c>
      <c r="K845" t="n">
        <v>0</v>
      </c>
      <c r="L845" t="n">
        <v>0</v>
      </c>
      <c r="M845" t="n">
        <v>0</v>
      </c>
      <c r="N845" t="n">
        <v>0</v>
      </c>
      <c r="O845" t="n">
        <v>0</v>
      </c>
      <c r="P845" t="n">
        <v>0</v>
      </c>
      <c r="Q845" t="n">
        <v>0</v>
      </c>
      <c r="R845" s="2" t="inlineStr"/>
    </row>
    <row r="846" ht="15" customHeight="1">
      <c r="A846" t="inlineStr">
        <is>
          <t>A 72583-2018</t>
        </is>
      </c>
      <c r="B846" s="1" t="n">
        <v>43462</v>
      </c>
      <c r="C846" s="1" t="n">
        <v>45344</v>
      </c>
      <c r="D846" t="inlineStr">
        <is>
          <t>GÄVLEBORGS LÄN</t>
        </is>
      </c>
      <c r="E846" t="inlineStr">
        <is>
          <t>OVANÅKER</t>
        </is>
      </c>
      <c r="F846" t="inlineStr">
        <is>
          <t>Bergvik skog väst AB</t>
        </is>
      </c>
      <c r="G846" t="n">
        <v>2.3</v>
      </c>
      <c r="H846" t="n">
        <v>0</v>
      </c>
      <c r="I846" t="n">
        <v>0</v>
      </c>
      <c r="J846" t="n">
        <v>0</v>
      </c>
      <c r="K846" t="n">
        <v>0</v>
      </c>
      <c r="L846" t="n">
        <v>0</v>
      </c>
      <c r="M846" t="n">
        <v>0</v>
      </c>
      <c r="N846" t="n">
        <v>0</v>
      </c>
      <c r="O846" t="n">
        <v>0</v>
      </c>
      <c r="P846" t="n">
        <v>0</v>
      </c>
      <c r="Q846" t="n">
        <v>0</v>
      </c>
      <c r="R846" s="2" t="inlineStr"/>
    </row>
    <row r="847" ht="15" customHeight="1">
      <c r="A847" t="inlineStr">
        <is>
          <t>A 72557-2018</t>
        </is>
      </c>
      <c r="B847" s="1" t="n">
        <v>43462</v>
      </c>
      <c r="C847" s="1" t="n">
        <v>45344</v>
      </c>
      <c r="D847" t="inlineStr">
        <is>
          <t>GÄVLEBORGS LÄN</t>
        </is>
      </c>
      <c r="E847" t="inlineStr">
        <is>
          <t>HUDIKSVALL</t>
        </is>
      </c>
      <c r="G847" t="n">
        <v>0.4</v>
      </c>
      <c r="H847" t="n">
        <v>0</v>
      </c>
      <c r="I847" t="n">
        <v>0</v>
      </c>
      <c r="J847" t="n">
        <v>0</v>
      </c>
      <c r="K847" t="n">
        <v>0</v>
      </c>
      <c r="L847" t="n">
        <v>0</v>
      </c>
      <c r="M847" t="n">
        <v>0</v>
      </c>
      <c r="N847" t="n">
        <v>0</v>
      </c>
      <c r="O847" t="n">
        <v>0</v>
      </c>
      <c r="P847" t="n">
        <v>0</v>
      </c>
      <c r="Q847" t="n">
        <v>0</v>
      </c>
      <c r="R847" s="2" t="inlineStr"/>
    </row>
    <row r="848" ht="15" customHeight="1">
      <c r="A848" t="inlineStr">
        <is>
          <t>A 74-2019</t>
        </is>
      </c>
      <c r="B848" s="1" t="n">
        <v>43467</v>
      </c>
      <c r="C848" s="1" t="n">
        <v>45344</v>
      </c>
      <c r="D848" t="inlineStr">
        <is>
          <t>GÄVLEBORGS LÄN</t>
        </is>
      </c>
      <c r="E848" t="inlineStr">
        <is>
          <t>OVANÅKER</t>
        </is>
      </c>
      <c r="F848" t="inlineStr">
        <is>
          <t>Bergvik skog väst AB</t>
        </is>
      </c>
      <c r="G848" t="n">
        <v>4.5</v>
      </c>
      <c r="H848" t="n">
        <v>0</v>
      </c>
      <c r="I848" t="n">
        <v>0</v>
      </c>
      <c r="J848" t="n">
        <v>0</v>
      </c>
      <c r="K848" t="n">
        <v>0</v>
      </c>
      <c r="L848" t="n">
        <v>0</v>
      </c>
      <c r="M848" t="n">
        <v>0</v>
      </c>
      <c r="N848" t="n">
        <v>0</v>
      </c>
      <c r="O848" t="n">
        <v>0</v>
      </c>
      <c r="P848" t="n">
        <v>0</v>
      </c>
      <c r="Q848" t="n">
        <v>0</v>
      </c>
      <c r="R848" s="2" t="inlineStr"/>
    </row>
    <row r="849" ht="15" customHeight="1">
      <c r="A849" t="inlineStr">
        <is>
          <t>A 170-2019</t>
        </is>
      </c>
      <c r="B849" s="1" t="n">
        <v>43467</v>
      </c>
      <c r="C849" s="1" t="n">
        <v>45344</v>
      </c>
      <c r="D849" t="inlineStr">
        <is>
          <t>GÄVLEBORGS LÄN</t>
        </is>
      </c>
      <c r="E849" t="inlineStr">
        <is>
          <t>HUDIKSVALL</t>
        </is>
      </c>
      <c r="F849" t="inlineStr">
        <is>
          <t>Holmen skog AB</t>
        </is>
      </c>
      <c r="G849" t="n">
        <v>0.9</v>
      </c>
      <c r="H849" t="n">
        <v>0</v>
      </c>
      <c r="I849" t="n">
        <v>0</v>
      </c>
      <c r="J849" t="n">
        <v>0</v>
      </c>
      <c r="K849" t="n">
        <v>0</v>
      </c>
      <c r="L849" t="n">
        <v>0</v>
      </c>
      <c r="M849" t="n">
        <v>0</v>
      </c>
      <c r="N849" t="n">
        <v>0</v>
      </c>
      <c r="O849" t="n">
        <v>0</v>
      </c>
      <c r="P849" t="n">
        <v>0</v>
      </c>
      <c r="Q849" t="n">
        <v>0</v>
      </c>
      <c r="R849" s="2" t="inlineStr"/>
    </row>
    <row r="850" ht="15" customHeight="1">
      <c r="A850" t="inlineStr">
        <is>
          <t>A 246-2019</t>
        </is>
      </c>
      <c r="B850" s="1" t="n">
        <v>43467</v>
      </c>
      <c r="C850" s="1" t="n">
        <v>45344</v>
      </c>
      <c r="D850" t="inlineStr">
        <is>
          <t>GÄVLEBORGS LÄN</t>
        </is>
      </c>
      <c r="E850" t="inlineStr">
        <is>
          <t>NORDANSTIG</t>
        </is>
      </c>
      <c r="G850" t="n">
        <v>7.5</v>
      </c>
      <c r="H850" t="n">
        <v>0</v>
      </c>
      <c r="I850" t="n">
        <v>0</v>
      </c>
      <c r="J850" t="n">
        <v>0</v>
      </c>
      <c r="K850" t="n">
        <v>0</v>
      </c>
      <c r="L850" t="n">
        <v>0</v>
      </c>
      <c r="M850" t="n">
        <v>0</v>
      </c>
      <c r="N850" t="n">
        <v>0</v>
      </c>
      <c r="O850" t="n">
        <v>0</v>
      </c>
      <c r="P850" t="n">
        <v>0</v>
      </c>
      <c r="Q850" t="n">
        <v>0</v>
      </c>
      <c r="R850" s="2" t="inlineStr"/>
    </row>
    <row r="851" ht="15" customHeight="1">
      <c r="A851" t="inlineStr">
        <is>
          <t>A 239-2019</t>
        </is>
      </c>
      <c r="B851" s="1" t="n">
        <v>43467</v>
      </c>
      <c r="C851" s="1" t="n">
        <v>45344</v>
      </c>
      <c r="D851" t="inlineStr">
        <is>
          <t>GÄVLEBORGS LÄN</t>
        </is>
      </c>
      <c r="E851" t="inlineStr">
        <is>
          <t>NORDANSTIG</t>
        </is>
      </c>
      <c r="G851" t="n">
        <v>10.7</v>
      </c>
      <c r="H851" t="n">
        <v>0</v>
      </c>
      <c r="I851" t="n">
        <v>0</v>
      </c>
      <c r="J851" t="n">
        <v>0</v>
      </c>
      <c r="K851" t="n">
        <v>0</v>
      </c>
      <c r="L851" t="n">
        <v>0</v>
      </c>
      <c r="M851" t="n">
        <v>0</v>
      </c>
      <c r="N851" t="n">
        <v>0</v>
      </c>
      <c r="O851" t="n">
        <v>0</v>
      </c>
      <c r="P851" t="n">
        <v>0</v>
      </c>
      <c r="Q851" t="n">
        <v>0</v>
      </c>
      <c r="R851" s="2" t="inlineStr"/>
    </row>
    <row r="852" ht="15" customHeight="1">
      <c r="A852" t="inlineStr">
        <is>
          <t>A 244-2019</t>
        </is>
      </c>
      <c r="B852" s="1" t="n">
        <v>43467</v>
      </c>
      <c r="C852" s="1" t="n">
        <v>45344</v>
      </c>
      <c r="D852" t="inlineStr">
        <is>
          <t>GÄVLEBORGS LÄN</t>
        </is>
      </c>
      <c r="E852" t="inlineStr">
        <is>
          <t>NORDANSTIG</t>
        </is>
      </c>
      <c r="G852" t="n">
        <v>0.8</v>
      </c>
      <c r="H852" t="n">
        <v>0</v>
      </c>
      <c r="I852" t="n">
        <v>0</v>
      </c>
      <c r="J852" t="n">
        <v>0</v>
      </c>
      <c r="K852" t="n">
        <v>0</v>
      </c>
      <c r="L852" t="n">
        <v>0</v>
      </c>
      <c r="M852" t="n">
        <v>0</v>
      </c>
      <c r="N852" t="n">
        <v>0</v>
      </c>
      <c r="O852" t="n">
        <v>0</v>
      </c>
      <c r="P852" t="n">
        <v>0</v>
      </c>
      <c r="Q852" t="n">
        <v>0</v>
      </c>
      <c r="R852" s="2" t="inlineStr"/>
    </row>
    <row r="853" ht="15" customHeight="1">
      <c r="A853" t="inlineStr">
        <is>
          <t>A 173-2019</t>
        </is>
      </c>
      <c r="B853" s="1" t="n">
        <v>43467</v>
      </c>
      <c r="C853" s="1" t="n">
        <v>45344</v>
      </c>
      <c r="D853" t="inlineStr">
        <is>
          <t>GÄVLEBORGS LÄN</t>
        </is>
      </c>
      <c r="E853" t="inlineStr">
        <is>
          <t>HUDIKSVALL</t>
        </is>
      </c>
      <c r="F853" t="inlineStr">
        <is>
          <t>Holmen skog AB</t>
        </is>
      </c>
      <c r="G853" t="n">
        <v>4.2</v>
      </c>
      <c r="H853" t="n">
        <v>0</v>
      </c>
      <c r="I853" t="n">
        <v>0</v>
      </c>
      <c r="J853" t="n">
        <v>0</v>
      </c>
      <c r="K853" t="n">
        <v>0</v>
      </c>
      <c r="L853" t="n">
        <v>0</v>
      </c>
      <c r="M853" t="n">
        <v>0</v>
      </c>
      <c r="N853" t="n">
        <v>0</v>
      </c>
      <c r="O853" t="n">
        <v>0</v>
      </c>
      <c r="P853" t="n">
        <v>0</v>
      </c>
      <c r="Q853" t="n">
        <v>0</v>
      </c>
      <c r="R853" s="2" t="inlineStr"/>
    </row>
    <row r="854" ht="15" customHeight="1">
      <c r="A854" t="inlineStr">
        <is>
          <t>A 146-2019</t>
        </is>
      </c>
      <c r="B854" s="1" t="n">
        <v>43467</v>
      </c>
      <c r="C854" s="1" t="n">
        <v>45344</v>
      </c>
      <c r="D854" t="inlineStr">
        <is>
          <t>GÄVLEBORGS LÄN</t>
        </is>
      </c>
      <c r="E854" t="inlineStr">
        <is>
          <t>BOLLNÄS</t>
        </is>
      </c>
      <c r="G854" t="n">
        <v>1.8</v>
      </c>
      <c r="H854" t="n">
        <v>0</v>
      </c>
      <c r="I854" t="n">
        <v>0</v>
      </c>
      <c r="J854" t="n">
        <v>0</v>
      </c>
      <c r="K854" t="n">
        <v>0</v>
      </c>
      <c r="L854" t="n">
        <v>0</v>
      </c>
      <c r="M854" t="n">
        <v>0</v>
      </c>
      <c r="N854" t="n">
        <v>0</v>
      </c>
      <c r="O854" t="n">
        <v>0</v>
      </c>
      <c r="P854" t="n">
        <v>0</v>
      </c>
      <c r="Q854" t="n">
        <v>0</v>
      </c>
      <c r="R854" s="2" t="inlineStr"/>
    </row>
    <row r="855" ht="15" customHeight="1">
      <c r="A855" t="inlineStr">
        <is>
          <t>A 241-2019</t>
        </is>
      </c>
      <c r="B855" s="1" t="n">
        <v>43467</v>
      </c>
      <c r="C855" s="1" t="n">
        <v>45344</v>
      </c>
      <c r="D855" t="inlineStr">
        <is>
          <t>GÄVLEBORGS LÄN</t>
        </is>
      </c>
      <c r="E855" t="inlineStr">
        <is>
          <t>NORDANSTIG</t>
        </is>
      </c>
      <c r="G855" t="n">
        <v>8.6</v>
      </c>
      <c r="H855" t="n">
        <v>0</v>
      </c>
      <c r="I855" t="n">
        <v>0</v>
      </c>
      <c r="J855" t="n">
        <v>0</v>
      </c>
      <c r="K855" t="n">
        <v>0</v>
      </c>
      <c r="L855" t="n">
        <v>0</v>
      </c>
      <c r="M855" t="n">
        <v>0</v>
      </c>
      <c r="N855" t="n">
        <v>0</v>
      </c>
      <c r="O855" t="n">
        <v>0</v>
      </c>
      <c r="P855" t="n">
        <v>0</v>
      </c>
      <c r="Q855" t="n">
        <v>0</v>
      </c>
      <c r="R855" s="2" t="inlineStr"/>
    </row>
    <row r="856" ht="15" customHeight="1">
      <c r="A856" t="inlineStr">
        <is>
          <t>A 245-2019</t>
        </is>
      </c>
      <c r="B856" s="1" t="n">
        <v>43467</v>
      </c>
      <c r="C856" s="1" t="n">
        <v>45344</v>
      </c>
      <c r="D856" t="inlineStr">
        <is>
          <t>GÄVLEBORGS LÄN</t>
        </is>
      </c>
      <c r="E856" t="inlineStr">
        <is>
          <t>NORDANSTIG</t>
        </is>
      </c>
      <c r="G856" t="n">
        <v>1.7</v>
      </c>
      <c r="H856" t="n">
        <v>0</v>
      </c>
      <c r="I856" t="n">
        <v>0</v>
      </c>
      <c r="J856" t="n">
        <v>0</v>
      </c>
      <c r="K856" t="n">
        <v>0</v>
      </c>
      <c r="L856" t="n">
        <v>0</v>
      </c>
      <c r="M856" t="n">
        <v>0</v>
      </c>
      <c r="N856" t="n">
        <v>0</v>
      </c>
      <c r="O856" t="n">
        <v>0</v>
      </c>
      <c r="P856" t="n">
        <v>0</v>
      </c>
      <c r="Q856" t="n">
        <v>0</v>
      </c>
      <c r="R856" s="2" t="inlineStr"/>
    </row>
    <row r="857" ht="15" customHeight="1">
      <c r="A857" t="inlineStr">
        <is>
          <t>A 31-2019</t>
        </is>
      </c>
      <c r="B857" s="1" t="n">
        <v>43467</v>
      </c>
      <c r="C857" s="1" t="n">
        <v>45344</v>
      </c>
      <c r="D857" t="inlineStr">
        <is>
          <t>GÄVLEBORGS LÄN</t>
        </is>
      </c>
      <c r="E857" t="inlineStr">
        <is>
          <t>BOLLNÄS</t>
        </is>
      </c>
      <c r="G857" t="n">
        <v>1</v>
      </c>
      <c r="H857" t="n">
        <v>0</v>
      </c>
      <c r="I857" t="n">
        <v>0</v>
      </c>
      <c r="J857" t="n">
        <v>0</v>
      </c>
      <c r="K857" t="n">
        <v>0</v>
      </c>
      <c r="L857" t="n">
        <v>0</v>
      </c>
      <c r="M857" t="n">
        <v>0</v>
      </c>
      <c r="N857" t="n">
        <v>0</v>
      </c>
      <c r="O857" t="n">
        <v>0</v>
      </c>
      <c r="P857" t="n">
        <v>0</v>
      </c>
      <c r="Q857" t="n">
        <v>0</v>
      </c>
      <c r="R857" s="2" t="inlineStr"/>
    </row>
    <row r="858" ht="15" customHeight="1">
      <c r="A858" t="inlineStr">
        <is>
          <t>A 298-2019</t>
        </is>
      </c>
      <c r="B858" s="1" t="n">
        <v>43468</v>
      </c>
      <c r="C858" s="1" t="n">
        <v>45344</v>
      </c>
      <c r="D858" t="inlineStr">
        <is>
          <t>GÄVLEBORGS LÄN</t>
        </is>
      </c>
      <c r="E858" t="inlineStr">
        <is>
          <t>NORDANSTIG</t>
        </is>
      </c>
      <c r="G858" t="n">
        <v>3.4</v>
      </c>
      <c r="H858" t="n">
        <v>0</v>
      </c>
      <c r="I858" t="n">
        <v>0</v>
      </c>
      <c r="J858" t="n">
        <v>0</v>
      </c>
      <c r="K858" t="n">
        <v>0</v>
      </c>
      <c r="L858" t="n">
        <v>0</v>
      </c>
      <c r="M858" t="n">
        <v>0</v>
      </c>
      <c r="N858" t="n">
        <v>0</v>
      </c>
      <c r="O858" t="n">
        <v>0</v>
      </c>
      <c r="P858" t="n">
        <v>0</v>
      </c>
      <c r="Q858" t="n">
        <v>0</v>
      </c>
      <c r="R858" s="2" t="inlineStr"/>
    </row>
    <row r="859" ht="15" customHeight="1">
      <c r="A859" t="inlineStr">
        <is>
          <t>A 386-2019</t>
        </is>
      </c>
      <c r="B859" s="1" t="n">
        <v>43468</v>
      </c>
      <c r="C859" s="1" t="n">
        <v>45344</v>
      </c>
      <c r="D859" t="inlineStr">
        <is>
          <t>GÄVLEBORGS LÄN</t>
        </is>
      </c>
      <c r="E859" t="inlineStr">
        <is>
          <t>HUDIKSVALL</t>
        </is>
      </c>
      <c r="G859" t="n">
        <v>5.8</v>
      </c>
      <c r="H859" t="n">
        <v>0</v>
      </c>
      <c r="I859" t="n">
        <v>0</v>
      </c>
      <c r="J859" t="n">
        <v>0</v>
      </c>
      <c r="K859" t="n">
        <v>0</v>
      </c>
      <c r="L859" t="n">
        <v>0</v>
      </c>
      <c r="M859" t="n">
        <v>0</v>
      </c>
      <c r="N859" t="n">
        <v>0</v>
      </c>
      <c r="O859" t="n">
        <v>0</v>
      </c>
      <c r="P859" t="n">
        <v>0</v>
      </c>
      <c r="Q859" t="n">
        <v>0</v>
      </c>
      <c r="R859" s="2" t="inlineStr"/>
    </row>
    <row r="860" ht="15" customHeight="1">
      <c r="A860" t="inlineStr">
        <is>
          <t>A 477-2019</t>
        </is>
      </c>
      <c r="B860" s="1" t="n">
        <v>43468</v>
      </c>
      <c r="C860" s="1" t="n">
        <v>45344</v>
      </c>
      <c r="D860" t="inlineStr">
        <is>
          <t>GÄVLEBORGS LÄN</t>
        </is>
      </c>
      <c r="E860" t="inlineStr">
        <is>
          <t>NORDANSTIG</t>
        </is>
      </c>
      <c r="G860" t="n">
        <v>1</v>
      </c>
      <c r="H860" t="n">
        <v>0</v>
      </c>
      <c r="I860" t="n">
        <v>0</v>
      </c>
      <c r="J860" t="n">
        <v>0</v>
      </c>
      <c r="K860" t="n">
        <v>0</v>
      </c>
      <c r="L860" t="n">
        <v>0</v>
      </c>
      <c r="M860" t="n">
        <v>0</v>
      </c>
      <c r="N860" t="n">
        <v>0</v>
      </c>
      <c r="O860" t="n">
        <v>0</v>
      </c>
      <c r="P860" t="n">
        <v>0</v>
      </c>
      <c r="Q860" t="n">
        <v>0</v>
      </c>
      <c r="R860" s="2" t="inlineStr"/>
    </row>
    <row r="861" ht="15" customHeight="1">
      <c r="A861" t="inlineStr">
        <is>
          <t>A 422-2019</t>
        </is>
      </c>
      <c r="B861" s="1" t="n">
        <v>43468</v>
      </c>
      <c r="C861" s="1" t="n">
        <v>45344</v>
      </c>
      <c r="D861" t="inlineStr">
        <is>
          <t>GÄVLEBORGS LÄN</t>
        </is>
      </c>
      <c r="E861" t="inlineStr">
        <is>
          <t>LJUSDAL</t>
        </is>
      </c>
      <c r="G861" t="n">
        <v>1</v>
      </c>
      <c r="H861" t="n">
        <v>0</v>
      </c>
      <c r="I861" t="n">
        <v>0</v>
      </c>
      <c r="J861" t="n">
        <v>0</v>
      </c>
      <c r="K861" t="n">
        <v>0</v>
      </c>
      <c r="L861" t="n">
        <v>0</v>
      </c>
      <c r="M861" t="n">
        <v>0</v>
      </c>
      <c r="N861" t="n">
        <v>0</v>
      </c>
      <c r="O861" t="n">
        <v>0</v>
      </c>
      <c r="P861" t="n">
        <v>0</v>
      </c>
      <c r="Q861" t="n">
        <v>0</v>
      </c>
      <c r="R861" s="2" t="inlineStr"/>
    </row>
    <row r="862" ht="15" customHeight="1">
      <c r="A862" t="inlineStr">
        <is>
          <t>A 475-2019</t>
        </is>
      </c>
      <c r="B862" s="1" t="n">
        <v>43468</v>
      </c>
      <c r="C862" s="1" t="n">
        <v>45344</v>
      </c>
      <c r="D862" t="inlineStr">
        <is>
          <t>GÄVLEBORGS LÄN</t>
        </is>
      </c>
      <c r="E862" t="inlineStr">
        <is>
          <t>NORDANSTIG</t>
        </is>
      </c>
      <c r="G862" t="n">
        <v>3.1</v>
      </c>
      <c r="H862" t="n">
        <v>0</v>
      </c>
      <c r="I862" t="n">
        <v>0</v>
      </c>
      <c r="J862" t="n">
        <v>0</v>
      </c>
      <c r="K862" t="n">
        <v>0</v>
      </c>
      <c r="L862" t="n">
        <v>0</v>
      </c>
      <c r="M862" t="n">
        <v>0</v>
      </c>
      <c r="N862" t="n">
        <v>0</v>
      </c>
      <c r="O862" t="n">
        <v>0</v>
      </c>
      <c r="P862" t="n">
        <v>0</v>
      </c>
      <c r="Q862" t="n">
        <v>0</v>
      </c>
      <c r="R862" s="2" t="inlineStr"/>
    </row>
    <row r="863" ht="15" customHeight="1">
      <c r="A863" t="inlineStr">
        <is>
          <t>A 387-2019</t>
        </is>
      </c>
      <c r="B863" s="1" t="n">
        <v>43468</v>
      </c>
      <c r="C863" s="1" t="n">
        <v>45344</v>
      </c>
      <c r="D863" t="inlineStr">
        <is>
          <t>GÄVLEBORGS LÄN</t>
        </is>
      </c>
      <c r="E863" t="inlineStr">
        <is>
          <t>HUDIKSVALL</t>
        </is>
      </c>
      <c r="G863" t="n">
        <v>2.2</v>
      </c>
      <c r="H863" t="n">
        <v>0</v>
      </c>
      <c r="I863" t="n">
        <v>0</v>
      </c>
      <c r="J863" t="n">
        <v>0</v>
      </c>
      <c r="K863" t="n">
        <v>0</v>
      </c>
      <c r="L863" t="n">
        <v>0</v>
      </c>
      <c r="M863" t="n">
        <v>0</v>
      </c>
      <c r="N863" t="n">
        <v>0</v>
      </c>
      <c r="O863" t="n">
        <v>0</v>
      </c>
      <c r="P863" t="n">
        <v>0</v>
      </c>
      <c r="Q863" t="n">
        <v>0</v>
      </c>
      <c r="R863" s="2" t="inlineStr"/>
    </row>
    <row r="864" ht="15" customHeight="1">
      <c r="A864" t="inlineStr">
        <is>
          <t>A 314-2019</t>
        </is>
      </c>
      <c r="B864" s="1" t="n">
        <v>43468</v>
      </c>
      <c r="C864" s="1" t="n">
        <v>45344</v>
      </c>
      <c r="D864" t="inlineStr">
        <is>
          <t>GÄVLEBORGS LÄN</t>
        </is>
      </c>
      <c r="E864" t="inlineStr">
        <is>
          <t>NORDANSTIG</t>
        </is>
      </c>
      <c r="G864" t="n">
        <v>1</v>
      </c>
      <c r="H864" t="n">
        <v>0</v>
      </c>
      <c r="I864" t="n">
        <v>0</v>
      </c>
      <c r="J864" t="n">
        <v>0</v>
      </c>
      <c r="K864" t="n">
        <v>0</v>
      </c>
      <c r="L864" t="n">
        <v>0</v>
      </c>
      <c r="M864" t="n">
        <v>0</v>
      </c>
      <c r="N864" t="n">
        <v>0</v>
      </c>
      <c r="O864" t="n">
        <v>0</v>
      </c>
      <c r="P864" t="n">
        <v>0</v>
      </c>
      <c r="Q864" t="n">
        <v>0</v>
      </c>
      <c r="R864" s="2" t="inlineStr"/>
    </row>
    <row r="865" ht="15" customHeight="1">
      <c r="A865" t="inlineStr">
        <is>
          <t>A 496-2019</t>
        </is>
      </c>
      <c r="B865" s="1" t="n">
        <v>43469</v>
      </c>
      <c r="C865" s="1" t="n">
        <v>45344</v>
      </c>
      <c r="D865" t="inlineStr">
        <is>
          <t>GÄVLEBORGS LÄN</t>
        </is>
      </c>
      <c r="E865" t="inlineStr">
        <is>
          <t>LJUSDAL</t>
        </is>
      </c>
      <c r="G865" t="n">
        <v>3.4</v>
      </c>
      <c r="H865" t="n">
        <v>0</v>
      </c>
      <c r="I865" t="n">
        <v>0</v>
      </c>
      <c r="J865" t="n">
        <v>0</v>
      </c>
      <c r="K865" t="n">
        <v>0</v>
      </c>
      <c r="L865" t="n">
        <v>0</v>
      </c>
      <c r="M865" t="n">
        <v>0</v>
      </c>
      <c r="N865" t="n">
        <v>0</v>
      </c>
      <c r="O865" t="n">
        <v>0</v>
      </c>
      <c r="P865" t="n">
        <v>0</v>
      </c>
      <c r="Q865" t="n">
        <v>0</v>
      </c>
      <c r="R865" s="2" t="inlineStr"/>
    </row>
    <row r="866" ht="15" customHeight="1">
      <c r="A866" t="inlineStr">
        <is>
          <t>A 816-2019</t>
        </is>
      </c>
      <c r="B866" s="1" t="n">
        <v>43472</v>
      </c>
      <c r="C866" s="1" t="n">
        <v>45344</v>
      </c>
      <c r="D866" t="inlineStr">
        <is>
          <t>GÄVLEBORGS LÄN</t>
        </is>
      </c>
      <c r="E866" t="inlineStr">
        <is>
          <t>SANDVIKEN</t>
        </is>
      </c>
      <c r="G866" t="n">
        <v>1.9</v>
      </c>
      <c r="H866" t="n">
        <v>0</v>
      </c>
      <c r="I866" t="n">
        <v>0</v>
      </c>
      <c r="J866" t="n">
        <v>0</v>
      </c>
      <c r="K866" t="n">
        <v>0</v>
      </c>
      <c r="L866" t="n">
        <v>0</v>
      </c>
      <c r="M866" t="n">
        <v>0</v>
      </c>
      <c r="N866" t="n">
        <v>0</v>
      </c>
      <c r="O866" t="n">
        <v>0</v>
      </c>
      <c r="P866" t="n">
        <v>0</v>
      </c>
      <c r="Q866" t="n">
        <v>0</v>
      </c>
      <c r="R866" s="2" t="inlineStr"/>
    </row>
    <row r="867" ht="15" customHeight="1">
      <c r="A867" t="inlineStr">
        <is>
          <t>A 867-2019</t>
        </is>
      </c>
      <c r="B867" s="1" t="n">
        <v>43472</v>
      </c>
      <c r="C867" s="1" t="n">
        <v>45344</v>
      </c>
      <c r="D867" t="inlineStr">
        <is>
          <t>GÄVLEBORGS LÄN</t>
        </is>
      </c>
      <c r="E867" t="inlineStr">
        <is>
          <t>HOFORS</t>
        </is>
      </c>
      <c r="G867" t="n">
        <v>7.2</v>
      </c>
      <c r="H867" t="n">
        <v>0</v>
      </c>
      <c r="I867" t="n">
        <v>0</v>
      </c>
      <c r="J867" t="n">
        <v>0</v>
      </c>
      <c r="K867" t="n">
        <v>0</v>
      </c>
      <c r="L867" t="n">
        <v>0</v>
      </c>
      <c r="M867" t="n">
        <v>0</v>
      </c>
      <c r="N867" t="n">
        <v>0</v>
      </c>
      <c r="O867" t="n">
        <v>0</v>
      </c>
      <c r="P867" t="n">
        <v>0</v>
      </c>
      <c r="Q867" t="n">
        <v>0</v>
      </c>
      <c r="R867" s="2" t="inlineStr"/>
    </row>
    <row r="868" ht="15" customHeight="1">
      <c r="A868" t="inlineStr">
        <is>
          <t>A 905-2019</t>
        </is>
      </c>
      <c r="B868" s="1" t="n">
        <v>43472</v>
      </c>
      <c r="C868" s="1" t="n">
        <v>45344</v>
      </c>
      <c r="D868" t="inlineStr">
        <is>
          <t>GÄVLEBORGS LÄN</t>
        </is>
      </c>
      <c r="E868" t="inlineStr">
        <is>
          <t>BOLLNÄS</t>
        </is>
      </c>
      <c r="G868" t="n">
        <v>5.8</v>
      </c>
      <c r="H868" t="n">
        <v>0</v>
      </c>
      <c r="I868" t="n">
        <v>0</v>
      </c>
      <c r="J868" t="n">
        <v>0</v>
      </c>
      <c r="K868" t="n">
        <v>0</v>
      </c>
      <c r="L868" t="n">
        <v>0</v>
      </c>
      <c r="M868" t="n">
        <v>0</v>
      </c>
      <c r="N868" t="n">
        <v>0</v>
      </c>
      <c r="O868" t="n">
        <v>0</v>
      </c>
      <c r="P868" t="n">
        <v>0</v>
      </c>
      <c r="Q868" t="n">
        <v>0</v>
      </c>
      <c r="R868" s="2" t="inlineStr"/>
    </row>
    <row r="869" ht="15" customHeight="1">
      <c r="A869" t="inlineStr">
        <is>
          <t>A 1048-2019</t>
        </is>
      </c>
      <c r="B869" s="1" t="n">
        <v>43472</v>
      </c>
      <c r="C869" s="1" t="n">
        <v>45344</v>
      </c>
      <c r="D869" t="inlineStr">
        <is>
          <t>GÄVLEBORGS LÄN</t>
        </is>
      </c>
      <c r="E869" t="inlineStr">
        <is>
          <t>BOLLNÄS</t>
        </is>
      </c>
      <c r="G869" t="n">
        <v>1.1</v>
      </c>
      <c r="H869" t="n">
        <v>0</v>
      </c>
      <c r="I869" t="n">
        <v>0</v>
      </c>
      <c r="J869" t="n">
        <v>0</v>
      </c>
      <c r="K869" t="n">
        <v>0</v>
      </c>
      <c r="L869" t="n">
        <v>0</v>
      </c>
      <c r="M869" t="n">
        <v>0</v>
      </c>
      <c r="N869" t="n">
        <v>0</v>
      </c>
      <c r="O869" t="n">
        <v>0</v>
      </c>
      <c r="P869" t="n">
        <v>0</v>
      </c>
      <c r="Q869" t="n">
        <v>0</v>
      </c>
      <c r="R869" s="2" t="inlineStr"/>
    </row>
    <row r="870" ht="15" customHeight="1">
      <c r="A870" t="inlineStr">
        <is>
          <t>A 869-2019</t>
        </is>
      </c>
      <c r="B870" s="1" t="n">
        <v>43472</v>
      </c>
      <c r="C870" s="1" t="n">
        <v>45344</v>
      </c>
      <c r="D870" t="inlineStr">
        <is>
          <t>GÄVLEBORGS LÄN</t>
        </is>
      </c>
      <c r="E870" t="inlineStr">
        <is>
          <t>LJUSDAL</t>
        </is>
      </c>
      <c r="F870" t="inlineStr">
        <is>
          <t>Bergvik skog väst AB</t>
        </is>
      </c>
      <c r="G870" t="n">
        <v>0.3</v>
      </c>
      <c r="H870" t="n">
        <v>0</v>
      </c>
      <c r="I870" t="n">
        <v>0</v>
      </c>
      <c r="J870" t="n">
        <v>0</v>
      </c>
      <c r="K870" t="n">
        <v>0</v>
      </c>
      <c r="L870" t="n">
        <v>0</v>
      </c>
      <c r="M870" t="n">
        <v>0</v>
      </c>
      <c r="N870" t="n">
        <v>0</v>
      </c>
      <c r="O870" t="n">
        <v>0</v>
      </c>
      <c r="P870" t="n">
        <v>0</v>
      </c>
      <c r="Q870" t="n">
        <v>0</v>
      </c>
      <c r="R870" s="2" t="inlineStr"/>
    </row>
    <row r="871" ht="15" customHeight="1">
      <c r="A871" t="inlineStr">
        <is>
          <t>A 832-2019</t>
        </is>
      </c>
      <c r="B871" s="1" t="n">
        <v>43472</v>
      </c>
      <c r="C871" s="1" t="n">
        <v>45344</v>
      </c>
      <c r="D871" t="inlineStr">
        <is>
          <t>GÄVLEBORGS LÄN</t>
        </is>
      </c>
      <c r="E871" t="inlineStr">
        <is>
          <t>SANDVIKEN</t>
        </is>
      </c>
      <c r="G871" t="n">
        <v>1</v>
      </c>
      <c r="H871" t="n">
        <v>0</v>
      </c>
      <c r="I871" t="n">
        <v>0</v>
      </c>
      <c r="J871" t="n">
        <v>0</v>
      </c>
      <c r="K871" t="n">
        <v>0</v>
      </c>
      <c r="L871" t="n">
        <v>0</v>
      </c>
      <c r="M871" t="n">
        <v>0</v>
      </c>
      <c r="N871" t="n">
        <v>0</v>
      </c>
      <c r="O871" t="n">
        <v>0</v>
      </c>
      <c r="P871" t="n">
        <v>0</v>
      </c>
      <c r="Q871" t="n">
        <v>0</v>
      </c>
      <c r="R871" s="2" t="inlineStr"/>
    </row>
    <row r="872" ht="15" customHeight="1">
      <c r="A872" t="inlineStr">
        <is>
          <t>A 874-2019</t>
        </is>
      </c>
      <c r="B872" s="1" t="n">
        <v>43472</v>
      </c>
      <c r="C872" s="1" t="n">
        <v>45344</v>
      </c>
      <c r="D872" t="inlineStr">
        <is>
          <t>GÄVLEBORGS LÄN</t>
        </is>
      </c>
      <c r="E872" t="inlineStr">
        <is>
          <t>LJUSDAL</t>
        </is>
      </c>
      <c r="F872" t="inlineStr">
        <is>
          <t>Bergvik skog väst AB</t>
        </is>
      </c>
      <c r="G872" t="n">
        <v>0.1</v>
      </c>
      <c r="H872" t="n">
        <v>0</v>
      </c>
      <c r="I872" t="n">
        <v>0</v>
      </c>
      <c r="J872" t="n">
        <v>0</v>
      </c>
      <c r="K872" t="n">
        <v>0</v>
      </c>
      <c r="L872" t="n">
        <v>0</v>
      </c>
      <c r="M872" t="n">
        <v>0</v>
      </c>
      <c r="N872" t="n">
        <v>0</v>
      </c>
      <c r="O872" t="n">
        <v>0</v>
      </c>
      <c r="P872" t="n">
        <v>0</v>
      </c>
      <c r="Q872" t="n">
        <v>0</v>
      </c>
      <c r="R872" s="2" t="inlineStr"/>
    </row>
    <row r="873" ht="15" customHeight="1">
      <c r="A873" t="inlineStr">
        <is>
          <t>A 810-2019</t>
        </is>
      </c>
      <c r="B873" s="1" t="n">
        <v>43472</v>
      </c>
      <c r="C873" s="1" t="n">
        <v>45344</v>
      </c>
      <c r="D873" t="inlineStr">
        <is>
          <t>GÄVLEBORGS LÄN</t>
        </is>
      </c>
      <c r="E873" t="inlineStr">
        <is>
          <t>HUDIKSVALL</t>
        </is>
      </c>
      <c r="F873" t="inlineStr">
        <is>
          <t>Sveaskog</t>
        </is>
      </c>
      <c r="G873" t="n">
        <v>2.3</v>
      </c>
      <c r="H873" t="n">
        <v>0</v>
      </c>
      <c r="I873" t="n">
        <v>0</v>
      </c>
      <c r="J873" t="n">
        <v>0</v>
      </c>
      <c r="K873" t="n">
        <v>0</v>
      </c>
      <c r="L873" t="n">
        <v>0</v>
      </c>
      <c r="M873" t="n">
        <v>0</v>
      </c>
      <c r="N873" t="n">
        <v>0</v>
      </c>
      <c r="O873" t="n">
        <v>0</v>
      </c>
      <c r="P873" t="n">
        <v>0</v>
      </c>
      <c r="Q873" t="n">
        <v>0</v>
      </c>
      <c r="R873" s="2" t="inlineStr"/>
    </row>
    <row r="874" ht="15" customHeight="1">
      <c r="A874" t="inlineStr">
        <is>
          <t>A 862-2019</t>
        </is>
      </c>
      <c r="B874" s="1" t="n">
        <v>43472</v>
      </c>
      <c r="C874" s="1" t="n">
        <v>45344</v>
      </c>
      <c r="D874" t="inlineStr">
        <is>
          <t>GÄVLEBORGS LÄN</t>
        </is>
      </c>
      <c r="E874" t="inlineStr">
        <is>
          <t>SANDVIKEN</t>
        </is>
      </c>
      <c r="G874" t="n">
        <v>1.6</v>
      </c>
      <c r="H874" t="n">
        <v>0</v>
      </c>
      <c r="I874" t="n">
        <v>0</v>
      </c>
      <c r="J874" t="n">
        <v>0</v>
      </c>
      <c r="K874" t="n">
        <v>0</v>
      </c>
      <c r="L874" t="n">
        <v>0</v>
      </c>
      <c r="M874" t="n">
        <v>0</v>
      </c>
      <c r="N874" t="n">
        <v>0</v>
      </c>
      <c r="O874" t="n">
        <v>0</v>
      </c>
      <c r="P874" t="n">
        <v>0</v>
      </c>
      <c r="Q874" t="n">
        <v>0</v>
      </c>
      <c r="R874" s="2" t="inlineStr"/>
    </row>
    <row r="875" ht="15" customHeight="1">
      <c r="A875" t="inlineStr">
        <is>
          <t>A 927-2019</t>
        </is>
      </c>
      <c r="B875" s="1" t="n">
        <v>43472</v>
      </c>
      <c r="C875" s="1" t="n">
        <v>45344</v>
      </c>
      <c r="D875" t="inlineStr">
        <is>
          <t>GÄVLEBORGS LÄN</t>
        </is>
      </c>
      <c r="E875" t="inlineStr">
        <is>
          <t>LJUSDAL</t>
        </is>
      </c>
      <c r="G875" t="n">
        <v>3.5</v>
      </c>
      <c r="H875" t="n">
        <v>0</v>
      </c>
      <c r="I875" t="n">
        <v>0</v>
      </c>
      <c r="J875" t="n">
        <v>0</v>
      </c>
      <c r="K875" t="n">
        <v>0</v>
      </c>
      <c r="L875" t="n">
        <v>0</v>
      </c>
      <c r="M875" t="n">
        <v>0</v>
      </c>
      <c r="N875" t="n">
        <v>0</v>
      </c>
      <c r="O875" t="n">
        <v>0</v>
      </c>
      <c r="P875" t="n">
        <v>0</v>
      </c>
      <c r="Q875" t="n">
        <v>0</v>
      </c>
      <c r="R875" s="2" t="inlineStr"/>
    </row>
    <row r="876" ht="15" customHeight="1">
      <c r="A876" t="inlineStr">
        <is>
          <t>A 787-2019</t>
        </is>
      </c>
      <c r="B876" s="1" t="n">
        <v>43472</v>
      </c>
      <c r="C876" s="1" t="n">
        <v>45344</v>
      </c>
      <c r="D876" t="inlineStr">
        <is>
          <t>GÄVLEBORGS LÄN</t>
        </is>
      </c>
      <c r="E876" t="inlineStr">
        <is>
          <t>BOLLNÄS</t>
        </is>
      </c>
      <c r="G876" t="n">
        <v>3.1</v>
      </c>
      <c r="H876" t="n">
        <v>0</v>
      </c>
      <c r="I876" t="n">
        <v>0</v>
      </c>
      <c r="J876" t="n">
        <v>0</v>
      </c>
      <c r="K876" t="n">
        <v>0</v>
      </c>
      <c r="L876" t="n">
        <v>0</v>
      </c>
      <c r="M876" t="n">
        <v>0</v>
      </c>
      <c r="N876" t="n">
        <v>0</v>
      </c>
      <c r="O876" t="n">
        <v>0</v>
      </c>
      <c r="P876" t="n">
        <v>0</v>
      </c>
      <c r="Q876" t="n">
        <v>0</v>
      </c>
      <c r="R876" s="2" t="inlineStr"/>
    </row>
    <row r="877" ht="15" customHeight="1">
      <c r="A877" t="inlineStr">
        <is>
          <t>A 1332-2019</t>
        </is>
      </c>
      <c r="B877" s="1" t="n">
        <v>43473</v>
      </c>
      <c r="C877" s="1" t="n">
        <v>45344</v>
      </c>
      <c r="D877" t="inlineStr">
        <is>
          <t>GÄVLEBORGS LÄN</t>
        </is>
      </c>
      <c r="E877" t="inlineStr">
        <is>
          <t>HUDIKSVALL</t>
        </is>
      </c>
      <c r="F877" t="inlineStr">
        <is>
          <t>Holmen skog AB</t>
        </is>
      </c>
      <c r="G877" t="n">
        <v>8.4</v>
      </c>
      <c r="H877" t="n">
        <v>0</v>
      </c>
      <c r="I877" t="n">
        <v>0</v>
      </c>
      <c r="J877" t="n">
        <v>0</v>
      </c>
      <c r="K877" t="n">
        <v>0</v>
      </c>
      <c r="L877" t="n">
        <v>0</v>
      </c>
      <c r="M877" t="n">
        <v>0</v>
      </c>
      <c r="N877" t="n">
        <v>0</v>
      </c>
      <c r="O877" t="n">
        <v>0</v>
      </c>
      <c r="P877" t="n">
        <v>0</v>
      </c>
      <c r="Q877" t="n">
        <v>0</v>
      </c>
      <c r="R877" s="2" t="inlineStr"/>
    </row>
    <row r="878" ht="15" customHeight="1">
      <c r="A878" t="inlineStr">
        <is>
          <t>A 1447-2019</t>
        </is>
      </c>
      <c r="B878" s="1" t="n">
        <v>43473</v>
      </c>
      <c r="C878" s="1" t="n">
        <v>45344</v>
      </c>
      <c r="D878" t="inlineStr">
        <is>
          <t>GÄVLEBORGS LÄN</t>
        </is>
      </c>
      <c r="E878" t="inlineStr">
        <is>
          <t>GÄVLE</t>
        </is>
      </c>
      <c r="G878" t="n">
        <v>2.5</v>
      </c>
      <c r="H878" t="n">
        <v>0</v>
      </c>
      <c r="I878" t="n">
        <v>0</v>
      </c>
      <c r="J878" t="n">
        <v>0</v>
      </c>
      <c r="K878" t="n">
        <v>0</v>
      </c>
      <c r="L878" t="n">
        <v>0</v>
      </c>
      <c r="M878" t="n">
        <v>0</v>
      </c>
      <c r="N878" t="n">
        <v>0</v>
      </c>
      <c r="O878" t="n">
        <v>0</v>
      </c>
      <c r="P878" t="n">
        <v>0</v>
      </c>
      <c r="Q878" t="n">
        <v>0</v>
      </c>
      <c r="R878" s="2" t="inlineStr"/>
    </row>
    <row r="879" ht="15" customHeight="1">
      <c r="A879" t="inlineStr">
        <is>
          <t>A 1426-2019</t>
        </is>
      </c>
      <c r="B879" s="1" t="n">
        <v>43473</v>
      </c>
      <c r="C879" s="1" t="n">
        <v>45344</v>
      </c>
      <c r="D879" t="inlineStr">
        <is>
          <t>GÄVLEBORGS LÄN</t>
        </is>
      </c>
      <c r="E879" t="inlineStr">
        <is>
          <t>HOFORS</t>
        </is>
      </c>
      <c r="G879" t="n">
        <v>1.6</v>
      </c>
      <c r="H879" t="n">
        <v>0</v>
      </c>
      <c r="I879" t="n">
        <v>0</v>
      </c>
      <c r="J879" t="n">
        <v>0</v>
      </c>
      <c r="K879" t="n">
        <v>0</v>
      </c>
      <c r="L879" t="n">
        <v>0</v>
      </c>
      <c r="M879" t="n">
        <v>0</v>
      </c>
      <c r="N879" t="n">
        <v>0</v>
      </c>
      <c r="O879" t="n">
        <v>0</v>
      </c>
      <c r="P879" t="n">
        <v>0</v>
      </c>
      <c r="Q879" t="n">
        <v>0</v>
      </c>
      <c r="R879" s="2" t="inlineStr"/>
    </row>
    <row r="880" ht="15" customHeight="1">
      <c r="A880" t="inlineStr">
        <is>
          <t>A 1588-2019</t>
        </is>
      </c>
      <c r="B880" s="1" t="n">
        <v>43474</v>
      </c>
      <c r="C880" s="1" t="n">
        <v>45344</v>
      </c>
      <c r="D880" t="inlineStr">
        <is>
          <t>GÄVLEBORGS LÄN</t>
        </is>
      </c>
      <c r="E880" t="inlineStr">
        <is>
          <t>HUDIKSVALL</t>
        </is>
      </c>
      <c r="G880" t="n">
        <v>2.1</v>
      </c>
      <c r="H880" t="n">
        <v>0</v>
      </c>
      <c r="I880" t="n">
        <v>0</v>
      </c>
      <c r="J880" t="n">
        <v>0</v>
      </c>
      <c r="K880" t="n">
        <v>0</v>
      </c>
      <c r="L880" t="n">
        <v>0</v>
      </c>
      <c r="M880" t="n">
        <v>0</v>
      </c>
      <c r="N880" t="n">
        <v>0</v>
      </c>
      <c r="O880" t="n">
        <v>0</v>
      </c>
      <c r="P880" t="n">
        <v>0</v>
      </c>
      <c r="Q880" t="n">
        <v>0</v>
      </c>
      <c r="R880" s="2" t="inlineStr"/>
    </row>
    <row r="881" ht="15" customHeight="1">
      <c r="A881" t="inlineStr">
        <is>
          <t>A 1752-2019</t>
        </is>
      </c>
      <c r="B881" s="1" t="n">
        <v>43474</v>
      </c>
      <c r="C881" s="1" t="n">
        <v>45344</v>
      </c>
      <c r="D881" t="inlineStr">
        <is>
          <t>GÄVLEBORGS LÄN</t>
        </is>
      </c>
      <c r="E881" t="inlineStr">
        <is>
          <t>NORDANSTIG</t>
        </is>
      </c>
      <c r="G881" t="n">
        <v>1.3</v>
      </c>
      <c r="H881" t="n">
        <v>0</v>
      </c>
      <c r="I881" t="n">
        <v>0</v>
      </c>
      <c r="J881" t="n">
        <v>0</v>
      </c>
      <c r="K881" t="n">
        <v>0</v>
      </c>
      <c r="L881" t="n">
        <v>0</v>
      </c>
      <c r="M881" t="n">
        <v>0</v>
      </c>
      <c r="N881" t="n">
        <v>0</v>
      </c>
      <c r="O881" t="n">
        <v>0</v>
      </c>
      <c r="P881" t="n">
        <v>0</v>
      </c>
      <c r="Q881" t="n">
        <v>0</v>
      </c>
      <c r="R881" s="2" t="inlineStr"/>
    </row>
    <row r="882" ht="15" customHeight="1">
      <c r="A882" t="inlineStr">
        <is>
          <t>A 1744-2019</t>
        </is>
      </c>
      <c r="B882" s="1" t="n">
        <v>43474</v>
      </c>
      <c r="C882" s="1" t="n">
        <v>45344</v>
      </c>
      <c r="D882" t="inlineStr">
        <is>
          <t>GÄVLEBORGS LÄN</t>
        </is>
      </c>
      <c r="E882" t="inlineStr">
        <is>
          <t>LJUSDAL</t>
        </is>
      </c>
      <c r="F882" t="inlineStr">
        <is>
          <t>Bergvik skog väst AB</t>
        </is>
      </c>
      <c r="G882" t="n">
        <v>0.9</v>
      </c>
      <c r="H882" t="n">
        <v>0</v>
      </c>
      <c r="I882" t="n">
        <v>0</v>
      </c>
      <c r="J882" t="n">
        <v>0</v>
      </c>
      <c r="K882" t="n">
        <v>0</v>
      </c>
      <c r="L882" t="n">
        <v>0</v>
      </c>
      <c r="M882" t="n">
        <v>0</v>
      </c>
      <c r="N882" t="n">
        <v>0</v>
      </c>
      <c r="O882" t="n">
        <v>0</v>
      </c>
      <c r="P882" t="n">
        <v>0</v>
      </c>
      <c r="Q882" t="n">
        <v>0</v>
      </c>
      <c r="R882" s="2" t="inlineStr"/>
    </row>
    <row r="883" ht="15" customHeight="1">
      <c r="A883" t="inlineStr">
        <is>
          <t>A 1741-2019</t>
        </is>
      </c>
      <c r="B883" s="1" t="n">
        <v>43474</v>
      </c>
      <c r="C883" s="1" t="n">
        <v>45344</v>
      </c>
      <c r="D883" t="inlineStr">
        <is>
          <t>GÄVLEBORGS LÄN</t>
        </is>
      </c>
      <c r="E883" t="inlineStr">
        <is>
          <t>SÖDERHAMN</t>
        </is>
      </c>
      <c r="G883" t="n">
        <v>2.9</v>
      </c>
      <c r="H883" t="n">
        <v>0</v>
      </c>
      <c r="I883" t="n">
        <v>0</v>
      </c>
      <c r="J883" t="n">
        <v>0</v>
      </c>
      <c r="K883" t="n">
        <v>0</v>
      </c>
      <c r="L883" t="n">
        <v>0</v>
      </c>
      <c r="M883" t="n">
        <v>0</v>
      </c>
      <c r="N883" t="n">
        <v>0</v>
      </c>
      <c r="O883" t="n">
        <v>0</v>
      </c>
      <c r="P883" t="n">
        <v>0</v>
      </c>
      <c r="Q883" t="n">
        <v>0</v>
      </c>
      <c r="R883" s="2" t="inlineStr"/>
    </row>
    <row r="884" ht="15" customHeight="1">
      <c r="A884" t="inlineStr">
        <is>
          <t>A 2219-2019</t>
        </is>
      </c>
      <c r="B884" s="1" t="n">
        <v>43475</v>
      </c>
      <c r="C884" s="1" t="n">
        <v>45344</v>
      </c>
      <c r="D884" t="inlineStr">
        <is>
          <t>GÄVLEBORGS LÄN</t>
        </is>
      </c>
      <c r="E884" t="inlineStr">
        <is>
          <t>OCKELBO</t>
        </is>
      </c>
      <c r="G884" t="n">
        <v>3.4</v>
      </c>
      <c r="H884" t="n">
        <v>0</v>
      </c>
      <c r="I884" t="n">
        <v>0</v>
      </c>
      <c r="J884" t="n">
        <v>0</v>
      </c>
      <c r="K884" t="n">
        <v>0</v>
      </c>
      <c r="L884" t="n">
        <v>0</v>
      </c>
      <c r="M884" t="n">
        <v>0</v>
      </c>
      <c r="N884" t="n">
        <v>0</v>
      </c>
      <c r="O884" t="n">
        <v>0</v>
      </c>
      <c r="P884" t="n">
        <v>0</v>
      </c>
      <c r="Q884" t="n">
        <v>0</v>
      </c>
      <c r="R884" s="2" t="inlineStr"/>
    </row>
    <row r="885" ht="15" customHeight="1">
      <c r="A885" t="inlineStr">
        <is>
          <t>A 2423-2019</t>
        </is>
      </c>
      <c r="B885" s="1" t="n">
        <v>43476</v>
      </c>
      <c r="C885" s="1" t="n">
        <v>45344</v>
      </c>
      <c r="D885" t="inlineStr">
        <is>
          <t>GÄVLEBORGS LÄN</t>
        </is>
      </c>
      <c r="E885" t="inlineStr">
        <is>
          <t>BOLLNÄS</t>
        </is>
      </c>
      <c r="G885" t="n">
        <v>3.1</v>
      </c>
      <c r="H885" t="n">
        <v>0</v>
      </c>
      <c r="I885" t="n">
        <v>0</v>
      </c>
      <c r="J885" t="n">
        <v>0</v>
      </c>
      <c r="K885" t="n">
        <v>0</v>
      </c>
      <c r="L885" t="n">
        <v>0</v>
      </c>
      <c r="M885" t="n">
        <v>0</v>
      </c>
      <c r="N885" t="n">
        <v>0</v>
      </c>
      <c r="O885" t="n">
        <v>0</v>
      </c>
      <c r="P885" t="n">
        <v>0</v>
      </c>
      <c r="Q885" t="n">
        <v>0</v>
      </c>
      <c r="R885" s="2" t="inlineStr"/>
    </row>
    <row r="886" ht="15" customHeight="1">
      <c r="A886" t="inlineStr">
        <is>
          <t>A 2422-2019</t>
        </is>
      </c>
      <c r="B886" s="1" t="n">
        <v>43476</v>
      </c>
      <c r="C886" s="1" t="n">
        <v>45344</v>
      </c>
      <c r="D886" t="inlineStr">
        <is>
          <t>GÄVLEBORGS LÄN</t>
        </is>
      </c>
      <c r="E886" t="inlineStr">
        <is>
          <t>BOLLNÄS</t>
        </is>
      </c>
      <c r="G886" t="n">
        <v>3.6</v>
      </c>
      <c r="H886" t="n">
        <v>0</v>
      </c>
      <c r="I886" t="n">
        <v>0</v>
      </c>
      <c r="J886" t="n">
        <v>0</v>
      </c>
      <c r="K886" t="n">
        <v>0</v>
      </c>
      <c r="L886" t="n">
        <v>0</v>
      </c>
      <c r="M886" t="n">
        <v>0</v>
      </c>
      <c r="N886" t="n">
        <v>0</v>
      </c>
      <c r="O886" t="n">
        <v>0</v>
      </c>
      <c r="P886" t="n">
        <v>0</v>
      </c>
      <c r="Q886" t="n">
        <v>0</v>
      </c>
      <c r="R886" s="2" t="inlineStr"/>
    </row>
    <row r="887" ht="15" customHeight="1">
      <c r="A887" t="inlineStr">
        <is>
          <t>A 2416-2019</t>
        </is>
      </c>
      <c r="B887" s="1" t="n">
        <v>43476</v>
      </c>
      <c r="C887" s="1" t="n">
        <v>45344</v>
      </c>
      <c r="D887" t="inlineStr">
        <is>
          <t>GÄVLEBORGS LÄN</t>
        </is>
      </c>
      <c r="E887" t="inlineStr">
        <is>
          <t>BOLLNÄS</t>
        </is>
      </c>
      <c r="G887" t="n">
        <v>14.7</v>
      </c>
      <c r="H887" t="n">
        <v>0</v>
      </c>
      <c r="I887" t="n">
        <v>0</v>
      </c>
      <c r="J887" t="n">
        <v>0</v>
      </c>
      <c r="K887" t="n">
        <v>0</v>
      </c>
      <c r="L887" t="n">
        <v>0</v>
      </c>
      <c r="M887" t="n">
        <v>0</v>
      </c>
      <c r="N887" t="n">
        <v>0</v>
      </c>
      <c r="O887" t="n">
        <v>0</v>
      </c>
      <c r="P887" t="n">
        <v>0</v>
      </c>
      <c r="Q887" t="n">
        <v>0</v>
      </c>
      <c r="R887" s="2" t="inlineStr"/>
    </row>
    <row r="888" ht="15" customHeight="1">
      <c r="A888" t="inlineStr">
        <is>
          <t>A 2425-2019</t>
        </is>
      </c>
      <c r="B888" s="1" t="n">
        <v>43476</v>
      </c>
      <c r="C888" s="1" t="n">
        <v>45344</v>
      </c>
      <c r="D888" t="inlineStr">
        <is>
          <t>GÄVLEBORGS LÄN</t>
        </is>
      </c>
      <c r="E888" t="inlineStr">
        <is>
          <t>BOLLNÄS</t>
        </is>
      </c>
      <c r="G888" t="n">
        <v>2.6</v>
      </c>
      <c r="H888" t="n">
        <v>0</v>
      </c>
      <c r="I888" t="n">
        <v>0</v>
      </c>
      <c r="J888" t="n">
        <v>0</v>
      </c>
      <c r="K888" t="n">
        <v>0</v>
      </c>
      <c r="L888" t="n">
        <v>0</v>
      </c>
      <c r="M888" t="n">
        <v>0</v>
      </c>
      <c r="N888" t="n">
        <v>0</v>
      </c>
      <c r="O888" t="n">
        <v>0</v>
      </c>
      <c r="P888" t="n">
        <v>0</v>
      </c>
      <c r="Q888" t="n">
        <v>0</v>
      </c>
      <c r="R888" s="2" t="inlineStr"/>
    </row>
    <row r="889" ht="15" customHeight="1">
      <c r="A889" t="inlineStr">
        <is>
          <t>A 2512-2019</t>
        </is>
      </c>
      <c r="B889" s="1" t="n">
        <v>43476</v>
      </c>
      <c r="C889" s="1" t="n">
        <v>45344</v>
      </c>
      <c r="D889" t="inlineStr">
        <is>
          <t>GÄVLEBORGS LÄN</t>
        </is>
      </c>
      <c r="E889" t="inlineStr">
        <is>
          <t>GÄVLE</t>
        </is>
      </c>
      <c r="G889" t="n">
        <v>1.4</v>
      </c>
      <c r="H889" t="n">
        <v>0</v>
      </c>
      <c r="I889" t="n">
        <v>0</v>
      </c>
      <c r="J889" t="n">
        <v>0</v>
      </c>
      <c r="K889" t="n">
        <v>0</v>
      </c>
      <c r="L889" t="n">
        <v>0</v>
      </c>
      <c r="M889" t="n">
        <v>0</v>
      </c>
      <c r="N889" t="n">
        <v>0</v>
      </c>
      <c r="O889" t="n">
        <v>0</v>
      </c>
      <c r="P889" t="n">
        <v>0</v>
      </c>
      <c r="Q889" t="n">
        <v>0</v>
      </c>
      <c r="R889" s="2" t="inlineStr"/>
    </row>
    <row r="890" ht="15" customHeight="1">
      <c r="A890" t="inlineStr">
        <is>
          <t>A 2644-2019</t>
        </is>
      </c>
      <c r="B890" s="1" t="n">
        <v>43478</v>
      </c>
      <c r="C890" s="1" t="n">
        <v>45344</v>
      </c>
      <c r="D890" t="inlineStr">
        <is>
          <t>GÄVLEBORGS LÄN</t>
        </is>
      </c>
      <c r="E890" t="inlineStr">
        <is>
          <t>GÄVLE</t>
        </is>
      </c>
      <c r="G890" t="n">
        <v>1.2</v>
      </c>
      <c r="H890" t="n">
        <v>0</v>
      </c>
      <c r="I890" t="n">
        <v>0</v>
      </c>
      <c r="J890" t="n">
        <v>0</v>
      </c>
      <c r="K890" t="n">
        <v>0</v>
      </c>
      <c r="L890" t="n">
        <v>0</v>
      </c>
      <c r="M890" t="n">
        <v>0</v>
      </c>
      <c r="N890" t="n">
        <v>0</v>
      </c>
      <c r="O890" t="n">
        <v>0</v>
      </c>
      <c r="P890" t="n">
        <v>0</v>
      </c>
      <c r="Q890" t="n">
        <v>0</v>
      </c>
      <c r="R890" s="2" t="inlineStr"/>
    </row>
    <row r="891" ht="15" customHeight="1">
      <c r="A891" t="inlineStr">
        <is>
          <t>A 2926-2019</t>
        </is>
      </c>
      <c r="B891" s="1" t="n">
        <v>43479</v>
      </c>
      <c r="C891" s="1" t="n">
        <v>45344</v>
      </c>
      <c r="D891" t="inlineStr">
        <is>
          <t>GÄVLEBORGS LÄN</t>
        </is>
      </c>
      <c r="E891" t="inlineStr">
        <is>
          <t>OVANÅKER</t>
        </is>
      </c>
      <c r="G891" t="n">
        <v>1</v>
      </c>
      <c r="H891" t="n">
        <v>0</v>
      </c>
      <c r="I891" t="n">
        <v>0</v>
      </c>
      <c r="J891" t="n">
        <v>0</v>
      </c>
      <c r="K891" t="n">
        <v>0</v>
      </c>
      <c r="L891" t="n">
        <v>0</v>
      </c>
      <c r="M891" t="n">
        <v>0</v>
      </c>
      <c r="N891" t="n">
        <v>0</v>
      </c>
      <c r="O891" t="n">
        <v>0</v>
      </c>
      <c r="P891" t="n">
        <v>0</v>
      </c>
      <c r="Q891" t="n">
        <v>0</v>
      </c>
      <c r="R891" s="2" t="inlineStr"/>
    </row>
    <row r="892" ht="15" customHeight="1">
      <c r="A892" t="inlineStr">
        <is>
          <t>A 2712-2019</t>
        </is>
      </c>
      <c r="B892" s="1" t="n">
        <v>43479</v>
      </c>
      <c r="C892" s="1" t="n">
        <v>45344</v>
      </c>
      <c r="D892" t="inlineStr">
        <is>
          <t>GÄVLEBORGS LÄN</t>
        </is>
      </c>
      <c r="E892" t="inlineStr">
        <is>
          <t>OCKELBO</t>
        </is>
      </c>
      <c r="G892" t="n">
        <v>1</v>
      </c>
      <c r="H892" t="n">
        <v>0</v>
      </c>
      <c r="I892" t="n">
        <v>0</v>
      </c>
      <c r="J892" t="n">
        <v>0</v>
      </c>
      <c r="K892" t="n">
        <v>0</v>
      </c>
      <c r="L892" t="n">
        <v>0</v>
      </c>
      <c r="M892" t="n">
        <v>0</v>
      </c>
      <c r="N892" t="n">
        <v>0</v>
      </c>
      <c r="O892" t="n">
        <v>0</v>
      </c>
      <c r="P892" t="n">
        <v>0</v>
      </c>
      <c r="Q892" t="n">
        <v>0</v>
      </c>
      <c r="R892" s="2" t="inlineStr"/>
    </row>
    <row r="893" ht="15" customHeight="1">
      <c r="A893" t="inlineStr">
        <is>
          <t>A 2840-2019</t>
        </is>
      </c>
      <c r="B893" s="1" t="n">
        <v>43479</v>
      </c>
      <c r="C893" s="1" t="n">
        <v>45344</v>
      </c>
      <c r="D893" t="inlineStr">
        <is>
          <t>GÄVLEBORGS LÄN</t>
        </is>
      </c>
      <c r="E893" t="inlineStr">
        <is>
          <t>GÄVLE</t>
        </is>
      </c>
      <c r="G893" t="n">
        <v>1.6</v>
      </c>
      <c r="H893" t="n">
        <v>0</v>
      </c>
      <c r="I893" t="n">
        <v>0</v>
      </c>
      <c r="J893" t="n">
        <v>0</v>
      </c>
      <c r="K893" t="n">
        <v>0</v>
      </c>
      <c r="L893" t="n">
        <v>0</v>
      </c>
      <c r="M893" t="n">
        <v>0</v>
      </c>
      <c r="N893" t="n">
        <v>0</v>
      </c>
      <c r="O893" t="n">
        <v>0</v>
      </c>
      <c r="P893" t="n">
        <v>0</v>
      </c>
      <c r="Q893" t="n">
        <v>0</v>
      </c>
      <c r="R893" s="2" t="inlineStr"/>
    </row>
    <row r="894" ht="15" customHeight="1">
      <c r="A894" t="inlineStr">
        <is>
          <t>A 3356-2019</t>
        </is>
      </c>
      <c r="B894" s="1" t="n">
        <v>43480</v>
      </c>
      <c r="C894" s="1" t="n">
        <v>45344</v>
      </c>
      <c r="D894" t="inlineStr">
        <is>
          <t>GÄVLEBORGS LÄN</t>
        </is>
      </c>
      <c r="E894" t="inlineStr">
        <is>
          <t>GÄVLE</t>
        </is>
      </c>
      <c r="G894" t="n">
        <v>5.5</v>
      </c>
      <c r="H894" t="n">
        <v>0</v>
      </c>
      <c r="I894" t="n">
        <v>0</v>
      </c>
      <c r="J894" t="n">
        <v>0</v>
      </c>
      <c r="K894" t="n">
        <v>0</v>
      </c>
      <c r="L894" t="n">
        <v>0</v>
      </c>
      <c r="M894" t="n">
        <v>0</v>
      </c>
      <c r="N894" t="n">
        <v>0</v>
      </c>
      <c r="O894" t="n">
        <v>0</v>
      </c>
      <c r="P894" t="n">
        <v>0</v>
      </c>
      <c r="Q894" t="n">
        <v>0</v>
      </c>
      <c r="R894" s="2" t="inlineStr"/>
    </row>
    <row r="895" ht="15" customHeight="1">
      <c r="A895" t="inlineStr">
        <is>
          <t>A 3240-2019</t>
        </is>
      </c>
      <c r="B895" s="1" t="n">
        <v>43480</v>
      </c>
      <c r="C895" s="1" t="n">
        <v>45344</v>
      </c>
      <c r="D895" t="inlineStr">
        <is>
          <t>GÄVLEBORGS LÄN</t>
        </is>
      </c>
      <c r="E895" t="inlineStr">
        <is>
          <t>OVANÅKER</t>
        </is>
      </c>
      <c r="G895" t="n">
        <v>3.8</v>
      </c>
      <c r="H895" t="n">
        <v>0</v>
      </c>
      <c r="I895" t="n">
        <v>0</v>
      </c>
      <c r="J895" t="n">
        <v>0</v>
      </c>
      <c r="K895" t="n">
        <v>0</v>
      </c>
      <c r="L895" t="n">
        <v>0</v>
      </c>
      <c r="M895" t="n">
        <v>0</v>
      </c>
      <c r="N895" t="n">
        <v>0</v>
      </c>
      <c r="O895" t="n">
        <v>0</v>
      </c>
      <c r="P895" t="n">
        <v>0</v>
      </c>
      <c r="Q895" t="n">
        <v>0</v>
      </c>
      <c r="R895" s="2" t="inlineStr"/>
    </row>
    <row r="896" ht="15" customHeight="1">
      <c r="A896" t="inlineStr">
        <is>
          <t>A 3230-2019</t>
        </is>
      </c>
      <c r="B896" s="1" t="n">
        <v>43480</v>
      </c>
      <c r="C896" s="1" t="n">
        <v>45344</v>
      </c>
      <c r="D896" t="inlineStr">
        <is>
          <t>GÄVLEBORGS LÄN</t>
        </is>
      </c>
      <c r="E896" t="inlineStr">
        <is>
          <t>BOLLNÄS</t>
        </is>
      </c>
      <c r="G896" t="n">
        <v>0.7</v>
      </c>
      <c r="H896" t="n">
        <v>0</v>
      </c>
      <c r="I896" t="n">
        <v>0</v>
      </c>
      <c r="J896" t="n">
        <v>0</v>
      </c>
      <c r="K896" t="n">
        <v>0</v>
      </c>
      <c r="L896" t="n">
        <v>0</v>
      </c>
      <c r="M896" t="n">
        <v>0</v>
      </c>
      <c r="N896" t="n">
        <v>0</v>
      </c>
      <c r="O896" t="n">
        <v>0</v>
      </c>
      <c r="P896" t="n">
        <v>0</v>
      </c>
      <c r="Q896" t="n">
        <v>0</v>
      </c>
      <c r="R896" s="2" t="inlineStr"/>
    </row>
    <row r="897" ht="15" customHeight="1">
      <c r="A897" t="inlineStr">
        <is>
          <t>A 3508-2019</t>
        </is>
      </c>
      <c r="B897" s="1" t="n">
        <v>43481</v>
      </c>
      <c r="C897" s="1" t="n">
        <v>45344</v>
      </c>
      <c r="D897" t="inlineStr">
        <is>
          <t>GÄVLEBORGS LÄN</t>
        </is>
      </c>
      <c r="E897" t="inlineStr">
        <is>
          <t>GÄVLE</t>
        </is>
      </c>
      <c r="G897" t="n">
        <v>0.7</v>
      </c>
      <c r="H897" t="n">
        <v>0</v>
      </c>
      <c r="I897" t="n">
        <v>0</v>
      </c>
      <c r="J897" t="n">
        <v>0</v>
      </c>
      <c r="K897" t="n">
        <v>0</v>
      </c>
      <c r="L897" t="n">
        <v>0</v>
      </c>
      <c r="M897" t="n">
        <v>0</v>
      </c>
      <c r="N897" t="n">
        <v>0</v>
      </c>
      <c r="O897" t="n">
        <v>0</v>
      </c>
      <c r="P897" t="n">
        <v>0</v>
      </c>
      <c r="Q897" t="n">
        <v>0</v>
      </c>
      <c r="R897" s="2" t="inlineStr"/>
    </row>
    <row r="898" ht="15" customHeight="1">
      <c r="A898" t="inlineStr">
        <is>
          <t>A 3655-2019</t>
        </is>
      </c>
      <c r="B898" s="1" t="n">
        <v>43481</v>
      </c>
      <c r="C898" s="1" t="n">
        <v>45344</v>
      </c>
      <c r="D898" t="inlineStr">
        <is>
          <t>GÄVLEBORGS LÄN</t>
        </is>
      </c>
      <c r="E898" t="inlineStr">
        <is>
          <t>LJUSDAL</t>
        </is>
      </c>
      <c r="G898" t="n">
        <v>16.5</v>
      </c>
      <c r="H898" t="n">
        <v>0</v>
      </c>
      <c r="I898" t="n">
        <v>0</v>
      </c>
      <c r="J898" t="n">
        <v>0</v>
      </c>
      <c r="K898" t="n">
        <v>0</v>
      </c>
      <c r="L898" t="n">
        <v>0</v>
      </c>
      <c r="M898" t="n">
        <v>0</v>
      </c>
      <c r="N898" t="n">
        <v>0</v>
      </c>
      <c r="O898" t="n">
        <v>0</v>
      </c>
      <c r="P898" t="n">
        <v>0</v>
      </c>
      <c r="Q898" t="n">
        <v>0</v>
      </c>
      <c r="R898" s="2" t="inlineStr"/>
    </row>
    <row r="899" ht="15" customHeight="1">
      <c r="A899" t="inlineStr">
        <is>
          <t>A 5308-2019</t>
        </is>
      </c>
      <c r="B899" s="1" t="n">
        <v>43481</v>
      </c>
      <c r="C899" s="1" t="n">
        <v>45344</v>
      </c>
      <c r="D899" t="inlineStr">
        <is>
          <t>GÄVLEBORGS LÄN</t>
        </is>
      </c>
      <c r="E899" t="inlineStr">
        <is>
          <t>NORDANSTIG</t>
        </is>
      </c>
      <c r="G899" t="n">
        <v>0.5</v>
      </c>
      <c r="H899" t="n">
        <v>0</v>
      </c>
      <c r="I899" t="n">
        <v>0</v>
      </c>
      <c r="J899" t="n">
        <v>0</v>
      </c>
      <c r="K899" t="n">
        <v>0</v>
      </c>
      <c r="L899" t="n">
        <v>0</v>
      </c>
      <c r="M899" t="n">
        <v>0</v>
      </c>
      <c r="N899" t="n">
        <v>0</v>
      </c>
      <c r="O899" t="n">
        <v>0</v>
      </c>
      <c r="P899" t="n">
        <v>0</v>
      </c>
      <c r="Q899" t="n">
        <v>0</v>
      </c>
      <c r="R899" s="2" t="inlineStr"/>
    </row>
    <row r="900" ht="15" customHeight="1">
      <c r="A900" t="inlineStr">
        <is>
          <t>A 3670-2019</t>
        </is>
      </c>
      <c r="B900" s="1" t="n">
        <v>43481</v>
      </c>
      <c r="C900" s="1" t="n">
        <v>45344</v>
      </c>
      <c r="D900" t="inlineStr">
        <is>
          <t>GÄVLEBORGS LÄN</t>
        </is>
      </c>
      <c r="E900" t="inlineStr">
        <is>
          <t>OVANÅKER</t>
        </is>
      </c>
      <c r="G900" t="n">
        <v>6.3</v>
      </c>
      <c r="H900" t="n">
        <v>0</v>
      </c>
      <c r="I900" t="n">
        <v>0</v>
      </c>
      <c r="J900" t="n">
        <v>0</v>
      </c>
      <c r="K900" t="n">
        <v>0</v>
      </c>
      <c r="L900" t="n">
        <v>0</v>
      </c>
      <c r="M900" t="n">
        <v>0</v>
      </c>
      <c r="N900" t="n">
        <v>0</v>
      </c>
      <c r="O900" t="n">
        <v>0</v>
      </c>
      <c r="P900" t="n">
        <v>0</v>
      </c>
      <c r="Q900" t="n">
        <v>0</v>
      </c>
      <c r="R900" s="2" t="inlineStr"/>
    </row>
    <row r="901" ht="15" customHeight="1">
      <c r="A901" t="inlineStr">
        <is>
          <t>A 5309-2019</t>
        </is>
      </c>
      <c r="B901" s="1" t="n">
        <v>43481</v>
      </c>
      <c r="C901" s="1" t="n">
        <v>45344</v>
      </c>
      <c r="D901" t="inlineStr">
        <is>
          <t>GÄVLEBORGS LÄN</t>
        </is>
      </c>
      <c r="E901" t="inlineStr">
        <is>
          <t>NORDANSTIG</t>
        </is>
      </c>
      <c r="G901" t="n">
        <v>5.6</v>
      </c>
      <c r="H901" t="n">
        <v>0</v>
      </c>
      <c r="I901" t="n">
        <v>0</v>
      </c>
      <c r="J901" t="n">
        <v>0</v>
      </c>
      <c r="K901" t="n">
        <v>0</v>
      </c>
      <c r="L901" t="n">
        <v>0</v>
      </c>
      <c r="M901" t="n">
        <v>0</v>
      </c>
      <c r="N901" t="n">
        <v>0</v>
      </c>
      <c r="O901" t="n">
        <v>0</v>
      </c>
      <c r="P901" t="n">
        <v>0</v>
      </c>
      <c r="Q901" t="n">
        <v>0</v>
      </c>
      <c r="R901" s="2" t="inlineStr"/>
    </row>
    <row r="902" ht="15" customHeight="1">
      <c r="A902" t="inlineStr">
        <is>
          <t>A 3797-2019</t>
        </is>
      </c>
      <c r="B902" s="1" t="n">
        <v>43482</v>
      </c>
      <c r="C902" s="1" t="n">
        <v>45344</v>
      </c>
      <c r="D902" t="inlineStr">
        <is>
          <t>GÄVLEBORGS LÄN</t>
        </is>
      </c>
      <c r="E902" t="inlineStr">
        <is>
          <t>HOFORS</t>
        </is>
      </c>
      <c r="G902" t="n">
        <v>0.6</v>
      </c>
      <c r="H902" t="n">
        <v>0</v>
      </c>
      <c r="I902" t="n">
        <v>0</v>
      </c>
      <c r="J902" t="n">
        <v>0</v>
      </c>
      <c r="K902" t="n">
        <v>0</v>
      </c>
      <c r="L902" t="n">
        <v>0</v>
      </c>
      <c r="M902" t="n">
        <v>0</v>
      </c>
      <c r="N902" t="n">
        <v>0</v>
      </c>
      <c r="O902" t="n">
        <v>0</v>
      </c>
      <c r="P902" t="n">
        <v>0</v>
      </c>
      <c r="Q902" t="n">
        <v>0</v>
      </c>
      <c r="R902" s="2" t="inlineStr"/>
    </row>
    <row r="903" ht="15" customHeight="1">
      <c r="A903" t="inlineStr">
        <is>
          <t>A 4061-2019</t>
        </is>
      </c>
      <c r="B903" s="1" t="n">
        <v>43482</v>
      </c>
      <c r="C903" s="1" t="n">
        <v>45344</v>
      </c>
      <c r="D903" t="inlineStr">
        <is>
          <t>GÄVLEBORGS LÄN</t>
        </is>
      </c>
      <c r="E903" t="inlineStr">
        <is>
          <t>OVANÅKER</t>
        </is>
      </c>
      <c r="G903" t="n">
        <v>2.2</v>
      </c>
      <c r="H903" t="n">
        <v>0</v>
      </c>
      <c r="I903" t="n">
        <v>0</v>
      </c>
      <c r="J903" t="n">
        <v>0</v>
      </c>
      <c r="K903" t="n">
        <v>0</v>
      </c>
      <c r="L903" t="n">
        <v>0</v>
      </c>
      <c r="M903" t="n">
        <v>0</v>
      </c>
      <c r="N903" t="n">
        <v>0</v>
      </c>
      <c r="O903" t="n">
        <v>0</v>
      </c>
      <c r="P903" t="n">
        <v>0</v>
      </c>
      <c r="Q903" t="n">
        <v>0</v>
      </c>
      <c r="R903" s="2" t="inlineStr"/>
    </row>
    <row r="904" ht="15" customHeight="1">
      <c r="A904" t="inlineStr">
        <is>
          <t>A 3917-2019</t>
        </is>
      </c>
      <c r="B904" s="1" t="n">
        <v>43482</v>
      </c>
      <c r="C904" s="1" t="n">
        <v>45344</v>
      </c>
      <c r="D904" t="inlineStr">
        <is>
          <t>GÄVLEBORGS LÄN</t>
        </is>
      </c>
      <c r="E904" t="inlineStr">
        <is>
          <t>BOLLNÄS</t>
        </is>
      </c>
      <c r="G904" t="n">
        <v>0.6</v>
      </c>
      <c r="H904" t="n">
        <v>0</v>
      </c>
      <c r="I904" t="n">
        <v>0</v>
      </c>
      <c r="J904" t="n">
        <v>0</v>
      </c>
      <c r="K904" t="n">
        <v>0</v>
      </c>
      <c r="L904" t="n">
        <v>0</v>
      </c>
      <c r="M904" t="n">
        <v>0</v>
      </c>
      <c r="N904" t="n">
        <v>0</v>
      </c>
      <c r="O904" t="n">
        <v>0</v>
      </c>
      <c r="P904" t="n">
        <v>0</v>
      </c>
      <c r="Q904" t="n">
        <v>0</v>
      </c>
      <c r="R904" s="2" t="inlineStr"/>
    </row>
    <row r="905" ht="15" customHeight="1">
      <c r="A905" t="inlineStr">
        <is>
          <t>A 3796-2019</t>
        </is>
      </c>
      <c r="B905" s="1" t="n">
        <v>43482</v>
      </c>
      <c r="C905" s="1" t="n">
        <v>45344</v>
      </c>
      <c r="D905" t="inlineStr">
        <is>
          <t>GÄVLEBORGS LÄN</t>
        </is>
      </c>
      <c r="E905" t="inlineStr">
        <is>
          <t>HOFORS</t>
        </is>
      </c>
      <c r="G905" t="n">
        <v>0.9</v>
      </c>
      <c r="H905" t="n">
        <v>0</v>
      </c>
      <c r="I905" t="n">
        <v>0</v>
      </c>
      <c r="J905" t="n">
        <v>0</v>
      </c>
      <c r="K905" t="n">
        <v>0</v>
      </c>
      <c r="L905" t="n">
        <v>0</v>
      </c>
      <c r="M905" t="n">
        <v>0</v>
      </c>
      <c r="N905" t="n">
        <v>0</v>
      </c>
      <c r="O905" t="n">
        <v>0</v>
      </c>
      <c r="P905" t="n">
        <v>0</v>
      </c>
      <c r="Q905" t="n">
        <v>0</v>
      </c>
      <c r="R905" s="2" t="inlineStr"/>
    </row>
    <row r="906" ht="15" customHeight="1">
      <c r="A906" t="inlineStr">
        <is>
          <t>A 4019-2019</t>
        </is>
      </c>
      <c r="B906" s="1" t="n">
        <v>43482</v>
      </c>
      <c r="C906" s="1" t="n">
        <v>45344</v>
      </c>
      <c r="D906" t="inlineStr">
        <is>
          <t>GÄVLEBORGS LÄN</t>
        </is>
      </c>
      <c r="E906" t="inlineStr">
        <is>
          <t>GÄVLE</t>
        </is>
      </c>
      <c r="G906" t="n">
        <v>4.6</v>
      </c>
      <c r="H906" t="n">
        <v>0</v>
      </c>
      <c r="I906" t="n">
        <v>0</v>
      </c>
      <c r="J906" t="n">
        <v>0</v>
      </c>
      <c r="K906" t="n">
        <v>0</v>
      </c>
      <c r="L906" t="n">
        <v>0</v>
      </c>
      <c r="M906" t="n">
        <v>0</v>
      </c>
      <c r="N906" t="n">
        <v>0</v>
      </c>
      <c r="O906" t="n">
        <v>0</v>
      </c>
      <c r="P906" t="n">
        <v>0</v>
      </c>
      <c r="Q906" t="n">
        <v>0</v>
      </c>
      <c r="R906" s="2" t="inlineStr"/>
    </row>
    <row r="907" ht="15" customHeight="1">
      <c r="A907" t="inlineStr">
        <is>
          <t>A 3924-2019</t>
        </is>
      </c>
      <c r="B907" s="1" t="n">
        <v>43482</v>
      </c>
      <c r="C907" s="1" t="n">
        <v>45344</v>
      </c>
      <c r="D907" t="inlineStr">
        <is>
          <t>GÄVLEBORGS LÄN</t>
        </is>
      </c>
      <c r="E907" t="inlineStr">
        <is>
          <t>BOLLNÄS</t>
        </is>
      </c>
      <c r="G907" t="n">
        <v>0.9</v>
      </c>
      <c r="H907" t="n">
        <v>0</v>
      </c>
      <c r="I907" t="n">
        <v>0</v>
      </c>
      <c r="J907" t="n">
        <v>0</v>
      </c>
      <c r="K907" t="n">
        <v>0</v>
      </c>
      <c r="L907" t="n">
        <v>0</v>
      </c>
      <c r="M907" t="n">
        <v>0</v>
      </c>
      <c r="N907" t="n">
        <v>0</v>
      </c>
      <c r="O907" t="n">
        <v>0</v>
      </c>
      <c r="P907" t="n">
        <v>0</v>
      </c>
      <c r="Q907" t="n">
        <v>0</v>
      </c>
      <c r="R907" s="2" t="inlineStr"/>
    </row>
    <row r="908" ht="15" customHeight="1">
      <c r="A908" t="inlineStr">
        <is>
          <t>A 3794-2019</t>
        </is>
      </c>
      <c r="B908" s="1" t="n">
        <v>43482</v>
      </c>
      <c r="C908" s="1" t="n">
        <v>45344</v>
      </c>
      <c r="D908" t="inlineStr">
        <is>
          <t>GÄVLEBORGS LÄN</t>
        </is>
      </c>
      <c r="E908" t="inlineStr">
        <is>
          <t>HOFORS</t>
        </is>
      </c>
      <c r="G908" t="n">
        <v>0.7</v>
      </c>
      <c r="H908" t="n">
        <v>0</v>
      </c>
      <c r="I908" t="n">
        <v>0</v>
      </c>
      <c r="J908" t="n">
        <v>0</v>
      </c>
      <c r="K908" t="n">
        <v>0</v>
      </c>
      <c r="L908" t="n">
        <v>0</v>
      </c>
      <c r="M908" t="n">
        <v>0</v>
      </c>
      <c r="N908" t="n">
        <v>0</v>
      </c>
      <c r="O908" t="n">
        <v>0</v>
      </c>
      <c r="P908" t="n">
        <v>0</v>
      </c>
      <c r="Q908" t="n">
        <v>0</v>
      </c>
      <c r="R908" s="2" t="inlineStr"/>
    </row>
    <row r="909" ht="15" customHeight="1">
      <c r="A909" t="inlineStr">
        <is>
          <t>A 4222-2019</t>
        </is>
      </c>
      <c r="B909" s="1" t="n">
        <v>43483</v>
      </c>
      <c r="C909" s="1" t="n">
        <v>45344</v>
      </c>
      <c r="D909" t="inlineStr">
        <is>
          <t>GÄVLEBORGS LÄN</t>
        </is>
      </c>
      <c r="E909" t="inlineStr">
        <is>
          <t>LJUSDAL</t>
        </is>
      </c>
      <c r="G909" t="n">
        <v>0.5</v>
      </c>
      <c r="H909" t="n">
        <v>0</v>
      </c>
      <c r="I909" t="n">
        <v>0</v>
      </c>
      <c r="J909" t="n">
        <v>0</v>
      </c>
      <c r="K909" t="n">
        <v>0</v>
      </c>
      <c r="L909" t="n">
        <v>0</v>
      </c>
      <c r="M909" t="n">
        <v>0</v>
      </c>
      <c r="N909" t="n">
        <v>0</v>
      </c>
      <c r="O909" t="n">
        <v>0</v>
      </c>
      <c r="P909" t="n">
        <v>0</v>
      </c>
      <c r="Q909" t="n">
        <v>0</v>
      </c>
      <c r="R909" s="2" t="inlineStr"/>
    </row>
    <row r="910" ht="15" customHeight="1">
      <c r="A910" t="inlineStr">
        <is>
          <t>A 4147-2019</t>
        </is>
      </c>
      <c r="B910" s="1" t="n">
        <v>43483</v>
      </c>
      <c r="C910" s="1" t="n">
        <v>45344</v>
      </c>
      <c r="D910" t="inlineStr">
        <is>
          <t>GÄVLEBORGS LÄN</t>
        </is>
      </c>
      <c r="E910" t="inlineStr">
        <is>
          <t>NORDANSTIG</t>
        </is>
      </c>
      <c r="G910" t="n">
        <v>19.6</v>
      </c>
      <c r="H910" t="n">
        <v>0</v>
      </c>
      <c r="I910" t="n">
        <v>0</v>
      </c>
      <c r="J910" t="n">
        <v>0</v>
      </c>
      <c r="K910" t="n">
        <v>0</v>
      </c>
      <c r="L910" t="n">
        <v>0</v>
      </c>
      <c r="M910" t="n">
        <v>0</v>
      </c>
      <c r="N910" t="n">
        <v>0</v>
      </c>
      <c r="O910" t="n">
        <v>0</v>
      </c>
      <c r="P910" t="n">
        <v>0</v>
      </c>
      <c r="Q910" t="n">
        <v>0</v>
      </c>
      <c r="R910" s="2" t="inlineStr"/>
    </row>
    <row r="911" ht="15" customHeight="1">
      <c r="A911" t="inlineStr">
        <is>
          <t>A 4347-2019</t>
        </is>
      </c>
      <c r="B911" s="1" t="n">
        <v>43483</v>
      </c>
      <c r="C911" s="1" t="n">
        <v>45344</v>
      </c>
      <c r="D911" t="inlineStr">
        <is>
          <t>GÄVLEBORGS LÄN</t>
        </is>
      </c>
      <c r="E911" t="inlineStr">
        <is>
          <t>OCKELBO</t>
        </is>
      </c>
      <c r="G911" t="n">
        <v>3.2</v>
      </c>
      <c r="H911" t="n">
        <v>0</v>
      </c>
      <c r="I911" t="n">
        <v>0</v>
      </c>
      <c r="J911" t="n">
        <v>0</v>
      </c>
      <c r="K911" t="n">
        <v>0</v>
      </c>
      <c r="L911" t="n">
        <v>0</v>
      </c>
      <c r="M911" t="n">
        <v>0</v>
      </c>
      <c r="N911" t="n">
        <v>0</v>
      </c>
      <c r="O911" t="n">
        <v>0</v>
      </c>
      <c r="P911" t="n">
        <v>0</v>
      </c>
      <c r="Q911" t="n">
        <v>0</v>
      </c>
      <c r="R911" s="2" t="inlineStr"/>
    </row>
    <row r="912" ht="15" customHeight="1">
      <c r="A912" t="inlineStr">
        <is>
          <t>A 4358-2019</t>
        </is>
      </c>
      <c r="B912" s="1" t="n">
        <v>43483</v>
      </c>
      <c r="C912" s="1" t="n">
        <v>45344</v>
      </c>
      <c r="D912" t="inlineStr">
        <is>
          <t>GÄVLEBORGS LÄN</t>
        </is>
      </c>
      <c r="E912" t="inlineStr">
        <is>
          <t>OCKELBO</t>
        </is>
      </c>
      <c r="G912" t="n">
        <v>2.4</v>
      </c>
      <c r="H912" t="n">
        <v>0</v>
      </c>
      <c r="I912" t="n">
        <v>0</v>
      </c>
      <c r="J912" t="n">
        <v>0</v>
      </c>
      <c r="K912" t="n">
        <v>0</v>
      </c>
      <c r="L912" t="n">
        <v>0</v>
      </c>
      <c r="M912" t="n">
        <v>0</v>
      </c>
      <c r="N912" t="n">
        <v>0</v>
      </c>
      <c r="O912" t="n">
        <v>0</v>
      </c>
      <c r="P912" t="n">
        <v>0</v>
      </c>
      <c r="Q912" t="n">
        <v>0</v>
      </c>
      <c r="R912" s="2" t="inlineStr"/>
    </row>
    <row r="913" ht="15" customHeight="1">
      <c r="A913" t="inlineStr">
        <is>
          <t>A 4361-2019</t>
        </is>
      </c>
      <c r="B913" s="1" t="n">
        <v>43483</v>
      </c>
      <c r="C913" s="1" t="n">
        <v>45344</v>
      </c>
      <c r="D913" t="inlineStr">
        <is>
          <t>GÄVLEBORGS LÄN</t>
        </is>
      </c>
      <c r="E913" t="inlineStr">
        <is>
          <t>NORDANSTIG</t>
        </is>
      </c>
      <c r="F913" t="inlineStr">
        <is>
          <t>Holmen skog AB</t>
        </is>
      </c>
      <c r="G913" t="n">
        <v>3.8</v>
      </c>
      <c r="H913" t="n">
        <v>0</v>
      </c>
      <c r="I913" t="n">
        <v>0</v>
      </c>
      <c r="J913" t="n">
        <v>0</v>
      </c>
      <c r="K913" t="n">
        <v>0</v>
      </c>
      <c r="L913" t="n">
        <v>0</v>
      </c>
      <c r="M913" t="n">
        <v>0</v>
      </c>
      <c r="N913" t="n">
        <v>0</v>
      </c>
      <c r="O913" t="n">
        <v>0</v>
      </c>
      <c r="P913" t="n">
        <v>0</v>
      </c>
      <c r="Q913" t="n">
        <v>0</v>
      </c>
      <c r="R913" s="2" t="inlineStr"/>
    </row>
    <row r="914" ht="15" customHeight="1">
      <c r="A914" t="inlineStr">
        <is>
          <t>A 6191-2019</t>
        </is>
      </c>
      <c r="B914" s="1" t="n">
        <v>43486</v>
      </c>
      <c r="C914" s="1" t="n">
        <v>45344</v>
      </c>
      <c r="D914" t="inlineStr">
        <is>
          <t>GÄVLEBORGS LÄN</t>
        </is>
      </c>
      <c r="E914" t="inlineStr">
        <is>
          <t>GÄVLE</t>
        </is>
      </c>
      <c r="G914" t="n">
        <v>9.4</v>
      </c>
      <c r="H914" t="n">
        <v>0</v>
      </c>
      <c r="I914" t="n">
        <v>0</v>
      </c>
      <c r="J914" t="n">
        <v>0</v>
      </c>
      <c r="K914" t="n">
        <v>0</v>
      </c>
      <c r="L914" t="n">
        <v>0</v>
      </c>
      <c r="M914" t="n">
        <v>0</v>
      </c>
      <c r="N914" t="n">
        <v>0</v>
      </c>
      <c r="O914" t="n">
        <v>0</v>
      </c>
      <c r="P914" t="n">
        <v>0</v>
      </c>
      <c r="Q914" t="n">
        <v>0</v>
      </c>
      <c r="R914" s="2" t="inlineStr"/>
    </row>
    <row r="915" ht="15" customHeight="1">
      <c r="A915" t="inlineStr">
        <is>
          <t>A 4571-2019</t>
        </is>
      </c>
      <c r="B915" s="1" t="n">
        <v>43486</v>
      </c>
      <c r="C915" s="1" t="n">
        <v>45344</v>
      </c>
      <c r="D915" t="inlineStr">
        <is>
          <t>GÄVLEBORGS LÄN</t>
        </is>
      </c>
      <c r="E915" t="inlineStr">
        <is>
          <t>HUDIKSVALL</t>
        </is>
      </c>
      <c r="G915" t="n">
        <v>3.2</v>
      </c>
      <c r="H915" t="n">
        <v>0</v>
      </c>
      <c r="I915" t="n">
        <v>0</v>
      </c>
      <c r="J915" t="n">
        <v>0</v>
      </c>
      <c r="K915" t="n">
        <v>0</v>
      </c>
      <c r="L915" t="n">
        <v>0</v>
      </c>
      <c r="M915" t="n">
        <v>0</v>
      </c>
      <c r="N915" t="n">
        <v>0</v>
      </c>
      <c r="O915" t="n">
        <v>0</v>
      </c>
      <c r="P915" t="n">
        <v>0</v>
      </c>
      <c r="Q915" t="n">
        <v>0</v>
      </c>
      <c r="R915" s="2" t="inlineStr"/>
    </row>
    <row r="916" ht="15" customHeight="1">
      <c r="A916" t="inlineStr">
        <is>
          <t>A 4599-2019</t>
        </is>
      </c>
      <c r="B916" s="1" t="n">
        <v>43486</v>
      </c>
      <c r="C916" s="1" t="n">
        <v>45344</v>
      </c>
      <c r="D916" t="inlineStr">
        <is>
          <t>GÄVLEBORGS LÄN</t>
        </is>
      </c>
      <c r="E916" t="inlineStr">
        <is>
          <t>HUDIKSVALL</t>
        </is>
      </c>
      <c r="G916" t="n">
        <v>1.5</v>
      </c>
      <c r="H916" t="n">
        <v>0</v>
      </c>
      <c r="I916" t="n">
        <v>0</v>
      </c>
      <c r="J916" t="n">
        <v>0</v>
      </c>
      <c r="K916" t="n">
        <v>0</v>
      </c>
      <c r="L916" t="n">
        <v>0</v>
      </c>
      <c r="M916" t="n">
        <v>0</v>
      </c>
      <c r="N916" t="n">
        <v>0</v>
      </c>
      <c r="O916" t="n">
        <v>0</v>
      </c>
      <c r="P916" t="n">
        <v>0</v>
      </c>
      <c r="Q916" t="n">
        <v>0</v>
      </c>
      <c r="R916" s="2" t="inlineStr"/>
    </row>
    <row r="917" ht="15" customHeight="1">
      <c r="A917" t="inlineStr">
        <is>
          <t>A 4689-2019</t>
        </is>
      </c>
      <c r="B917" s="1" t="n">
        <v>43486</v>
      </c>
      <c r="C917" s="1" t="n">
        <v>45344</v>
      </c>
      <c r="D917" t="inlineStr">
        <is>
          <t>GÄVLEBORGS LÄN</t>
        </is>
      </c>
      <c r="E917" t="inlineStr">
        <is>
          <t>LJUSDAL</t>
        </is>
      </c>
      <c r="G917" t="n">
        <v>1.4</v>
      </c>
      <c r="H917" t="n">
        <v>0</v>
      </c>
      <c r="I917" t="n">
        <v>0</v>
      </c>
      <c r="J917" t="n">
        <v>0</v>
      </c>
      <c r="K917" t="n">
        <v>0</v>
      </c>
      <c r="L917" t="n">
        <v>0</v>
      </c>
      <c r="M917" t="n">
        <v>0</v>
      </c>
      <c r="N917" t="n">
        <v>0</v>
      </c>
      <c r="O917" t="n">
        <v>0</v>
      </c>
      <c r="P917" t="n">
        <v>0</v>
      </c>
      <c r="Q917" t="n">
        <v>0</v>
      </c>
      <c r="R917" s="2" t="inlineStr"/>
    </row>
    <row r="918" ht="15" customHeight="1">
      <c r="A918" t="inlineStr">
        <is>
          <t>A 6234-2019</t>
        </is>
      </c>
      <c r="B918" s="1" t="n">
        <v>43486</v>
      </c>
      <c r="C918" s="1" t="n">
        <v>45344</v>
      </c>
      <c r="D918" t="inlineStr">
        <is>
          <t>GÄVLEBORGS LÄN</t>
        </is>
      </c>
      <c r="E918" t="inlineStr">
        <is>
          <t>GÄVLE</t>
        </is>
      </c>
      <c r="G918" t="n">
        <v>2</v>
      </c>
      <c r="H918" t="n">
        <v>0</v>
      </c>
      <c r="I918" t="n">
        <v>0</v>
      </c>
      <c r="J918" t="n">
        <v>0</v>
      </c>
      <c r="K918" t="n">
        <v>0</v>
      </c>
      <c r="L918" t="n">
        <v>0</v>
      </c>
      <c r="M918" t="n">
        <v>0</v>
      </c>
      <c r="N918" t="n">
        <v>0</v>
      </c>
      <c r="O918" t="n">
        <v>0</v>
      </c>
      <c r="P918" t="n">
        <v>0</v>
      </c>
      <c r="Q918" t="n">
        <v>0</v>
      </c>
      <c r="R918" s="2" t="inlineStr"/>
    </row>
    <row r="919" ht="15" customHeight="1">
      <c r="A919" t="inlineStr">
        <is>
          <t>A 4746-2019</t>
        </is>
      </c>
      <c r="B919" s="1" t="n">
        <v>43486</v>
      </c>
      <c r="C919" s="1" t="n">
        <v>45344</v>
      </c>
      <c r="D919" t="inlineStr">
        <is>
          <t>GÄVLEBORGS LÄN</t>
        </is>
      </c>
      <c r="E919" t="inlineStr">
        <is>
          <t>HUDIKSVALL</t>
        </is>
      </c>
      <c r="G919" t="n">
        <v>4.7</v>
      </c>
      <c r="H919" t="n">
        <v>0</v>
      </c>
      <c r="I919" t="n">
        <v>0</v>
      </c>
      <c r="J919" t="n">
        <v>0</v>
      </c>
      <c r="K919" t="n">
        <v>0</v>
      </c>
      <c r="L919" t="n">
        <v>0</v>
      </c>
      <c r="M919" t="n">
        <v>0</v>
      </c>
      <c r="N919" t="n">
        <v>0</v>
      </c>
      <c r="O919" t="n">
        <v>0</v>
      </c>
      <c r="P919" t="n">
        <v>0</v>
      </c>
      <c r="Q919" t="n">
        <v>0</v>
      </c>
      <c r="R919" s="2" t="inlineStr"/>
    </row>
    <row r="920" ht="15" customHeight="1">
      <c r="A920" t="inlineStr">
        <is>
          <t>A 6215-2019</t>
        </is>
      </c>
      <c r="B920" s="1" t="n">
        <v>43486</v>
      </c>
      <c r="C920" s="1" t="n">
        <v>45344</v>
      </c>
      <c r="D920" t="inlineStr">
        <is>
          <t>GÄVLEBORGS LÄN</t>
        </is>
      </c>
      <c r="E920" t="inlineStr">
        <is>
          <t>GÄVLE</t>
        </is>
      </c>
      <c r="G920" t="n">
        <v>3.3</v>
      </c>
      <c r="H920" t="n">
        <v>0</v>
      </c>
      <c r="I920" t="n">
        <v>0</v>
      </c>
      <c r="J920" t="n">
        <v>0</v>
      </c>
      <c r="K920" t="n">
        <v>0</v>
      </c>
      <c r="L920" t="n">
        <v>0</v>
      </c>
      <c r="M920" t="n">
        <v>0</v>
      </c>
      <c r="N920" t="n">
        <v>0</v>
      </c>
      <c r="O920" t="n">
        <v>0</v>
      </c>
      <c r="P920" t="n">
        <v>0</v>
      </c>
      <c r="Q920" t="n">
        <v>0</v>
      </c>
      <c r="R920" s="2" t="inlineStr"/>
    </row>
    <row r="921" ht="15" customHeight="1">
      <c r="A921" t="inlineStr">
        <is>
          <t>A 4558-2019</t>
        </is>
      </c>
      <c r="B921" s="1" t="n">
        <v>43486</v>
      </c>
      <c r="C921" s="1" t="n">
        <v>45344</v>
      </c>
      <c r="D921" t="inlineStr">
        <is>
          <t>GÄVLEBORGS LÄN</t>
        </is>
      </c>
      <c r="E921" t="inlineStr">
        <is>
          <t>OVANÅKER</t>
        </is>
      </c>
      <c r="G921" t="n">
        <v>4</v>
      </c>
      <c r="H921" t="n">
        <v>0</v>
      </c>
      <c r="I921" t="n">
        <v>0</v>
      </c>
      <c r="J921" t="n">
        <v>0</v>
      </c>
      <c r="K921" t="n">
        <v>0</v>
      </c>
      <c r="L921" t="n">
        <v>0</v>
      </c>
      <c r="M921" t="n">
        <v>0</v>
      </c>
      <c r="N921" t="n">
        <v>0</v>
      </c>
      <c r="O921" t="n">
        <v>0</v>
      </c>
      <c r="P921" t="n">
        <v>0</v>
      </c>
      <c r="Q921" t="n">
        <v>0</v>
      </c>
      <c r="R921" s="2" t="inlineStr"/>
    </row>
    <row r="922" ht="15" customHeight="1">
      <c r="A922" t="inlineStr">
        <is>
          <t>A 4791-2019</t>
        </is>
      </c>
      <c r="B922" s="1" t="n">
        <v>43486</v>
      </c>
      <c r="C922" s="1" t="n">
        <v>45344</v>
      </c>
      <c r="D922" t="inlineStr">
        <is>
          <t>GÄVLEBORGS LÄN</t>
        </is>
      </c>
      <c r="E922" t="inlineStr">
        <is>
          <t>HUDIKSVALL</t>
        </is>
      </c>
      <c r="G922" t="n">
        <v>1.3</v>
      </c>
      <c r="H922" t="n">
        <v>0</v>
      </c>
      <c r="I922" t="n">
        <v>0</v>
      </c>
      <c r="J922" t="n">
        <v>0</v>
      </c>
      <c r="K922" t="n">
        <v>0</v>
      </c>
      <c r="L922" t="n">
        <v>0</v>
      </c>
      <c r="M922" t="n">
        <v>0</v>
      </c>
      <c r="N922" t="n">
        <v>0</v>
      </c>
      <c r="O922" t="n">
        <v>0</v>
      </c>
      <c r="P922" t="n">
        <v>0</v>
      </c>
      <c r="Q922" t="n">
        <v>0</v>
      </c>
      <c r="R922" s="2" t="inlineStr"/>
    </row>
    <row r="923" ht="15" customHeight="1">
      <c r="A923" t="inlineStr">
        <is>
          <t>A 4556-2019</t>
        </is>
      </c>
      <c r="B923" s="1" t="n">
        <v>43486</v>
      </c>
      <c r="C923" s="1" t="n">
        <v>45344</v>
      </c>
      <c r="D923" t="inlineStr">
        <is>
          <t>GÄVLEBORGS LÄN</t>
        </is>
      </c>
      <c r="E923" t="inlineStr">
        <is>
          <t>LJUSDAL</t>
        </is>
      </c>
      <c r="F923" t="inlineStr">
        <is>
          <t>Kyrkan</t>
        </is>
      </c>
      <c r="G923" t="n">
        <v>17.3</v>
      </c>
      <c r="H923" t="n">
        <v>0</v>
      </c>
      <c r="I923" t="n">
        <v>0</v>
      </c>
      <c r="J923" t="n">
        <v>0</v>
      </c>
      <c r="K923" t="n">
        <v>0</v>
      </c>
      <c r="L923" t="n">
        <v>0</v>
      </c>
      <c r="M923" t="n">
        <v>0</v>
      </c>
      <c r="N923" t="n">
        <v>0</v>
      </c>
      <c r="O923" t="n">
        <v>0</v>
      </c>
      <c r="P923" t="n">
        <v>0</v>
      </c>
      <c r="Q923" t="n">
        <v>0</v>
      </c>
      <c r="R923" s="2" t="inlineStr"/>
    </row>
    <row r="924" ht="15" customHeight="1">
      <c r="A924" t="inlineStr">
        <is>
          <t>A 4598-2019</t>
        </is>
      </c>
      <c r="B924" s="1" t="n">
        <v>43486</v>
      </c>
      <c r="C924" s="1" t="n">
        <v>45344</v>
      </c>
      <c r="D924" t="inlineStr">
        <is>
          <t>GÄVLEBORGS LÄN</t>
        </is>
      </c>
      <c r="E924" t="inlineStr">
        <is>
          <t>HUDIKSVALL</t>
        </is>
      </c>
      <c r="G924" t="n">
        <v>1.2</v>
      </c>
      <c r="H924" t="n">
        <v>0</v>
      </c>
      <c r="I924" t="n">
        <v>0</v>
      </c>
      <c r="J924" t="n">
        <v>0</v>
      </c>
      <c r="K924" t="n">
        <v>0</v>
      </c>
      <c r="L924" t="n">
        <v>0</v>
      </c>
      <c r="M924" t="n">
        <v>0</v>
      </c>
      <c r="N924" t="n">
        <v>0</v>
      </c>
      <c r="O924" t="n">
        <v>0</v>
      </c>
      <c r="P924" t="n">
        <v>0</v>
      </c>
      <c r="Q924" t="n">
        <v>0</v>
      </c>
      <c r="R924" s="2" t="inlineStr"/>
    </row>
    <row r="925" ht="15" customHeight="1">
      <c r="A925" t="inlineStr">
        <is>
          <t>A 4880-2019</t>
        </is>
      </c>
      <c r="B925" s="1" t="n">
        <v>43487</v>
      </c>
      <c r="C925" s="1" t="n">
        <v>45344</v>
      </c>
      <c r="D925" t="inlineStr">
        <is>
          <t>GÄVLEBORGS LÄN</t>
        </is>
      </c>
      <c r="E925" t="inlineStr">
        <is>
          <t>OVANÅKER</t>
        </is>
      </c>
      <c r="G925" t="n">
        <v>7.2</v>
      </c>
      <c r="H925" t="n">
        <v>0</v>
      </c>
      <c r="I925" t="n">
        <v>0</v>
      </c>
      <c r="J925" t="n">
        <v>0</v>
      </c>
      <c r="K925" t="n">
        <v>0</v>
      </c>
      <c r="L925" t="n">
        <v>0</v>
      </c>
      <c r="M925" t="n">
        <v>0</v>
      </c>
      <c r="N925" t="n">
        <v>0</v>
      </c>
      <c r="O925" t="n">
        <v>0</v>
      </c>
      <c r="P925" t="n">
        <v>0</v>
      </c>
      <c r="Q925" t="n">
        <v>0</v>
      </c>
      <c r="R925" s="2" t="inlineStr"/>
    </row>
    <row r="926" ht="15" customHeight="1">
      <c r="A926" t="inlineStr">
        <is>
          <t>A 5076-2019</t>
        </is>
      </c>
      <c r="B926" s="1" t="n">
        <v>43487</v>
      </c>
      <c r="C926" s="1" t="n">
        <v>45344</v>
      </c>
      <c r="D926" t="inlineStr">
        <is>
          <t>GÄVLEBORGS LÄN</t>
        </is>
      </c>
      <c r="E926" t="inlineStr">
        <is>
          <t>SÖDERHAMN</t>
        </is>
      </c>
      <c r="G926" t="n">
        <v>3.7</v>
      </c>
      <c r="H926" t="n">
        <v>0</v>
      </c>
      <c r="I926" t="n">
        <v>0</v>
      </c>
      <c r="J926" t="n">
        <v>0</v>
      </c>
      <c r="K926" t="n">
        <v>0</v>
      </c>
      <c r="L926" t="n">
        <v>0</v>
      </c>
      <c r="M926" t="n">
        <v>0</v>
      </c>
      <c r="N926" t="n">
        <v>0</v>
      </c>
      <c r="O926" t="n">
        <v>0</v>
      </c>
      <c r="P926" t="n">
        <v>0</v>
      </c>
      <c r="Q926" t="n">
        <v>0</v>
      </c>
      <c r="R926" s="2" t="inlineStr"/>
    </row>
    <row r="927" ht="15" customHeight="1">
      <c r="A927" t="inlineStr">
        <is>
          <t>A 5057-2019</t>
        </is>
      </c>
      <c r="B927" s="1" t="n">
        <v>43487</v>
      </c>
      <c r="C927" s="1" t="n">
        <v>45344</v>
      </c>
      <c r="D927" t="inlineStr">
        <is>
          <t>GÄVLEBORGS LÄN</t>
        </is>
      </c>
      <c r="E927" t="inlineStr">
        <is>
          <t>LJUSDAL</t>
        </is>
      </c>
      <c r="G927" t="n">
        <v>12.1</v>
      </c>
      <c r="H927" t="n">
        <v>0</v>
      </c>
      <c r="I927" t="n">
        <v>0</v>
      </c>
      <c r="J927" t="n">
        <v>0</v>
      </c>
      <c r="K927" t="n">
        <v>0</v>
      </c>
      <c r="L927" t="n">
        <v>0</v>
      </c>
      <c r="M927" t="n">
        <v>0</v>
      </c>
      <c r="N927" t="n">
        <v>0</v>
      </c>
      <c r="O927" t="n">
        <v>0</v>
      </c>
      <c r="P927" t="n">
        <v>0</v>
      </c>
      <c r="Q927" t="n">
        <v>0</v>
      </c>
      <c r="R927" s="2" t="inlineStr"/>
    </row>
    <row r="928" ht="15" customHeight="1">
      <c r="A928" t="inlineStr">
        <is>
          <t>A 5017-2019</t>
        </is>
      </c>
      <c r="B928" s="1" t="n">
        <v>43487</v>
      </c>
      <c r="C928" s="1" t="n">
        <v>45344</v>
      </c>
      <c r="D928" t="inlineStr">
        <is>
          <t>GÄVLEBORGS LÄN</t>
        </is>
      </c>
      <c r="E928" t="inlineStr">
        <is>
          <t>SANDVIKEN</t>
        </is>
      </c>
      <c r="G928" t="n">
        <v>8.5</v>
      </c>
      <c r="H928" t="n">
        <v>0</v>
      </c>
      <c r="I928" t="n">
        <v>0</v>
      </c>
      <c r="J928" t="n">
        <v>0</v>
      </c>
      <c r="K928" t="n">
        <v>0</v>
      </c>
      <c r="L928" t="n">
        <v>0</v>
      </c>
      <c r="M928" t="n">
        <v>0</v>
      </c>
      <c r="N928" t="n">
        <v>0</v>
      </c>
      <c r="O928" t="n">
        <v>0</v>
      </c>
      <c r="P928" t="n">
        <v>0</v>
      </c>
      <c r="Q928" t="n">
        <v>0</v>
      </c>
      <c r="R928" s="2" t="inlineStr"/>
    </row>
    <row r="929" ht="15" customHeight="1">
      <c r="A929" t="inlineStr">
        <is>
          <t>A 4930-2019</t>
        </is>
      </c>
      <c r="B929" s="1" t="n">
        <v>43487</v>
      </c>
      <c r="C929" s="1" t="n">
        <v>45344</v>
      </c>
      <c r="D929" t="inlineStr">
        <is>
          <t>GÄVLEBORGS LÄN</t>
        </is>
      </c>
      <c r="E929" t="inlineStr">
        <is>
          <t>SÖDERHAMN</t>
        </is>
      </c>
      <c r="G929" t="n">
        <v>0.7</v>
      </c>
      <c r="H929" t="n">
        <v>0</v>
      </c>
      <c r="I929" t="n">
        <v>0</v>
      </c>
      <c r="J929" t="n">
        <v>0</v>
      </c>
      <c r="K929" t="n">
        <v>0</v>
      </c>
      <c r="L929" t="n">
        <v>0</v>
      </c>
      <c r="M929" t="n">
        <v>0</v>
      </c>
      <c r="N929" t="n">
        <v>0</v>
      </c>
      <c r="O929" t="n">
        <v>0</v>
      </c>
      <c r="P929" t="n">
        <v>0</v>
      </c>
      <c r="Q929" t="n">
        <v>0</v>
      </c>
      <c r="R929" s="2" t="inlineStr"/>
    </row>
    <row r="930" ht="15" customHeight="1">
      <c r="A930" t="inlineStr">
        <is>
          <t>A 5418-2019</t>
        </is>
      </c>
      <c r="B930" s="1" t="n">
        <v>43488</v>
      </c>
      <c r="C930" s="1" t="n">
        <v>45344</v>
      </c>
      <c r="D930" t="inlineStr">
        <is>
          <t>GÄVLEBORGS LÄN</t>
        </is>
      </c>
      <c r="E930" t="inlineStr">
        <is>
          <t>NORDANSTIG</t>
        </is>
      </c>
      <c r="G930" t="n">
        <v>7.2</v>
      </c>
      <c r="H930" t="n">
        <v>0</v>
      </c>
      <c r="I930" t="n">
        <v>0</v>
      </c>
      <c r="J930" t="n">
        <v>0</v>
      </c>
      <c r="K930" t="n">
        <v>0</v>
      </c>
      <c r="L930" t="n">
        <v>0</v>
      </c>
      <c r="M930" t="n">
        <v>0</v>
      </c>
      <c r="N930" t="n">
        <v>0</v>
      </c>
      <c r="O930" t="n">
        <v>0</v>
      </c>
      <c r="P930" t="n">
        <v>0</v>
      </c>
      <c r="Q930" t="n">
        <v>0</v>
      </c>
      <c r="R930" s="2" t="inlineStr"/>
    </row>
    <row r="931" ht="15" customHeight="1">
      <c r="A931" t="inlineStr">
        <is>
          <t>A 5641-2019</t>
        </is>
      </c>
      <c r="B931" s="1" t="n">
        <v>43489</v>
      </c>
      <c r="C931" s="1" t="n">
        <v>45344</v>
      </c>
      <c r="D931" t="inlineStr">
        <is>
          <t>GÄVLEBORGS LÄN</t>
        </is>
      </c>
      <c r="E931" t="inlineStr">
        <is>
          <t>GÄVLE</t>
        </is>
      </c>
      <c r="G931" t="n">
        <v>2.5</v>
      </c>
      <c r="H931" t="n">
        <v>0</v>
      </c>
      <c r="I931" t="n">
        <v>0</v>
      </c>
      <c r="J931" t="n">
        <v>0</v>
      </c>
      <c r="K931" t="n">
        <v>0</v>
      </c>
      <c r="L931" t="n">
        <v>0</v>
      </c>
      <c r="M931" t="n">
        <v>0</v>
      </c>
      <c r="N931" t="n">
        <v>0</v>
      </c>
      <c r="O931" t="n">
        <v>0</v>
      </c>
      <c r="P931" t="n">
        <v>0</v>
      </c>
      <c r="Q931" t="n">
        <v>0</v>
      </c>
      <c r="R931" s="2" t="inlineStr"/>
    </row>
    <row r="932" ht="15" customHeight="1">
      <c r="A932" t="inlineStr">
        <is>
          <t>A 5671-2019</t>
        </is>
      </c>
      <c r="B932" s="1" t="n">
        <v>43489</v>
      </c>
      <c r="C932" s="1" t="n">
        <v>45344</v>
      </c>
      <c r="D932" t="inlineStr">
        <is>
          <t>GÄVLEBORGS LÄN</t>
        </is>
      </c>
      <c r="E932" t="inlineStr">
        <is>
          <t>NORDANSTIG</t>
        </is>
      </c>
      <c r="G932" t="n">
        <v>18.4</v>
      </c>
      <c r="H932" t="n">
        <v>0</v>
      </c>
      <c r="I932" t="n">
        <v>0</v>
      </c>
      <c r="J932" t="n">
        <v>0</v>
      </c>
      <c r="K932" t="n">
        <v>0</v>
      </c>
      <c r="L932" t="n">
        <v>0</v>
      </c>
      <c r="M932" t="n">
        <v>0</v>
      </c>
      <c r="N932" t="n">
        <v>0</v>
      </c>
      <c r="O932" t="n">
        <v>0</v>
      </c>
      <c r="P932" t="n">
        <v>0</v>
      </c>
      <c r="Q932" t="n">
        <v>0</v>
      </c>
      <c r="R932" s="2" t="inlineStr"/>
    </row>
    <row r="933" ht="15" customHeight="1">
      <c r="A933" t="inlineStr">
        <is>
          <t>A 5608-2019</t>
        </is>
      </c>
      <c r="B933" s="1" t="n">
        <v>43489</v>
      </c>
      <c r="C933" s="1" t="n">
        <v>45344</v>
      </c>
      <c r="D933" t="inlineStr">
        <is>
          <t>GÄVLEBORGS LÄN</t>
        </is>
      </c>
      <c r="E933" t="inlineStr">
        <is>
          <t>GÄVLE</t>
        </is>
      </c>
      <c r="G933" t="n">
        <v>2.6</v>
      </c>
      <c r="H933" t="n">
        <v>0</v>
      </c>
      <c r="I933" t="n">
        <v>0</v>
      </c>
      <c r="J933" t="n">
        <v>0</v>
      </c>
      <c r="K933" t="n">
        <v>0</v>
      </c>
      <c r="L933" t="n">
        <v>0</v>
      </c>
      <c r="M933" t="n">
        <v>0</v>
      </c>
      <c r="N933" t="n">
        <v>0</v>
      </c>
      <c r="O933" t="n">
        <v>0</v>
      </c>
      <c r="P933" t="n">
        <v>0</v>
      </c>
      <c r="Q933" t="n">
        <v>0</v>
      </c>
      <c r="R933" s="2" t="inlineStr"/>
    </row>
    <row r="934" ht="15" customHeight="1">
      <c r="A934" t="inlineStr">
        <is>
          <t>A 5581-2019</t>
        </is>
      </c>
      <c r="B934" s="1" t="n">
        <v>43489</v>
      </c>
      <c r="C934" s="1" t="n">
        <v>45344</v>
      </c>
      <c r="D934" t="inlineStr">
        <is>
          <t>GÄVLEBORGS LÄN</t>
        </is>
      </c>
      <c r="E934" t="inlineStr">
        <is>
          <t>GÄVLE</t>
        </is>
      </c>
      <c r="G934" t="n">
        <v>6.2</v>
      </c>
      <c r="H934" t="n">
        <v>0</v>
      </c>
      <c r="I934" t="n">
        <v>0</v>
      </c>
      <c r="J934" t="n">
        <v>0</v>
      </c>
      <c r="K934" t="n">
        <v>0</v>
      </c>
      <c r="L934" t="n">
        <v>0</v>
      </c>
      <c r="M934" t="n">
        <v>0</v>
      </c>
      <c r="N934" t="n">
        <v>0</v>
      </c>
      <c r="O934" t="n">
        <v>0</v>
      </c>
      <c r="P934" t="n">
        <v>0</v>
      </c>
      <c r="Q934" t="n">
        <v>0</v>
      </c>
      <c r="R934" s="2" t="inlineStr"/>
    </row>
    <row r="935" ht="15" customHeight="1">
      <c r="A935" t="inlineStr">
        <is>
          <t>A 7093-2019</t>
        </is>
      </c>
      <c r="B935" s="1" t="n">
        <v>43489</v>
      </c>
      <c r="C935" s="1" t="n">
        <v>45344</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5675-2019</t>
        </is>
      </c>
      <c r="B936" s="1" t="n">
        <v>43489</v>
      </c>
      <c r="C936" s="1" t="n">
        <v>45344</v>
      </c>
      <c r="D936" t="inlineStr">
        <is>
          <t>GÄVLEBORGS LÄN</t>
        </is>
      </c>
      <c r="E936" t="inlineStr">
        <is>
          <t>SÖDERHAMN</t>
        </is>
      </c>
      <c r="G936" t="n">
        <v>0.9</v>
      </c>
      <c r="H936" t="n">
        <v>0</v>
      </c>
      <c r="I936" t="n">
        <v>0</v>
      </c>
      <c r="J936" t="n">
        <v>0</v>
      </c>
      <c r="K936" t="n">
        <v>0</v>
      </c>
      <c r="L936" t="n">
        <v>0</v>
      </c>
      <c r="M936" t="n">
        <v>0</v>
      </c>
      <c r="N936" t="n">
        <v>0</v>
      </c>
      <c r="O936" t="n">
        <v>0</v>
      </c>
      <c r="P936" t="n">
        <v>0</v>
      </c>
      <c r="Q936" t="n">
        <v>0</v>
      </c>
      <c r="R936" s="2" t="inlineStr"/>
    </row>
    <row r="937" ht="15" customHeight="1">
      <c r="A937" t="inlineStr">
        <is>
          <t>A 5634-2019</t>
        </is>
      </c>
      <c r="B937" s="1" t="n">
        <v>43489</v>
      </c>
      <c r="C937" s="1" t="n">
        <v>45344</v>
      </c>
      <c r="D937" t="inlineStr">
        <is>
          <t>GÄVLEBORGS LÄN</t>
        </is>
      </c>
      <c r="E937" t="inlineStr">
        <is>
          <t>GÄVLE</t>
        </is>
      </c>
      <c r="G937" t="n">
        <v>1.7</v>
      </c>
      <c r="H937" t="n">
        <v>0</v>
      </c>
      <c r="I937" t="n">
        <v>0</v>
      </c>
      <c r="J937" t="n">
        <v>0</v>
      </c>
      <c r="K937" t="n">
        <v>0</v>
      </c>
      <c r="L937" t="n">
        <v>0</v>
      </c>
      <c r="M937" t="n">
        <v>0</v>
      </c>
      <c r="N937" t="n">
        <v>0</v>
      </c>
      <c r="O937" t="n">
        <v>0</v>
      </c>
      <c r="P937" t="n">
        <v>0</v>
      </c>
      <c r="Q937" t="n">
        <v>0</v>
      </c>
      <c r="R937" s="2" t="inlineStr"/>
    </row>
    <row r="938" ht="15" customHeight="1">
      <c r="A938" t="inlineStr">
        <is>
          <t>A 5777-2019</t>
        </is>
      </c>
      <c r="B938" s="1" t="n">
        <v>43490</v>
      </c>
      <c r="C938" s="1" t="n">
        <v>45344</v>
      </c>
      <c r="D938" t="inlineStr">
        <is>
          <t>GÄVLEBORGS LÄN</t>
        </is>
      </c>
      <c r="E938" t="inlineStr">
        <is>
          <t>LJUSDAL</t>
        </is>
      </c>
      <c r="F938" t="inlineStr">
        <is>
          <t>Bergvik skog väst AB</t>
        </is>
      </c>
      <c r="G938" t="n">
        <v>1.4</v>
      </c>
      <c r="H938" t="n">
        <v>0</v>
      </c>
      <c r="I938" t="n">
        <v>0</v>
      </c>
      <c r="J938" t="n">
        <v>0</v>
      </c>
      <c r="K938" t="n">
        <v>0</v>
      </c>
      <c r="L938" t="n">
        <v>0</v>
      </c>
      <c r="M938" t="n">
        <v>0</v>
      </c>
      <c r="N938" t="n">
        <v>0</v>
      </c>
      <c r="O938" t="n">
        <v>0</v>
      </c>
      <c r="P938" t="n">
        <v>0</v>
      </c>
      <c r="Q938" t="n">
        <v>0</v>
      </c>
      <c r="R938" s="2" t="inlineStr"/>
    </row>
    <row r="939" ht="15" customHeight="1">
      <c r="A939" t="inlineStr">
        <is>
          <t>A 5739-2019</t>
        </is>
      </c>
      <c r="B939" s="1" t="n">
        <v>43490</v>
      </c>
      <c r="C939" s="1" t="n">
        <v>45344</v>
      </c>
      <c r="D939" t="inlineStr">
        <is>
          <t>GÄVLEBORGS LÄN</t>
        </is>
      </c>
      <c r="E939" t="inlineStr">
        <is>
          <t>OCKELBO</t>
        </is>
      </c>
      <c r="G939" t="n">
        <v>7</v>
      </c>
      <c r="H939" t="n">
        <v>0</v>
      </c>
      <c r="I939" t="n">
        <v>0</v>
      </c>
      <c r="J939" t="n">
        <v>0</v>
      </c>
      <c r="K939" t="n">
        <v>0</v>
      </c>
      <c r="L939" t="n">
        <v>0</v>
      </c>
      <c r="M939" t="n">
        <v>0</v>
      </c>
      <c r="N939" t="n">
        <v>0</v>
      </c>
      <c r="O939" t="n">
        <v>0</v>
      </c>
      <c r="P939" t="n">
        <v>0</v>
      </c>
      <c r="Q939" t="n">
        <v>0</v>
      </c>
      <c r="R939" s="2" t="inlineStr"/>
    </row>
    <row r="940" ht="15" customHeight="1">
      <c r="A940" t="inlineStr">
        <is>
          <t>A 5746-2019</t>
        </is>
      </c>
      <c r="B940" s="1" t="n">
        <v>43490</v>
      </c>
      <c r="C940" s="1" t="n">
        <v>45344</v>
      </c>
      <c r="D940" t="inlineStr">
        <is>
          <t>GÄVLEBORGS LÄN</t>
        </is>
      </c>
      <c r="E940" t="inlineStr">
        <is>
          <t>HOFORS</t>
        </is>
      </c>
      <c r="G940" t="n">
        <v>3.1</v>
      </c>
      <c r="H940" t="n">
        <v>0</v>
      </c>
      <c r="I940" t="n">
        <v>0</v>
      </c>
      <c r="J940" t="n">
        <v>0</v>
      </c>
      <c r="K940" t="n">
        <v>0</v>
      </c>
      <c r="L940" t="n">
        <v>0</v>
      </c>
      <c r="M940" t="n">
        <v>0</v>
      </c>
      <c r="N940" t="n">
        <v>0</v>
      </c>
      <c r="O940" t="n">
        <v>0</v>
      </c>
      <c r="P940" t="n">
        <v>0</v>
      </c>
      <c r="Q940" t="n">
        <v>0</v>
      </c>
      <c r="R940" s="2" t="inlineStr"/>
    </row>
    <row r="941" ht="15" customHeight="1">
      <c r="A941" t="inlineStr">
        <is>
          <t>A 5898-2019</t>
        </is>
      </c>
      <c r="B941" s="1" t="n">
        <v>43490</v>
      </c>
      <c r="C941" s="1" t="n">
        <v>45344</v>
      </c>
      <c r="D941" t="inlineStr">
        <is>
          <t>GÄVLEBORGS LÄN</t>
        </is>
      </c>
      <c r="E941" t="inlineStr">
        <is>
          <t>OCKELBO</t>
        </is>
      </c>
      <c r="G941" t="n">
        <v>4.8</v>
      </c>
      <c r="H941" t="n">
        <v>0</v>
      </c>
      <c r="I941" t="n">
        <v>0</v>
      </c>
      <c r="J941" t="n">
        <v>0</v>
      </c>
      <c r="K941" t="n">
        <v>0</v>
      </c>
      <c r="L941" t="n">
        <v>0</v>
      </c>
      <c r="M941" t="n">
        <v>0</v>
      </c>
      <c r="N941" t="n">
        <v>0</v>
      </c>
      <c r="O941" t="n">
        <v>0</v>
      </c>
      <c r="P941" t="n">
        <v>0</v>
      </c>
      <c r="Q941" t="n">
        <v>0</v>
      </c>
      <c r="R941" s="2" t="inlineStr"/>
    </row>
    <row r="942" ht="15" customHeight="1">
      <c r="A942" t="inlineStr">
        <is>
          <t>A 6119-2019</t>
        </is>
      </c>
      <c r="B942" s="1" t="n">
        <v>43493</v>
      </c>
      <c r="C942" s="1" t="n">
        <v>45344</v>
      </c>
      <c r="D942" t="inlineStr">
        <is>
          <t>GÄVLEBORGS LÄN</t>
        </is>
      </c>
      <c r="E942" t="inlineStr">
        <is>
          <t>LJUSDAL</t>
        </is>
      </c>
      <c r="G942" t="n">
        <v>23</v>
      </c>
      <c r="H942" t="n">
        <v>0</v>
      </c>
      <c r="I942" t="n">
        <v>0</v>
      </c>
      <c r="J942" t="n">
        <v>0</v>
      </c>
      <c r="K942" t="n">
        <v>0</v>
      </c>
      <c r="L942" t="n">
        <v>0</v>
      </c>
      <c r="M942" t="n">
        <v>0</v>
      </c>
      <c r="N942" t="n">
        <v>0</v>
      </c>
      <c r="O942" t="n">
        <v>0</v>
      </c>
      <c r="P942" t="n">
        <v>0</v>
      </c>
      <c r="Q942" t="n">
        <v>0</v>
      </c>
      <c r="R942" s="2" t="inlineStr"/>
    </row>
    <row r="943" ht="15" customHeight="1">
      <c r="A943" t="inlineStr">
        <is>
          <t>A 6244-2019</t>
        </is>
      </c>
      <c r="B943" s="1" t="n">
        <v>43493</v>
      </c>
      <c r="C943" s="1" t="n">
        <v>45344</v>
      </c>
      <c r="D943" t="inlineStr">
        <is>
          <t>GÄVLEBORGS LÄN</t>
        </is>
      </c>
      <c r="E943" t="inlineStr">
        <is>
          <t>OCKELBO</t>
        </is>
      </c>
      <c r="G943" t="n">
        <v>1.1</v>
      </c>
      <c r="H943" t="n">
        <v>0</v>
      </c>
      <c r="I943" t="n">
        <v>0</v>
      </c>
      <c r="J943" t="n">
        <v>0</v>
      </c>
      <c r="K943" t="n">
        <v>0</v>
      </c>
      <c r="L943" t="n">
        <v>0</v>
      </c>
      <c r="M943" t="n">
        <v>0</v>
      </c>
      <c r="N943" t="n">
        <v>0</v>
      </c>
      <c r="O943" t="n">
        <v>0</v>
      </c>
      <c r="P943" t="n">
        <v>0</v>
      </c>
      <c r="Q943" t="n">
        <v>0</v>
      </c>
      <c r="R943" s="2" t="inlineStr"/>
    </row>
    <row r="944" ht="15" customHeight="1">
      <c r="A944" t="inlineStr">
        <is>
          <t>A 7664-2019</t>
        </is>
      </c>
      <c r="B944" s="1" t="n">
        <v>43493</v>
      </c>
      <c r="C944" s="1" t="n">
        <v>45344</v>
      </c>
      <c r="D944" t="inlineStr">
        <is>
          <t>GÄVLEBORGS LÄN</t>
        </is>
      </c>
      <c r="E944" t="inlineStr">
        <is>
          <t>OVANÅKER</t>
        </is>
      </c>
      <c r="G944" t="n">
        <v>9.4</v>
      </c>
      <c r="H944" t="n">
        <v>0</v>
      </c>
      <c r="I944" t="n">
        <v>0</v>
      </c>
      <c r="J944" t="n">
        <v>0</v>
      </c>
      <c r="K944" t="n">
        <v>0</v>
      </c>
      <c r="L944" t="n">
        <v>0</v>
      </c>
      <c r="M944" t="n">
        <v>0</v>
      </c>
      <c r="N944" t="n">
        <v>0</v>
      </c>
      <c r="O944" t="n">
        <v>0</v>
      </c>
      <c r="P944" t="n">
        <v>0</v>
      </c>
      <c r="Q944" t="n">
        <v>0</v>
      </c>
      <c r="R944" s="2" t="inlineStr"/>
    </row>
    <row r="945" ht="15" customHeight="1">
      <c r="A945" t="inlineStr">
        <is>
          <t>A 7684-2019</t>
        </is>
      </c>
      <c r="B945" s="1" t="n">
        <v>43493</v>
      </c>
      <c r="C945" s="1" t="n">
        <v>45344</v>
      </c>
      <c r="D945" t="inlineStr">
        <is>
          <t>GÄVLEBORGS LÄN</t>
        </is>
      </c>
      <c r="E945" t="inlineStr">
        <is>
          <t>GÄVLE</t>
        </is>
      </c>
      <c r="G945" t="n">
        <v>2.9</v>
      </c>
      <c r="H945" t="n">
        <v>0</v>
      </c>
      <c r="I945" t="n">
        <v>0</v>
      </c>
      <c r="J945" t="n">
        <v>0</v>
      </c>
      <c r="K945" t="n">
        <v>0</v>
      </c>
      <c r="L945" t="n">
        <v>0</v>
      </c>
      <c r="M945" t="n">
        <v>0</v>
      </c>
      <c r="N945" t="n">
        <v>0</v>
      </c>
      <c r="O945" t="n">
        <v>0</v>
      </c>
      <c r="P945" t="n">
        <v>0</v>
      </c>
      <c r="Q945" t="n">
        <v>0</v>
      </c>
      <c r="R945" s="2" t="inlineStr"/>
    </row>
    <row r="946" ht="15" customHeight="1">
      <c r="A946" t="inlineStr">
        <is>
          <t>A 7676-2019</t>
        </is>
      </c>
      <c r="B946" s="1" t="n">
        <v>43493</v>
      </c>
      <c r="C946" s="1" t="n">
        <v>45344</v>
      </c>
      <c r="D946" t="inlineStr">
        <is>
          <t>GÄVLEBORGS LÄN</t>
        </is>
      </c>
      <c r="E946" t="inlineStr">
        <is>
          <t>OVANÅKER</t>
        </is>
      </c>
      <c r="G946" t="n">
        <v>1.1</v>
      </c>
      <c r="H946" t="n">
        <v>0</v>
      </c>
      <c r="I946" t="n">
        <v>0</v>
      </c>
      <c r="J946" t="n">
        <v>0</v>
      </c>
      <c r="K946" t="n">
        <v>0</v>
      </c>
      <c r="L946" t="n">
        <v>0</v>
      </c>
      <c r="M946" t="n">
        <v>0</v>
      </c>
      <c r="N946" t="n">
        <v>0</v>
      </c>
      <c r="O946" t="n">
        <v>0</v>
      </c>
      <c r="P946" t="n">
        <v>0</v>
      </c>
      <c r="Q946" t="n">
        <v>0</v>
      </c>
      <c r="R946" s="2" t="inlineStr"/>
    </row>
    <row r="947" ht="15" customHeight="1">
      <c r="A947" t="inlineStr">
        <is>
          <t>A 6279-2019</t>
        </is>
      </c>
      <c r="B947" s="1" t="n">
        <v>43493</v>
      </c>
      <c r="C947" s="1" t="n">
        <v>45344</v>
      </c>
      <c r="D947" t="inlineStr">
        <is>
          <t>GÄVLEBORGS LÄN</t>
        </is>
      </c>
      <c r="E947" t="inlineStr">
        <is>
          <t>NORDANSTIG</t>
        </is>
      </c>
      <c r="G947" t="n">
        <v>3.2</v>
      </c>
      <c r="H947" t="n">
        <v>0</v>
      </c>
      <c r="I947" t="n">
        <v>0</v>
      </c>
      <c r="J947" t="n">
        <v>0</v>
      </c>
      <c r="K947" t="n">
        <v>0</v>
      </c>
      <c r="L947" t="n">
        <v>0</v>
      </c>
      <c r="M947" t="n">
        <v>0</v>
      </c>
      <c r="N947" t="n">
        <v>0</v>
      </c>
      <c r="O947" t="n">
        <v>0</v>
      </c>
      <c r="P947" t="n">
        <v>0</v>
      </c>
      <c r="Q947" t="n">
        <v>0</v>
      </c>
      <c r="R947" s="2" t="inlineStr"/>
    </row>
    <row r="948" ht="15" customHeight="1">
      <c r="A948" t="inlineStr">
        <is>
          <t>A 6488-2019</t>
        </is>
      </c>
      <c r="B948" s="1" t="n">
        <v>43494</v>
      </c>
      <c r="C948" s="1" t="n">
        <v>45344</v>
      </c>
      <c r="D948" t="inlineStr">
        <is>
          <t>GÄVLEBORGS LÄN</t>
        </is>
      </c>
      <c r="E948" t="inlineStr">
        <is>
          <t>SÖDERHAMN</t>
        </is>
      </c>
      <c r="F948" t="inlineStr">
        <is>
          <t>Bergvik skog väst AB</t>
        </is>
      </c>
      <c r="G948" t="n">
        <v>0.3</v>
      </c>
      <c r="H948" t="n">
        <v>0</v>
      </c>
      <c r="I948" t="n">
        <v>0</v>
      </c>
      <c r="J948" t="n">
        <v>0</v>
      </c>
      <c r="K948" t="n">
        <v>0</v>
      </c>
      <c r="L948" t="n">
        <v>0</v>
      </c>
      <c r="M948" t="n">
        <v>0</v>
      </c>
      <c r="N948" t="n">
        <v>0</v>
      </c>
      <c r="O948" t="n">
        <v>0</v>
      </c>
      <c r="P948" t="n">
        <v>0</v>
      </c>
      <c r="Q948" t="n">
        <v>0</v>
      </c>
      <c r="R948" s="2" t="inlineStr"/>
    </row>
    <row r="949" ht="15" customHeight="1">
      <c r="A949" t="inlineStr">
        <is>
          <t>A 6864-2019</t>
        </is>
      </c>
      <c r="B949" s="1" t="n">
        <v>43495</v>
      </c>
      <c r="C949" s="1" t="n">
        <v>45344</v>
      </c>
      <c r="D949" t="inlineStr">
        <is>
          <t>GÄVLEBORGS LÄN</t>
        </is>
      </c>
      <c r="E949" t="inlineStr">
        <is>
          <t>GÄVLE</t>
        </is>
      </c>
      <c r="G949" t="n">
        <v>4</v>
      </c>
      <c r="H949" t="n">
        <v>0</v>
      </c>
      <c r="I949" t="n">
        <v>0</v>
      </c>
      <c r="J949" t="n">
        <v>0</v>
      </c>
      <c r="K949" t="n">
        <v>0</v>
      </c>
      <c r="L949" t="n">
        <v>0</v>
      </c>
      <c r="M949" t="n">
        <v>0</v>
      </c>
      <c r="N949" t="n">
        <v>0</v>
      </c>
      <c r="O949" t="n">
        <v>0</v>
      </c>
      <c r="P949" t="n">
        <v>0</v>
      </c>
      <c r="Q949" t="n">
        <v>0</v>
      </c>
      <c r="R949" s="2" t="inlineStr"/>
    </row>
    <row r="950" ht="15" customHeight="1">
      <c r="A950" t="inlineStr">
        <is>
          <t>A 7162-2019</t>
        </is>
      </c>
      <c r="B950" s="1" t="n">
        <v>43496</v>
      </c>
      <c r="C950" s="1" t="n">
        <v>45344</v>
      </c>
      <c r="D950" t="inlineStr">
        <is>
          <t>GÄVLEBORGS LÄN</t>
        </is>
      </c>
      <c r="E950" t="inlineStr">
        <is>
          <t>OCKELBO</t>
        </is>
      </c>
      <c r="G950" t="n">
        <v>4.4</v>
      </c>
      <c r="H950" t="n">
        <v>0</v>
      </c>
      <c r="I950" t="n">
        <v>0</v>
      </c>
      <c r="J950" t="n">
        <v>0</v>
      </c>
      <c r="K950" t="n">
        <v>0</v>
      </c>
      <c r="L950" t="n">
        <v>0</v>
      </c>
      <c r="M950" t="n">
        <v>0</v>
      </c>
      <c r="N950" t="n">
        <v>0</v>
      </c>
      <c r="O950" t="n">
        <v>0</v>
      </c>
      <c r="P950" t="n">
        <v>0</v>
      </c>
      <c r="Q950" t="n">
        <v>0</v>
      </c>
      <c r="R950" s="2" t="inlineStr"/>
    </row>
    <row r="951" ht="15" customHeight="1">
      <c r="A951" t="inlineStr">
        <is>
          <t>A 7289-2019</t>
        </is>
      </c>
      <c r="B951" s="1" t="n">
        <v>43496</v>
      </c>
      <c r="C951" s="1" t="n">
        <v>45344</v>
      </c>
      <c r="D951" t="inlineStr">
        <is>
          <t>GÄVLEBORGS LÄN</t>
        </is>
      </c>
      <c r="E951" t="inlineStr">
        <is>
          <t>SANDVIKEN</t>
        </is>
      </c>
      <c r="G951" t="n">
        <v>0.7</v>
      </c>
      <c r="H951" t="n">
        <v>0</v>
      </c>
      <c r="I951" t="n">
        <v>0</v>
      </c>
      <c r="J951" t="n">
        <v>0</v>
      </c>
      <c r="K951" t="n">
        <v>0</v>
      </c>
      <c r="L951" t="n">
        <v>0</v>
      </c>
      <c r="M951" t="n">
        <v>0</v>
      </c>
      <c r="N951" t="n">
        <v>0</v>
      </c>
      <c r="O951" t="n">
        <v>0</v>
      </c>
      <c r="P951" t="n">
        <v>0</v>
      </c>
      <c r="Q951" t="n">
        <v>0</v>
      </c>
      <c r="R951" s="2" t="inlineStr"/>
    </row>
    <row r="952" ht="15" customHeight="1">
      <c r="A952" t="inlineStr">
        <is>
          <t>A 7207-2019</t>
        </is>
      </c>
      <c r="B952" s="1" t="n">
        <v>43496</v>
      </c>
      <c r="C952" s="1" t="n">
        <v>45344</v>
      </c>
      <c r="D952" t="inlineStr">
        <is>
          <t>GÄVLEBORGS LÄN</t>
        </is>
      </c>
      <c r="E952" t="inlineStr">
        <is>
          <t>LJUSDAL</t>
        </is>
      </c>
      <c r="F952" t="inlineStr">
        <is>
          <t>Sveaskog</t>
        </is>
      </c>
      <c r="G952" t="n">
        <v>1.8</v>
      </c>
      <c r="H952" t="n">
        <v>0</v>
      </c>
      <c r="I952" t="n">
        <v>0</v>
      </c>
      <c r="J952" t="n">
        <v>0</v>
      </c>
      <c r="K952" t="n">
        <v>0</v>
      </c>
      <c r="L952" t="n">
        <v>0</v>
      </c>
      <c r="M952" t="n">
        <v>0</v>
      </c>
      <c r="N952" t="n">
        <v>0</v>
      </c>
      <c r="O952" t="n">
        <v>0</v>
      </c>
      <c r="P952" t="n">
        <v>0</v>
      </c>
      <c r="Q952" t="n">
        <v>0</v>
      </c>
      <c r="R952" s="2" t="inlineStr"/>
    </row>
    <row r="953" ht="15" customHeight="1">
      <c r="A953" t="inlineStr">
        <is>
          <t>A 7375-2019</t>
        </is>
      </c>
      <c r="B953" s="1" t="n">
        <v>43497</v>
      </c>
      <c r="C953" s="1" t="n">
        <v>45344</v>
      </c>
      <c r="D953" t="inlineStr">
        <is>
          <t>GÄVLEBORGS LÄN</t>
        </is>
      </c>
      <c r="E953" t="inlineStr">
        <is>
          <t>LJUSDAL</t>
        </is>
      </c>
      <c r="F953" t="inlineStr">
        <is>
          <t>Sveaskog</t>
        </is>
      </c>
      <c r="G953" t="n">
        <v>5.5</v>
      </c>
      <c r="H953" t="n">
        <v>0</v>
      </c>
      <c r="I953" t="n">
        <v>0</v>
      </c>
      <c r="J953" t="n">
        <v>0</v>
      </c>
      <c r="K953" t="n">
        <v>0</v>
      </c>
      <c r="L953" t="n">
        <v>0</v>
      </c>
      <c r="M953" t="n">
        <v>0</v>
      </c>
      <c r="N953" t="n">
        <v>0</v>
      </c>
      <c r="O953" t="n">
        <v>0</v>
      </c>
      <c r="P953" t="n">
        <v>0</v>
      </c>
      <c r="Q953" t="n">
        <v>0</v>
      </c>
      <c r="R953" s="2" t="inlineStr"/>
    </row>
    <row r="954" ht="15" customHeight="1">
      <c r="A954" t="inlineStr">
        <is>
          <t>A 7454-2019</t>
        </is>
      </c>
      <c r="B954" s="1" t="n">
        <v>43497</v>
      </c>
      <c r="C954" s="1" t="n">
        <v>45344</v>
      </c>
      <c r="D954" t="inlineStr">
        <is>
          <t>GÄVLEBORGS LÄN</t>
        </is>
      </c>
      <c r="E954" t="inlineStr">
        <is>
          <t>BOLLNÄS</t>
        </is>
      </c>
      <c r="G954" t="n">
        <v>0.5</v>
      </c>
      <c r="H954" t="n">
        <v>0</v>
      </c>
      <c r="I954" t="n">
        <v>0</v>
      </c>
      <c r="J954" t="n">
        <v>0</v>
      </c>
      <c r="K954" t="n">
        <v>0</v>
      </c>
      <c r="L954" t="n">
        <v>0</v>
      </c>
      <c r="M954" t="n">
        <v>0</v>
      </c>
      <c r="N954" t="n">
        <v>0</v>
      </c>
      <c r="O954" t="n">
        <v>0</v>
      </c>
      <c r="P954" t="n">
        <v>0</v>
      </c>
      <c r="Q954" t="n">
        <v>0</v>
      </c>
      <c r="R954" s="2" t="inlineStr"/>
    </row>
    <row r="955" ht="15" customHeight="1">
      <c r="A955" t="inlineStr">
        <is>
          <t>A 7450-2019</t>
        </is>
      </c>
      <c r="B955" s="1" t="n">
        <v>43497</v>
      </c>
      <c r="C955" s="1" t="n">
        <v>45344</v>
      </c>
      <c r="D955" t="inlineStr">
        <is>
          <t>GÄVLEBORGS LÄN</t>
        </is>
      </c>
      <c r="E955" t="inlineStr">
        <is>
          <t>HUDIKSVALL</t>
        </is>
      </c>
      <c r="G955" t="n">
        <v>5.1</v>
      </c>
      <c r="H955" t="n">
        <v>0</v>
      </c>
      <c r="I955" t="n">
        <v>0</v>
      </c>
      <c r="J955" t="n">
        <v>0</v>
      </c>
      <c r="K955" t="n">
        <v>0</v>
      </c>
      <c r="L955" t="n">
        <v>0</v>
      </c>
      <c r="M955" t="n">
        <v>0</v>
      </c>
      <c r="N955" t="n">
        <v>0</v>
      </c>
      <c r="O955" t="n">
        <v>0</v>
      </c>
      <c r="P955" t="n">
        <v>0</v>
      </c>
      <c r="Q955" t="n">
        <v>0</v>
      </c>
      <c r="R955" s="2" t="inlineStr"/>
    </row>
    <row r="956" ht="15" customHeight="1">
      <c r="A956" t="inlineStr">
        <is>
          <t>A 7590-2019</t>
        </is>
      </c>
      <c r="B956" s="1" t="n">
        <v>43498</v>
      </c>
      <c r="C956" s="1" t="n">
        <v>45344</v>
      </c>
      <c r="D956" t="inlineStr">
        <is>
          <t>GÄVLEBORGS LÄN</t>
        </is>
      </c>
      <c r="E956" t="inlineStr">
        <is>
          <t>NORDANSTIG</t>
        </is>
      </c>
      <c r="G956" t="n">
        <v>7.5</v>
      </c>
      <c r="H956" t="n">
        <v>0</v>
      </c>
      <c r="I956" t="n">
        <v>0</v>
      </c>
      <c r="J956" t="n">
        <v>0</v>
      </c>
      <c r="K956" t="n">
        <v>0</v>
      </c>
      <c r="L956" t="n">
        <v>0</v>
      </c>
      <c r="M956" t="n">
        <v>0</v>
      </c>
      <c r="N956" t="n">
        <v>0</v>
      </c>
      <c r="O956" t="n">
        <v>0</v>
      </c>
      <c r="P956" t="n">
        <v>0</v>
      </c>
      <c r="Q956" t="n">
        <v>0</v>
      </c>
      <c r="R956" s="2" t="inlineStr"/>
    </row>
    <row r="957" ht="15" customHeight="1">
      <c r="A957" t="inlineStr">
        <is>
          <t>A 7802-2019</t>
        </is>
      </c>
      <c r="B957" s="1" t="n">
        <v>43500</v>
      </c>
      <c r="C957" s="1" t="n">
        <v>45344</v>
      </c>
      <c r="D957" t="inlineStr">
        <is>
          <t>GÄVLEBORGS LÄN</t>
        </is>
      </c>
      <c r="E957" t="inlineStr">
        <is>
          <t>NORDANSTIG</t>
        </is>
      </c>
      <c r="G957" t="n">
        <v>3.9</v>
      </c>
      <c r="H957" t="n">
        <v>0</v>
      </c>
      <c r="I957" t="n">
        <v>0</v>
      </c>
      <c r="J957" t="n">
        <v>0</v>
      </c>
      <c r="K957" t="n">
        <v>0</v>
      </c>
      <c r="L957" t="n">
        <v>0</v>
      </c>
      <c r="M957" t="n">
        <v>0</v>
      </c>
      <c r="N957" t="n">
        <v>0</v>
      </c>
      <c r="O957" t="n">
        <v>0</v>
      </c>
      <c r="P957" t="n">
        <v>0</v>
      </c>
      <c r="Q957" t="n">
        <v>0</v>
      </c>
      <c r="R957" s="2" t="inlineStr"/>
    </row>
    <row r="958" ht="15" customHeight="1">
      <c r="A958" t="inlineStr">
        <is>
          <t>A 7904-2019</t>
        </is>
      </c>
      <c r="B958" s="1" t="n">
        <v>43500</v>
      </c>
      <c r="C958" s="1" t="n">
        <v>45344</v>
      </c>
      <c r="D958" t="inlineStr">
        <is>
          <t>GÄVLEBORGS LÄN</t>
        </is>
      </c>
      <c r="E958" t="inlineStr">
        <is>
          <t>NORDANSTIG</t>
        </is>
      </c>
      <c r="G958" t="n">
        <v>6.9</v>
      </c>
      <c r="H958" t="n">
        <v>0</v>
      </c>
      <c r="I958" t="n">
        <v>0</v>
      </c>
      <c r="J958" t="n">
        <v>0</v>
      </c>
      <c r="K958" t="n">
        <v>0</v>
      </c>
      <c r="L958" t="n">
        <v>0</v>
      </c>
      <c r="M958" t="n">
        <v>0</v>
      </c>
      <c r="N958" t="n">
        <v>0</v>
      </c>
      <c r="O958" t="n">
        <v>0</v>
      </c>
      <c r="P958" t="n">
        <v>0</v>
      </c>
      <c r="Q958" t="n">
        <v>0</v>
      </c>
      <c r="R958" s="2" t="inlineStr"/>
    </row>
    <row r="959" ht="15" customHeight="1">
      <c r="A959" t="inlineStr">
        <is>
          <t>A 7780-2019</t>
        </is>
      </c>
      <c r="B959" s="1" t="n">
        <v>43500</v>
      </c>
      <c r="C959" s="1" t="n">
        <v>45344</v>
      </c>
      <c r="D959" t="inlineStr">
        <is>
          <t>GÄVLEBORGS LÄN</t>
        </is>
      </c>
      <c r="E959" t="inlineStr">
        <is>
          <t>NORDANSTIG</t>
        </is>
      </c>
      <c r="F959" t="inlineStr">
        <is>
          <t>Holmen skog AB</t>
        </is>
      </c>
      <c r="G959" t="n">
        <v>2.2</v>
      </c>
      <c r="H959" t="n">
        <v>0</v>
      </c>
      <c r="I959" t="n">
        <v>0</v>
      </c>
      <c r="J959" t="n">
        <v>0</v>
      </c>
      <c r="K959" t="n">
        <v>0</v>
      </c>
      <c r="L959" t="n">
        <v>0</v>
      </c>
      <c r="M959" t="n">
        <v>0</v>
      </c>
      <c r="N959" t="n">
        <v>0</v>
      </c>
      <c r="O959" t="n">
        <v>0</v>
      </c>
      <c r="P959" t="n">
        <v>0</v>
      </c>
      <c r="Q959" t="n">
        <v>0</v>
      </c>
      <c r="R959" s="2" t="inlineStr"/>
    </row>
    <row r="960" ht="15" customHeight="1">
      <c r="A960" t="inlineStr">
        <is>
          <t>A 7697-2019</t>
        </is>
      </c>
      <c r="B960" s="1" t="n">
        <v>43500</v>
      </c>
      <c r="C960" s="1" t="n">
        <v>45344</v>
      </c>
      <c r="D960" t="inlineStr">
        <is>
          <t>GÄVLEBORGS LÄN</t>
        </is>
      </c>
      <c r="E960" t="inlineStr">
        <is>
          <t>SÖDERHAMN</t>
        </is>
      </c>
      <c r="F960" t="inlineStr">
        <is>
          <t>Bergvik skog väst AB</t>
        </is>
      </c>
      <c r="G960" t="n">
        <v>4.9</v>
      </c>
      <c r="H960" t="n">
        <v>0</v>
      </c>
      <c r="I960" t="n">
        <v>0</v>
      </c>
      <c r="J960" t="n">
        <v>0</v>
      </c>
      <c r="K960" t="n">
        <v>0</v>
      </c>
      <c r="L960" t="n">
        <v>0</v>
      </c>
      <c r="M960" t="n">
        <v>0</v>
      </c>
      <c r="N960" t="n">
        <v>0</v>
      </c>
      <c r="O960" t="n">
        <v>0</v>
      </c>
      <c r="P960" t="n">
        <v>0</v>
      </c>
      <c r="Q960" t="n">
        <v>0</v>
      </c>
      <c r="R960" s="2" t="inlineStr"/>
    </row>
    <row r="961" ht="15" customHeight="1">
      <c r="A961" t="inlineStr">
        <is>
          <t>A 7677-2019</t>
        </is>
      </c>
      <c r="B961" s="1" t="n">
        <v>43500</v>
      </c>
      <c r="C961" s="1" t="n">
        <v>45344</v>
      </c>
      <c r="D961" t="inlineStr">
        <is>
          <t>GÄVLEBORGS LÄN</t>
        </is>
      </c>
      <c r="E961" t="inlineStr">
        <is>
          <t>SÖDERHAMN</t>
        </is>
      </c>
      <c r="F961" t="inlineStr">
        <is>
          <t>Bergvik skog väst AB</t>
        </is>
      </c>
      <c r="G961" t="n">
        <v>9</v>
      </c>
      <c r="H961" t="n">
        <v>0</v>
      </c>
      <c r="I961" t="n">
        <v>0</v>
      </c>
      <c r="J961" t="n">
        <v>0</v>
      </c>
      <c r="K961" t="n">
        <v>0</v>
      </c>
      <c r="L961" t="n">
        <v>0</v>
      </c>
      <c r="M961" t="n">
        <v>0</v>
      </c>
      <c r="N961" t="n">
        <v>0</v>
      </c>
      <c r="O961" t="n">
        <v>0</v>
      </c>
      <c r="P961" t="n">
        <v>0</v>
      </c>
      <c r="Q961" t="n">
        <v>0</v>
      </c>
      <c r="R961" s="2" t="inlineStr"/>
    </row>
    <row r="962" ht="15" customHeight="1">
      <c r="A962" t="inlineStr">
        <is>
          <t>A 7781-2019</t>
        </is>
      </c>
      <c r="B962" s="1" t="n">
        <v>43500</v>
      </c>
      <c r="C962" s="1" t="n">
        <v>45344</v>
      </c>
      <c r="D962" t="inlineStr">
        <is>
          <t>GÄVLEBORGS LÄN</t>
        </is>
      </c>
      <c r="E962" t="inlineStr">
        <is>
          <t>SANDVIKEN</t>
        </is>
      </c>
      <c r="G962" t="n">
        <v>17.2</v>
      </c>
      <c r="H962" t="n">
        <v>0</v>
      </c>
      <c r="I962" t="n">
        <v>0</v>
      </c>
      <c r="J962" t="n">
        <v>0</v>
      </c>
      <c r="K962" t="n">
        <v>0</v>
      </c>
      <c r="L962" t="n">
        <v>0</v>
      </c>
      <c r="M962" t="n">
        <v>0</v>
      </c>
      <c r="N962" t="n">
        <v>0</v>
      </c>
      <c r="O962" t="n">
        <v>0</v>
      </c>
      <c r="P962" t="n">
        <v>0</v>
      </c>
      <c r="Q962" t="n">
        <v>0</v>
      </c>
      <c r="R962" s="2" t="inlineStr"/>
    </row>
    <row r="963" ht="15" customHeight="1">
      <c r="A963" t="inlineStr">
        <is>
          <t>A 8238-2019</t>
        </is>
      </c>
      <c r="B963" s="1" t="n">
        <v>43501</v>
      </c>
      <c r="C963" s="1" t="n">
        <v>45344</v>
      </c>
      <c r="D963" t="inlineStr">
        <is>
          <t>GÄVLEBORGS LÄN</t>
        </is>
      </c>
      <c r="E963" t="inlineStr">
        <is>
          <t>NORDANSTIG</t>
        </is>
      </c>
      <c r="G963" t="n">
        <v>2.9</v>
      </c>
      <c r="H963" t="n">
        <v>0</v>
      </c>
      <c r="I963" t="n">
        <v>0</v>
      </c>
      <c r="J963" t="n">
        <v>0</v>
      </c>
      <c r="K963" t="n">
        <v>0</v>
      </c>
      <c r="L963" t="n">
        <v>0</v>
      </c>
      <c r="M963" t="n">
        <v>0</v>
      </c>
      <c r="N963" t="n">
        <v>0</v>
      </c>
      <c r="O963" t="n">
        <v>0</v>
      </c>
      <c r="P963" t="n">
        <v>0</v>
      </c>
      <c r="Q963" t="n">
        <v>0</v>
      </c>
      <c r="R963" s="2" t="inlineStr"/>
    </row>
    <row r="964" ht="15" customHeight="1">
      <c r="A964" t="inlineStr">
        <is>
          <t>A 7946-2019</t>
        </is>
      </c>
      <c r="B964" s="1" t="n">
        <v>43501</v>
      </c>
      <c r="C964" s="1" t="n">
        <v>45344</v>
      </c>
      <c r="D964" t="inlineStr">
        <is>
          <t>GÄVLEBORGS LÄN</t>
        </is>
      </c>
      <c r="E964" t="inlineStr">
        <is>
          <t>NORDANSTIG</t>
        </is>
      </c>
      <c r="G964" t="n">
        <v>4.2</v>
      </c>
      <c r="H964" t="n">
        <v>0</v>
      </c>
      <c r="I964" t="n">
        <v>0</v>
      </c>
      <c r="J964" t="n">
        <v>0</v>
      </c>
      <c r="K964" t="n">
        <v>0</v>
      </c>
      <c r="L964" t="n">
        <v>0</v>
      </c>
      <c r="M964" t="n">
        <v>0</v>
      </c>
      <c r="N964" t="n">
        <v>0</v>
      </c>
      <c r="O964" t="n">
        <v>0</v>
      </c>
      <c r="P964" t="n">
        <v>0</v>
      </c>
      <c r="Q964" t="n">
        <v>0</v>
      </c>
      <c r="R964" s="2" t="inlineStr"/>
    </row>
    <row r="965" ht="15" customHeight="1">
      <c r="A965" t="inlineStr">
        <is>
          <t>A 8005-2019</t>
        </is>
      </c>
      <c r="B965" s="1" t="n">
        <v>43501</v>
      </c>
      <c r="C965" s="1" t="n">
        <v>45344</v>
      </c>
      <c r="D965" t="inlineStr">
        <is>
          <t>GÄVLEBORGS LÄN</t>
        </is>
      </c>
      <c r="E965" t="inlineStr">
        <is>
          <t>LJUSDAL</t>
        </is>
      </c>
      <c r="G965" t="n">
        <v>3.7</v>
      </c>
      <c r="H965" t="n">
        <v>0</v>
      </c>
      <c r="I965" t="n">
        <v>0</v>
      </c>
      <c r="J965" t="n">
        <v>0</v>
      </c>
      <c r="K965" t="n">
        <v>0</v>
      </c>
      <c r="L965" t="n">
        <v>0</v>
      </c>
      <c r="M965" t="n">
        <v>0</v>
      </c>
      <c r="N965" t="n">
        <v>0</v>
      </c>
      <c r="O965" t="n">
        <v>0</v>
      </c>
      <c r="P965" t="n">
        <v>0</v>
      </c>
      <c r="Q965" t="n">
        <v>0</v>
      </c>
      <c r="R965" s="2" t="inlineStr"/>
    </row>
    <row r="966" ht="15" customHeight="1">
      <c r="A966" t="inlineStr">
        <is>
          <t>A 8162-2019</t>
        </is>
      </c>
      <c r="B966" s="1" t="n">
        <v>43501</v>
      </c>
      <c r="C966" s="1" t="n">
        <v>45344</v>
      </c>
      <c r="D966" t="inlineStr">
        <is>
          <t>GÄVLEBORGS LÄN</t>
        </is>
      </c>
      <c r="E966" t="inlineStr">
        <is>
          <t>SANDVIKEN</t>
        </is>
      </c>
      <c r="G966" t="n">
        <v>0.9</v>
      </c>
      <c r="H966" t="n">
        <v>0</v>
      </c>
      <c r="I966" t="n">
        <v>0</v>
      </c>
      <c r="J966" t="n">
        <v>0</v>
      </c>
      <c r="K966" t="n">
        <v>0</v>
      </c>
      <c r="L966" t="n">
        <v>0</v>
      </c>
      <c r="M966" t="n">
        <v>0</v>
      </c>
      <c r="N966" t="n">
        <v>0</v>
      </c>
      <c r="O966" t="n">
        <v>0</v>
      </c>
      <c r="P966" t="n">
        <v>0</v>
      </c>
      <c r="Q966" t="n">
        <v>0</v>
      </c>
      <c r="R966" s="2" t="inlineStr"/>
    </row>
    <row r="967" ht="15" customHeight="1">
      <c r="A967" t="inlineStr">
        <is>
          <t>A 8290-2019</t>
        </is>
      </c>
      <c r="B967" s="1" t="n">
        <v>43502</v>
      </c>
      <c r="C967" s="1" t="n">
        <v>45344</v>
      </c>
      <c r="D967" t="inlineStr">
        <is>
          <t>GÄVLEBORGS LÄN</t>
        </is>
      </c>
      <c r="E967" t="inlineStr">
        <is>
          <t>OCKELBO</t>
        </is>
      </c>
      <c r="F967" t="inlineStr">
        <is>
          <t>Bergvik skog väst AB</t>
        </is>
      </c>
      <c r="G967" t="n">
        <v>12.7</v>
      </c>
      <c r="H967" t="n">
        <v>0</v>
      </c>
      <c r="I967" t="n">
        <v>0</v>
      </c>
      <c r="J967" t="n">
        <v>0</v>
      </c>
      <c r="K967" t="n">
        <v>0</v>
      </c>
      <c r="L967" t="n">
        <v>0</v>
      </c>
      <c r="M967" t="n">
        <v>0</v>
      </c>
      <c r="N967" t="n">
        <v>0</v>
      </c>
      <c r="O967" t="n">
        <v>0</v>
      </c>
      <c r="P967" t="n">
        <v>0</v>
      </c>
      <c r="Q967" t="n">
        <v>0</v>
      </c>
      <c r="R967" s="2" t="inlineStr"/>
    </row>
    <row r="968" ht="15" customHeight="1">
      <c r="A968" t="inlineStr">
        <is>
          <t>A 8287-2019</t>
        </is>
      </c>
      <c r="B968" s="1" t="n">
        <v>43502</v>
      </c>
      <c r="C968" s="1" t="n">
        <v>45344</v>
      </c>
      <c r="D968" t="inlineStr">
        <is>
          <t>GÄVLEBORGS LÄN</t>
        </is>
      </c>
      <c r="E968" t="inlineStr">
        <is>
          <t>OCKELBO</t>
        </is>
      </c>
      <c r="F968" t="inlineStr">
        <is>
          <t>Bergvik skog väst AB</t>
        </is>
      </c>
      <c r="G968" t="n">
        <v>11.7</v>
      </c>
      <c r="H968" t="n">
        <v>0</v>
      </c>
      <c r="I968" t="n">
        <v>0</v>
      </c>
      <c r="J968" t="n">
        <v>0</v>
      </c>
      <c r="K968" t="n">
        <v>0</v>
      </c>
      <c r="L968" t="n">
        <v>0</v>
      </c>
      <c r="M968" t="n">
        <v>0</v>
      </c>
      <c r="N968" t="n">
        <v>0</v>
      </c>
      <c r="O968" t="n">
        <v>0</v>
      </c>
      <c r="P968" t="n">
        <v>0</v>
      </c>
      <c r="Q968" t="n">
        <v>0</v>
      </c>
      <c r="R968" s="2" t="inlineStr"/>
    </row>
    <row r="969" ht="15" customHeight="1">
      <c r="A969" t="inlineStr">
        <is>
          <t>A 8310-2019</t>
        </is>
      </c>
      <c r="B969" s="1" t="n">
        <v>43502</v>
      </c>
      <c r="C969" s="1" t="n">
        <v>45344</v>
      </c>
      <c r="D969" t="inlineStr">
        <is>
          <t>GÄVLEBORGS LÄN</t>
        </is>
      </c>
      <c r="E969" t="inlineStr">
        <is>
          <t>GÄVLE</t>
        </is>
      </c>
      <c r="G969" t="n">
        <v>0.6</v>
      </c>
      <c r="H969" t="n">
        <v>0</v>
      </c>
      <c r="I969" t="n">
        <v>0</v>
      </c>
      <c r="J969" t="n">
        <v>0</v>
      </c>
      <c r="K969" t="n">
        <v>0</v>
      </c>
      <c r="L969" t="n">
        <v>0</v>
      </c>
      <c r="M969" t="n">
        <v>0</v>
      </c>
      <c r="N969" t="n">
        <v>0</v>
      </c>
      <c r="O969" t="n">
        <v>0</v>
      </c>
      <c r="P969" t="n">
        <v>0</v>
      </c>
      <c r="Q969" t="n">
        <v>0</v>
      </c>
      <c r="R969" s="2" t="inlineStr"/>
    </row>
    <row r="970" ht="15" customHeight="1">
      <c r="A970" t="inlineStr">
        <is>
          <t>A 8313-2019</t>
        </is>
      </c>
      <c r="B970" s="1" t="n">
        <v>43502</v>
      </c>
      <c r="C970" s="1" t="n">
        <v>45344</v>
      </c>
      <c r="D970" t="inlineStr">
        <is>
          <t>GÄVLEBORGS LÄN</t>
        </is>
      </c>
      <c r="E970" t="inlineStr">
        <is>
          <t>OCKELBO</t>
        </is>
      </c>
      <c r="G970" t="n">
        <v>14.1</v>
      </c>
      <c r="H970" t="n">
        <v>0</v>
      </c>
      <c r="I970" t="n">
        <v>0</v>
      </c>
      <c r="J970" t="n">
        <v>0</v>
      </c>
      <c r="K970" t="n">
        <v>0</v>
      </c>
      <c r="L970" t="n">
        <v>0</v>
      </c>
      <c r="M970" t="n">
        <v>0</v>
      </c>
      <c r="N970" t="n">
        <v>0</v>
      </c>
      <c r="O970" t="n">
        <v>0</v>
      </c>
      <c r="P970" t="n">
        <v>0</v>
      </c>
      <c r="Q970" t="n">
        <v>0</v>
      </c>
      <c r="R970" s="2" t="inlineStr"/>
    </row>
    <row r="971" ht="15" customHeight="1">
      <c r="A971" t="inlineStr">
        <is>
          <t>A 8456-2019</t>
        </is>
      </c>
      <c r="B971" s="1" t="n">
        <v>43502</v>
      </c>
      <c r="C971" s="1" t="n">
        <v>45344</v>
      </c>
      <c r="D971" t="inlineStr">
        <is>
          <t>GÄVLEBORGS LÄN</t>
        </is>
      </c>
      <c r="E971" t="inlineStr">
        <is>
          <t>NORDANSTIG</t>
        </is>
      </c>
      <c r="G971" t="n">
        <v>2.3</v>
      </c>
      <c r="H971" t="n">
        <v>0</v>
      </c>
      <c r="I971" t="n">
        <v>0</v>
      </c>
      <c r="J971" t="n">
        <v>0</v>
      </c>
      <c r="K971" t="n">
        <v>0</v>
      </c>
      <c r="L971" t="n">
        <v>0</v>
      </c>
      <c r="M971" t="n">
        <v>0</v>
      </c>
      <c r="N971" t="n">
        <v>0</v>
      </c>
      <c r="O971" t="n">
        <v>0</v>
      </c>
      <c r="P971" t="n">
        <v>0</v>
      </c>
      <c r="Q971" t="n">
        <v>0</v>
      </c>
      <c r="R971" s="2" t="inlineStr"/>
    </row>
    <row r="972" ht="15" customHeight="1">
      <c r="A972" t="inlineStr">
        <is>
          <t>A 8625-2019</t>
        </is>
      </c>
      <c r="B972" s="1" t="n">
        <v>43503</v>
      </c>
      <c r="C972" s="1" t="n">
        <v>45344</v>
      </c>
      <c r="D972" t="inlineStr">
        <is>
          <t>GÄVLEBORGS LÄN</t>
        </is>
      </c>
      <c r="E972" t="inlineStr">
        <is>
          <t>SÖDERHAMN</t>
        </is>
      </c>
      <c r="G972" t="n">
        <v>2</v>
      </c>
      <c r="H972" t="n">
        <v>0</v>
      </c>
      <c r="I972" t="n">
        <v>0</v>
      </c>
      <c r="J972" t="n">
        <v>0</v>
      </c>
      <c r="K972" t="n">
        <v>0</v>
      </c>
      <c r="L972" t="n">
        <v>0</v>
      </c>
      <c r="M972" t="n">
        <v>0</v>
      </c>
      <c r="N972" t="n">
        <v>0</v>
      </c>
      <c r="O972" t="n">
        <v>0</v>
      </c>
      <c r="P972" t="n">
        <v>0</v>
      </c>
      <c r="Q972" t="n">
        <v>0</v>
      </c>
      <c r="R972" s="2" t="inlineStr"/>
    </row>
    <row r="973" ht="15" customHeight="1">
      <c r="A973" t="inlineStr">
        <is>
          <t>A 8707-2019</t>
        </is>
      </c>
      <c r="B973" s="1" t="n">
        <v>43503</v>
      </c>
      <c r="C973" s="1" t="n">
        <v>45344</v>
      </c>
      <c r="D973" t="inlineStr">
        <is>
          <t>GÄVLEBORGS LÄN</t>
        </is>
      </c>
      <c r="E973" t="inlineStr">
        <is>
          <t>OVANÅKER</t>
        </is>
      </c>
      <c r="G973" t="n">
        <v>3.5</v>
      </c>
      <c r="H973" t="n">
        <v>0</v>
      </c>
      <c r="I973" t="n">
        <v>0</v>
      </c>
      <c r="J973" t="n">
        <v>0</v>
      </c>
      <c r="K973" t="n">
        <v>0</v>
      </c>
      <c r="L973" t="n">
        <v>0</v>
      </c>
      <c r="M973" t="n">
        <v>0</v>
      </c>
      <c r="N973" t="n">
        <v>0</v>
      </c>
      <c r="O973" t="n">
        <v>0</v>
      </c>
      <c r="P973" t="n">
        <v>0</v>
      </c>
      <c r="Q973" t="n">
        <v>0</v>
      </c>
      <c r="R973" s="2" t="inlineStr"/>
    </row>
    <row r="974" ht="15" customHeight="1">
      <c r="A974" t="inlineStr">
        <is>
          <t>A 9085-2019</t>
        </is>
      </c>
      <c r="B974" s="1" t="n">
        <v>43504</v>
      </c>
      <c r="C974" s="1" t="n">
        <v>45344</v>
      </c>
      <c r="D974" t="inlineStr">
        <is>
          <t>GÄVLEBORGS LÄN</t>
        </is>
      </c>
      <c r="E974" t="inlineStr">
        <is>
          <t>OVANÅKER</t>
        </is>
      </c>
      <c r="G974" t="n">
        <v>0.8</v>
      </c>
      <c r="H974" t="n">
        <v>0</v>
      </c>
      <c r="I974" t="n">
        <v>0</v>
      </c>
      <c r="J974" t="n">
        <v>0</v>
      </c>
      <c r="K974" t="n">
        <v>0</v>
      </c>
      <c r="L974" t="n">
        <v>0</v>
      </c>
      <c r="M974" t="n">
        <v>0</v>
      </c>
      <c r="N974" t="n">
        <v>0</v>
      </c>
      <c r="O974" t="n">
        <v>0</v>
      </c>
      <c r="P974" t="n">
        <v>0</v>
      </c>
      <c r="Q974" t="n">
        <v>0</v>
      </c>
      <c r="R974" s="2" t="inlineStr"/>
    </row>
    <row r="975" ht="15" customHeight="1">
      <c r="A975" t="inlineStr">
        <is>
          <t>A 9305-2019</t>
        </is>
      </c>
      <c r="B975" s="1" t="n">
        <v>43507</v>
      </c>
      <c r="C975" s="1" t="n">
        <v>45344</v>
      </c>
      <c r="D975" t="inlineStr">
        <is>
          <t>GÄVLEBORGS LÄN</t>
        </is>
      </c>
      <c r="E975" t="inlineStr">
        <is>
          <t>OVANÅKER</t>
        </is>
      </c>
      <c r="G975" t="n">
        <v>1</v>
      </c>
      <c r="H975" t="n">
        <v>0</v>
      </c>
      <c r="I975" t="n">
        <v>0</v>
      </c>
      <c r="J975" t="n">
        <v>0</v>
      </c>
      <c r="K975" t="n">
        <v>0</v>
      </c>
      <c r="L975" t="n">
        <v>0</v>
      </c>
      <c r="M975" t="n">
        <v>0</v>
      </c>
      <c r="N975" t="n">
        <v>0</v>
      </c>
      <c r="O975" t="n">
        <v>0</v>
      </c>
      <c r="P975" t="n">
        <v>0</v>
      </c>
      <c r="Q975" t="n">
        <v>0</v>
      </c>
      <c r="R975" s="2" t="inlineStr"/>
    </row>
    <row r="976" ht="15" customHeight="1">
      <c r="A976" t="inlineStr">
        <is>
          <t>A 9485-2019</t>
        </is>
      </c>
      <c r="B976" s="1" t="n">
        <v>43507</v>
      </c>
      <c r="C976" s="1" t="n">
        <v>45344</v>
      </c>
      <c r="D976" t="inlineStr">
        <is>
          <t>GÄVLEBORGS LÄN</t>
        </is>
      </c>
      <c r="E976" t="inlineStr">
        <is>
          <t>OCKELBO</t>
        </is>
      </c>
      <c r="G976" t="n">
        <v>1.2</v>
      </c>
      <c r="H976" t="n">
        <v>0</v>
      </c>
      <c r="I976" t="n">
        <v>0</v>
      </c>
      <c r="J976" t="n">
        <v>0</v>
      </c>
      <c r="K976" t="n">
        <v>0</v>
      </c>
      <c r="L976" t="n">
        <v>0</v>
      </c>
      <c r="M976" t="n">
        <v>0</v>
      </c>
      <c r="N976" t="n">
        <v>0</v>
      </c>
      <c r="O976" t="n">
        <v>0</v>
      </c>
      <c r="P976" t="n">
        <v>0</v>
      </c>
      <c r="Q976" t="n">
        <v>0</v>
      </c>
      <c r="R976" s="2" t="inlineStr"/>
    </row>
    <row r="977" ht="15" customHeight="1">
      <c r="A977" t="inlineStr">
        <is>
          <t>A 9315-2019</t>
        </is>
      </c>
      <c r="B977" s="1" t="n">
        <v>43507</v>
      </c>
      <c r="C977" s="1" t="n">
        <v>45344</v>
      </c>
      <c r="D977" t="inlineStr">
        <is>
          <t>GÄVLEBORGS LÄN</t>
        </is>
      </c>
      <c r="E977" t="inlineStr">
        <is>
          <t>BOLLNÄS</t>
        </is>
      </c>
      <c r="G977" t="n">
        <v>2.3</v>
      </c>
      <c r="H977" t="n">
        <v>0</v>
      </c>
      <c r="I977" t="n">
        <v>0</v>
      </c>
      <c r="J977" t="n">
        <v>0</v>
      </c>
      <c r="K977" t="n">
        <v>0</v>
      </c>
      <c r="L977" t="n">
        <v>0</v>
      </c>
      <c r="M977" t="n">
        <v>0</v>
      </c>
      <c r="N977" t="n">
        <v>0</v>
      </c>
      <c r="O977" t="n">
        <v>0</v>
      </c>
      <c r="P977" t="n">
        <v>0</v>
      </c>
      <c r="Q977" t="n">
        <v>0</v>
      </c>
      <c r="R977" s="2" t="inlineStr"/>
    </row>
    <row r="978" ht="15" customHeight="1">
      <c r="A978" t="inlineStr">
        <is>
          <t>A 9370-2019</t>
        </is>
      </c>
      <c r="B978" s="1" t="n">
        <v>43507</v>
      </c>
      <c r="C978" s="1" t="n">
        <v>45344</v>
      </c>
      <c r="D978" t="inlineStr">
        <is>
          <t>GÄVLEBORGS LÄN</t>
        </is>
      </c>
      <c r="E978" t="inlineStr">
        <is>
          <t>HUDIKSVALL</t>
        </is>
      </c>
      <c r="G978" t="n">
        <v>0.8</v>
      </c>
      <c r="H978" t="n">
        <v>0</v>
      </c>
      <c r="I978" t="n">
        <v>0</v>
      </c>
      <c r="J978" t="n">
        <v>0</v>
      </c>
      <c r="K978" t="n">
        <v>0</v>
      </c>
      <c r="L978" t="n">
        <v>0</v>
      </c>
      <c r="M978" t="n">
        <v>0</v>
      </c>
      <c r="N978" t="n">
        <v>0</v>
      </c>
      <c r="O978" t="n">
        <v>0</v>
      </c>
      <c r="P978" t="n">
        <v>0</v>
      </c>
      <c r="Q978" t="n">
        <v>0</v>
      </c>
      <c r="R978" s="2" t="inlineStr"/>
    </row>
    <row r="979" ht="15" customHeight="1">
      <c r="A979" t="inlineStr">
        <is>
          <t>A 9629-2019</t>
        </is>
      </c>
      <c r="B979" s="1" t="n">
        <v>43508</v>
      </c>
      <c r="C979" s="1" t="n">
        <v>45344</v>
      </c>
      <c r="D979" t="inlineStr">
        <is>
          <t>GÄVLEBORGS LÄN</t>
        </is>
      </c>
      <c r="E979" t="inlineStr">
        <is>
          <t>LJUSDAL</t>
        </is>
      </c>
      <c r="G979" t="n">
        <v>2.2</v>
      </c>
      <c r="H979" t="n">
        <v>0</v>
      </c>
      <c r="I979" t="n">
        <v>0</v>
      </c>
      <c r="J979" t="n">
        <v>0</v>
      </c>
      <c r="K979" t="n">
        <v>0</v>
      </c>
      <c r="L979" t="n">
        <v>0</v>
      </c>
      <c r="M979" t="n">
        <v>0</v>
      </c>
      <c r="N979" t="n">
        <v>0</v>
      </c>
      <c r="O979" t="n">
        <v>0</v>
      </c>
      <c r="P979" t="n">
        <v>0</v>
      </c>
      <c r="Q979" t="n">
        <v>0</v>
      </c>
      <c r="R979" s="2" t="inlineStr"/>
    </row>
    <row r="980" ht="15" customHeight="1">
      <c r="A980" t="inlineStr">
        <is>
          <t>A 9639-2019</t>
        </is>
      </c>
      <c r="B980" s="1" t="n">
        <v>43508</v>
      </c>
      <c r="C980" s="1" t="n">
        <v>45344</v>
      </c>
      <c r="D980" t="inlineStr">
        <is>
          <t>GÄVLEBORGS LÄN</t>
        </is>
      </c>
      <c r="E980" t="inlineStr">
        <is>
          <t>GÄVLE</t>
        </is>
      </c>
      <c r="G980" t="n">
        <v>1.9</v>
      </c>
      <c r="H980" t="n">
        <v>0</v>
      </c>
      <c r="I980" t="n">
        <v>0</v>
      </c>
      <c r="J980" t="n">
        <v>0</v>
      </c>
      <c r="K980" t="n">
        <v>0</v>
      </c>
      <c r="L980" t="n">
        <v>0</v>
      </c>
      <c r="M980" t="n">
        <v>0</v>
      </c>
      <c r="N980" t="n">
        <v>0</v>
      </c>
      <c r="O980" t="n">
        <v>0</v>
      </c>
      <c r="P980" t="n">
        <v>0</v>
      </c>
      <c r="Q980" t="n">
        <v>0</v>
      </c>
      <c r="R980" s="2" t="inlineStr"/>
    </row>
    <row r="981" ht="15" customHeight="1">
      <c r="A981" t="inlineStr">
        <is>
          <t>A 9646-2019</t>
        </is>
      </c>
      <c r="B981" s="1" t="n">
        <v>43508</v>
      </c>
      <c r="C981" s="1" t="n">
        <v>45344</v>
      </c>
      <c r="D981" t="inlineStr">
        <is>
          <t>GÄVLEBORGS LÄN</t>
        </is>
      </c>
      <c r="E981" t="inlineStr">
        <is>
          <t>LJUSDAL</t>
        </is>
      </c>
      <c r="G981" t="n">
        <v>15.8</v>
      </c>
      <c r="H981" t="n">
        <v>0</v>
      </c>
      <c r="I981" t="n">
        <v>0</v>
      </c>
      <c r="J981" t="n">
        <v>0</v>
      </c>
      <c r="K981" t="n">
        <v>0</v>
      </c>
      <c r="L981" t="n">
        <v>0</v>
      </c>
      <c r="M981" t="n">
        <v>0</v>
      </c>
      <c r="N981" t="n">
        <v>0</v>
      </c>
      <c r="O981" t="n">
        <v>0</v>
      </c>
      <c r="P981" t="n">
        <v>0</v>
      </c>
      <c r="Q981" t="n">
        <v>0</v>
      </c>
      <c r="R981" s="2" t="inlineStr"/>
    </row>
    <row r="982" ht="15" customHeight="1">
      <c r="A982" t="inlineStr">
        <is>
          <t>A 9852-2019</t>
        </is>
      </c>
      <c r="B982" s="1" t="n">
        <v>43509</v>
      </c>
      <c r="C982" s="1" t="n">
        <v>45344</v>
      </c>
      <c r="D982" t="inlineStr">
        <is>
          <t>GÄVLEBORGS LÄN</t>
        </is>
      </c>
      <c r="E982" t="inlineStr">
        <is>
          <t>GÄVLE</t>
        </is>
      </c>
      <c r="G982" t="n">
        <v>5.8</v>
      </c>
      <c r="H982" t="n">
        <v>0</v>
      </c>
      <c r="I982" t="n">
        <v>0</v>
      </c>
      <c r="J982" t="n">
        <v>0</v>
      </c>
      <c r="K982" t="n">
        <v>0</v>
      </c>
      <c r="L982" t="n">
        <v>0</v>
      </c>
      <c r="M982" t="n">
        <v>0</v>
      </c>
      <c r="N982" t="n">
        <v>0</v>
      </c>
      <c r="O982" t="n">
        <v>0</v>
      </c>
      <c r="P982" t="n">
        <v>0</v>
      </c>
      <c r="Q982" t="n">
        <v>0</v>
      </c>
      <c r="R982" s="2" t="inlineStr"/>
    </row>
    <row r="983" ht="15" customHeight="1">
      <c r="A983" t="inlineStr">
        <is>
          <t>A 9872-2019</t>
        </is>
      </c>
      <c r="B983" s="1" t="n">
        <v>43509</v>
      </c>
      <c r="C983" s="1" t="n">
        <v>45344</v>
      </c>
      <c r="D983" t="inlineStr">
        <is>
          <t>GÄVLEBORGS LÄN</t>
        </is>
      </c>
      <c r="E983" t="inlineStr">
        <is>
          <t>BOLLNÄS</t>
        </is>
      </c>
      <c r="G983" t="n">
        <v>2.9</v>
      </c>
      <c r="H983" t="n">
        <v>0</v>
      </c>
      <c r="I983" t="n">
        <v>0</v>
      </c>
      <c r="J983" t="n">
        <v>0</v>
      </c>
      <c r="K983" t="n">
        <v>0</v>
      </c>
      <c r="L983" t="n">
        <v>0</v>
      </c>
      <c r="M983" t="n">
        <v>0</v>
      </c>
      <c r="N983" t="n">
        <v>0</v>
      </c>
      <c r="O983" t="n">
        <v>0</v>
      </c>
      <c r="P983" t="n">
        <v>0</v>
      </c>
      <c r="Q983" t="n">
        <v>0</v>
      </c>
      <c r="R983" s="2" t="inlineStr"/>
    </row>
    <row r="984" ht="15" customHeight="1">
      <c r="A984" t="inlineStr">
        <is>
          <t>A 10005-2019</t>
        </is>
      </c>
      <c r="B984" s="1" t="n">
        <v>43509</v>
      </c>
      <c r="C984" s="1" t="n">
        <v>45344</v>
      </c>
      <c r="D984" t="inlineStr">
        <is>
          <t>GÄVLEBORGS LÄN</t>
        </is>
      </c>
      <c r="E984" t="inlineStr">
        <is>
          <t>OVANÅKER</t>
        </is>
      </c>
      <c r="G984" t="n">
        <v>1</v>
      </c>
      <c r="H984" t="n">
        <v>0</v>
      </c>
      <c r="I984" t="n">
        <v>0</v>
      </c>
      <c r="J984" t="n">
        <v>0</v>
      </c>
      <c r="K984" t="n">
        <v>0</v>
      </c>
      <c r="L984" t="n">
        <v>0</v>
      </c>
      <c r="M984" t="n">
        <v>0</v>
      </c>
      <c r="N984" t="n">
        <v>0</v>
      </c>
      <c r="O984" t="n">
        <v>0</v>
      </c>
      <c r="P984" t="n">
        <v>0</v>
      </c>
      <c r="Q984" t="n">
        <v>0</v>
      </c>
      <c r="R984" s="2" t="inlineStr"/>
    </row>
    <row r="985" ht="15" customHeight="1">
      <c r="A985" t="inlineStr">
        <is>
          <t>A 10088-2019</t>
        </is>
      </c>
      <c r="B985" s="1" t="n">
        <v>43510</v>
      </c>
      <c r="C985" s="1" t="n">
        <v>45344</v>
      </c>
      <c r="D985" t="inlineStr">
        <is>
          <t>GÄVLEBORGS LÄN</t>
        </is>
      </c>
      <c r="E985" t="inlineStr">
        <is>
          <t>LJUSDAL</t>
        </is>
      </c>
      <c r="G985" t="n">
        <v>2.4</v>
      </c>
      <c r="H985" t="n">
        <v>0</v>
      </c>
      <c r="I985" t="n">
        <v>0</v>
      </c>
      <c r="J985" t="n">
        <v>0</v>
      </c>
      <c r="K985" t="n">
        <v>0</v>
      </c>
      <c r="L985" t="n">
        <v>0</v>
      </c>
      <c r="M985" t="n">
        <v>0</v>
      </c>
      <c r="N985" t="n">
        <v>0</v>
      </c>
      <c r="O985" t="n">
        <v>0</v>
      </c>
      <c r="P985" t="n">
        <v>0</v>
      </c>
      <c r="Q985" t="n">
        <v>0</v>
      </c>
      <c r="R985" s="2" t="inlineStr"/>
    </row>
    <row r="986" ht="15" customHeight="1">
      <c r="A986" t="inlineStr">
        <is>
          <t>A 10102-2019</t>
        </is>
      </c>
      <c r="B986" s="1" t="n">
        <v>43510</v>
      </c>
      <c r="C986" s="1" t="n">
        <v>45344</v>
      </c>
      <c r="D986" t="inlineStr">
        <is>
          <t>GÄVLEBORGS LÄN</t>
        </is>
      </c>
      <c r="E986" t="inlineStr">
        <is>
          <t>NORDANSTIG</t>
        </is>
      </c>
      <c r="F986" t="inlineStr">
        <is>
          <t>Holmen skog AB</t>
        </is>
      </c>
      <c r="G986" t="n">
        <v>0.5</v>
      </c>
      <c r="H986" t="n">
        <v>0</v>
      </c>
      <c r="I986" t="n">
        <v>0</v>
      </c>
      <c r="J986" t="n">
        <v>0</v>
      </c>
      <c r="K986" t="n">
        <v>0</v>
      </c>
      <c r="L986" t="n">
        <v>0</v>
      </c>
      <c r="M986" t="n">
        <v>0</v>
      </c>
      <c r="N986" t="n">
        <v>0</v>
      </c>
      <c r="O986" t="n">
        <v>0</v>
      </c>
      <c r="P986" t="n">
        <v>0</v>
      </c>
      <c r="Q986" t="n">
        <v>0</v>
      </c>
      <c r="R986" s="2" t="inlineStr"/>
    </row>
    <row r="987" ht="15" customHeight="1">
      <c r="A987" t="inlineStr">
        <is>
          <t>A 10086-2019</t>
        </is>
      </c>
      <c r="B987" s="1" t="n">
        <v>43510</v>
      </c>
      <c r="C987" s="1" t="n">
        <v>45344</v>
      </c>
      <c r="D987" t="inlineStr">
        <is>
          <t>GÄVLEBORGS LÄN</t>
        </is>
      </c>
      <c r="E987" t="inlineStr">
        <is>
          <t>LJUSDAL</t>
        </is>
      </c>
      <c r="G987" t="n">
        <v>12.2</v>
      </c>
      <c r="H987" t="n">
        <v>0</v>
      </c>
      <c r="I987" t="n">
        <v>0</v>
      </c>
      <c r="J987" t="n">
        <v>0</v>
      </c>
      <c r="K987" t="n">
        <v>0</v>
      </c>
      <c r="L987" t="n">
        <v>0</v>
      </c>
      <c r="M987" t="n">
        <v>0</v>
      </c>
      <c r="N987" t="n">
        <v>0</v>
      </c>
      <c r="O987" t="n">
        <v>0</v>
      </c>
      <c r="P987" t="n">
        <v>0</v>
      </c>
      <c r="Q987" t="n">
        <v>0</v>
      </c>
      <c r="R987" s="2" t="inlineStr"/>
    </row>
    <row r="988" ht="15" customHeight="1">
      <c r="A988" t="inlineStr">
        <is>
          <t>A 10030-2019</t>
        </is>
      </c>
      <c r="B988" s="1" t="n">
        <v>43510</v>
      </c>
      <c r="C988" s="1" t="n">
        <v>45344</v>
      </c>
      <c r="D988" t="inlineStr">
        <is>
          <t>GÄVLEBORGS LÄN</t>
        </is>
      </c>
      <c r="E988" t="inlineStr">
        <is>
          <t>GÄVLE</t>
        </is>
      </c>
      <c r="G988" t="n">
        <v>3.8</v>
      </c>
      <c r="H988" t="n">
        <v>0</v>
      </c>
      <c r="I988" t="n">
        <v>0</v>
      </c>
      <c r="J988" t="n">
        <v>0</v>
      </c>
      <c r="K988" t="n">
        <v>0</v>
      </c>
      <c r="L988" t="n">
        <v>0</v>
      </c>
      <c r="M988" t="n">
        <v>0</v>
      </c>
      <c r="N988" t="n">
        <v>0</v>
      </c>
      <c r="O988" t="n">
        <v>0</v>
      </c>
      <c r="P988" t="n">
        <v>0</v>
      </c>
      <c r="Q988" t="n">
        <v>0</v>
      </c>
      <c r="R988" s="2" t="inlineStr"/>
    </row>
    <row r="989" ht="15" customHeight="1">
      <c r="A989" t="inlineStr">
        <is>
          <t>A 10313-2019</t>
        </is>
      </c>
      <c r="B989" s="1" t="n">
        <v>43511</v>
      </c>
      <c r="C989" s="1" t="n">
        <v>45344</v>
      </c>
      <c r="D989" t="inlineStr">
        <is>
          <t>GÄVLEBORGS LÄN</t>
        </is>
      </c>
      <c r="E989" t="inlineStr">
        <is>
          <t>SÖDERHAMN</t>
        </is>
      </c>
      <c r="G989" t="n">
        <v>1.2</v>
      </c>
      <c r="H989" t="n">
        <v>0</v>
      </c>
      <c r="I989" t="n">
        <v>0</v>
      </c>
      <c r="J989" t="n">
        <v>0</v>
      </c>
      <c r="K989" t="n">
        <v>0</v>
      </c>
      <c r="L989" t="n">
        <v>0</v>
      </c>
      <c r="M989" t="n">
        <v>0</v>
      </c>
      <c r="N989" t="n">
        <v>0</v>
      </c>
      <c r="O989" t="n">
        <v>0</v>
      </c>
      <c r="P989" t="n">
        <v>0</v>
      </c>
      <c r="Q989" t="n">
        <v>0</v>
      </c>
      <c r="R989" s="2" t="inlineStr"/>
    </row>
    <row r="990" ht="15" customHeight="1">
      <c r="A990" t="inlineStr">
        <is>
          <t>A 10446-2019</t>
        </is>
      </c>
      <c r="B990" s="1" t="n">
        <v>43511</v>
      </c>
      <c r="C990" s="1" t="n">
        <v>45344</v>
      </c>
      <c r="D990" t="inlineStr">
        <is>
          <t>GÄVLEBORGS LÄN</t>
        </is>
      </c>
      <c r="E990" t="inlineStr">
        <is>
          <t>SÖDERHAMN</t>
        </is>
      </c>
      <c r="G990" t="n">
        <v>5.2</v>
      </c>
      <c r="H990" t="n">
        <v>0</v>
      </c>
      <c r="I990" t="n">
        <v>0</v>
      </c>
      <c r="J990" t="n">
        <v>0</v>
      </c>
      <c r="K990" t="n">
        <v>0</v>
      </c>
      <c r="L990" t="n">
        <v>0</v>
      </c>
      <c r="M990" t="n">
        <v>0</v>
      </c>
      <c r="N990" t="n">
        <v>0</v>
      </c>
      <c r="O990" t="n">
        <v>0</v>
      </c>
      <c r="P990" t="n">
        <v>0</v>
      </c>
      <c r="Q990" t="n">
        <v>0</v>
      </c>
      <c r="R990" s="2" t="inlineStr"/>
    </row>
    <row r="991" ht="15" customHeight="1">
      <c r="A991" t="inlineStr">
        <is>
          <t>A 10316-2019</t>
        </is>
      </c>
      <c r="B991" s="1" t="n">
        <v>43511</v>
      </c>
      <c r="C991" s="1" t="n">
        <v>45344</v>
      </c>
      <c r="D991" t="inlineStr">
        <is>
          <t>GÄVLEBORGS LÄN</t>
        </is>
      </c>
      <c r="E991" t="inlineStr">
        <is>
          <t>GÄVLE</t>
        </is>
      </c>
      <c r="G991" t="n">
        <v>0.8</v>
      </c>
      <c r="H991" t="n">
        <v>0</v>
      </c>
      <c r="I991" t="n">
        <v>0</v>
      </c>
      <c r="J991" t="n">
        <v>0</v>
      </c>
      <c r="K991" t="n">
        <v>0</v>
      </c>
      <c r="L991" t="n">
        <v>0</v>
      </c>
      <c r="M991" t="n">
        <v>0</v>
      </c>
      <c r="N991" t="n">
        <v>0</v>
      </c>
      <c r="O991" t="n">
        <v>0</v>
      </c>
      <c r="P991" t="n">
        <v>0</v>
      </c>
      <c r="Q991" t="n">
        <v>0</v>
      </c>
      <c r="R991" s="2" t="inlineStr"/>
    </row>
    <row r="992" ht="15" customHeight="1">
      <c r="A992" t="inlineStr">
        <is>
          <t>A 10463-2019</t>
        </is>
      </c>
      <c r="B992" s="1" t="n">
        <v>43511</v>
      </c>
      <c r="C992" s="1" t="n">
        <v>45344</v>
      </c>
      <c r="D992" t="inlineStr">
        <is>
          <t>GÄVLEBORGS LÄN</t>
        </is>
      </c>
      <c r="E992" t="inlineStr">
        <is>
          <t>LJUSDAL</t>
        </is>
      </c>
      <c r="G992" t="n">
        <v>2.3</v>
      </c>
      <c r="H992" t="n">
        <v>0</v>
      </c>
      <c r="I992" t="n">
        <v>0</v>
      </c>
      <c r="J992" t="n">
        <v>0</v>
      </c>
      <c r="K992" t="n">
        <v>0</v>
      </c>
      <c r="L992" t="n">
        <v>0</v>
      </c>
      <c r="M992" t="n">
        <v>0</v>
      </c>
      <c r="N992" t="n">
        <v>0</v>
      </c>
      <c r="O992" t="n">
        <v>0</v>
      </c>
      <c r="P992" t="n">
        <v>0</v>
      </c>
      <c r="Q992" t="n">
        <v>0</v>
      </c>
      <c r="R992" s="2" t="inlineStr"/>
    </row>
    <row r="993" ht="15" customHeight="1">
      <c r="A993" t="inlineStr">
        <is>
          <t>A 10315-2019</t>
        </is>
      </c>
      <c r="B993" s="1" t="n">
        <v>43511</v>
      </c>
      <c r="C993" s="1" t="n">
        <v>45344</v>
      </c>
      <c r="D993" t="inlineStr">
        <is>
          <t>GÄVLEBORGS LÄN</t>
        </is>
      </c>
      <c r="E993" t="inlineStr">
        <is>
          <t>SÖDERHAMN</t>
        </is>
      </c>
      <c r="G993" t="n">
        <v>3.6</v>
      </c>
      <c r="H993" t="n">
        <v>0</v>
      </c>
      <c r="I993" t="n">
        <v>0</v>
      </c>
      <c r="J993" t="n">
        <v>0</v>
      </c>
      <c r="K993" t="n">
        <v>0</v>
      </c>
      <c r="L993" t="n">
        <v>0</v>
      </c>
      <c r="M993" t="n">
        <v>0</v>
      </c>
      <c r="N993" t="n">
        <v>0</v>
      </c>
      <c r="O993" t="n">
        <v>0</v>
      </c>
      <c r="P993" t="n">
        <v>0</v>
      </c>
      <c r="Q993" t="n">
        <v>0</v>
      </c>
      <c r="R993" s="2" t="inlineStr"/>
    </row>
    <row r="994" ht="15" customHeight="1">
      <c r="A994" t="inlineStr">
        <is>
          <t>A 10785-2019</t>
        </is>
      </c>
      <c r="B994" s="1" t="n">
        <v>43514</v>
      </c>
      <c r="C994" s="1" t="n">
        <v>45344</v>
      </c>
      <c r="D994" t="inlineStr">
        <is>
          <t>GÄVLEBORGS LÄN</t>
        </is>
      </c>
      <c r="E994" t="inlineStr">
        <is>
          <t>LJUSDAL</t>
        </is>
      </c>
      <c r="G994" t="n">
        <v>5.8</v>
      </c>
      <c r="H994" t="n">
        <v>0</v>
      </c>
      <c r="I994" t="n">
        <v>0</v>
      </c>
      <c r="J994" t="n">
        <v>0</v>
      </c>
      <c r="K994" t="n">
        <v>0</v>
      </c>
      <c r="L994" t="n">
        <v>0</v>
      </c>
      <c r="M994" t="n">
        <v>0</v>
      </c>
      <c r="N994" t="n">
        <v>0</v>
      </c>
      <c r="O994" t="n">
        <v>0</v>
      </c>
      <c r="P994" t="n">
        <v>0</v>
      </c>
      <c r="Q994" t="n">
        <v>0</v>
      </c>
      <c r="R994" s="2" t="inlineStr"/>
    </row>
    <row r="995" ht="15" customHeight="1">
      <c r="A995" t="inlineStr">
        <is>
          <t>A 10782-2019</t>
        </is>
      </c>
      <c r="B995" s="1" t="n">
        <v>43514</v>
      </c>
      <c r="C995" s="1" t="n">
        <v>45344</v>
      </c>
      <c r="D995" t="inlineStr">
        <is>
          <t>GÄVLEBORGS LÄN</t>
        </is>
      </c>
      <c r="E995" t="inlineStr">
        <is>
          <t>LJUSDAL</t>
        </is>
      </c>
      <c r="G995" t="n">
        <v>4.1</v>
      </c>
      <c r="H995" t="n">
        <v>0</v>
      </c>
      <c r="I995" t="n">
        <v>0</v>
      </c>
      <c r="J995" t="n">
        <v>0</v>
      </c>
      <c r="K995" t="n">
        <v>0</v>
      </c>
      <c r="L995" t="n">
        <v>0</v>
      </c>
      <c r="M995" t="n">
        <v>0</v>
      </c>
      <c r="N995" t="n">
        <v>0</v>
      </c>
      <c r="O995" t="n">
        <v>0</v>
      </c>
      <c r="P995" t="n">
        <v>0</v>
      </c>
      <c r="Q995" t="n">
        <v>0</v>
      </c>
      <c r="R995" s="2" t="inlineStr"/>
    </row>
    <row r="996" ht="15" customHeight="1">
      <c r="A996" t="inlineStr">
        <is>
          <t>A 10877-2019</t>
        </is>
      </c>
      <c r="B996" s="1" t="n">
        <v>43515</v>
      </c>
      <c r="C996" s="1" t="n">
        <v>45344</v>
      </c>
      <c r="D996" t="inlineStr">
        <is>
          <t>GÄVLEBORGS LÄN</t>
        </is>
      </c>
      <c r="E996" t="inlineStr">
        <is>
          <t>BOLLNÄS</t>
        </is>
      </c>
      <c r="G996" t="n">
        <v>1.9</v>
      </c>
      <c r="H996" t="n">
        <v>0</v>
      </c>
      <c r="I996" t="n">
        <v>0</v>
      </c>
      <c r="J996" t="n">
        <v>0</v>
      </c>
      <c r="K996" t="n">
        <v>0</v>
      </c>
      <c r="L996" t="n">
        <v>0</v>
      </c>
      <c r="M996" t="n">
        <v>0</v>
      </c>
      <c r="N996" t="n">
        <v>0</v>
      </c>
      <c r="O996" t="n">
        <v>0</v>
      </c>
      <c r="P996" t="n">
        <v>0</v>
      </c>
      <c r="Q996" t="n">
        <v>0</v>
      </c>
      <c r="R996" s="2" t="inlineStr"/>
    </row>
    <row r="997" ht="15" customHeight="1">
      <c r="A997" t="inlineStr">
        <is>
          <t>A 10941-2019</t>
        </is>
      </c>
      <c r="B997" s="1" t="n">
        <v>43515</v>
      </c>
      <c r="C997" s="1" t="n">
        <v>45344</v>
      </c>
      <c r="D997" t="inlineStr">
        <is>
          <t>GÄVLEBORGS LÄN</t>
        </is>
      </c>
      <c r="E997" t="inlineStr">
        <is>
          <t>OVANÅKER</t>
        </is>
      </c>
      <c r="G997" t="n">
        <v>2.7</v>
      </c>
      <c r="H997" t="n">
        <v>0</v>
      </c>
      <c r="I997" t="n">
        <v>0</v>
      </c>
      <c r="J997" t="n">
        <v>0</v>
      </c>
      <c r="K997" t="n">
        <v>0</v>
      </c>
      <c r="L997" t="n">
        <v>0</v>
      </c>
      <c r="M997" t="n">
        <v>0</v>
      </c>
      <c r="N997" t="n">
        <v>0</v>
      </c>
      <c r="O997" t="n">
        <v>0</v>
      </c>
      <c r="P997" t="n">
        <v>0</v>
      </c>
      <c r="Q997" t="n">
        <v>0</v>
      </c>
      <c r="R997" s="2" t="inlineStr"/>
    </row>
    <row r="998" ht="15" customHeight="1">
      <c r="A998" t="inlineStr">
        <is>
          <t>A 11045-2019</t>
        </is>
      </c>
      <c r="B998" s="1" t="n">
        <v>43515</v>
      </c>
      <c r="C998" s="1" t="n">
        <v>45344</v>
      </c>
      <c r="D998" t="inlineStr">
        <is>
          <t>GÄVLEBORGS LÄN</t>
        </is>
      </c>
      <c r="E998" t="inlineStr">
        <is>
          <t>LJUSDAL</t>
        </is>
      </c>
      <c r="F998" t="inlineStr">
        <is>
          <t>Kommuner</t>
        </is>
      </c>
      <c r="G998" t="n">
        <v>1.5</v>
      </c>
      <c r="H998" t="n">
        <v>0</v>
      </c>
      <c r="I998" t="n">
        <v>0</v>
      </c>
      <c r="J998" t="n">
        <v>0</v>
      </c>
      <c r="K998" t="n">
        <v>0</v>
      </c>
      <c r="L998" t="n">
        <v>0</v>
      </c>
      <c r="M998" t="n">
        <v>0</v>
      </c>
      <c r="N998" t="n">
        <v>0</v>
      </c>
      <c r="O998" t="n">
        <v>0</v>
      </c>
      <c r="P998" t="n">
        <v>0</v>
      </c>
      <c r="Q998" t="n">
        <v>0</v>
      </c>
      <c r="R998" s="2" t="inlineStr"/>
    </row>
    <row r="999" ht="15" customHeight="1">
      <c r="A999" t="inlineStr">
        <is>
          <t>A 11216-2019</t>
        </is>
      </c>
      <c r="B999" s="1" t="n">
        <v>43516</v>
      </c>
      <c r="C999" s="1" t="n">
        <v>45344</v>
      </c>
      <c r="D999" t="inlineStr">
        <is>
          <t>GÄVLEBORGS LÄN</t>
        </is>
      </c>
      <c r="E999" t="inlineStr">
        <is>
          <t>LJUSDAL</t>
        </is>
      </c>
      <c r="G999" t="n">
        <v>8.6</v>
      </c>
      <c r="H999" t="n">
        <v>0</v>
      </c>
      <c r="I999" t="n">
        <v>0</v>
      </c>
      <c r="J999" t="n">
        <v>0</v>
      </c>
      <c r="K999" t="n">
        <v>0</v>
      </c>
      <c r="L999" t="n">
        <v>0</v>
      </c>
      <c r="M999" t="n">
        <v>0</v>
      </c>
      <c r="N999" t="n">
        <v>0</v>
      </c>
      <c r="O999" t="n">
        <v>0</v>
      </c>
      <c r="P999" t="n">
        <v>0</v>
      </c>
      <c r="Q999" t="n">
        <v>0</v>
      </c>
      <c r="R999" s="2" t="inlineStr"/>
    </row>
    <row r="1000" ht="15" customHeight="1">
      <c r="A1000" t="inlineStr">
        <is>
          <t>A 11212-2019</t>
        </is>
      </c>
      <c r="B1000" s="1" t="n">
        <v>43516</v>
      </c>
      <c r="C1000" s="1" t="n">
        <v>45344</v>
      </c>
      <c r="D1000" t="inlineStr">
        <is>
          <t>GÄVLEBORGS LÄN</t>
        </is>
      </c>
      <c r="E1000" t="inlineStr">
        <is>
          <t>LJUSDAL</t>
        </is>
      </c>
      <c r="G1000" t="n">
        <v>4.3</v>
      </c>
      <c r="H1000" t="n">
        <v>0</v>
      </c>
      <c r="I1000" t="n">
        <v>0</v>
      </c>
      <c r="J1000" t="n">
        <v>0</v>
      </c>
      <c r="K1000" t="n">
        <v>0</v>
      </c>
      <c r="L1000" t="n">
        <v>0</v>
      </c>
      <c r="M1000" t="n">
        <v>0</v>
      </c>
      <c r="N1000" t="n">
        <v>0</v>
      </c>
      <c r="O1000" t="n">
        <v>0</v>
      </c>
      <c r="P1000" t="n">
        <v>0</v>
      </c>
      <c r="Q1000" t="n">
        <v>0</v>
      </c>
      <c r="R1000" s="2" t="inlineStr"/>
    </row>
    <row r="1001" ht="15" customHeight="1">
      <c r="A1001" t="inlineStr">
        <is>
          <t>A 11359-2019</t>
        </is>
      </c>
      <c r="B1001" s="1" t="n">
        <v>43517</v>
      </c>
      <c r="C1001" s="1" t="n">
        <v>45344</v>
      </c>
      <c r="D1001" t="inlineStr">
        <is>
          <t>GÄVLEBORGS LÄN</t>
        </is>
      </c>
      <c r="E1001" t="inlineStr">
        <is>
          <t>LJUSDAL</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11484-2019</t>
        </is>
      </c>
      <c r="B1002" s="1" t="n">
        <v>43517</v>
      </c>
      <c r="C1002" s="1" t="n">
        <v>45344</v>
      </c>
      <c r="D1002" t="inlineStr">
        <is>
          <t>GÄVLEBORGS LÄN</t>
        </is>
      </c>
      <c r="E1002" t="inlineStr">
        <is>
          <t>HUDIKSVALL</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11489-2019</t>
        </is>
      </c>
      <c r="B1003" s="1" t="n">
        <v>43517</v>
      </c>
      <c r="C1003" s="1" t="n">
        <v>45344</v>
      </c>
      <c r="D1003" t="inlineStr">
        <is>
          <t>GÄVLEBORGS LÄN</t>
        </is>
      </c>
      <c r="E1003" t="inlineStr">
        <is>
          <t>BOLLNÄS</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11363-2019</t>
        </is>
      </c>
      <c r="B1004" s="1" t="n">
        <v>43517</v>
      </c>
      <c r="C1004" s="1" t="n">
        <v>45344</v>
      </c>
      <c r="D1004" t="inlineStr">
        <is>
          <t>GÄVLEBORGS LÄN</t>
        </is>
      </c>
      <c r="E1004" t="inlineStr">
        <is>
          <t>LJUSDAL</t>
        </is>
      </c>
      <c r="G1004" t="n">
        <v>8.1</v>
      </c>
      <c r="H1004" t="n">
        <v>0</v>
      </c>
      <c r="I1004" t="n">
        <v>0</v>
      </c>
      <c r="J1004" t="n">
        <v>0</v>
      </c>
      <c r="K1004" t="n">
        <v>0</v>
      </c>
      <c r="L1004" t="n">
        <v>0</v>
      </c>
      <c r="M1004" t="n">
        <v>0</v>
      </c>
      <c r="N1004" t="n">
        <v>0</v>
      </c>
      <c r="O1004" t="n">
        <v>0</v>
      </c>
      <c r="P1004" t="n">
        <v>0</v>
      </c>
      <c r="Q1004" t="n">
        <v>0</v>
      </c>
      <c r="R1004" s="2" t="inlineStr"/>
    </row>
    <row r="1005" ht="15" customHeight="1">
      <c r="A1005" t="inlineStr">
        <is>
          <t>A 11652-2019</t>
        </is>
      </c>
      <c r="B1005" s="1" t="n">
        <v>43518</v>
      </c>
      <c r="C1005" s="1" t="n">
        <v>45344</v>
      </c>
      <c r="D1005" t="inlineStr">
        <is>
          <t>GÄVLEBORGS LÄN</t>
        </is>
      </c>
      <c r="E1005" t="inlineStr">
        <is>
          <t>BOLLNÄS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11823-2019</t>
        </is>
      </c>
      <c r="B1006" s="1" t="n">
        <v>43521</v>
      </c>
      <c r="C1006" s="1" t="n">
        <v>45344</v>
      </c>
      <c r="D1006" t="inlineStr">
        <is>
          <t>GÄVLEBORGS LÄN</t>
        </is>
      </c>
      <c r="E1006" t="inlineStr">
        <is>
          <t>HUDIKSVALL</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11905-2019</t>
        </is>
      </c>
      <c r="B1007" s="1" t="n">
        <v>43521</v>
      </c>
      <c r="C1007" s="1" t="n">
        <v>45344</v>
      </c>
      <c r="D1007" t="inlineStr">
        <is>
          <t>GÄVLEBORGS LÄN</t>
        </is>
      </c>
      <c r="E1007" t="inlineStr">
        <is>
          <t>HUDIKSVALL</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11988-2019</t>
        </is>
      </c>
      <c r="B1008" s="1" t="n">
        <v>43521</v>
      </c>
      <c r="C1008" s="1" t="n">
        <v>45344</v>
      </c>
      <c r="D1008" t="inlineStr">
        <is>
          <t>GÄVLEBORGS LÄN</t>
        </is>
      </c>
      <c r="E1008" t="inlineStr">
        <is>
          <t>LJUSDAL</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11959-2019</t>
        </is>
      </c>
      <c r="B1009" s="1" t="n">
        <v>43521</v>
      </c>
      <c r="C1009" s="1" t="n">
        <v>45344</v>
      </c>
      <c r="D1009" t="inlineStr">
        <is>
          <t>GÄVLEBORGS LÄN</t>
        </is>
      </c>
      <c r="E1009" t="inlineStr">
        <is>
          <t>OVANÅKER</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11908-2019</t>
        </is>
      </c>
      <c r="B1010" s="1" t="n">
        <v>43521</v>
      </c>
      <c r="C1010" s="1" t="n">
        <v>45344</v>
      </c>
      <c r="D1010" t="inlineStr">
        <is>
          <t>GÄVLEBORGS LÄN</t>
        </is>
      </c>
      <c r="E1010" t="inlineStr">
        <is>
          <t>LJUSDAL</t>
        </is>
      </c>
      <c r="G1010" t="n">
        <v>6.6</v>
      </c>
      <c r="H1010" t="n">
        <v>0</v>
      </c>
      <c r="I1010" t="n">
        <v>0</v>
      </c>
      <c r="J1010" t="n">
        <v>0</v>
      </c>
      <c r="K1010" t="n">
        <v>0</v>
      </c>
      <c r="L1010" t="n">
        <v>0</v>
      </c>
      <c r="M1010" t="n">
        <v>0</v>
      </c>
      <c r="N1010" t="n">
        <v>0</v>
      </c>
      <c r="O1010" t="n">
        <v>0</v>
      </c>
      <c r="P1010" t="n">
        <v>0</v>
      </c>
      <c r="Q1010" t="n">
        <v>0</v>
      </c>
      <c r="R1010" s="2" t="inlineStr"/>
    </row>
    <row r="1011" ht="15" customHeight="1">
      <c r="A1011" t="inlineStr">
        <is>
          <t>A 11891-2019</t>
        </is>
      </c>
      <c r="B1011" s="1" t="n">
        <v>43521</v>
      </c>
      <c r="C1011" s="1" t="n">
        <v>45344</v>
      </c>
      <c r="D1011" t="inlineStr">
        <is>
          <t>GÄVLEBORGS LÄN</t>
        </is>
      </c>
      <c r="E1011" t="inlineStr">
        <is>
          <t>HUDIKSVALL</t>
        </is>
      </c>
      <c r="F1011" t="inlineStr">
        <is>
          <t>Holmen skog AB</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11967-2019</t>
        </is>
      </c>
      <c r="B1012" s="1" t="n">
        <v>43521</v>
      </c>
      <c r="C1012" s="1" t="n">
        <v>45344</v>
      </c>
      <c r="D1012" t="inlineStr">
        <is>
          <t>GÄVLEBORGS LÄN</t>
        </is>
      </c>
      <c r="E1012" t="inlineStr">
        <is>
          <t>OVANÅKER</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11920-2019</t>
        </is>
      </c>
      <c r="B1013" s="1" t="n">
        <v>43521</v>
      </c>
      <c r="C1013" s="1" t="n">
        <v>45344</v>
      </c>
      <c r="D1013" t="inlineStr">
        <is>
          <t>GÄVLEBORGS LÄN</t>
        </is>
      </c>
      <c r="E1013" t="inlineStr">
        <is>
          <t>HUDIKSVALL</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12118-2019</t>
        </is>
      </c>
      <c r="B1014" s="1" t="n">
        <v>43522</v>
      </c>
      <c r="C1014" s="1" t="n">
        <v>45344</v>
      </c>
      <c r="D1014" t="inlineStr">
        <is>
          <t>GÄVLEBORGS LÄN</t>
        </is>
      </c>
      <c r="E1014" t="inlineStr">
        <is>
          <t>BOLLNÄS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12319-2019</t>
        </is>
      </c>
      <c r="B1015" s="1" t="n">
        <v>43523</v>
      </c>
      <c r="C1015" s="1" t="n">
        <v>45344</v>
      </c>
      <c r="D1015" t="inlineStr">
        <is>
          <t>GÄVLEBORGS LÄN</t>
        </is>
      </c>
      <c r="E1015" t="inlineStr">
        <is>
          <t>BOLLNÄS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12289-2019</t>
        </is>
      </c>
      <c r="B1016" s="1" t="n">
        <v>43523</v>
      </c>
      <c r="C1016" s="1" t="n">
        <v>45344</v>
      </c>
      <c r="D1016" t="inlineStr">
        <is>
          <t>GÄVLEBORGS LÄN</t>
        </is>
      </c>
      <c r="E1016" t="inlineStr">
        <is>
          <t>HUDIKSVALL</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12559-2019</t>
        </is>
      </c>
      <c r="B1017" s="1" t="n">
        <v>43524</v>
      </c>
      <c r="C1017" s="1" t="n">
        <v>45344</v>
      </c>
      <c r="D1017" t="inlineStr">
        <is>
          <t>GÄVLEBORGS LÄN</t>
        </is>
      </c>
      <c r="E1017" t="inlineStr">
        <is>
          <t>LJUSDAL</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12669-2019</t>
        </is>
      </c>
      <c r="B1018" s="1" t="n">
        <v>43524</v>
      </c>
      <c r="C1018" s="1" t="n">
        <v>45344</v>
      </c>
      <c r="D1018" t="inlineStr">
        <is>
          <t>GÄVLEBORGS LÄN</t>
        </is>
      </c>
      <c r="E1018" t="inlineStr">
        <is>
          <t>LJUSDAL</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12676-2019</t>
        </is>
      </c>
      <c r="B1019" s="1" t="n">
        <v>43524</v>
      </c>
      <c r="C1019" s="1" t="n">
        <v>45344</v>
      </c>
      <c r="D1019" t="inlineStr">
        <is>
          <t>GÄVLEBORGS LÄN</t>
        </is>
      </c>
      <c r="E1019" t="inlineStr">
        <is>
          <t>LJUSDAL</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12538-2019</t>
        </is>
      </c>
      <c r="B1020" s="1" t="n">
        <v>43524</v>
      </c>
      <c r="C1020" s="1" t="n">
        <v>45344</v>
      </c>
      <c r="D1020" t="inlineStr">
        <is>
          <t>GÄVLEBORGS LÄN</t>
        </is>
      </c>
      <c r="E1020" t="inlineStr">
        <is>
          <t>HOFORS</t>
        </is>
      </c>
      <c r="G1020" t="n">
        <v>8.699999999999999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12779-2019</t>
        </is>
      </c>
      <c r="B1021" s="1" t="n">
        <v>43525</v>
      </c>
      <c r="C1021" s="1" t="n">
        <v>45344</v>
      </c>
      <c r="D1021" t="inlineStr">
        <is>
          <t>GÄVLEBORGS LÄN</t>
        </is>
      </c>
      <c r="E1021" t="inlineStr">
        <is>
          <t>LJUSDAL</t>
        </is>
      </c>
      <c r="G1021" t="n">
        <v>7.9</v>
      </c>
      <c r="H1021" t="n">
        <v>0</v>
      </c>
      <c r="I1021" t="n">
        <v>0</v>
      </c>
      <c r="J1021" t="n">
        <v>0</v>
      </c>
      <c r="K1021" t="n">
        <v>0</v>
      </c>
      <c r="L1021" t="n">
        <v>0</v>
      </c>
      <c r="M1021" t="n">
        <v>0</v>
      </c>
      <c r="N1021" t="n">
        <v>0</v>
      </c>
      <c r="O1021" t="n">
        <v>0</v>
      </c>
      <c r="P1021" t="n">
        <v>0</v>
      </c>
      <c r="Q1021" t="n">
        <v>0</v>
      </c>
      <c r="R1021" s="2" t="inlineStr"/>
    </row>
    <row r="1022" ht="15" customHeight="1">
      <c r="A1022" t="inlineStr">
        <is>
          <t>A 12845-2019</t>
        </is>
      </c>
      <c r="B1022" s="1" t="n">
        <v>43525</v>
      </c>
      <c r="C1022" s="1" t="n">
        <v>45344</v>
      </c>
      <c r="D1022" t="inlineStr">
        <is>
          <t>GÄVLEBORGS LÄN</t>
        </is>
      </c>
      <c r="E1022" t="inlineStr">
        <is>
          <t>NORDANSTIG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12878-2019</t>
        </is>
      </c>
      <c r="B1023" s="1" t="n">
        <v>43525</v>
      </c>
      <c r="C1023" s="1" t="n">
        <v>45344</v>
      </c>
      <c r="D1023" t="inlineStr">
        <is>
          <t>GÄVLEBORGS LÄN</t>
        </is>
      </c>
      <c r="E1023" t="inlineStr">
        <is>
          <t>OVANÅKER</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12778-2019</t>
        </is>
      </c>
      <c r="B1024" s="1" t="n">
        <v>43525</v>
      </c>
      <c r="C1024" s="1" t="n">
        <v>45344</v>
      </c>
      <c r="D1024" t="inlineStr">
        <is>
          <t>GÄVLEBORGS LÄN</t>
        </is>
      </c>
      <c r="E1024" t="inlineStr">
        <is>
          <t>LJUSDAL</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12841-2019</t>
        </is>
      </c>
      <c r="B1025" s="1" t="n">
        <v>43525</v>
      </c>
      <c r="C1025" s="1" t="n">
        <v>45344</v>
      </c>
      <c r="D1025" t="inlineStr">
        <is>
          <t>GÄVLEBORGS LÄN</t>
        </is>
      </c>
      <c r="E1025" t="inlineStr">
        <is>
          <t>SÖDERHAMN</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13034-2019</t>
        </is>
      </c>
      <c r="B1026" s="1" t="n">
        <v>43528</v>
      </c>
      <c r="C1026" s="1" t="n">
        <v>45344</v>
      </c>
      <c r="D1026" t="inlineStr">
        <is>
          <t>GÄVLEBORGS LÄN</t>
        </is>
      </c>
      <c r="E1026" t="inlineStr">
        <is>
          <t>BOLLNÄS</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13070-2019</t>
        </is>
      </c>
      <c r="B1027" s="1" t="n">
        <v>43528</v>
      </c>
      <c r="C1027" s="1" t="n">
        <v>45344</v>
      </c>
      <c r="D1027" t="inlineStr">
        <is>
          <t>GÄVLEBORGS LÄN</t>
        </is>
      </c>
      <c r="E1027" t="inlineStr">
        <is>
          <t>OCKELBO</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13028-2019</t>
        </is>
      </c>
      <c r="B1028" s="1" t="n">
        <v>43528</v>
      </c>
      <c r="C1028" s="1" t="n">
        <v>45344</v>
      </c>
      <c r="D1028" t="inlineStr">
        <is>
          <t>GÄVLEBORGS LÄN</t>
        </is>
      </c>
      <c r="E1028" t="inlineStr">
        <is>
          <t>BOLLNÄS</t>
        </is>
      </c>
      <c r="G1028" t="n">
        <v>10.3</v>
      </c>
      <c r="H1028" t="n">
        <v>0</v>
      </c>
      <c r="I1028" t="n">
        <v>0</v>
      </c>
      <c r="J1028" t="n">
        <v>0</v>
      </c>
      <c r="K1028" t="n">
        <v>0</v>
      </c>
      <c r="L1028" t="n">
        <v>0</v>
      </c>
      <c r="M1028" t="n">
        <v>0</v>
      </c>
      <c r="N1028" t="n">
        <v>0</v>
      </c>
      <c r="O1028" t="n">
        <v>0</v>
      </c>
      <c r="P1028" t="n">
        <v>0</v>
      </c>
      <c r="Q1028" t="n">
        <v>0</v>
      </c>
      <c r="R1028" s="2" t="inlineStr"/>
    </row>
    <row r="1029" ht="15" customHeight="1">
      <c r="A1029" t="inlineStr">
        <is>
          <t>A 13125-2019</t>
        </is>
      </c>
      <c r="B1029" s="1" t="n">
        <v>43528</v>
      </c>
      <c r="C1029" s="1" t="n">
        <v>45344</v>
      </c>
      <c r="D1029" t="inlineStr">
        <is>
          <t>GÄVLEBORGS LÄN</t>
        </is>
      </c>
      <c r="E1029" t="inlineStr">
        <is>
          <t>LJUSDAL</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13056-2019</t>
        </is>
      </c>
      <c r="B1030" s="1" t="n">
        <v>43528</v>
      </c>
      <c r="C1030" s="1" t="n">
        <v>45344</v>
      </c>
      <c r="D1030" t="inlineStr">
        <is>
          <t>GÄVLEBORGS LÄN</t>
        </is>
      </c>
      <c r="E1030" t="inlineStr">
        <is>
          <t>HUDIKSVALL</t>
        </is>
      </c>
      <c r="F1030" t="inlineStr">
        <is>
          <t>Holmen skog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13292-2019</t>
        </is>
      </c>
      <c r="B1031" s="1" t="n">
        <v>43529</v>
      </c>
      <c r="C1031" s="1" t="n">
        <v>45344</v>
      </c>
      <c r="D1031" t="inlineStr">
        <is>
          <t>GÄVLEBORGS LÄN</t>
        </is>
      </c>
      <c r="E1031" t="inlineStr">
        <is>
          <t>NORDANSTIG</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13375-2019</t>
        </is>
      </c>
      <c r="B1032" s="1" t="n">
        <v>43529</v>
      </c>
      <c r="C1032" s="1" t="n">
        <v>45344</v>
      </c>
      <c r="D1032" t="inlineStr">
        <is>
          <t>GÄVLEBORGS LÄN</t>
        </is>
      </c>
      <c r="E1032" t="inlineStr">
        <is>
          <t>OVANÅKER</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13287-2019</t>
        </is>
      </c>
      <c r="B1033" s="1" t="n">
        <v>43529</v>
      </c>
      <c r="C1033" s="1" t="n">
        <v>45344</v>
      </c>
      <c r="D1033" t="inlineStr">
        <is>
          <t>GÄVLEBORGS LÄN</t>
        </is>
      </c>
      <c r="E1033" t="inlineStr">
        <is>
          <t>BOLLNÄS</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13371-2019</t>
        </is>
      </c>
      <c r="B1034" s="1" t="n">
        <v>43529</v>
      </c>
      <c r="C1034" s="1" t="n">
        <v>45344</v>
      </c>
      <c r="D1034" t="inlineStr">
        <is>
          <t>GÄVLEBORGS LÄN</t>
        </is>
      </c>
      <c r="E1034" t="inlineStr">
        <is>
          <t>OVANÅKER</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13399-2019</t>
        </is>
      </c>
      <c r="B1035" s="1" t="n">
        <v>43529</v>
      </c>
      <c r="C1035" s="1" t="n">
        <v>45344</v>
      </c>
      <c r="D1035" t="inlineStr">
        <is>
          <t>GÄVLEBORGS LÄN</t>
        </is>
      </c>
      <c r="E1035" t="inlineStr">
        <is>
          <t>NORDANSTIG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13279-2019</t>
        </is>
      </c>
      <c r="B1036" s="1" t="n">
        <v>43529</v>
      </c>
      <c r="C1036" s="1" t="n">
        <v>45344</v>
      </c>
      <c r="D1036" t="inlineStr">
        <is>
          <t>GÄVLEBORGS LÄN</t>
        </is>
      </c>
      <c r="E1036" t="inlineStr">
        <is>
          <t>NORDANSTIG</t>
        </is>
      </c>
      <c r="F1036" t="inlineStr">
        <is>
          <t>Holmen skog AB</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13562-2019</t>
        </is>
      </c>
      <c r="B1037" s="1" t="n">
        <v>43530</v>
      </c>
      <c r="C1037" s="1" t="n">
        <v>45344</v>
      </c>
      <c r="D1037" t="inlineStr">
        <is>
          <t>GÄVLEBORGS LÄN</t>
        </is>
      </c>
      <c r="E1037" t="inlineStr">
        <is>
          <t>GÄVLE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13737-2019</t>
        </is>
      </c>
      <c r="B1038" s="1" t="n">
        <v>43531</v>
      </c>
      <c r="C1038" s="1" t="n">
        <v>45344</v>
      </c>
      <c r="D1038" t="inlineStr">
        <is>
          <t>GÄVLEBORGS LÄN</t>
        </is>
      </c>
      <c r="E1038" t="inlineStr">
        <is>
          <t>OVANÅKER</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13946-2019</t>
        </is>
      </c>
      <c r="B1039" s="1" t="n">
        <v>43532</v>
      </c>
      <c r="C1039" s="1" t="n">
        <v>45344</v>
      </c>
      <c r="D1039" t="inlineStr">
        <is>
          <t>GÄVLEBORGS LÄN</t>
        </is>
      </c>
      <c r="E1039" t="inlineStr">
        <is>
          <t>BOLLNÄS</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13935-2019</t>
        </is>
      </c>
      <c r="B1040" s="1" t="n">
        <v>43532</v>
      </c>
      <c r="C1040" s="1" t="n">
        <v>45344</v>
      </c>
      <c r="D1040" t="inlineStr">
        <is>
          <t>GÄVLEBORGS LÄN</t>
        </is>
      </c>
      <c r="E1040" t="inlineStr">
        <is>
          <t>SANDVIKEN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13997-2019</t>
        </is>
      </c>
      <c r="B1041" s="1" t="n">
        <v>43532</v>
      </c>
      <c r="C1041" s="1" t="n">
        <v>45344</v>
      </c>
      <c r="D1041" t="inlineStr">
        <is>
          <t>GÄVLEBORGS LÄN</t>
        </is>
      </c>
      <c r="E1041" t="inlineStr">
        <is>
          <t>BOLLNÄS</t>
        </is>
      </c>
      <c r="G1041" t="n">
        <v>8.5</v>
      </c>
      <c r="H1041" t="n">
        <v>0</v>
      </c>
      <c r="I1041" t="n">
        <v>0</v>
      </c>
      <c r="J1041" t="n">
        <v>0</v>
      </c>
      <c r="K1041" t="n">
        <v>0</v>
      </c>
      <c r="L1041" t="n">
        <v>0</v>
      </c>
      <c r="M1041" t="n">
        <v>0</v>
      </c>
      <c r="N1041" t="n">
        <v>0</v>
      </c>
      <c r="O1041" t="n">
        <v>0</v>
      </c>
      <c r="P1041" t="n">
        <v>0</v>
      </c>
      <c r="Q1041" t="n">
        <v>0</v>
      </c>
      <c r="R1041" s="2" t="inlineStr"/>
    </row>
    <row r="1042" ht="15" customHeight="1">
      <c r="A1042" t="inlineStr">
        <is>
          <t>A 14214-2019</t>
        </is>
      </c>
      <c r="B1042" s="1" t="n">
        <v>43535</v>
      </c>
      <c r="C1042" s="1" t="n">
        <v>45344</v>
      </c>
      <c r="D1042" t="inlineStr">
        <is>
          <t>GÄVLEBORGS LÄN</t>
        </is>
      </c>
      <c r="E1042" t="inlineStr">
        <is>
          <t>HUDIKSVALL</t>
        </is>
      </c>
      <c r="F1042" t="inlineStr">
        <is>
          <t>Holmen skog AB</t>
        </is>
      </c>
      <c r="G1042" t="n">
        <v>19.9</v>
      </c>
      <c r="H1042" t="n">
        <v>0</v>
      </c>
      <c r="I1042" t="n">
        <v>0</v>
      </c>
      <c r="J1042" t="n">
        <v>0</v>
      </c>
      <c r="K1042" t="n">
        <v>0</v>
      </c>
      <c r="L1042" t="n">
        <v>0</v>
      </c>
      <c r="M1042" t="n">
        <v>0</v>
      </c>
      <c r="N1042" t="n">
        <v>0</v>
      </c>
      <c r="O1042" t="n">
        <v>0</v>
      </c>
      <c r="P1042" t="n">
        <v>0</v>
      </c>
      <c r="Q1042" t="n">
        <v>0</v>
      </c>
      <c r="R1042" s="2" t="inlineStr"/>
    </row>
    <row r="1043" ht="15" customHeight="1">
      <c r="A1043" t="inlineStr">
        <is>
          <t>A 14308-2019</t>
        </is>
      </c>
      <c r="B1043" s="1" t="n">
        <v>43535</v>
      </c>
      <c r="C1043" s="1" t="n">
        <v>45344</v>
      </c>
      <c r="D1043" t="inlineStr">
        <is>
          <t>GÄVLEBORGS LÄN</t>
        </is>
      </c>
      <c r="E1043" t="inlineStr">
        <is>
          <t>SANDVIKEN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14285-2019</t>
        </is>
      </c>
      <c r="B1044" s="1" t="n">
        <v>43535</v>
      </c>
      <c r="C1044" s="1" t="n">
        <v>45344</v>
      </c>
      <c r="D1044" t="inlineStr">
        <is>
          <t>GÄVLEBORGS LÄN</t>
        </is>
      </c>
      <c r="E1044" t="inlineStr">
        <is>
          <t>LJUSDAL</t>
        </is>
      </c>
      <c r="G1044" t="n">
        <v>0.1</v>
      </c>
      <c r="H1044" t="n">
        <v>0</v>
      </c>
      <c r="I1044" t="n">
        <v>0</v>
      </c>
      <c r="J1044" t="n">
        <v>0</v>
      </c>
      <c r="K1044" t="n">
        <v>0</v>
      </c>
      <c r="L1044" t="n">
        <v>0</v>
      </c>
      <c r="M1044" t="n">
        <v>0</v>
      </c>
      <c r="N1044" t="n">
        <v>0</v>
      </c>
      <c r="O1044" t="n">
        <v>0</v>
      </c>
      <c r="P1044" t="n">
        <v>0</v>
      </c>
      <c r="Q1044" t="n">
        <v>0</v>
      </c>
      <c r="R1044" s="2" t="inlineStr"/>
    </row>
    <row r="1045" ht="15" customHeight="1">
      <c r="A1045" t="inlineStr">
        <is>
          <t>A 14216-2019</t>
        </is>
      </c>
      <c r="B1045" s="1" t="n">
        <v>43535</v>
      </c>
      <c r="C1045" s="1" t="n">
        <v>45344</v>
      </c>
      <c r="D1045" t="inlineStr">
        <is>
          <t>GÄVLEBORGS LÄN</t>
        </is>
      </c>
      <c r="E1045" t="inlineStr">
        <is>
          <t>HUDIKSVALL</t>
        </is>
      </c>
      <c r="F1045" t="inlineStr">
        <is>
          <t>Holmen skog AB</t>
        </is>
      </c>
      <c r="G1045" t="n">
        <v>19.9</v>
      </c>
      <c r="H1045" t="n">
        <v>0</v>
      </c>
      <c r="I1045" t="n">
        <v>0</v>
      </c>
      <c r="J1045" t="n">
        <v>0</v>
      </c>
      <c r="K1045" t="n">
        <v>0</v>
      </c>
      <c r="L1045" t="n">
        <v>0</v>
      </c>
      <c r="M1045" t="n">
        <v>0</v>
      </c>
      <c r="N1045" t="n">
        <v>0</v>
      </c>
      <c r="O1045" t="n">
        <v>0</v>
      </c>
      <c r="P1045" t="n">
        <v>0</v>
      </c>
      <c r="Q1045" t="n">
        <v>0</v>
      </c>
      <c r="R1045" s="2" t="inlineStr"/>
    </row>
    <row r="1046" ht="15" customHeight="1">
      <c r="A1046" t="inlineStr">
        <is>
          <t>A 14226-2019</t>
        </is>
      </c>
      <c r="B1046" s="1" t="n">
        <v>43536</v>
      </c>
      <c r="C1046" s="1" t="n">
        <v>45344</v>
      </c>
      <c r="D1046" t="inlineStr">
        <is>
          <t>GÄVLEBORGS LÄN</t>
        </is>
      </c>
      <c r="E1046" t="inlineStr">
        <is>
          <t>LJUSDAL</t>
        </is>
      </c>
      <c r="G1046" t="n">
        <v>5.1</v>
      </c>
      <c r="H1046" t="n">
        <v>0</v>
      </c>
      <c r="I1046" t="n">
        <v>0</v>
      </c>
      <c r="J1046" t="n">
        <v>0</v>
      </c>
      <c r="K1046" t="n">
        <v>0</v>
      </c>
      <c r="L1046" t="n">
        <v>0</v>
      </c>
      <c r="M1046" t="n">
        <v>0</v>
      </c>
      <c r="N1046" t="n">
        <v>0</v>
      </c>
      <c r="O1046" t="n">
        <v>0</v>
      </c>
      <c r="P1046" t="n">
        <v>0</v>
      </c>
      <c r="Q1046" t="n">
        <v>0</v>
      </c>
      <c r="R1046" s="2" t="inlineStr"/>
    </row>
    <row r="1047" ht="15" customHeight="1">
      <c r="A1047" t="inlineStr">
        <is>
          <t>A 14396-2019</t>
        </is>
      </c>
      <c r="B1047" s="1" t="n">
        <v>43536</v>
      </c>
      <c r="C1047" s="1" t="n">
        <v>45344</v>
      </c>
      <c r="D1047" t="inlineStr">
        <is>
          <t>GÄVLEBORGS LÄN</t>
        </is>
      </c>
      <c r="E1047" t="inlineStr">
        <is>
          <t>SÖDERHAMN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14480-2019</t>
        </is>
      </c>
      <c r="B1048" s="1" t="n">
        <v>43536</v>
      </c>
      <c r="C1048" s="1" t="n">
        <v>45344</v>
      </c>
      <c r="D1048" t="inlineStr">
        <is>
          <t>GÄVLEBORGS LÄN</t>
        </is>
      </c>
      <c r="E1048" t="inlineStr">
        <is>
          <t>NORDANSTIG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14354-2019</t>
        </is>
      </c>
      <c r="B1049" s="1" t="n">
        <v>43536</v>
      </c>
      <c r="C1049" s="1" t="n">
        <v>45344</v>
      </c>
      <c r="D1049" t="inlineStr">
        <is>
          <t>GÄVLEBORGS LÄN</t>
        </is>
      </c>
      <c r="E1049" t="inlineStr">
        <is>
          <t>SÖDERHAMN</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14390-2019</t>
        </is>
      </c>
      <c r="B1050" s="1" t="n">
        <v>43536</v>
      </c>
      <c r="C1050" s="1" t="n">
        <v>45344</v>
      </c>
      <c r="D1050" t="inlineStr">
        <is>
          <t>GÄVLEBORGS LÄN</t>
        </is>
      </c>
      <c r="E1050" t="inlineStr">
        <is>
          <t>BOLLNÄS</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14790-2019</t>
        </is>
      </c>
      <c r="B1051" s="1" t="n">
        <v>43537</v>
      </c>
      <c r="C1051" s="1" t="n">
        <v>45344</v>
      </c>
      <c r="D1051" t="inlineStr">
        <is>
          <t>GÄVLEBORGS LÄN</t>
        </is>
      </c>
      <c r="E1051" t="inlineStr">
        <is>
          <t>NORDANSTIG</t>
        </is>
      </c>
      <c r="G1051" t="n">
        <v>7.8</v>
      </c>
      <c r="H1051" t="n">
        <v>0</v>
      </c>
      <c r="I1051" t="n">
        <v>0</v>
      </c>
      <c r="J1051" t="n">
        <v>0</v>
      </c>
      <c r="K1051" t="n">
        <v>0</v>
      </c>
      <c r="L1051" t="n">
        <v>0</v>
      </c>
      <c r="M1051" t="n">
        <v>0</v>
      </c>
      <c r="N1051" t="n">
        <v>0</v>
      </c>
      <c r="O1051" t="n">
        <v>0</v>
      </c>
      <c r="P1051" t="n">
        <v>0</v>
      </c>
      <c r="Q1051" t="n">
        <v>0</v>
      </c>
      <c r="R1051" s="2" t="inlineStr"/>
    </row>
    <row r="1052" ht="15" customHeight="1">
      <c r="A1052" t="inlineStr">
        <is>
          <t>A 14981-2019</t>
        </is>
      </c>
      <c r="B1052" s="1" t="n">
        <v>43537</v>
      </c>
      <c r="C1052" s="1" t="n">
        <v>45344</v>
      </c>
      <c r="D1052" t="inlineStr">
        <is>
          <t>GÄVLEBORGS LÄN</t>
        </is>
      </c>
      <c r="E1052" t="inlineStr">
        <is>
          <t>BOLLNÄS</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14923-2019</t>
        </is>
      </c>
      <c r="B1053" s="1" t="n">
        <v>43537</v>
      </c>
      <c r="C1053" s="1" t="n">
        <v>45344</v>
      </c>
      <c r="D1053" t="inlineStr">
        <is>
          <t>GÄVLEBORGS LÄN</t>
        </is>
      </c>
      <c r="E1053" t="inlineStr">
        <is>
          <t>GÄVLE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15065-2019</t>
        </is>
      </c>
      <c r="B1054" s="1" t="n">
        <v>43538</v>
      </c>
      <c r="C1054" s="1" t="n">
        <v>45344</v>
      </c>
      <c r="D1054" t="inlineStr">
        <is>
          <t>GÄVLEBORGS LÄN</t>
        </is>
      </c>
      <c r="E1054" t="inlineStr">
        <is>
          <t>HUDIKSVALL</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14711-2019</t>
        </is>
      </c>
      <c r="B1055" s="1" t="n">
        <v>43539</v>
      </c>
      <c r="C1055" s="1" t="n">
        <v>45344</v>
      </c>
      <c r="D1055" t="inlineStr">
        <is>
          <t>GÄVLEBORGS LÄN</t>
        </is>
      </c>
      <c r="E1055" t="inlineStr">
        <is>
          <t>HUDIKSVALL</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15174-2019</t>
        </is>
      </c>
      <c r="B1056" s="1" t="n">
        <v>43539</v>
      </c>
      <c r="C1056" s="1" t="n">
        <v>45344</v>
      </c>
      <c r="D1056" t="inlineStr">
        <is>
          <t>GÄVLEBORGS LÄN</t>
        </is>
      </c>
      <c r="E1056" t="inlineStr">
        <is>
          <t>OVANÅKER</t>
        </is>
      </c>
      <c r="G1056" t="n">
        <v>7.8</v>
      </c>
      <c r="H1056" t="n">
        <v>0</v>
      </c>
      <c r="I1056" t="n">
        <v>0</v>
      </c>
      <c r="J1056" t="n">
        <v>0</v>
      </c>
      <c r="K1056" t="n">
        <v>0</v>
      </c>
      <c r="L1056" t="n">
        <v>0</v>
      </c>
      <c r="M1056" t="n">
        <v>0</v>
      </c>
      <c r="N1056" t="n">
        <v>0</v>
      </c>
      <c r="O1056" t="n">
        <v>0</v>
      </c>
      <c r="P1056" t="n">
        <v>0</v>
      </c>
      <c r="Q1056" t="n">
        <v>0</v>
      </c>
      <c r="R1056" s="2" t="inlineStr"/>
    </row>
    <row r="1057" ht="15" customHeight="1">
      <c r="A1057" t="inlineStr">
        <is>
          <t>A 15205-2019</t>
        </is>
      </c>
      <c r="B1057" s="1" t="n">
        <v>43542</v>
      </c>
      <c r="C1057" s="1" t="n">
        <v>45344</v>
      </c>
      <c r="D1057" t="inlineStr">
        <is>
          <t>GÄVLEBORGS LÄN</t>
        </is>
      </c>
      <c r="E1057" t="inlineStr">
        <is>
          <t>SÖDERHAMN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15284-2019</t>
        </is>
      </c>
      <c r="B1058" s="1" t="n">
        <v>43542</v>
      </c>
      <c r="C1058" s="1" t="n">
        <v>45344</v>
      </c>
      <c r="D1058" t="inlineStr">
        <is>
          <t>GÄVLEBORGS LÄN</t>
        </is>
      </c>
      <c r="E1058" t="inlineStr">
        <is>
          <t>LJUSDAL</t>
        </is>
      </c>
      <c r="G1058" t="n">
        <v>0.1</v>
      </c>
      <c r="H1058" t="n">
        <v>0</v>
      </c>
      <c r="I1058" t="n">
        <v>0</v>
      </c>
      <c r="J1058" t="n">
        <v>0</v>
      </c>
      <c r="K1058" t="n">
        <v>0</v>
      </c>
      <c r="L1058" t="n">
        <v>0</v>
      </c>
      <c r="M1058" t="n">
        <v>0</v>
      </c>
      <c r="N1058" t="n">
        <v>0</v>
      </c>
      <c r="O1058" t="n">
        <v>0</v>
      </c>
      <c r="P1058" t="n">
        <v>0</v>
      </c>
      <c r="Q1058" t="n">
        <v>0</v>
      </c>
      <c r="R1058" s="2" t="inlineStr"/>
    </row>
    <row r="1059" ht="15" customHeight="1">
      <c r="A1059" t="inlineStr">
        <is>
          <t>A 15456-2019</t>
        </is>
      </c>
      <c r="B1059" s="1" t="n">
        <v>43542</v>
      </c>
      <c r="C1059" s="1" t="n">
        <v>45344</v>
      </c>
      <c r="D1059" t="inlineStr">
        <is>
          <t>GÄVLEBORGS LÄN</t>
        </is>
      </c>
      <c r="E1059" t="inlineStr">
        <is>
          <t>HUDIKSVALL</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15430-2019</t>
        </is>
      </c>
      <c r="B1060" s="1" t="n">
        <v>43542</v>
      </c>
      <c r="C1060" s="1" t="n">
        <v>45344</v>
      </c>
      <c r="D1060" t="inlineStr">
        <is>
          <t>GÄVLEBORGS LÄN</t>
        </is>
      </c>
      <c r="E1060" t="inlineStr">
        <is>
          <t>OVANÅKER</t>
        </is>
      </c>
      <c r="G1060" t="n">
        <v>5.4</v>
      </c>
      <c r="H1060" t="n">
        <v>0</v>
      </c>
      <c r="I1060" t="n">
        <v>0</v>
      </c>
      <c r="J1060" t="n">
        <v>0</v>
      </c>
      <c r="K1060" t="n">
        <v>0</v>
      </c>
      <c r="L1060" t="n">
        <v>0</v>
      </c>
      <c r="M1060" t="n">
        <v>0</v>
      </c>
      <c r="N1060" t="n">
        <v>0</v>
      </c>
      <c r="O1060" t="n">
        <v>0</v>
      </c>
      <c r="P1060" t="n">
        <v>0</v>
      </c>
      <c r="Q1060" t="n">
        <v>0</v>
      </c>
      <c r="R1060" s="2" t="inlineStr"/>
    </row>
    <row r="1061" ht="15" customHeight="1">
      <c r="A1061" t="inlineStr">
        <is>
          <t>A 15222-2019</t>
        </is>
      </c>
      <c r="B1061" s="1" t="n">
        <v>43542</v>
      </c>
      <c r="C1061" s="1" t="n">
        <v>45344</v>
      </c>
      <c r="D1061" t="inlineStr">
        <is>
          <t>GÄVLEBORGS LÄN</t>
        </is>
      </c>
      <c r="E1061" t="inlineStr">
        <is>
          <t>HUDIKSVALL</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15983-2019</t>
        </is>
      </c>
      <c r="B1062" s="1" t="n">
        <v>43544</v>
      </c>
      <c r="C1062" s="1" t="n">
        <v>45344</v>
      </c>
      <c r="D1062" t="inlineStr">
        <is>
          <t>GÄVLEBORGS LÄN</t>
        </is>
      </c>
      <c r="E1062" t="inlineStr">
        <is>
          <t>SANDVIKEN</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16108-2019</t>
        </is>
      </c>
      <c r="B1063" s="1" t="n">
        <v>43544</v>
      </c>
      <c r="C1063" s="1" t="n">
        <v>45344</v>
      </c>
      <c r="D1063" t="inlineStr">
        <is>
          <t>GÄVLEBORGS LÄN</t>
        </is>
      </c>
      <c r="E1063" t="inlineStr">
        <is>
          <t>SANDVIKEN</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16148-2019</t>
        </is>
      </c>
      <c r="B1064" s="1" t="n">
        <v>43545</v>
      </c>
      <c r="C1064" s="1" t="n">
        <v>45344</v>
      </c>
      <c r="D1064" t="inlineStr">
        <is>
          <t>GÄVLEBORGS LÄN</t>
        </is>
      </c>
      <c r="E1064" t="inlineStr">
        <is>
          <t>HUDIKSVALL</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16370-2019</t>
        </is>
      </c>
      <c r="B1065" s="1" t="n">
        <v>43545</v>
      </c>
      <c r="C1065" s="1" t="n">
        <v>45344</v>
      </c>
      <c r="D1065" t="inlineStr">
        <is>
          <t>GÄVLEBORGS LÄN</t>
        </is>
      </c>
      <c r="E1065" t="inlineStr">
        <is>
          <t>NORDANSTIG</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16248-2019</t>
        </is>
      </c>
      <c r="B1066" s="1" t="n">
        <v>43545</v>
      </c>
      <c r="C1066" s="1" t="n">
        <v>45344</v>
      </c>
      <c r="D1066" t="inlineStr">
        <is>
          <t>GÄVLEBORGS LÄN</t>
        </is>
      </c>
      <c r="E1066" t="inlineStr">
        <is>
          <t>HUDIKSVALL</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16215-2019</t>
        </is>
      </c>
      <c r="B1067" s="1" t="n">
        <v>43545</v>
      </c>
      <c r="C1067" s="1" t="n">
        <v>45344</v>
      </c>
      <c r="D1067" t="inlineStr">
        <is>
          <t>GÄVLEBORGS LÄN</t>
        </is>
      </c>
      <c r="E1067" t="inlineStr">
        <is>
          <t>OVANÅKER</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16304-2019</t>
        </is>
      </c>
      <c r="B1068" s="1" t="n">
        <v>43545</v>
      </c>
      <c r="C1068" s="1" t="n">
        <v>45344</v>
      </c>
      <c r="D1068" t="inlineStr">
        <is>
          <t>GÄVLEBORGS LÄN</t>
        </is>
      </c>
      <c r="E1068" t="inlineStr">
        <is>
          <t>SANDVIKEN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16244-2019</t>
        </is>
      </c>
      <c r="B1069" s="1" t="n">
        <v>43545</v>
      </c>
      <c r="C1069" s="1" t="n">
        <v>45344</v>
      </c>
      <c r="D1069" t="inlineStr">
        <is>
          <t>GÄVLEBORGS LÄN</t>
        </is>
      </c>
      <c r="E1069" t="inlineStr">
        <is>
          <t>HUDIKSVALL</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16669-2019</t>
        </is>
      </c>
      <c r="B1070" s="1" t="n">
        <v>43549</v>
      </c>
      <c r="C1070" s="1" t="n">
        <v>45344</v>
      </c>
      <c r="D1070" t="inlineStr">
        <is>
          <t>GÄVLEBORGS LÄN</t>
        </is>
      </c>
      <c r="E1070" t="inlineStr">
        <is>
          <t>LJUSDAL</t>
        </is>
      </c>
      <c r="G1070" t="n">
        <v>16.3</v>
      </c>
      <c r="H1070" t="n">
        <v>0</v>
      </c>
      <c r="I1070" t="n">
        <v>0</v>
      </c>
      <c r="J1070" t="n">
        <v>0</v>
      </c>
      <c r="K1070" t="n">
        <v>0</v>
      </c>
      <c r="L1070" t="n">
        <v>0</v>
      </c>
      <c r="M1070" t="n">
        <v>0</v>
      </c>
      <c r="N1070" t="n">
        <v>0</v>
      </c>
      <c r="O1070" t="n">
        <v>0</v>
      </c>
      <c r="P1070" t="n">
        <v>0</v>
      </c>
      <c r="Q1070" t="n">
        <v>0</v>
      </c>
      <c r="R1070" s="2" t="inlineStr"/>
    </row>
    <row r="1071" ht="15" customHeight="1">
      <c r="A1071" t="inlineStr">
        <is>
          <t>A 16677-2019</t>
        </is>
      </c>
      <c r="B1071" s="1" t="n">
        <v>43549</v>
      </c>
      <c r="C1071" s="1" t="n">
        <v>45344</v>
      </c>
      <c r="D1071" t="inlineStr">
        <is>
          <t>GÄVLEBORGS LÄN</t>
        </is>
      </c>
      <c r="E1071" t="inlineStr">
        <is>
          <t>LJUSDAL</t>
        </is>
      </c>
      <c r="G1071" t="n">
        <v>12.9</v>
      </c>
      <c r="H1071" t="n">
        <v>0</v>
      </c>
      <c r="I1071" t="n">
        <v>0</v>
      </c>
      <c r="J1071" t="n">
        <v>0</v>
      </c>
      <c r="K1071" t="n">
        <v>0</v>
      </c>
      <c r="L1071" t="n">
        <v>0</v>
      </c>
      <c r="M1071" t="n">
        <v>0</v>
      </c>
      <c r="N1071" t="n">
        <v>0</v>
      </c>
      <c r="O1071" t="n">
        <v>0</v>
      </c>
      <c r="P1071" t="n">
        <v>0</v>
      </c>
      <c r="Q1071" t="n">
        <v>0</v>
      </c>
      <c r="R1071" s="2" t="inlineStr"/>
    </row>
    <row r="1072" ht="15" customHeight="1">
      <c r="A1072" t="inlineStr">
        <is>
          <t>A 16957-2019</t>
        </is>
      </c>
      <c r="B1072" s="1" t="n">
        <v>43550</v>
      </c>
      <c r="C1072" s="1" t="n">
        <v>45344</v>
      </c>
      <c r="D1072" t="inlineStr">
        <is>
          <t>GÄVLEBORGS LÄN</t>
        </is>
      </c>
      <c r="E1072" t="inlineStr">
        <is>
          <t>LJUSDAL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17273-2019</t>
        </is>
      </c>
      <c r="B1073" s="1" t="n">
        <v>43551</v>
      </c>
      <c r="C1073" s="1" t="n">
        <v>45344</v>
      </c>
      <c r="D1073" t="inlineStr">
        <is>
          <t>GÄVLEBORGS LÄN</t>
        </is>
      </c>
      <c r="E1073" t="inlineStr">
        <is>
          <t>OVANÅKER</t>
        </is>
      </c>
      <c r="G1073" t="n">
        <v>9.6</v>
      </c>
      <c r="H1073" t="n">
        <v>0</v>
      </c>
      <c r="I1073" t="n">
        <v>0</v>
      </c>
      <c r="J1073" t="n">
        <v>0</v>
      </c>
      <c r="K1073" t="n">
        <v>0</v>
      </c>
      <c r="L1073" t="n">
        <v>0</v>
      </c>
      <c r="M1073" t="n">
        <v>0</v>
      </c>
      <c r="N1073" t="n">
        <v>0</v>
      </c>
      <c r="O1073" t="n">
        <v>0</v>
      </c>
      <c r="P1073" t="n">
        <v>0</v>
      </c>
      <c r="Q1073" t="n">
        <v>0</v>
      </c>
      <c r="R1073" s="2" t="inlineStr"/>
    </row>
    <row r="1074" ht="15" customHeight="1">
      <c r="A1074" t="inlineStr">
        <is>
          <t>A 17312-2019</t>
        </is>
      </c>
      <c r="B1074" s="1" t="n">
        <v>43552</v>
      </c>
      <c r="C1074" s="1" t="n">
        <v>45344</v>
      </c>
      <c r="D1074" t="inlineStr">
        <is>
          <t>GÄVLEBORGS LÄN</t>
        </is>
      </c>
      <c r="E1074" t="inlineStr">
        <is>
          <t>LJUSDAL</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17298-2019</t>
        </is>
      </c>
      <c r="B1075" s="1" t="n">
        <v>43552</v>
      </c>
      <c r="C1075" s="1" t="n">
        <v>45344</v>
      </c>
      <c r="D1075" t="inlineStr">
        <is>
          <t>GÄVLEBORGS LÄN</t>
        </is>
      </c>
      <c r="E1075" t="inlineStr">
        <is>
          <t>LJUSDAL</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17194-2019</t>
        </is>
      </c>
      <c r="B1076" s="1" t="n">
        <v>43552</v>
      </c>
      <c r="C1076" s="1" t="n">
        <v>45344</v>
      </c>
      <c r="D1076" t="inlineStr">
        <is>
          <t>GÄVLEBORGS LÄN</t>
        </is>
      </c>
      <c r="E1076" t="inlineStr">
        <is>
          <t>HUDIKSVALL</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17296-2019</t>
        </is>
      </c>
      <c r="B1077" s="1" t="n">
        <v>43552</v>
      </c>
      <c r="C1077" s="1" t="n">
        <v>45344</v>
      </c>
      <c r="D1077" t="inlineStr">
        <is>
          <t>GÄVLEBORGS LÄN</t>
        </is>
      </c>
      <c r="E1077" t="inlineStr">
        <is>
          <t>SANDVIKEN</t>
        </is>
      </c>
      <c r="G1077" t="n">
        <v>13.3</v>
      </c>
      <c r="H1077" t="n">
        <v>0</v>
      </c>
      <c r="I1077" t="n">
        <v>0</v>
      </c>
      <c r="J1077" t="n">
        <v>0</v>
      </c>
      <c r="K1077" t="n">
        <v>0</v>
      </c>
      <c r="L1077" t="n">
        <v>0</v>
      </c>
      <c r="M1077" t="n">
        <v>0</v>
      </c>
      <c r="N1077" t="n">
        <v>0</v>
      </c>
      <c r="O1077" t="n">
        <v>0</v>
      </c>
      <c r="P1077" t="n">
        <v>0</v>
      </c>
      <c r="Q1077" t="n">
        <v>0</v>
      </c>
      <c r="R1077" s="2" t="inlineStr"/>
    </row>
    <row r="1078" ht="15" customHeight="1">
      <c r="A1078" t="inlineStr">
        <is>
          <t>A 17300-2019</t>
        </is>
      </c>
      <c r="B1078" s="1" t="n">
        <v>43552</v>
      </c>
      <c r="C1078" s="1" t="n">
        <v>45344</v>
      </c>
      <c r="D1078" t="inlineStr">
        <is>
          <t>GÄVLEBORGS LÄN</t>
        </is>
      </c>
      <c r="E1078" t="inlineStr">
        <is>
          <t>LJUSDAL</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17501-2019</t>
        </is>
      </c>
      <c r="B1079" s="1" t="n">
        <v>43553</v>
      </c>
      <c r="C1079" s="1" t="n">
        <v>45344</v>
      </c>
      <c r="D1079" t="inlineStr">
        <is>
          <t>GÄVLEBORGS LÄN</t>
        </is>
      </c>
      <c r="E1079" t="inlineStr">
        <is>
          <t>OCKELBO</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17504-2019</t>
        </is>
      </c>
      <c r="B1080" s="1" t="n">
        <v>43553</v>
      </c>
      <c r="C1080" s="1" t="n">
        <v>45344</v>
      </c>
      <c r="D1080" t="inlineStr">
        <is>
          <t>GÄVLEBORGS LÄN</t>
        </is>
      </c>
      <c r="E1080" t="inlineStr">
        <is>
          <t>OCKELBO</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17688-2019</t>
        </is>
      </c>
      <c r="B1081" s="1" t="n">
        <v>43556</v>
      </c>
      <c r="C1081" s="1" t="n">
        <v>45344</v>
      </c>
      <c r="D1081" t="inlineStr">
        <is>
          <t>GÄVLEBORGS LÄN</t>
        </is>
      </c>
      <c r="E1081" t="inlineStr">
        <is>
          <t>OVANÅKER</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17693-2019</t>
        </is>
      </c>
      <c r="B1082" s="1" t="n">
        <v>43556</v>
      </c>
      <c r="C1082" s="1" t="n">
        <v>45344</v>
      </c>
      <c r="D1082" t="inlineStr">
        <is>
          <t>GÄVLEBORGS LÄN</t>
        </is>
      </c>
      <c r="E1082" t="inlineStr">
        <is>
          <t>OVANÅKER</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17691-2019</t>
        </is>
      </c>
      <c r="B1083" s="1" t="n">
        <v>43556</v>
      </c>
      <c r="C1083" s="1" t="n">
        <v>45344</v>
      </c>
      <c r="D1083" t="inlineStr">
        <is>
          <t>GÄVLEBORGS LÄN</t>
        </is>
      </c>
      <c r="E1083" t="inlineStr">
        <is>
          <t>HOFORS</t>
        </is>
      </c>
      <c r="F1083" t="inlineStr">
        <is>
          <t>Kommuner</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17830-2019</t>
        </is>
      </c>
      <c r="B1084" s="1" t="n">
        <v>43556</v>
      </c>
      <c r="C1084" s="1" t="n">
        <v>45344</v>
      </c>
      <c r="D1084" t="inlineStr">
        <is>
          <t>GÄVLEBORGS LÄN</t>
        </is>
      </c>
      <c r="E1084" t="inlineStr">
        <is>
          <t>OCKELBO</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17681-2019</t>
        </is>
      </c>
      <c r="B1085" s="1" t="n">
        <v>43556</v>
      </c>
      <c r="C1085" s="1" t="n">
        <v>45344</v>
      </c>
      <c r="D1085" t="inlineStr">
        <is>
          <t>GÄVLEBORGS LÄN</t>
        </is>
      </c>
      <c r="E1085" t="inlineStr">
        <is>
          <t>OVANÅKER</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17929-2019</t>
        </is>
      </c>
      <c r="B1086" s="1" t="n">
        <v>43557</v>
      </c>
      <c r="C1086" s="1" t="n">
        <v>45344</v>
      </c>
      <c r="D1086" t="inlineStr">
        <is>
          <t>GÄVLEBORGS LÄN</t>
        </is>
      </c>
      <c r="E1086" t="inlineStr">
        <is>
          <t>NORDANSTIG</t>
        </is>
      </c>
      <c r="F1086" t="inlineStr">
        <is>
          <t>Holmen skog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17979-2019</t>
        </is>
      </c>
      <c r="B1087" s="1" t="n">
        <v>43557</v>
      </c>
      <c r="C1087" s="1" t="n">
        <v>45344</v>
      </c>
      <c r="D1087" t="inlineStr">
        <is>
          <t>GÄVLEBORGS LÄN</t>
        </is>
      </c>
      <c r="E1087" t="inlineStr">
        <is>
          <t>LJUSDAL</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18020-2019</t>
        </is>
      </c>
      <c r="B1088" s="1" t="n">
        <v>43557</v>
      </c>
      <c r="C1088" s="1" t="n">
        <v>45344</v>
      </c>
      <c r="D1088" t="inlineStr">
        <is>
          <t>GÄVLEBORGS LÄN</t>
        </is>
      </c>
      <c r="E1088" t="inlineStr">
        <is>
          <t>LJUSDAL</t>
        </is>
      </c>
      <c r="F1088" t="inlineStr">
        <is>
          <t>Kyrkan</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18140-2019</t>
        </is>
      </c>
      <c r="B1089" s="1" t="n">
        <v>43558</v>
      </c>
      <c r="C1089" s="1" t="n">
        <v>45344</v>
      </c>
      <c r="D1089" t="inlineStr">
        <is>
          <t>GÄVLEBORGS LÄN</t>
        </is>
      </c>
      <c r="E1089" t="inlineStr">
        <is>
          <t>HUDIKSVALL</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18095-2019</t>
        </is>
      </c>
      <c r="B1090" s="1" t="n">
        <v>43558</v>
      </c>
      <c r="C1090" s="1" t="n">
        <v>45344</v>
      </c>
      <c r="D1090" t="inlineStr">
        <is>
          <t>GÄVLEBORGS LÄN</t>
        </is>
      </c>
      <c r="E1090" t="inlineStr">
        <is>
          <t>HOFORS</t>
        </is>
      </c>
      <c r="F1090" t="inlineStr">
        <is>
          <t>Sveaskog</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18085-2019</t>
        </is>
      </c>
      <c r="B1091" s="1" t="n">
        <v>43558</v>
      </c>
      <c r="C1091" s="1" t="n">
        <v>45344</v>
      </c>
      <c r="D1091" t="inlineStr">
        <is>
          <t>GÄVLEBORGS LÄN</t>
        </is>
      </c>
      <c r="E1091" t="inlineStr">
        <is>
          <t>HOFORS</t>
        </is>
      </c>
      <c r="F1091" t="inlineStr">
        <is>
          <t>Sveaskog</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18347-2019</t>
        </is>
      </c>
      <c r="B1092" s="1" t="n">
        <v>43559</v>
      </c>
      <c r="C1092" s="1" t="n">
        <v>45344</v>
      </c>
      <c r="D1092" t="inlineStr">
        <is>
          <t>GÄVLEBORGS LÄN</t>
        </is>
      </c>
      <c r="E1092" t="inlineStr">
        <is>
          <t>SÖDERHAMN</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18405-2019</t>
        </is>
      </c>
      <c r="B1093" s="1" t="n">
        <v>43559</v>
      </c>
      <c r="C1093" s="1" t="n">
        <v>45344</v>
      </c>
      <c r="D1093" t="inlineStr">
        <is>
          <t>GÄVLEBORGS LÄN</t>
        </is>
      </c>
      <c r="E1093" t="inlineStr">
        <is>
          <t>BOLLNÄS</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18398-2019</t>
        </is>
      </c>
      <c r="B1094" s="1" t="n">
        <v>43559</v>
      </c>
      <c r="C1094" s="1" t="n">
        <v>45344</v>
      </c>
      <c r="D1094" t="inlineStr">
        <is>
          <t>GÄVLEBORGS LÄN</t>
        </is>
      </c>
      <c r="E1094" t="inlineStr">
        <is>
          <t>GÄVLE</t>
        </is>
      </c>
      <c r="F1094" t="inlineStr">
        <is>
          <t>Bergvik skog öst AB</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18473-2019</t>
        </is>
      </c>
      <c r="B1095" s="1" t="n">
        <v>43559</v>
      </c>
      <c r="C1095" s="1" t="n">
        <v>45344</v>
      </c>
      <c r="D1095" t="inlineStr">
        <is>
          <t>GÄVLEBORGS LÄN</t>
        </is>
      </c>
      <c r="E1095" t="inlineStr">
        <is>
          <t>GÄVLE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18667-2019</t>
        </is>
      </c>
      <c r="B1096" s="1" t="n">
        <v>43560</v>
      </c>
      <c r="C1096" s="1" t="n">
        <v>45344</v>
      </c>
      <c r="D1096" t="inlineStr">
        <is>
          <t>GÄVLEBORGS LÄN</t>
        </is>
      </c>
      <c r="E1096" t="inlineStr">
        <is>
          <t>BOLLNÄS</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19004-2019</t>
        </is>
      </c>
      <c r="B1097" s="1" t="n">
        <v>43563</v>
      </c>
      <c r="C1097" s="1" t="n">
        <v>45344</v>
      </c>
      <c r="D1097" t="inlineStr">
        <is>
          <t>GÄVLEBORGS LÄN</t>
        </is>
      </c>
      <c r="E1097" t="inlineStr">
        <is>
          <t>BOLLNÄS</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19161-2019</t>
        </is>
      </c>
      <c r="B1098" s="1" t="n">
        <v>43564</v>
      </c>
      <c r="C1098" s="1" t="n">
        <v>45344</v>
      </c>
      <c r="D1098" t="inlineStr">
        <is>
          <t>GÄVLEBORGS LÄN</t>
        </is>
      </c>
      <c r="E1098" t="inlineStr">
        <is>
          <t>BOLLNÄS</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19187-2019</t>
        </is>
      </c>
      <c r="B1099" s="1" t="n">
        <v>43564</v>
      </c>
      <c r="C1099" s="1" t="n">
        <v>45344</v>
      </c>
      <c r="D1099" t="inlineStr">
        <is>
          <t>GÄVLEBORGS LÄN</t>
        </is>
      </c>
      <c r="E1099" t="inlineStr">
        <is>
          <t>NORDANSTIG</t>
        </is>
      </c>
      <c r="F1099" t="inlineStr">
        <is>
          <t>Holmen skog AB</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19146-2019</t>
        </is>
      </c>
      <c r="B1100" s="1" t="n">
        <v>43564</v>
      </c>
      <c r="C1100" s="1" t="n">
        <v>45344</v>
      </c>
      <c r="D1100" t="inlineStr">
        <is>
          <t>GÄVLEBORGS LÄN</t>
        </is>
      </c>
      <c r="E1100" t="inlineStr">
        <is>
          <t>SÖDERHAMN</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19293-2019</t>
        </is>
      </c>
      <c r="B1101" s="1" t="n">
        <v>43565</v>
      </c>
      <c r="C1101" s="1" t="n">
        <v>45344</v>
      </c>
      <c r="D1101" t="inlineStr">
        <is>
          <t>GÄVLEBORGS LÄN</t>
        </is>
      </c>
      <c r="E1101" t="inlineStr">
        <is>
          <t>SANDVIKEN</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19418-2019</t>
        </is>
      </c>
      <c r="B1102" s="1" t="n">
        <v>43565</v>
      </c>
      <c r="C1102" s="1" t="n">
        <v>45344</v>
      </c>
      <c r="D1102" t="inlineStr">
        <is>
          <t>GÄVLEBORGS LÄN</t>
        </is>
      </c>
      <c r="E1102" t="inlineStr">
        <is>
          <t>GÄVLE</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19442-2019</t>
        </is>
      </c>
      <c r="B1103" s="1" t="n">
        <v>43565</v>
      </c>
      <c r="C1103" s="1" t="n">
        <v>45344</v>
      </c>
      <c r="D1103" t="inlineStr">
        <is>
          <t>GÄVLEBORGS LÄN</t>
        </is>
      </c>
      <c r="E1103" t="inlineStr">
        <is>
          <t>SANDVIKEN</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19856-2019</t>
        </is>
      </c>
      <c r="B1104" s="1" t="n">
        <v>43567</v>
      </c>
      <c r="C1104" s="1" t="n">
        <v>45344</v>
      </c>
      <c r="D1104" t="inlineStr">
        <is>
          <t>GÄVLEBORGS LÄN</t>
        </is>
      </c>
      <c r="E1104" t="inlineStr">
        <is>
          <t>GÄVLE</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19750-2019</t>
        </is>
      </c>
      <c r="B1105" s="1" t="n">
        <v>43567</v>
      </c>
      <c r="C1105" s="1" t="n">
        <v>45344</v>
      </c>
      <c r="D1105" t="inlineStr">
        <is>
          <t>GÄVLEBORGS LÄN</t>
        </is>
      </c>
      <c r="E1105" t="inlineStr">
        <is>
          <t>HUDIKSVALL</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19908-2019</t>
        </is>
      </c>
      <c r="B1106" s="1" t="n">
        <v>43567</v>
      </c>
      <c r="C1106" s="1" t="n">
        <v>45344</v>
      </c>
      <c r="D1106" t="inlineStr">
        <is>
          <t>GÄVLEBORGS LÄN</t>
        </is>
      </c>
      <c r="E1106" t="inlineStr">
        <is>
          <t>BOLLNÄS</t>
        </is>
      </c>
      <c r="G1106" t="n">
        <v>12.1</v>
      </c>
      <c r="H1106" t="n">
        <v>0</v>
      </c>
      <c r="I1106" t="n">
        <v>0</v>
      </c>
      <c r="J1106" t="n">
        <v>0</v>
      </c>
      <c r="K1106" t="n">
        <v>0</v>
      </c>
      <c r="L1106" t="n">
        <v>0</v>
      </c>
      <c r="M1106" t="n">
        <v>0</v>
      </c>
      <c r="N1106" t="n">
        <v>0</v>
      </c>
      <c r="O1106" t="n">
        <v>0</v>
      </c>
      <c r="P1106" t="n">
        <v>0</v>
      </c>
      <c r="Q1106" t="n">
        <v>0</v>
      </c>
      <c r="R1106" s="2" t="inlineStr"/>
    </row>
    <row r="1107" ht="15" customHeight="1">
      <c r="A1107" t="inlineStr">
        <is>
          <t>A 19891-2019</t>
        </is>
      </c>
      <c r="B1107" s="1" t="n">
        <v>43567</v>
      </c>
      <c r="C1107" s="1" t="n">
        <v>45344</v>
      </c>
      <c r="D1107" t="inlineStr">
        <is>
          <t>GÄVLEBORGS LÄN</t>
        </is>
      </c>
      <c r="E1107" t="inlineStr">
        <is>
          <t>GÄVLE</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19979-2019</t>
        </is>
      </c>
      <c r="B1108" s="1" t="n">
        <v>43570</v>
      </c>
      <c r="C1108" s="1" t="n">
        <v>45344</v>
      </c>
      <c r="D1108" t="inlineStr">
        <is>
          <t>GÄVLEBORGS LÄN</t>
        </is>
      </c>
      <c r="E1108" t="inlineStr">
        <is>
          <t>OVANÅKER</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20043-2019</t>
        </is>
      </c>
      <c r="B1109" s="1" t="n">
        <v>43570</v>
      </c>
      <c r="C1109" s="1" t="n">
        <v>45344</v>
      </c>
      <c r="D1109" t="inlineStr">
        <is>
          <t>GÄVLEBORGS LÄN</t>
        </is>
      </c>
      <c r="E1109" t="inlineStr">
        <is>
          <t>SÖDERHAMN</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20039-2019</t>
        </is>
      </c>
      <c r="B1110" s="1" t="n">
        <v>43570</v>
      </c>
      <c r="C1110" s="1" t="n">
        <v>45344</v>
      </c>
      <c r="D1110" t="inlineStr">
        <is>
          <t>GÄVLEBORGS LÄN</t>
        </is>
      </c>
      <c r="E1110" t="inlineStr">
        <is>
          <t>SÖDERHAMN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20413-2019</t>
        </is>
      </c>
      <c r="B1111" s="1" t="n">
        <v>43571</v>
      </c>
      <c r="C1111" s="1" t="n">
        <v>45344</v>
      </c>
      <c r="D1111" t="inlineStr">
        <is>
          <t>GÄVLEBORGS LÄN</t>
        </is>
      </c>
      <c r="E1111" t="inlineStr">
        <is>
          <t>BOLLNÄS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20414-2019</t>
        </is>
      </c>
      <c r="B1112" s="1" t="n">
        <v>43571</v>
      </c>
      <c r="C1112" s="1" t="n">
        <v>45344</v>
      </c>
      <c r="D1112" t="inlineStr">
        <is>
          <t>GÄVLEBORGS LÄN</t>
        </is>
      </c>
      <c r="E1112" t="inlineStr">
        <is>
          <t>OVANÅKER</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20536-2019</t>
        </is>
      </c>
      <c r="B1113" s="1" t="n">
        <v>43572</v>
      </c>
      <c r="C1113" s="1" t="n">
        <v>45344</v>
      </c>
      <c r="D1113" t="inlineStr">
        <is>
          <t>GÄVLEBORGS LÄN</t>
        </is>
      </c>
      <c r="E1113" t="inlineStr">
        <is>
          <t>HUDIKSVALL</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20470-2019</t>
        </is>
      </c>
      <c r="B1114" s="1" t="n">
        <v>43572</v>
      </c>
      <c r="C1114" s="1" t="n">
        <v>45344</v>
      </c>
      <c r="D1114" t="inlineStr">
        <is>
          <t>GÄVLEBORGS LÄN</t>
        </is>
      </c>
      <c r="E1114" t="inlineStr">
        <is>
          <t>OVANÅKER</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20726-2019</t>
        </is>
      </c>
      <c r="B1115" s="1" t="n">
        <v>43573</v>
      </c>
      <c r="C1115" s="1" t="n">
        <v>45344</v>
      </c>
      <c r="D1115" t="inlineStr">
        <is>
          <t>GÄVLEBORGS LÄN</t>
        </is>
      </c>
      <c r="E1115" t="inlineStr">
        <is>
          <t>HUDIKSVALL</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20888-2019</t>
        </is>
      </c>
      <c r="B1116" s="1" t="n">
        <v>43573</v>
      </c>
      <c r="C1116" s="1" t="n">
        <v>45344</v>
      </c>
      <c r="D1116" t="inlineStr">
        <is>
          <t>GÄVLEBORGS LÄN</t>
        </is>
      </c>
      <c r="E1116" t="inlineStr">
        <is>
          <t>HUDIKSVALL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20787-2019</t>
        </is>
      </c>
      <c r="B1117" s="1" t="n">
        <v>43573</v>
      </c>
      <c r="C1117" s="1" t="n">
        <v>45344</v>
      </c>
      <c r="D1117" t="inlineStr">
        <is>
          <t>GÄVLEBORGS LÄN</t>
        </is>
      </c>
      <c r="E1117" t="inlineStr">
        <is>
          <t>HUDIKSVALL</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20858-2019</t>
        </is>
      </c>
      <c r="B1118" s="1" t="n">
        <v>43578</v>
      </c>
      <c r="C1118" s="1" t="n">
        <v>45344</v>
      </c>
      <c r="D1118" t="inlineStr">
        <is>
          <t>GÄVLEBORGS LÄN</t>
        </is>
      </c>
      <c r="E1118" t="inlineStr">
        <is>
          <t>GÄVLE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21091-2019</t>
        </is>
      </c>
      <c r="B1119" s="1" t="n">
        <v>43578</v>
      </c>
      <c r="C1119" s="1" t="n">
        <v>45344</v>
      </c>
      <c r="D1119" t="inlineStr">
        <is>
          <t>GÄVLEBORGS LÄN</t>
        </is>
      </c>
      <c r="E1119" t="inlineStr">
        <is>
          <t>LJUSDAL</t>
        </is>
      </c>
      <c r="G1119" t="n">
        <v>14.8</v>
      </c>
      <c r="H1119" t="n">
        <v>0</v>
      </c>
      <c r="I1119" t="n">
        <v>0</v>
      </c>
      <c r="J1119" t="n">
        <v>0</v>
      </c>
      <c r="K1119" t="n">
        <v>0</v>
      </c>
      <c r="L1119" t="n">
        <v>0</v>
      </c>
      <c r="M1119" t="n">
        <v>0</v>
      </c>
      <c r="N1119" t="n">
        <v>0</v>
      </c>
      <c r="O1119" t="n">
        <v>0</v>
      </c>
      <c r="P1119" t="n">
        <v>0</v>
      </c>
      <c r="Q1119" t="n">
        <v>0</v>
      </c>
      <c r="R1119" s="2" t="inlineStr"/>
      <c r="U1119">
        <f>HYPERLINK("https://klasma.github.io/Logging_2161/knärot/A 21091-2019 karta knärot.png", "A 21091-2019")</f>
        <v/>
      </c>
      <c r="V1119">
        <f>HYPERLINK("https://klasma.github.io/Logging_2161/klagomål/A 21091-2019 FSC-klagomål.docx", "A 21091-2019")</f>
        <v/>
      </c>
      <c r="W1119">
        <f>HYPERLINK("https://klasma.github.io/Logging_2161/klagomålsmail/A 21091-2019 FSC-klagomål mail.docx", "A 21091-2019")</f>
        <v/>
      </c>
      <c r="X1119">
        <f>HYPERLINK("https://klasma.github.io/Logging_2161/tillsyn/A 21091-2019 tillsynsbegäran.docx", "A 21091-2019")</f>
        <v/>
      </c>
      <c r="Y1119">
        <f>HYPERLINK("https://klasma.github.io/Logging_2161/tillsynsmail/A 21091-2019 tillsynsbegäran mail.docx", "A 21091-2019")</f>
        <v/>
      </c>
    </row>
    <row r="1120" ht="15" customHeight="1">
      <c r="A1120" t="inlineStr">
        <is>
          <t>A 20889-2019</t>
        </is>
      </c>
      <c r="B1120" s="1" t="n">
        <v>43578</v>
      </c>
      <c r="C1120" s="1" t="n">
        <v>45344</v>
      </c>
      <c r="D1120" t="inlineStr">
        <is>
          <t>GÄVLEBORGS LÄN</t>
        </is>
      </c>
      <c r="E1120" t="inlineStr">
        <is>
          <t>NORDANSTIG</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20872-2019</t>
        </is>
      </c>
      <c r="B1121" s="1" t="n">
        <v>43578</v>
      </c>
      <c r="C1121" s="1" t="n">
        <v>45344</v>
      </c>
      <c r="D1121" t="inlineStr">
        <is>
          <t>GÄVLEBORGS LÄN</t>
        </is>
      </c>
      <c r="E1121" t="inlineStr">
        <is>
          <t>GÄVLE</t>
        </is>
      </c>
      <c r="G1121" t="n">
        <v>9.699999999999999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21172-2019</t>
        </is>
      </c>
      <c r="B1122" s="1" t="n">
        <v>43579</v>
      </c>
      <c r="C1122" s="1" t="n">
        <v>45344</v>
      </c>
      <c r="D1122" t="inlineStr">
        <is>
          <t>GÄVLEBORGS LÄN</t>
        </is>
      </c>
      <c r="E1122" t="inlineStr">
        <is>
          <t>SANDVIKEN</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21349-2019</t>
        </is>
      </c>
      <c r="B1123" s="1" t="n">
        <v>43579</v>
      </c>
      <c r="C1123" s="1" t="n">
        <v>45344</v>
      </c>
      <c r="D1123" t="inlineStr">
        <is>
          <t>GÄVLEBORGS LÄN</t>
        </is>
      </c>
      <c r="E1123" t="inlineStr">
        <is>
          <t>OCKELBO</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21347-2019</t>
        </is>
      </c>
      <c r="B1124" s="1" t="n">
        <v>43579</v>
      </c>
      <c r="C1124" s="1" t="n">
        <v>45344</v>
      </c>
      <c r="D1124" t="inlineStr">
        <is>
          <t>GÄVLEBORGS LÄN</t>
        </is>
      </c>
      <c r="E1124" t="inlineStr">
        <is>
          <t>GÄVLE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21489-2019</t>
        </is>
      </c>
      <c r="B1125" s="1" t="n">
        <v>43580</v>
      </c>
      <c r="C1125" s="1" t="n">
        <v>45344</v>
      </c>
      <c r="D1125" t="inlineStr">
        <is>
          <t>GÄVLEBORGS LÄN</t>
        </is>
      </c>
      <c r="E1125" t="inlineStr">
        <is>
          <t>HUDIKSVALL</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21449-2019</t>
        </is>
      </c>
      <c r="B1126" s="1" t="n">
        <v>43580</v>
      </c>
      <c r="C1126" s="1" t="n">
        <v>45344</v>
      </c>
      <c r="D1126" t="inlineStr">
        <is>
          <t>GÄVLEBORGS LÄN</t>
        </is>
      </c>
      <c r="E1126" t="inlineStr">
        <is>
          <t>BOLLNÄS</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21582-2019</t>
        </is>
      </c>
      <c r="B1127" s="1" t="n">
        <v>43580</v>
      </c>
      <c r="C1127" s="1" t="n">
        <v>45344</v>
      </c>
      <c r="D1127" t="inlineStr">
        <is>
          <t>GÄVLEBORGS LÄN</t>
        </is>
      </c>
      <c r="E1127" t="inlineStr">
        <is>
          <t>SANDVIKEN</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21581-2019</t>
        </is>
      </c>
      <c r="B1128" s="1" t="n">
        <v>43580</v>
      </c>
      <c r="C1128" s="1" t="n">
        <v>45344</v>
      </c>
      <c r="D1128" t="inlineStr">
        <is>
          <t>GÄVLEBORGS LÄN</t>
        </is>
      </c>
      <c r="E1128" t="inlineStr">
        <is>
          <t>SANDVIKEN</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21725-2019</t>
        </is>
      </c>
      <c r="B1129" s="1" t="n">
        <v>43581</v>
      </c>
      <c r="C1129" s="1" t="n">
        <v>45344</v>
      </c>
      <c r="D1129" t="inlineStr">
        <is>
          <t>GÄVLEBORGS LÄN</t>
        </is>
      </c>
      <c r="E1129" t="inlineStr">
        <is>
          <t>OVANÅKER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21734-2019</t>
        </is>
      </c>
      <c r="B1130" s="1" t="n">
        <v>43581</v>
      </c>
      <c r="C1130" s="1" t="n">
        <v>45344</v>
      </c>
      <c r="D1130" t="inlineStr">
        <is>
          <t>GÄVLEBORGS LÄN</t>
        </is>
      </c>
      <c r="E1130" t="inlineStr">
        <is>
          <t>HOFORS</t>
        </is>
      </c>
      <c r="F1130" t="inlineStr">
        <is>
          <t>Sveaskog</t>
        </is>
      </c>
      <c r="G1130" t="n">
        <v>1.6</v>
      </c>
      <c r="H1130" t="n">
        <v>0</v>
      </c>
      <c r="I1130" t="n">
        <v>0</v>
      </c>
      <c r="J1130" t="n">
        <v>0</v>
      </c>
      <c r="K1130" t="n">
        <v>0</v>
      </c>
      <c r="L1130" t="n">
        <v>0</v>
      </c>
      <c r="M1130" t="n">
        <v>0</v>
      </c>
      <c r="N1130" t="n">
        <v>0</v>
      </c>
      <c r="O1130" t="n">
        <v>0</v>
      </c>
      <c r="P1130" t="n">
        <v>0</v>
      </c>
      <c r="Q1130" t="n">
        <v>0</v>
      </c>
      <c r="R1130" s="2" t="inlineStr"/>
      <c r="U1130">
        <f>HYPERLINK("https://klasma.github.io/Logging_2104/knärot/A 21734-2019 karta knärot.png", "A 21734-2019")</f>
        <v/>
      </c>
      <c r="V1130">
        <f>HYPERLINK("https://klasma.github.io/Logging_2104/klagomål/A 21734-2019 FSC-klagomål.docx", "A 21734-2019")</f>
        <v/>
      </c>
      <c r="W1130">
        <f>HYPERLINK("https://klasma.github.io/Logging_2104/klagomålsmail/A 21734-2019 FSC-klagomål mail.docx", "A 21734-2019")</f>
        <v/>
      </c>
      <c r="X1130">
        <f>HYPERLINK("https://klasma.github.io/Logging_2104/tillsyn/A 21734-2019 tillsynsbegäran.docx", "A 21734-2019")</f>
        <v/>
      </c>
      <c r="Y1130">
        <f>HYPERLINK("https://klasma.github.io/Logging_2104/tillsynsmail/A 21734-2019 tillsynsbegäran mail.docx", "A 21734-2019")</f>
        <v/>
      </c>
    </row>
    <row r="1131" ht="15" customHeight="1">
      <c r="A1131" t="inlineStr">
        <is>
          <t>A 21761-2019</t>
        </is>
      </c>
      <c r="B1131" s="1" t="n">
        <v>43581</v>
      </c>
      <c r="C1131" s="1" t="n">
        <v>45344</v>
      </c>
      <c r="D1131" t="inlineStr">
        <is>
          <t>GÄVLEBORGS LÄN</t>
        </is>
      </c>
      <c r="E1131" t="inlineStr">
        <is>
          <t>LJUSDAL</t>
        </is>
      </c>
      <c r="F1131" t="inlineStr">
        <is>
          <t>Holmen skog AB</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21857-2019</t>
        </is>
      </c>
      <c r="B1132" s="1" t="n">
        <v>43581</v>
      </c>
      <c r="C1132" s="1" t="n">
        <v>45344</v>
      </c>
      <c r="D1132" t="inlineStr">
        <is>
          <t>GÄVLEBORGS LÄN</t>
        </is>
      </c>
      <c r="E1132" t="inlineStr">
        <is>
          <t>HUDIKSVALL</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21796-2019</t>
        </is>
      </c>
      <c r="B1133" s="1" t="n">
        <v>43581</v>
      </c>
      <c r="C1133" s="1" t="n">
        <v>45344</v>
      </c>
      <c r="D1133" t="inlineStr">
        <is>
          <t>GÄVLEBORGS LÄN</t>
        </is>
      </c>
      <c r="E1133" t="inlineStr">
        <is>
          <t>NORDANSTIG</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21797-2019</t>
        </is>
      </c>
      <c r="B1134" s="1" t="n">
        <v>43581</v>
      </c>
      <c r="C1134" s="1" t="n">
        <v>45344</v>
      </c>
      <c r="D1134" t="inlineStr">
        <is>
          <t>GÄVLEBORGS LÄN</t>
        </is>
      </c>
      <c r="E1134" t="inlineStr">
        <is>
          <t>HUDIKSVALL</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21823-2019</t>
        </is>
      </c>
      <c r="B1135" s="1" t="n">
        <v>43583</v>
      </c>
      <c r="C1135" s="1" t="n">
        <v>45344</v>
      </c>
      <c r="D1135" t="inlineStr">
        <is>
          <t>GÄVLEBORGS LÄN</t>
        </is>
      </c>
      <c r="E1135" t="inlineStr">
        <is>
          <t>BOLLNÄS</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21836-2019</t>
        </is>
      </c>
      <c r="B1136" s="1" t="n">
        <v>43584</v>
      </c>
      <c r="C1136" s="1" t="n">
        <v>45344</v>
      </c>
      <c r="D1136" t="inlineStr">
        <is>
          <t>GÄVLEBORGS LÄN</t>
        </is>
      </c>
      <c r="E1136" t="inlineStr">
        <is>
          <t>LJUSDAL</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22162-2019</t>
        </is>
      </c>
      <c r="B1137" s="1" t="n">
        <v>43585</v>
      </c>
      <c r="C1137" s="1" t="n">
        <v>45344</v>
      </c>
      <c r="D1137" t="inlineStr">
        <is>
          <t>GÄVLEBORGS LÄN</t>
        </is>
      </c>
      <c r="E1137" t="inlineStr">
        <is>
          <t>NORDANSTIG</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22222-2019</t>
        </is>
      </c>
      <c r="B1138" s="1" t="n">
        <v>43585</v>
      </c>
      <c r="C1138" s="1" t="n">
        <v>45344</v>
      </c>
      <c r="D1138" t="inlineStr">
        <is>
          <t>GÄVLEBORGS LÄN</t>
        </is>
      </c>
      <c r="E1138" t="inlineStr">
        <is>
          <t>SANDVIKEN</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22161-2019</t>
        </is>
      </c>
      <c r="B1139" s="1" t="n">
        <v>43585</v>
      </c>
      <c r="C1139" s="1" t="n">
        <v>45344</v>
      </c>
      <c r="D1139" t="inlineStr">
        <is>
          <t>GÄVLEBORGS LÄN</t>
        </is>
      </c>
      <c r="E1139" t="inlineStr">
        <is>
          <t>NORDANSTIG</t>
        </is>
      </c>
      <c r="G1139" t="n">
        <v>4.8</v>
      </c>
      <c r="H1139" t="n">
        <v>0</v>
      </c>
      <c r="I1139" t="n">
        <v>0</v>
      </c>
      <c r="J1139" t="n">
        <v>0</v>
      </c>
      <c r="K1139" t="n">
        <v>0</v>
      </c>
      <c r="L1139" t="n">
        <v>0</v>
      </c>
      <c r="M1139" t="n">
        <v>0</v>
      </c>
      <c r="N1139" t="n">
        <v>0</v>
      </c>
      <c r="O1139" t="n">
        <v>0</v>
      </c>
      <c r="P1139" t="n">
        <v>0</v>
      </c>
      <c r="Q1139" t="n">
        <v>0</v>
      </c>
      <c r="R1139" s="2" t="inlineStr"/>
    </row>
    <row r="1140" ht="15" customHeight="1">
      <c r="A1140" t="inlineStr">
        <is>
          <t>A 22180-2019</t>
        </is>
      </c>
      <c r="B1140" s="1" t="n">
        <v>43585</v>
      </c>
      <c r="C1140" s="1" t="n">
        <v>45344</v>
      </c>
      <c r="D1140" t="inlineStr">
        <is>
          <t>GÄVLEBORGS LÄN</t>
        </is>
      </c>
      <c r="E1140" t="inlineStr">
        <is>
          <t>HUDIKSVALL</t>
        </is>
      </c>
      <c r="F1140" t="inlineStr">
        <is>
          <t>Holmen skog AB</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22441-2019</t>
        </is>
      </c>
      <c r="B1141" s="1" t="n">
        <v>43587</v>
      </c>
      <c r="C1141" s="1" t="n">
        <v>45344</v>
      </c>
      <c r="D1141" t="inlineStr">
        <is>
          <t>GÄVLEBORGS LÄN</t>
        </is>
      </c>
      <c r="E1141" t="inlineStr">
        <is>
          <t>HUDIKSVALL</t>
        </is>
      </c>
      <c r="G1141" t="n">
        <v>11.1</v>
      </c>
      <c r="H1141" t="n">
        <v>0</v>
      </c>
      <c r="I1141" t="n">
        <v>0</v>
      </c>
      <c r="J1141" t="n">
        <v>0</v>
      </c>
      <c r="K1141" t="n">
        <v>0</v>
      </c>
      <c r="L1141" t="n">
        <v>0</v>
      </c>
      <c r="M1141" t="n">
        <v>0</v>
      </c>
      <c r="N1141" t="n">
        <v>0</v>
      </c>
      <c r="O1141" t="n">
        <v>0</v>
      </c>
      <c r="P1141" t="n">
        <v>0</v>
      </c>
      <c r="Q1141" t="n">
        <v>0</v>
      </c>
      <c r="R1141" s="2" t="inlineStr"/>
    </row>
    <row r="1142" ht="15" customHeight="1">
      <c r="A1142" t="inlineStr">
        <is>
          <t>A 22526-2019</t>
        </is>
      </c>
      <c r="B1142" s="1" t="n">
        <v>43587</v>
      </c>
      <c r="C1142" s="1" t="n">
        <v>45344</v>
      </c>
      <c r="D1142" t="inlineStr">
        <is>
          <t>GÄVLEBORGS LÄN</t>
        </is>
      </c>
      <c r="E1142" t="inlineStr">
        <is>
          <t>BOLLNÄS</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22537-2019</t>
        </is>
      </c>
      <c r="B1143" s="1" t="n">
        <v>43587</v>
      </c>
      <c r="C1143" s="1" t="n">
        <v>45344</v>
      </c>
      <c r="D1143" t="inlineStr">
        <is>
          <t>GÄVLEBORGS LÄN</t>
        </is>
      </c>
      <c r="E1143" t="inlineStr">
        <is>
          <t>OVANÅKER</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22617-2019</t>
        </is>
      </c>
      <c r="B1144" s="1" t="n">
        <v>43588</v>
      </c>
      <c r="C1144" s="1" t="n">
        <v>45344</v>
      </c>
      <c r="D1144" t="inlineStr">
        <is>
          <t>GÄVLEBORGS LÄN</t>
        </is>
      </c>
      <c r="E1144" t="inlineStr">
        <is>
          <t>GÄVLE</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22645-2019</t>
        </is>
      </c>
      <c r="B1145" s="1" t="n">
        <v>43588</v>
      </c>
      <c r="C1145" s="1" t="n">
        <v>45344</v>
      </c>
      <c r="D1145" t="inlineStr">
        <is>
          <t>GÄVLEBORGS LÄN</t>
        </is>
      </c>
      <c r="E1145" t="inlineStr">
        <is>
          <t>HUDIKSVALL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22611-2019</t>
        </is>
      </c>
      <c r="B1146" s="1" t="n">
        <v>43588</v>
      </c>
      <c r="C1146" s="1" t="n">
        <v>45344</v>
      </c>
      <c r="D1146" t="inlineStr">
        <is>
          <t>GÄVLEBORGS LÄN</t>
        </is>
      </c>
      <c r="E1146" t="inlineStr">
        <is>
          <t>GÄVLE</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22734-2019</t>
        </is>
      </c>
      <c r="B1147" s="1" t="n">
        <v>43588</v>
      </c>
      <c r="C1147" s="1" t="n">
        <v>45344</v>
      </c>
      <c r="D1147" t="inlineStr">
        <is>
          <t>GÄVLEBORGS LÄN</t>
        </is>
      </c>
      <c r="E1147" t="inlineStr">
        <is>
          <t>HOFORS</t>
        </is>
      </c>
      <c r="F1147" t="inlineStr">
        <is>
          <t>Sveaskog</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22609-2019</t>
        </is>
      </c>
      <c r="B1148" s="1" t="n">
        <v>43588</v>
      </c>
      <c r="C1148" s="1" t="n">
        <v>45344</v>
      </c>
      <c r="D1148" t="inlineStr">
        <is>
          <t>GÄVLEBORGS LÄN</t>
        </is>
      </c>
      <c r="E1148" t="inlineStr">
        <is>
          <t>GÄVLE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22969-2019</t>
        </is>
      </c>
      <c r="B1149" s="1" t="n">
        <v>43591</v>
      </c>
      <c r="C1149" s="1" t="n">
        <v>45344</v>
      </c>
      <c r="D1149" t="inlineStr">
        <is>
          <t>GÄVLEBORGS LÄN</t>
        </is>
      </c>
      <c r="E1149" t="inlineStr">
        <is>
          <t>OVANÅKER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22908-2019</t>
        </is>
      </c>
      <c r="B1150" s="1" t="n">
        <v>43591</v>
      </c>
      <c r="C1150" s="1" t="n">
        <v>45344</v>
      </c>
      <c r="D1150" t="inlineStr">
        <is>
          <t>GÄVLEBORGS LÄN</t>
        </is>
      </c>
      <c r="E1150" t="inlineStr">
        <is>
          <t>HUDIKSVALL</t>
        </is>
      </c>
      <c r="G1150" t="n">
        <v>13.2</v>
      </c>
      <c r="H1150" t="n">
        <v>0</v>
      </c>
      <c r="I1150" t="n">
        <v>0</v>
      </c>
      <c r="J1150" t="n">
        <v>0</v>
      </c>
      <c r="K1150" t="n">
        <v>0</v>
      </c>
      <c r="L1150" t="n">
        <v>0</v>
      </c>
      <c r="M1150" t="n">
        <v>0</v>
      </c>
      <c r="N1150" t="n">
        <v>0</v>
      </c>
      <c r="O1150" t="n">
        <v>0</v>
      </c>
      <c r="P1150" t="n">
        <v>0</v>
      </c>
      <c r="Q1150" t="n">
        <v>0</v>
      </c>
      <c r="R1150" s="2" t="inlineStr"/>
    </row>
    <row r="1151" ht="15" customHeight="1">
      <c r="A1151" t="inlineStr">
        <is>
          <t>A 22926-2019</t>
        </is>
      </c>
      <c r="B1151" s="1" t="n">
        <v>43591</v>
      </c>
      <c r="C1151" s="1" t="n">
        <v>45344</v>
      </c>
      <c r="D1151" t="inlineStr">
        <is>
          <t>GÄVLEBORGS LÄN</t>
        </is>
      </c>
      <c r="E1151" t="inlineStr">
        <is>
          <t>OVANÅKER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23268-2019</t>
        </is>
      </c>
      <c r="B1152" s="1" t="n">
        <v>43592</v>
      </c>
      <c r="C1152" s="1" t="n">
        <v>45344</v>
      </c>
      <c r="D1152" t="inlineStr">
        <is>
          <t>GÄVLEBORGS LÄN</t>
        </is>
      </c>
      <c r="E1152" t="inlineStr">
        <is>
          <t>SÖDERHAMN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23434-2019</t>
        </is>
      </c>
      <c r="B1153" s="1" t="n">
        <v>43593</v>
      </c>
      <c r="C1153" s="1" t="n">
        <v>45344</v>
      </c>
      <c r="D1153" t="inlineStr">
        <is>
          <t>GÄVLEBORGS LÄN</t>
        </is>
      </c>
      <c r="E1153" t="inlineStr">
        <is>
          <t>HUDIKSVALL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23441-2019</t>
        </is>
      </c>
      <c r="B1154" s="1" t="n">
        <v>43593</v>
      </c>
      <c r="C1154" s="1" t="n">
        <v>45344</v>
      </c>
      <c r="D1154" t="inlineStr">
        <is>
          <t>GÄVLEBORGS LÄN</t>
        </is>
      </c>
      <c r="E1154" t="inlineStr">
        <is>
          <t>BOLLNÄS</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23381-2019</t>
        </is>
      </c>
      <c r="B1155" s="1" t="n">
        <v>43593</v>
      </c>
      <c r="C1155" s="1" t="n">
        <v>45344</v>
      </c>
      <c r="D1155" t="inlineStr">
        <is>
          <t>GÄVLEBORGS LÄN</t>
        </is>
      </c>
      <c r="E1155" t="inlineStr">
        <is>
          <t>SANDVIKEN</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23400-2019</t>
        </is>
      </c>
      <c r="B1156" s="1" t="n">
        <v>43593</v>
      </c>
      <c r="C1156" s="1" t="n">
        <v>45344</v>
      </c>
      <c r="D1156" t="inlineStr">
        <is>
          <t>GÄVLEBORGS LÄN</t>
        </is>
      </c>
      <c r="E1156" t="inlineStr">
        <is>
          <t>BOLLNÄS</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23684-2019</t>
        </is>
      </c>
      <c r="B1157" s="1" t="n">
        <v>43594</v>
      </c>
      <c r="C1157" s="1" t="n">
        <v>45344</v>
      </c>
      <c r="D1157" t="inlineStr">
        <is>
          <t>GÄVLEBORGS LÄN</t>
        </is>
      </c>
      <c r="E1157" t="inlineStr">
        <is>
          <t>HUDIKSVALL</t>
        </is>
      </c>
      <c r="F1157" t="inlineStr">
        <is>
          <t>Holmen skog AB</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23617-2019</t>
        </is>
      </c>
      <c r="B1158" s="1" t="n">
        <v>43594</v>
      </c>
      <c r="C1158" s="1" t="n">
        <v>45344</v>
      </c>
      <c r="D1158" t="inlineStr">
        <is>
          <t>GÄVLEBORGS LÄN</t>
        </is>
      </c>
      <c r="E1158" t="inlineStr">
        <is>
          <t>BOLLNÄS</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23881-2019</t>
        </is>
      </c>
      <c r="B1159" s="1" t="n">
        <v>43595</v>
      </c>
      <c r="C1159" s="1" t="n">
        <v>45344</v>
      </c>
      <c r="D1159" t="inlineStr">
        <is>
          <t>GÄVLEBORGS LÄN</t>
        </is>
      </c>
      <c r="E1159" t="inlineStr">
        <is>
          <t>HOFORS</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23876-2019</t>
        </is>
      </c>
      <c r="B1160" s="1" t="n">
        <v>43595</v>
      </c>
      <c r="C1160" s="1" t="n">
        <v>45344</v>
      </c>
      <c r="D1160" t="inlineStr">
        <is>
          <t>GÄVLEBORGS LÄN</t>
        </is>
      </c>
      <c r="E1160" t="inlineStr">
        <is>
          <t>SANDVIKEN</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23848-2019</t>
        </is>
      </c>
      <c r="B1161" s="1" t="n">
        <v>43595</v>
      </c>
      <c r="C1161" s="1" t="n">
        <v>45344</v>
      </c>
      <c r="D1161" t="inlineStr">
        <is>
          <t>GÄVLEBORGS LÄN</t>
        </is>
      </c>
      <c r="E1161" t="inlineStr">
        <is>
          <t>SANDVIKEN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23895-2019</t>
        </is>
      </c>
      <c r="B1162" s="1" t="n">
        <v>43595</v>
      </c>
      <c r="C1162" s="1" t="n">
        <v>45344</v>
      </c>
      <c r="D1162" t="inlineStr">
        <is>
          <t>GÄVLEBORGS LÄN</t>
        </is>
      </c>
      <c r="E1162" t="inlineStr">
        <is>
          <t>HUDIKSVALL</t>
        </is>
      </c>
      <c r="G1162" t="n">
        <v>4.9</v>
      </c>
      <c r="H1162" t="n">
        <v>0</v>
      </c>
      <c r="I1162" t="n">
        <v>0</v>
      </c>
      <c r="J1162" t="n">
        <v>0</v>
      </c>
      <c r="K1162" t="n">
        <v>0</v>
      </c>
      <c r="L1162" t="n">
        <v>0</v>
      </c>
      <c r="M1162" t="n">
        <v>0</v>
      </c>
      <c r="N1162" t="n">
        <v>0</v>
      </c>
      <c r="O1162" t="n">
        <v>0</v>
      </c>
      <c r="P1162" t="n">
        <v>0</v>
      </c>
      <c r="Q1162" t="n">
        <v>0</v>
      </c>
      <c r="R1162" s="2" t="inlineStr"/>
    </row>
    <row r="1163" ht="15" customHeight="1">
      <c r="A1163" t="inlineStr">
        <is>
          <t>A 24158-2019</t>
        </is>
      </c>
      <c r="B1163" s="1" t="n">
        <v>43598</v>
      </c>
      <c r="C1163" s="1" t="n">
        <v>45344</v>
      </c>
      <c r="D1163" t="inlineStr">
        <is>
          <t>GÄVLEBORGS LÄN</t>
        </is>
      </c>
      <c r="E1163" t="inlineStr">
        <is>
          <t>NORDANSTIG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23997-2019</t>
        </is>
      </c>
      <c r="B1164" s="1" t="n">
        <v>43598</v>
      </c>
      <c r="C1164" s="1" t="n">
        <v>45344</v>
      </c>
      <c r="D1164" t="inlineStr">
        <is>
          <t>GÄVLEBORGS LÄN</t>
        </is>
      </c>
      <c r="E1164" t="inlineStr">
        <is>
          <t>BOLLNÄS</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23982-2019</t>
        </is>
      </c>
      <c r="B1165" s="1" t="n">
        <v>43598</v>
      </c>
      <c r="C1165" s="1" t="n">
        <v>45344</v>
      </c>
      <c r="D1165" t="inlineStr">
        <is>
          <t>GÄVLEBORGS LÄN</t>
        </is>
      </c>
      <c r="E1165" t="inlineStr">
        <is>
          <t>SANDVIKEN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24196-2019</t>
        </is>
      </c>
      <c r="B1166" s="1" t="n">
        <v>43599</v>
      </c>
      <c r="C1166" s="1" t="n">
        <v>45344</v>
      </c>
      <c r="D1166" t="inlineStr">
        <is>
          <t>GÄVLEBORGS LÄN</t>
        </is>
      </c>
      <c r="E1166" t="inlineStr">
        <is>
          <t>HUDIKSVALL</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24237-2019</t>
        </is>
      </c>
      <c r="B1167" s="1" t="n">
        <v>43599</v>
      </c>
      <c r="C1167" s="1" t="n">
        <v>45344</v>
      </c>
      <c r="D1167" t="inlineStr">
        <is>
          <t>GÄVLEBORGS LÄN</t>
        </is>
      </c>
      <c r="E1167" t="inlineStr">
        <is>
          <t>BOLLNÄS</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24325-2019</t>
        </is>
      </c>
      <c r="B1168" s="1" t="n">
        <v>43599</v>
      </c>
      <c r="C1168" s="1" t="n">
        <v>45344</v>
      </c>
      <c r="D1168" t="inlineStr">
        <is>
          <t>GÄVLEBORGS LÄN</t>
        </is>
      </c>
      <c r="E1168" t="inlineStr">
        <is>
          <t>BOLLNÄS</t>
        </is>
      </c>
      <c r="G1168" t="n">
        <v>8.4</v>
      </c>
      <c r="H1168" t="n">
        <v>0</v>
      </c>
      <c r="I1168" t="n">
        <v>0</v>
      </c>
      <c r="J1168" t="n">
        <v>0</v>
      </c>
      <c r="K1168" t="n">
        <v>0</v>
      </c>
      <c r="L1168" t="n">
        <v>0</v>
      </c>
      <c r="M1168" t="n">
        <v>0</v>
      </c>
      <c r="N1168" t="n">
        <v>0</v>
      </c>
      <c r="O1168" t="n">
        <v>0</v>
      </c>
      <c r="P1168" t="n">
        <v>0</v>
      </c>
      <c r="Q1168" t="n">
        <v>0</v>
      </c>
      <c r="R1168" s="2" t="inlineStr"/>
    </row>
    <row r="1169" ht="15" customHeight="1">
      <c r="A1169" t="inlineStr">
        <is>
          <t>A 24251-2019</t>
        </is>
      </c>
      <c r="B1169" s="1" t="n">
        <v>43599</v>
      </c>
      <c r="C1169" s="1" t="n">
        <v>45344</v>
      </c>
      <c r="D1169" t="inlineStr">
        <is>
          <t>GÄVLEBORGS LÄN</t>
        </is>
      </c>
      <c r="E1169" t="inlineStr">
        <is>
          <t>BOLLNÄS</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24505-2019</t>
        </is>
      </c>
      <c r="B1170" s="1" t="n">
        <v>43600</v>
      </c>
      <c r="C1170" s="1" t="n">
        <v>45344</v>
      </c>
      <c r="D1170" t="inlineStr">
        <is>
          <t>GÄVLEBORGS LÄN</t>
        </is>
      </c>
      <c r="E1170" t="inlineStr">
        <is>
          <t>LJUSDAL</t>
        </is>
      </c>
      <c r="F1170" t="inlineStr">
        <is>
          <t>Kyrkan</t>
        </is>
      </c>
      <c r="G1170" t="n">
        <v>43.9</v>
      </c>
      <c r="H1170" t="n">
        <v>0</v>
      </c>
      <c r="I1170" t="n">
        <v>0</v>
      </c>
      <c r="J1170" t="n">
        <v>0</v>
      </c>
      <c r="K1170" t="n">
        <v>0</v>
      </c>
      <c r="L1170" t="n">
        <v>0</v>
      </c>
      <c r="M1170" t="n">
        <v>0</v>
      </c>
      <c r="N1170" t="n">
        <v>0</v>
      </c>
      <c r="O1170" t="n">
        <v>0</v>
      </c>
      <c r="P1170" t="n">
        <v>0</v>
      </c>
      <c r="Q1170" t="n">
        <v>0</v>
      </c>
      <c r="R1170" s="2" t="inlineStr"/>
    </row>
    <row r="1171" ht="15" customHeight="1">
      <c r="A1171" t="inlineStr">
        <is>
          <t>A 24504-2019</t>
        </is>
      </c>
      <c r="B1171" s="1" t="n">
        <v>43600</v>
      </c>
      <c r="C1171" s="1" t="n">
        <v>45344</v>
      </c>
      <c r="D1171" t="inlineStr">
        <is>
          <t>GÄVLEBORGS LÄN</t>
        </is>
      </c>
      <c r="E1171" t="inlineStr">
        <is>
          <t>LJUSDAL</t>
        </is>
      </c>
      <c r="F1171" t="inlineStr">
        <is>
          <t>Kyrkan</t>
        </is>
      </c>
      <c r="G1171" t="n">
        <v>43.9</v>
      </c>
      <c r="H1171" t="n">
        <v>0</v>
      </c>
      <c r="I1171" t="n">
        <v>0</v>
      </c>
      <c r="J1171" t="n">
        <v>0</v>
      </c>
      <c r="K1171" t="n">
        <v>0</v>
      </c>
      <c r="L1171" t="n">
        <v>0</v>
      </c>
      <c r="M1171" t="n">
        <v>0</v>
      </c>
      <c r="N1171" t="n">
        <v>0</v>
      </c>
      <c r="O1171" t="n">
        <v>0</v>
      </c>
      <c r="P1171" t="n">
        <v>0</v>
      </c>
      <c r="Q1171" t="n">
        <v>0</v>
      </c>
      <c r="R1171" s="2" t="inlineStr"/>
    </row>
    <row r="1172" ht="15" customHeight="1">
      <c r="A1172" t="inlineStr">
        <is>
          <t>A 24466-2019</t>
        </is>
      </c>
      <c r="B1172" s="1" t="n">
        <v>43600</v>
      </c>
      <c r="C1172" s="1" t="n">
        <v>45344</v>
      </c>
      <c r="D1172" t="inlineStr">
        <is>
          <t>GÄVLEBORGS LÄN</t>
        </is>
      </c>
      <c r="E1172" t="inlineStr">
        <is>
          <t>HUDIKSVALL</t>
        </is>
      </c>
      <c r="F1172" t="inlineStr">
        <is>
          <t>Holmen skog AB</t>
        </is>
      </c>
      <c r="G1172" t="n">
        <v>19.1</v>
      </c>
      <c r="H1172" t="n">
        <v>0</v>
      </c>
      <c r="I1172" t="n">
        <v>0</v>
      </c>
      <c r="J1172" t="n">
        <v>0</v>
      </c>
      <c r="K1172" t="n">
        <v>0</v>
      </c>
      <c r="L1172" t="n">
        <v>0</v>
      </c>
      <c r="M1172" t="n">
        <v>0</v>
      </c>
      <c r="N1172" t="n">
        <v>0</v>
      </c>
      <c r="O1172" t="n">
        <v>0</v>
      </c>
      <c r="P1172" t="n">
        <v>0</v>
      </c>
      <c r="Q1172" t="n">
        <v>0</v>
      </c>
      <c r="R1172" s="2" t="inlineStr"/>
    </row>
    <row r="1173" ht="15" customHeight="1">
      <c r="A1173" t="inlineStr">
        <is>
          <t>A 24734-2019</t>
        </is>
      </c>
      <c r="B1173" s="1" t="n">
        <v>43601</v>
      </c>
      <c r="C1173" s="1" t="n">
        <v>45344</v>
      </c>
      <c r="D1173" t="inlineStr">
        <is>
          <t>GÄVLEBORGS LÄN</t>
        </is>
      </c>
      <c r="E1173" t="inlineStr">
        <is>
          <t>OVANÅKER</t>
        </is>
      </c>
      <c r="G1173" t="n">
        <v>10.6</v>
      </c>
      <c r="H1173" t="n">
        <v>0</v>
      </c>
      <c r="I1173" t="n">
        <v>0</v>
      </c>
      <c r="J1173" t="n">
        <v>0</v>
      </c>
      <c r="K1173" t="n">
        <v>0</v>
      </c>
      <c r="L1173" t="n">
        <v>0</v>
      </c>
      <c r="M1173" t="n">
        <v>0</v>
      </c>
      <c r="N1173" t="n">
        <v>0</v>
      </c>
      <c r="O1173" t="n">
        <v>0</v>
      </c>
      <c r="P1173" t="n">
        <v>0</v>
      </c>
      <c r="Q1173" t="n">
        <v>0</v>
      </c>
      <c r="R1173" s="2" t="inlineStr"/>
    </row>
    <row r="1174" ht="15" customHeight="1">
      <c r="A1174" t="inlineStr">
        <is>
          <t>A 24756-2019</t>
        </is>
      </c>
      <c r="B1174" s="1" t="n">
        <v>43601</v>
      </c>
      <c r="C1174" s="1" t="n">
        <v>45344</v>
      </c>
      <c r="D1174" t="inlineStr">
        <is>
          <t>GÄVLEBORGS LÄN</t>
        </is>
      </c>
      <c r="E1174" t="inlineStr">
        <is>
          <t>HOFORS</t>
        </is>
      </c>
      <c r="F1174" t="inlineStr">
        <is>
          <t>Sveaskog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24728-2019</t>
        </is>
      </c>
      <c r="B1175" s="1" t="n">
        <v>43601</v>
      </c>
      <c r="C1175" s="1" t="n">
        <v>45344</v>
      </c>
      <c r="D1175" t="inlineStr">
        <is>
          <t>GÄVLEBORGS LÄN</t>
        </is>
      </c>
      <c r="E1175" t="inlineStr">
        <is>
          <t>LJUSDAL</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24615-2019</t>
        </is>
      </c>
      <c r="B1176" s="1" t="n">
        <v>43601</v>
      </c>
      <c r="C1176" s="1" t="n">
        <v>45344</v>
      </c>
      <c r="D1176" t="inlineStr">
        <is>
          <t>GÄVLEBORGS LÄN</t>
        </is>
      </c>
      <c r="E1176" t="inlineStr">
        <is>
          <t>HUDIKSVALL</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24677-2019</t>
        </is>
      </c>
      <c r="B1177" s="1" t="n">
        <v>43601</v>
      </c>
      <c r="C1177" s="1" t="n">
        <v>45344</v>
      </c>
      <c r="D1177" t="inlineStr">
        <is>
          <t>GÄVLEBORGS LÄN</t>
        </is>
      </c>
      <c r="E1177" t="inlineStr">
        <is>
          <t>GÄVLE</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24715-2019</t>
        </is>
      </c>
      <c r="B1178" s="1" t="n">
        <v>43601</v>
      </c>
      <c r="C1178" s="1" t="n">
        <v>45344</v>
      </c>
      <c r="D1178" t="inlineStr">
        <is>
          <t>GÄVLEBORGS LÄN</t>
        </is>
      </c>
      <c r="E1178" t="inlineStr">
        <is>
          <t>LJUSDAL</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24915-2019</t>
        </is>
      </c>
      <c r="B1179" s="1" t="n">
        <v>43602</v>
      </c>
      <c r="C1179" s="1" t="n">
        <v>45344</v>
      </c>
      <c r="D1179" t="inlineStr">
        <is>
          <t>GÄVLEBORGS LÄN</t>
        </is>
      </c>
      <c r="E1179" t="inlineStr">
        <is>
          <t>SANDVIKEN</t>
        </is>
      </c>
      <c r="F1179" t="inlineStr">
        <is>
          <t>Naturvårdsverket</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24835-2019</t>
        </is>
      </c>
      <c r="B1180" s="1" t="n">
        <v>43602</v>
      </c>
      <c r="C1180" s="1" t="n">
        <v>45344</v>
      </c>
      <c r="D1180" t="inlineStr">
        <is>
          <t>GÄVLEBORGS LÄN</t>
        </is>
      </c>
      <c r="E1180" t="inlineStr">
        <is>
          <t>OVANÅKER</t>
        </is>
      </c>
      <c r="F1180" t="inlineStr">
        <is>
          <t>Kyrkan</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25074-2019</t>
        </is>
      </c>
      <c r="B1181" s="1" t="n">
        <v>43605</v>
      </c>
      <c r="C1181" s="1" t="n">
        <v>45344</v>
      </c>
      <c r="D1181" t="inlineStr">
        <is>
          <t>GÄVLEBORGS LÄN</t>
        </is>
      </c>
      <c r="E1181" t="inlineStr">
        <is>
          <t>BOLLNÄS</t>
        </is>
      </c>
      <c r="F1181" t="inlineStr">
        <is>
          <t>Sveaskog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25078-2019</t>
        </is>
      </c>
      <c r="B1182" s="1" t="n">
        <v>43605</v>
      </c>
      <c r="C1182" s="1" t="n">
        <v>45344</v>
      </c>
      <c r="D1182" t="inlineStr">
        <is>
          <t>GÄVLEBORGS LÄN</t>
        </is>
      </c>
      <c r="E1182" t="inlineStr">
        <is>
          <t>HUDIKSVALL</t>
        </is>
      </c>
      <c r="F1182" t="inlineStr">
        <is>
          <t>Holmen skog AB</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26079-2019</t>
        </is>
      </c>
      <c r="B1183" s="1" t="n">
        <v>43605</v>
      </c>
      <c r="C1183" s="1" t="n">
        <v>45344</v>
      </c>
      <c r="D1183" t="inlineStr">
        <is>
          <t>GÄVLEBORGS LÄN</t>
        </is>
      </c>
      <c r="E1183" t="inlineStr">
        <is>
          <t>LJUSDAL</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25306-2019</t>
        </is>
      </c>
      <c r="B1184" s="1" t="n">
        <v>43605</v>
      </c>
      <c r="C1184" s="1" t="n">
        <v>45344</v>
      </c>
      <c r="D1184" t="inlineStr">
        <is>
          <t>GÄVLEBORGS LÄN</t>
        </is>
      </c>
      <c r="E1184" t="inlineStr">
        <is>
          <t>GÄVLE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25430-2019</t>
        </is>
      </c>
      <c r="B1185" s="1" t="n">
        <v>43606</v>
      </c>
      <c r="C1185" s="1" t="n">
        <v>45344</v>
      </c>
      <c r="D1185" t="inlineStr">
        <is>
          <t>GÄVLEBORGS LÄN</t>
        </is>
      </c>
      <c r="E1185" t="inlineStr">
        <is>
          <t>OVANÅKER</t>
        </is>
      </c>
      <c r="F1185" t="inlineStr">
        <is>
          <t>Bergvik skog öst AB</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25438-2019</t>
        </is>
      </c>
      <c r="B1186" s="1" t="n">
        <v>43606</v>
      </c>
      <c r="C1186" s="1" t="n">
        <v>45344</v>
      </c>
      <c r="D1186" t="inlineStr">
        <is>
          <t>GÄVLEBORGS LÄN</t>
        </is>
      </c>
      <c r="E1186" t="inlineStr">
        <is>
          <t>HUDIKSVALL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25515-2019</t>
        </is>
      </c>
      <c r="B1187" s="1" t="n">
        <v>43606</v>
      </c>
      <c r="C1187" s="1" t="n">
        <v>45344</v>
      </c>
      <c r="D1187" t="inlineStr">
        <is>
          <t>GÄVLEBORGS LÄN</t>
        </is>
      </c>
      <c r="E1187" t="inlineStr">
        <is>
          <t>HOFORS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25517-2019</t>
        </is>
      </c>
      <c r="B1188" s="1" t="n">
        <v>43606</v>
      </c>
      <c r="C1188" s="1" t="n">
        <v>45344</v>
      </c>
      <c r="D1188" t="inlineStr">
        <is>
          <t>GÄVLEBORGS LÄN</t>
        </is>
      </c>
      <c r="E1188" t="inlineStr">
        <is>
          <t>HOFORS</t>
        </is>
      </c>
      <c r="F1188" t="inlineStr">
        <is>
          <t>Sveaskog</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25423-2019</t>
        </is>
      </c>
      <c r="B1189" s="1" t="n">
        <v>43606</v>
      </c>
      <c r="C1189" s="1" t="n">
        <v>45344</v>
      </c>
      <c r="D1189" t="inlineStr">
        <is>
          <t>GÄVLEBORGS LÄN</t>
        </is>
      </c>
      <c r="E1189" t="inlineStr">
        <is>
          <t>HUDIKSVALL</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25431-2019</t>
        </is>
      </c>
      <c r="B1190" s="1" t="n">
        <v>43606</v>
      </c>
      <c r="C1190" s="1" t="n">
        <v>45344</v>
      </c>
      <c r="D1190" t="inlineStr">
        <is>
          <t>GÄVLEBORGS LÄN</t>
        </is>
      </c>
      <c r="E1190" t="inlineStr">
        <is>
          <t>SÖDERHAMN</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25597-2019</t>
        </is>
      </c>
      <c r="B1191" s="1" t="n">
        <v>43607</v>
      </c>
      <c r="C1191" s="1" t="n">
        <v>45344</v>
      </c>
      <c r="D1191" t="inlineStr">
        <is>
          <t>GÄVLEBORGS LÄN</t>
        </is>
      </c>
      <c r="E1191" t="inlineStr">
        <is>
          <t>LJUSDAL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25637-2019</t>
        </is>
      </c>
      <c r="B1192" s="1" t="n">
        <v>43607</v>
      </c>
      <c r="C1192" s="1" t="n">
        <v>45344</v>
      </c>
      <c r="D1192" t="inlineStr">
        <is>
          <t>GÄVLEBORGS LÄN</t>
        </is>
      </c>
      <c r="E1192" t="inlineStr">
        <is>
          <t>BOLLNÄS</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25558-2019</t>
        </is>
      </c>
      <c r="B1193" s="1" t="n">
        <v>43607</v>
      </c>
      <c r="C1193" s="1" t="n">
        <v>45344</v>
      </c>
      <c r="D1193" t="inlineStr">
        <is>
          <t>GÄVLEBORGS LÄN</t>
        </is>
      </c>
      <c r="E1193" t="inlineStr">
        <is>
          <t>HUDIKSVALL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25631-2019</t>
        </is>
      </c>
      <c r="B1194" s="1" t="n">
        <v>43607</v>
      </c>
      <c r="C1194" s="1" t="n">
        <v>45344</v>
      </c>
      <c r="D1194" t="inlineStr">
        <is>
          <t>GÄVLEBORGS LÄN</t>
        </is>
      </c>
      <c r="E1194" t="inlineStr">
        <is>
          <t>OVANÅKER</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25633-2019</t>
        </is>
      </c>
      <c r="B1195" s="1" t="n">
        <v>43607</v>
      </c>
      <c r="C1195" s="1" t="n">
        <v>45344</v>
      </c>
      <c r="D1195" t="inlineStr">
        <is>
          <t>GÄVLEBORGS LÄN</t>
        </is>
      </c>
      <c r="E1195" t="inlineStr">
        <is>
          <t>SÖDERHAMN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25898-2019</t>
        </is>
      </c>
      <c r="B1196" s="1" t="n">
        <v>43608</v>
      </c>
      <c r="C1196" s="1" t="n">
        <v>45344</v>
      </c>
      <c r="D1196" t="inlineStr">
        <is>
          <t>GÄVLEBORGS LÄN</t>
        </is>
      </c>
      <c r="E1196" t="inlineStr">
        <is>
          <t>OVANÅKER</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25756-2019</t>
        </is>
      </c>
      <c r="B1197" s="1" t="n">
        <v>43608</v>
      </c>
      <c r="C1197" s="1" t="n">
        <v>45344</v>
      </c>
      <c r="D1197" t="inlineStr">
        <is>
          <t>GÄVLEBORGS LÄN</t>
        </is>
      </c>
      <c r="E1197" t="inlineStr">
        <is>
          <t>NORDANSTIG</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25928-2019</t>
        </is>
      </c>
      <c r="B1198" s="1" t="n">
        <v>43608</v>
      </c>
      <c r="C1198" s="1" t="n">
        <v>45344</v>
      </c>
      <c r="D1198" t="inlineStr">
        <is>
          <t>GÄVLEBORGS LÄN</t>
        </is>
      </c>
      <c r="E1198" t="inlineStr">
        <is>
          <t>NORDANSTIG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26013-2019</t>
        </is>
      </c>
      <c r="B1199" s="1" t="n">
        <v>43608</v>
      </c>
      <c r="C1199" s="1" t="n">
        <v>45344</v>
      </c>
      <c r="D1199" t="inlineStr">
        <is>
          <t>GÄVLEBORGS LÄN</t>
        </is>
      </c>
      <c r="E1199" t="inlineStr">
        <is>
          <t>NORDANSTIG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26158-2019</t>
        </is>
      </c>
      <c r="B1200" s="1" t="n">
        <v>43609</v>
      </c>
      <c r="C1200" s="1" t="n">
        <v>45344</v>
      </c>
      <c r="D1200" t="inlineStr">
        <is>
          <t>GÄVLEBORGS LÄN</t>
        </is>
      </c>
      <c r="E1200" t="inlineStr">
        <is>
          <t>OVANÅKER</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27069-2019</t>
        </is>
      </c>
      <c r="B1201" s="1" t="n">
        <v>43609</v>
      </c>
      <c r="C1201" s="1" t="n">
        <v>45344</v>
      </c>
      <c r="D1201" t="inlineStr">
        <is>
          <t>GÄVLEBORGS LÄN</t>
        </is>
      </c>
      <c r="E1201" t="inlineStr">
        <is>
          <t>HUDIKSVALL</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27087-2019</t>
        </is>
      </c>
      <c r="B1202" s="1" t="n">
        <v>43609</v>
      </c>
      <c r="C1202" s="1" t="n">
        <v>45344</v>
      </c>
      <c r="D1202" t="inlineStr">
        <is>
          <t>GÄVLEBORGS LÄN</t>
        </is>
      </c>
      <c r="E1202" t="inlineStr">
        <is>
          <t>HUDIKSVALL</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26464-2019</t>
        </is>
      </c>
      <c r="B1203" s="1" t="n">
        <v>43612</v>
      </c>
      <c r="C1203" s="1" t="n">
        <v>45344</v>
      </c>
      <c r="D1203" t="inlineStr">
        <is>
          <t>GÄVLEBORGS LÄN</t>
        </is>
      </c>
      <c r="E1203" t="inlineStr">
        <is>
          <t>GÄVLE</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26451-2019</t>
        </is>
      </c>
      <c r="B1204" s="1" t="n">
        <v>43612</v>
      </c>
      <c r="C1204" s="1" t="n">
        <v>45344</v>
      </c>
      <c r="D1204" t="inlineStr">
        <is>
          <t>GÄVLEBORGS LÄN</t>
        </is>
      </c>
      <c r="E1204" t="inlineStr">
        <is>
          <t>LJUSDAL</t>
        </is>
      </c>
      <c r="F1204" t="inlineStr">
        <is>
          <t>Sveaskog</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26543-2019</t>
        </is>
      </c>
      <c r="B1205" s="1" t="n">
        <v>43612</v>
      </c>
      <c r="C1205" s="1" t="n">
        <v>45344</v>
      </c>
      <c r="D1205" t="inlineStr">
        <is>
          <t>GÄVLEBORGS LÄN</t>
        </is>
      </c>
      <c r="E1205" t="inlineStr">
        <is>
          <t>BOLLNÄS</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26317-2019</t>
        </is>
      </c>
      <c r="B1206" s="1" t="n">
        <v>43612</v>
      </c>
      <c r="C1206" s="1" t="n">
        <v>45344</v>
      </c>
      <c r="D1206" t="inlineStr">
        <is>
          <t>GÄVLEBORGS LÄN</t>
        </is>
      </c>
      <c r="E1206" t="inlineStr">
        <is>
          <t>HUDIKSVALL</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26840-2019</t>
        </is>
      </c>
      <c r="B1207" s="1" t="n">
        <v>43613</v>
      </c>
      <c r="C1207" s="1" t="n">
        <v>45344</v>
      </c>
      <c r="D1207" t="inlineStr">
        <is>
          <t>GÄVLEBORGS LÄN</t>
        </is>
      </c>
      <c r="E1207" t="inlineStr">
        <is>
          <t>LJUSDAL</t>
        </is>
      </c>
      <c r="F1207" t="inlineStr">
        <is>
          <t>Bergvik skog väst AB</t>
        </is>
      </c>
      <c r="G1207" t="n">
        <v>13.8</v>
      </c>
      <c r="H1207" t="n">
        <v>0</v>
      </c>
      <c r="I1207" t="n">
        <v>0</v>
      </c>
      <c r="J1207" t="n">
        <v>0</v>
      </c>
      <c r="K1207" t="n">
        <v>0</v>
      </c>
      <c r="L1207" t="n">
        <v>0</v>
      </c>
      <c r="M1207" t="n">
        <v>0</v>
      </c>
      <c r="N1207" t="n">
        <v>0</v>
      </c>
      <c r="O1207" t="n">
        <v>0</v>
      </c>
      <c r="P1207" t="n">
        <v>0</v>
      </c>
      <c r="Q1207" t="n">
        <v>0</v>
      </c>
      <c r="R1207" s="2" t="inlineStr"/>
    </row>
    <row r="1208" ht="15" customHeight="1">
      <c r="A1208" t="inlineStr">
        <is>
          <t>A 26894-2019</t>
        </is>
      </c>
      <c r="B1208" s="1" t="n">
        <v>43613</v>
      </c>
      <c r="C1208" s="1" t="n">
        <v>45344</v>
      </c>
      <c r="D1208" t="inlineStr">
        <is>
          <t>GÄVLEBORGS LÄN</t>
        </is>
      </c>
      <c r="E1208" t="inlineStr">
        <is>
          <t>SÖDERHAMN</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26880-2019</t>
        </is>
      </c>
      <c r="B1209" s="1" t="n">
        <v>43613</v>
      </c>
      <c r="C1209" s="1" t="n">
        <v>45344</v>
      </c>
      <c r="D1209" t="inlineStr">
        <is>
          <t>GÄVLEBORGS LÄN</t>
        </is>
      </c>
      <c r="E1209" t="inlineStr">
        <is>
          <t>HUDIKSVALL</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26673-2019</t>
        </is>
      </c>
      <c r="B1210" s="1" t="n">
        <v>43613</v>
      </c>
      <c r="C1210" s="1" t="n">
        <v>45344</v>
      </c>
      <c r="D1210" t="inlineStr">
        <is>
          <t>GÄVLEBORGS LÄN</t>
        </is>
      </c>
      <c r="E1210" t="inlineStr">
        <is>
          <t>OVANÅKER</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26997-2019</t>
        </is>
      </c>
      <c r="B1211" s="1" t="n">
        <v>43614</v>
      </c>
      <c r="C1211" s="1" t="n">
        <v>45344</v>
      </c>
      <c r="D1211" t="inlineStr">
        <is>
          <t>GÄVLEBORGS LÄN</t>
        </is>
      </c>
      <c r="E1211" t="inlineStr">
        <is>
          <t>OVANÅKER</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27152-2019</t>
        </is>
      </c>
      <c r="B1212" s="1" t="n">
        <v>43614</v>
      </c>
      <c r="C1212" s="1" t="n">
        <v>45344</v>
      </c>
      <c r="D1212" t="inlineStr">
        <is>
          <t>GÄVLEBORGS LÄN</t>
        </is>
      </c>
      <c r="E1212" t="inlineStr">
        <is>
          <t>SANDVIKEN</t>
        </is>
      </c>
      <c r="G1212" t="n">
        <v>8.4</v>
      </c>
      <c r="H1212" t="n">
        <v>0</v>
      </c>
      <c r="I1212" t="n">
        <v>0</v>
      </c>
      <c r="J1212" t="n">
        <v>0</v>
      </c>
      <c r="K1212" t="n">
        <v>0</v>
      </c>
      <c r="L1212" t="n">
        <v>0</v>
      </c>
      <c r="M1212" t="n">
        <v>0</v>
      </c>
      <c r="N1212" t="n">
        <v>0</v>
      </c>
      <c r="O1212" t="n">
        <v>0</v>
      </c>
      <c r="P1212" t="n">
        <v>0</v>
      </c>
      <c r="Q1212" t="n">
        <v>0</v>
      </c>
      <c r="R1212" s="2" t="inlineStr"/>
    </row>
    <row r="1213" ht="15" customHeight="1">
      <c r="A1213" t="inlineStr">
        <is>
          <t>A 26995-2019</t>
        </is>
      </c>
      <c r="B1213" s="1" t="n">
        <v>43614</v>
      </c>
      <c r="C1213" s="1" t="n">
        <v>45344</v>
      </c>
      <c r="D1213" t="inlineStr">
        <is>
          <t>GÄVLEBORGS LÄN</t>
        </is>
      </c>
      <c r="E1213" t="inlineStr">
        <is>
          <t>OVANÅKER</t>
        </is>
      </c>
      <c r="F1213" t="inlineStr">
        <is>
          <t>Bergvik skog väst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27176-2019</t>
        </is>
      </c>
      <c r="B1214" s="1" t="n">
        <v>43614</v>
      </c>
      <c r="C1214" s="1" t="n">
        <v>45344</v>
      </c>
      <c r="D1214" t="inlineStr">
        <is>
          <t>GÄVLEBORGS LÄN</t>
        </is>
      </c>
      <c r="E1214" t="inlineStr">
        <is>
          <t>NORDANSTIG</t>
        </is>
      </c>
      <c r="F1214" t="inlineStr">
        <is>
          <t>Holmen skog AB</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27118-2019</t>
        </is>
      </c>
      <c r="B1215" s="1" t="n">
        <v>43614</v>
      </c>
      <c r="C1215" s="1" t="n">
        <v>45344</v>
      </c>
      <c r="D1215" t="inlineStr">
        <is>
          <t>GÄVLEBORGS LÄN</t>
        </is>
      </c>
      <c r="E1215" t="inlineStr">
        <is>
          <t>GÄVLE</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27133-2019</t>
        </is>
      </c>
      <c r="B1216" s="1" t="n">
        <v>43614</v>
      </c>
      <c r="C1216" s="1" t="n">
        <v>45344</v>
      </c>
      <c r="D1216" t="inlineStr">
        <is>
          <t>GÄVLEBORGS LÄN</t>
        </is>
      </c>
      <c r="E1216" t="inlineStr">
        <is>
          <t>BOLLNÄS</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26983-2019</t>
        </is>
      </c>
      <c r="B1217" s="1" t="n">
        <v>43614</v>
      </c>
      <c r="C1217" s="1" t="n">
        <v>45344</v>
      </c>
      <c r="D1217" t="inlineStr">
        <is>
          <t>GÄVLEBORGS LÄN</t>
        </is>
      </c>
      <c r="E1217" t="inlineStr">
        <is>
          <t>OVANÅKER</t>
        </is>
      </c>
      <c r="F1217" t="inlineStr">
        <is>
          <t>Bergvik skog väst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27405-2019</t>
        </is>
      </c>
      <c r="B1218" s="1" t="n">
        <v>43616</v>
      </c>
      <c r="C1218" s="1" t="n">
        <v>45344</v>
      </c>
      <c r="D1218" t="inlineStr">
        <is>
          <t>GÄVLEBORGS LÄN</t>
        </is>
      </c>
      <c r="E1218" t="inlineStr">
        <is>
          <t>OVANÅKER</t>
        </is>
      </c>
      <c r="F1218" t="inlineStr">
        <is>
          <t>Bergvik skog väst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27301-2019</t>
        </is>
      </c>
      <c r="B1219" s="1" t="n">
        <v>43616</v>
      </c>
      <c r="C1219" s="1" t="n">
        <v>45344</v>
      </c>
      <c r="D1219" t="inlineStr">
        <is>
          <t>GÄVLEBORGS LÄN</t>
        </is>
      </c>
      <c r="E1219" t="inlineStr">
        <is>
          <t>OVANÅKER</t>
        </is>
      </c>
      <c r="F1219" t="inlineStr">
        <is>
          <t>Bergvik skog väst AB</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27373-2019</t>
        </is>
      </c>
      <c r="B1220" s="1" t="n">
        <v>43616</v>
      </c>
      <c r="C1220" s="1" t="n">
        <v>45344</v>
      </c>
      <c r="D1220" t="inlineStr">
        <is>
          <t>GÄVLEBORGS LÄN</t>
        </is>
      </c>
      <c r="E1220" t="inlineStr">
        <is>
          <t>HUDIKSVALL</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27298-2019</t>
        </is>
      </c>
      <c r="B1221" s="1" t="n">
        <v>43616</v>
      </c>
      <c r="C1221" s="1" t="n">
        <v>45344</v>
      </c>
      <c r="D1221" t="inlineStr">
        <is>
          <t>GÄVLEBORGS LÄN</t>
        </is>
      </c>
      <c r="E1221" t="inlineStr">
        <is>
          <t>LJUSDAL</t>
        </is>
      </c>
      <c r="F1221" t="inlineStr">
        <is>
          <t>Bergvik skog väst AB</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27403-2019</t>
        </is>
      </c>
      <c r="B1222" s="1" t="n">
        <v>43616</v>
      </c>
      <c r="C1222" s="1" t="n">
        <v>45344</v>
      </c>
      <c r="D1222" t="inlineStr">
        <is>
          <t>GÄVLEBORGS LÄN</t>
        </is>
      </c>
      <c r="E1222" t="inlineStr">
        <is>
          <t>OVANÅKER</t>
        </is>
      </c>
      <c r="F1222" t="inlineStr">
        <is>
          <t>Bergvik skog väst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27314-2019</t>
        </is>
      </c>
      <c r="B1223" s="1" t="n">
        <v>43616</v>
      </c>
      <c r="C1223" s="1" t="n">
        <v>45344</v>
      </c>
      <c r="D1223" t="inlineStr">
        <is>
          <t>GÄVLEBORGS LÄN</t>
        </is>
      </c>
      <c r="E1223" t="inlineStr">
        <is>
          <t>OVANÅKER</t>
        </is>
      </c>
      <c r="F1223" t="inlineStr">
        <is>
          <t>Bergvik skog väst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27305-2019</t>
        </is>
      </c>
      <c r="B1224" s="1" t="n">
        <v>43616</v>
      </c>
      <c r="C1224" s="1" t="n">
        <v>45344</v>
      </c>
      <c r="D1224" t="inlineStr">
        <is>
          <t>GÄVLEBORGS LÄN</t>
        </is>
      </c>
      <c r="E1224" t="inlineStr">
        <is>
          <t>OVANÅKER</t>
        </is>
      </c>
      <c r="F1224" t="inlineStr">
        <is>
          <t>Bergvik skog väst AB</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27295-2019</t>
        </is>
      </c>
      <c r="B1225" s="1" t="n">
        <v>43616</v>
      </c>
      <c r="C1225" s="1" t="n">
        <v>45344</v>
      </c>
      <c r="D1225" t="inlineStr">
        <is>
          <t>GÄVLEBORGS LÄN</t>
        </is>
      </c>
      <c r="E1225" t="inlineStr">
        <is>
          <t>OVANÅKER</t>
        </is>
      </c>
      <c r="F1225" t="inlineStr">
        <is>
          <t>Bergvik skog väst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27455-2019</t>
        </is>
      </c>
      <c r="B1226" s="1" t="n">
        <v>43618</v>
      </c>
      <c r="C1226" s="1" t="n">
        <v>45344</v>
      </c>
      <c r="D1226" t="inlineStr">
        <is>
          <t>GÄVLEBORGS LÄN</t>
        </is>
      </c>
      <c r="E1226" t="inlineStr">
        <is>
          <t>NORDANSTIG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27456-2019</t>
        </is>
      </c>
      <c r="B1227" s="1" t="n">
        <v>43618</v>
      </c>
      <c r="C1227" s="1" t="n">
        <v>45344</v>
      </c>
      <c r="D1227" t="inlineStr">
        <is>
          <t>GÄVLEBORGS LÄN</t>
        </is>
      </c>
      <c r="E1227" t="inlineStr">
        <is>
          <t>NORDANSTIG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27457-2019</t>
        </is>
      </c>
      <c r="B1228" s="1" t="n">
        <v>43618</v>
      </c>
      <c r="C1228" s="1" t="n">
        <v>45344</v>
      </c>
      <c r="D1228" t="inlineStr">
        <is>
          <t>GÄVLEBORGS LÄN</t>
        </is>
      </c>
      <c r="E1228" t="inlineStr">
        <is>
          <t>NORDANSTIG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27453-2019</t>
        </is>
      </c>
      <c r="B1229" s="1" t="n">
        <v>43618</v>
      </c>
      <c r="C1229" s="1" t="n">
        <v>45344</v>
      </c>
      <c r="D1229" t="inlineStr">
        <is>
          <t>GÄVLEBORGS LÄN</t>
        </is>
      </c>
      <c r="E1229" t="inlineStr">
        <is>
          <t>NORDANSTIG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27477-2019</t>
        </is>
      </c>
      <c r="B1230" s="1" t="n">
        <v>43619</v>
      </c>
      <c r="C1230" s="1" t="n">
        <v>45344</v>
      </c>
      <c r="D1230" t="inlineStr">
        <is>
          <t>GÄVLEBORGS LÄN</t>
        </is>
      </c>
      <c r="E1230" t="inlineStr">
        <is>
          <t>LJUSDAL</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27493-2019</t>
        </is>
      </c>
      <c r="B1231" s="1" t="n">
        <v>43619</v>
      </c>
      <c r="C1231" s="1" t="n">
        <v>45344</v>
      </c>
      <c r="D1231" t="inlineStr">
        <is>
          <t>GÄVLEBORGS LÄN</t>
        </is>
      </c>
      <c r="E1231" t="inlineStr">
        <is>
          <t>LJUSDAL</t>
        </is>
      </c>
      <c r="F1231" t="inlineStr">
        <is>
          <t>Bergvik skog väst AB</t>
        </is>
      </c>
      <c r="G1231" t="n">
        <v>33.6</v>
      </c>
      <c r="H1231" t="n">
        <v>0</v>
      </c>
      <c r="I1231" t="n">
        <v>0</v>
      </c>
      <c r="J1231" t="n">
        <v>0</v>
      </c>
      <c r="K1231" t="n">
        <v>0</v>
      </c>
      <c r="L1231" t="n">
        <v>0</v>
      </c>
      <c r="M1231" t="n">
        <v>0</v>
      </c>
      <c r="N1231" t="n">
        <v>0</v>
      </c>
      <c r="O1231" t="n">
        <v>0</v>
      </c>
      <c r="P1231" t="n">
        <v>0</v>
      </c>
      <c r="Q1231" t="n">
        <v>0</v>
      </c>
      <c r="R1231" s="2" t="inlineStr"/>
    </row>
    <row r="1232" ht="15" customHeight="1">
      <c r="A1232" t="inlineStr">
        <is>
          <t>A 27506-2019</t>
        </is>
      </c>
      <c r="B1232" s="1" t="n">
        <v>43619</v>
      </c>
      <c r="C1232" s="1" t="n">
        <v>45344</v>
      </c>
      <c r="D1232" t="inlineStr">
        <is>
          <t>GÄVLEBORGS LÄN</t>
        </is>
      </c>
      <c r="E1232" t="inlineStr">
        <is>
          <t>LJUSDAL</t>
        </is>
      </c>
      <c r="F1232" t="inlineStr">
        <is>
          <t>Holmen skog AB</t>
        </is>
      </c>
      <c r="G1232" t="n">
        <v>25.6</v>
      </c>
      <c r="H1232" t="n">
        <v>0</v>
      </c>
      <c r="I1232" t="n">
        <v>0</v>
      </c>
      <c r="J1232" t="n">
        <v>0</v>
      </c>
      <c r="K1232" t="n">
        <v>0</v>
      </c>
      <c r="L1232" t="n">
        <v>0</v>
      </c>
      <c r="M1232" t="n">
        <v>0</v>
      </c>
      <c r="N1232" t="n">
        <v>0</v>
      </c>
      <c r="O1232" t="n">
        <v>0</v>
      </c>
      <c r="P1232" t="n">
        <v>0</v>
      </c>
      <c r="Q1232" t="n">
        <v>0</v>
      </c>
      <c r="R1232" s="2" t="inlineStr"/>
    </row>
    <row r="1233" ht="15" customHeight="1">
      <c r="A1233" t="inlineStr">
        <is>
          <t>A 27580-2019</t>
        </is>
      </c>
      <c r="B1233" s="1" t="n">
        <v>43619</v>
      </c>
      <c r="C1233" s="1" t="n">
        <v>45344</v>
      </c>
      <c r="D1233" t="inlineStr">
        <is>
          <t>GÄVLEBORGS LÄN</t>
        </is>
      </c>
      <c r="E1233" t="inlineStr">
        <is>
          <t>OVANÅKER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27639-2019</t>
        </is>
      </c>
      <c r="B1234" s="1" t="n">
        <v>43619</v>
      </c>
      <c r="C1234" s="1" t="n">
        <v>45344</v>
      </c>
      <c r="D1234" t="inlineStr">
        <is>
          <t>GÄVLEBORGS LÄN</t>
        </is>
      </c>
      <c r="E1234" t="inlineStr">
        <is>
          <t>BOLLNÄS</t>
        </is>
      </c>
      <c r="F1234" t="inlineStr">
        <is>
          <t>Sveaskog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27693-2019</t>
        </is>
      </c>
      <c r="B1235" s="1" t="n">
        <v>43619</v>
      </c>
      <c r="C1235" s="1" t="n">
        <v>45344</v>
      </c>
      <c r="D1235" t="inlineStr">
        <is>
          <t>GÄVLEBORGS LÄN</t>
        </is>
      </c>
      <c r="E1235" t="inlineStr">
        <is>
          <t>BOLLNÄS</t>
        </is>
      </c>
      <c r="F1235" t="inlineStr">
        <is>
          <t>Sveaskog</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27558-2019</t>
        </is>
      </c>
      <c r="B1236" s="1" t="n">
        <v>43619</v>
      </c>
      <c r="C1236" s="1" t="n">
        <v>45344</v>
      </c>
      <c r="D1236" t="inlineStr">
        <is>
          <t>GÄVLEBORGS LÄN</t>
        </is>
      </c>
      <c r="E1236" t="inlineStr">
        <is>
          <t>LJUSDAL</t>
        </is>
      </c>
      <c r="F1236" t="inlineStr">
        <is>
          <t>Bergvik skog väst AB</t>
        </is>
      </c>
      <c r="G1236" t="n">
        <v>12.9</v>
      </c>
      <c r="H1236" t="n">
        <v>0</v>
      </c>
      <c r="I1236" t="n">
        <v>0</v>
      </c>
      <c r="J1236" t="n">
        <v>0</v>
      </c>
      <c r="K1236" t="n">
        <v>0</v>
      </c>
      <c r="L1236" t="n">
        <v>0</v>
      </c>
      <c r="M1236" t="n">
        <v>0</v>
      </c>
      <c r="N1236" t="n">
        <v>0</v>
      </c>
      <c r="O1236" t="n">
        <v>0</v>
      </c>
      <c r="P1236" t="n">
        <v>0</v>
      </c>
      <c r="Q1236" t="n">
        <v>0</v>
      </c>
      <c r="R1236" s="2" t="inlineStr"/>
    </row>
    <row r="1237" ht="15" customHeight="1">
      <c r="A1237" t="inlineStr">
        <is>
          <t>A 27685-2019</t>
        </is>
      </c>
      <c r="B1237" s="1" t="n">
        <v>43619</v>
      </c>
      <c r="C1237" s="1" t="n">
        <v>45344</v>
      </c>
      <c r="D1237" t="inlineStr">
        <is>
          <t>GÄVLEBORGS LÄN</t>
        </is>
      </c>
      <c r="E1237" t="inlineStr">
        <is>
          <t>BOLLNÄS</t>
        </is>
      </c>
      <c r="F1237" t="inlineStr">
        <is>
          <t>Sveaskog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27680-2019</t>
        </is>
      </c>
      <c r="B1238" s="1" t="n">
        <v>43619</v>
      </c>
      <c r="C1238" s="1" t="n">
        <v>45344</v>
      </c>
      <c r="D1238" t="inlineStr">
        <is>
          <t>GÄVLEBORGS LÄN</t>
        </is>
      </c>
      <c r="E1238" t="inlineStr">
        <is>
          <t>BOLLNÄS</t>
        </is>
      </c>
      <c r="G1238" t="n">
        <v>4.4</v>
      </c>
      <c r="H1238" t="n">
        <v>0</v>
      </c>
      <c r="I1238" t="n">
        <v>0</v>
      </c>
      <c r="J1238" t="n">
        <v>0</v>
      </c>
      <c r="K1238" t="n">
        <v>0</v>
      </c>
      <c r="L1238" t="n">
        <v>0</v>
      </c>
      <c r="M1238" t="n">
        <v>0</v>
      </c>
      <c r="N1238" t="n">
        <v>0</v>
      </c>
      <c r="O1238" t="n">
        <v>0</v>
      </c>
      <c r="P1238" t="n">
        <v>0</v>
      </c>
      <c r="Q1238" t="n">
        <v>0</v>
      </c>
      <c r="R1238" s="2" t="inlineStr"/>
    </row>
    <row r="1239" ht="15" customHeight="1">
      <c r="A1239" t="inlineStr">
        <is>
          <t>A 27524-2019</t>
        </is>
      </c>
      <c r="B1239" s="1" t="n">
        <v>43619</v>
      </c>
      <c r="C1239" s="1" t="n">
        <v>45344</v>
      </c>
      <c r="D1239" t="inlineStr">
        <is>
          <t>GÄVLEBORGS LÄN</t>
        </is>
      </c>
      <c r="E1239" t="inlineStr">
        <is>
          <t>OVANÅKER</t>
        </is>
      </c>
      <c r="F1239" t="inlineStr">
        <is>
          <t>Bergvik skog väst AB</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27845-2019</t>
        </is>
      </c>
      <c r="B1240" s="1" t="n">
        <v>43620</v>
      </c>
      <c r="C1240" s="1" t="n">
        <v>45344</v>
      </c>
      <c r="D1240" t="inlineStr">
        <is>
          <t>GÄVLEBORGS LÄN</t>
        </is>
      </c>
      <c r="E1240" t="inlineStr">
        <is>
          <t>BOLLNÄS</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27888-2019</t>
        </is>
      </c>
      <c r="B1241" s="1" t="n">
        <v>43620</v>
      </c>
      <c r="C1241" s="1" t="n">
        <v>45344</v>
      </c>
      <c r="D1241" t="inlineStr">
        <is>
          <t>GÄVLEBORGS LÄN</t>
        </is>
      </c>
      <c r="E1241" t="inlineStr">
        <is>
          <t>BOLLNÄS</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27900-2019</t>
        </is>
      </c>
      <c r="B1242" s="1" t="n">
        <v>43620</v>
      </c>
      <c r="C1242" s="1" t="n">
        <v>45344</v>
      </c>
      <c r="D1242" t="inlineStr">
        <is>
          <t>GÄVLEBORGS LÄN</t>
        </is>
      </c>
      <c r="E1242" t="inlineStr">
        <is>
          <t>SANDVIKEN</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27784-2019</t>
        </is>
      </c>
      <c r="B1243" s="1" t="n">
        <v>43620</v>
      </c>
      <c r="C1243" s="1" t="n">
        <v>45344</v>
      </c>
      <c r="D1243" t="inlineStr">
        <is>
          <t>GÄVLEBORGS LÄN</t>
        </is>
      </c>
      <c r="E1243" t="inlineStr">
        <is>
          <t>LJUSDAL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28000-2019</t>
        </is>
      </c>
      <c r="B1244" s="1" t="n">
        <v>43621</v>
      </c>
      <c r="C1244" s="1" t="n">
        <v>45344</v>
      </c>
      <c r="D1244" t="inlineStr">
        <is>
          <t>GÄVLEBORGS LÄN</t>
        </is>
      </c>
      <c r="E1244" t="inlineStr">
        <is>
          <t>OVANÅKER</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28142-2019</t>
        </is>
      </c>
      <c r="B1245" s="1" t="n">
        <v>43621</v>
      </c>
      <c r="C1245" s="1" t="n">
        <v>45344</v>
      </c>
      <c r="D1245" t="inlineStr">
        <is>
          <t>GÄVLEBORGS LÄN</t>
        </is>
      </c>
      <c r="E1245" t="inlineStr">
        <is>
          <t>SÖDERHAMN</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28034-2019</t>
        </is>
      </c>
      <c r="B1246" s="1" t="n">
        <v>43621</v>
      </c>
      <c r="C1246" s="1" t="n">
        <v>45344</v>
      </c>
      <c r="D1246" t="inlineStr">
        <is>
          <t>GÄVLEBORGS LÄN</t>
        </is>
      </c>
      <c r="E1246" t="inlineStr">
        <is>
          <t>OVANÅKER</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28255-2019</t>
        </is>
      </c>
      <c r="B1247" s="1" t="n">
        <v>43623</v>
      </c>
      <c r="C1247" s="1" t="n">
        <v>45344</v>
      </c>
      <c r="D1247" t="inlineStr">
        <is>
          <t>GÄVLEBORGS LÄN</t>
        </is>
      </c>
      <c r="E1247" t="inlineStr">
        <is>
          <t>HUDIKSVALL</t>
        </is>
      </c>
      <c r="F1247" t="inlineStr">
        <is>
          <t>Holmen skog AB</t>
        </is>
      </c>
      <c r="G1247" t="n">
        <v>9.300000000000001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28287-2019</t>
        </is>
      </c>
      <c r="B1248" s="1" t="n">
        <v>43623</v>
      </c>
      <c r="C1248" s="1" t="n">
        <v>45344</v>
      </c>
      <c r="D1248" t="inlineStr">
        <is>
          <t>GÄVLEBORGS LÄN</t>
        </is>
      </c>
      <c r="E1248" t="inlineStr">
        <is>
          <t>OCKELBO</t>
        </is>
      </c>
      <c r="F1248" t="inlineStr">
        <is>
          <t>Bergvik skog väst AB</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28316-2019</t>
        </is>
      </c>
      <c r="B1249" s="1" t="n">
        <v>43623</v>
      </c>
      <c r="C1249" s="1" t="n">
        <v>45344</v>
      </c>
      <c r="D1249" t="inlineStr">
        <is>
          <t>GÄVLEBORGS LÄN</t>
        </is>
      </c>
      <c r="E1249" t="inlineStr">
        <is>
          <t>GÄVLE</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28390-2019</t>
        </is>
      </c>
      <c r="B1250" s="1" t="n">
        <v>43626</v>
      </c>
      <c r="C1250" s="1" t="n">
        <v>45344</v>
      </c>
      <c r="D1250" t="inlineStr">
        <is>
          <t>GÄVLEBORGS LÄN</t>
        </is>
      </c>
      <c r="E1250" t="inlineStr">
        <is>
          <t>SÖDERHAMN</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28559-2019</t>
        </is>
      </c>
      <c r="B1251" s="1" t="n">
        <v>43626</v>
      </c>
      <c r="C1251" s="1" t="n">
        <v>45344</v>
      </c>
      <c r="D1251" t="inlineStr">
        <is>
          <t>GÄVLEBORGS LÄN</t>
        </is>
      </c>
      <c r="E1251" t="inlineStr">
        <is>
          <t>GÄVLE</t>
        </is>
      </c>
      <c r="F1251" t="inlineStr">
        <is>
          <t>Bergvik skog väst AB</t>
        </is>
      </c>
      <c r="G1251" t="n">
        <v>19.7</v>
      </c>
      <c r="H1251" t="n">
        <v>0</v>
      </c>
      <c r="I1251" t="n">
        <v>0</v>
      </c>
      <c r="J1251" t="n">
        <v>0</v>
      </c>
      <c r="K1251" t="n">
        <v>0</v>
      </c>
      <c r="L1251" t="n">
        <v>0</v>
      </c>
      <c r="M1251" t="n">
        <v>0</v>
      </c>
      <c r="N1251" t="n">
        <v>0</v>
      </c>
      <c r="O1251" t="n">
        <v>0</v>
      </c>
      <c r="P1251" t="n">
        <v>0</v>
      </c>
      <c r="Q1251" t="n">
        <v>0</v>
      </c>
      <c r="R1251" s="2" t="inlineStr"/>
    </row>
    <row r="1252" ht="15" customHeight="1">
      <c r="A1252" t="inlineStr">
        <is>
          <t>A 28542-2019</t>
        </is>
      </c>
      <c r="B1252" s="1" t="n">
        <v>43626</v>
      </c>
      <c r="C1252" s="1" t="n">
        <v>45344</v>
      </c>
      <c r="D1252" t="inlineStr">
        <is>
          <t>GÄVLEBORGS LÄN</t>
        </is>
      </c>
      <c r="E1252" t="inlineStr">
        <is>
          <t>LJUSDAL</t>
        </is>
      </c>
      <c r="F1252" t="inlineStr">
        <is>
          <t>Bergvik skog väst AB</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29453-2019</t>
        </is>
      </c>
      <c r="B1253" s="1" t="n">
        <v>43626</v>
      </c>
      <c r="C1253" s="1" t="n">
        <v>45344</v>
      </c>
      <c r="D1253" t="inlineStr">
        <is>
          <t>GÄVLEBORGS LÄN</t>
        </is>
      </c>
      <c r="E1253" t="inlineStr">
        <is>
          <t>NORDANSTIG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31776-2019</t>
        </is>
      </c>
      <c r="B1254" s="1" t="n">
        <v>43626</v>
      </c>
      <c r="C1254" s="1" t="n">
        <v>45344</v>
      </c>
      <c r="D1254" t="inlineStr">
        <is>
          <t>GÄVLEBORGS LÄN</t>
        </is>
      </c>
      <c r="E1254" t="inlineStr">
        <is>
          <t>NORDANSTIG</t>
        </is>
      </c>
      <c r="G1254" t="n">
        <v>90.09999999999999</v>
      </c>
      <c r="H1254" t="n">
        <v>0</v>
      </c>
      <c r="I1254" t="n">
        <v>0</v>
      </c>
      <c r="J1254" t="n">
        <v>0</v>
      </c>
      <c r="K1254" t="n">
        <v>0</v>
      </c>
      <c r="L1254" t="n">
        <v>0</v>
      </c>
      <c r="M1254" t="n">
        <v>0</v>
      </c>
      <c r="N1254" t="n">
        <v>0</v>
      </c>
      <c r="O1254" t="n">
        <v>0</v>
      </c>
      <c r="P1254" t="n">
        <v>0</v>
      </c>
      <c r="Q1254" t="n">
        <v>0</v>
      </c>
      <c r="R1254" s="2" t="inlineStr"/>
    </row>
    <row r="1255" ht="15" customHeight="1">
      <c r="A1255" t="inlineStr">
        <is>
          <t>A 28545-2019</t>
        </is>
      </c>
      <c r="B1255" s="1" t="n">
        <v>43626</v>
      </c>
      <c r="C1255" s="1" t="n">
        <v>45344</v>
      </c>
      <c r="D1255" t="inlineStr">
        <is>
          <t>GÄVLEBORGS LÄN</t>
        </is>
      </c>
      <c r="E1255" t="inlineStr">
        <is>
          <t>LJUSDAL</t>
        </is>
      </c>
      <c r="F1255" t="inlineStr">
        <is>
          <t>Bergvik skog väst AB</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28626-2019</t>
        </is>
      </c>
      <c r="B1256" s="1" t="n">
        <v>43627</v>
      </c>
      <c r="C1256" s="1" t="n">
        <v>45344</v>
      </c>
      <c r="D1256" t="inlineStr">
        <is>
          <t>GÄVLEBORGS LÄN</t>
        </is>
      </c>
      <c r="E1256" t="inlineStr">
        <is>
          <t>HUDIKSVALL</t>
        </is>
      </c>
      <c r="F1256" t="inlineStr">
        <is>
          <t>Holmen skog AB</t>
        </is>
      </c>
      <c r="G1256" t="n">
        <v>7.7</v>
      </c>
      <c r="H1256" t="n">
        <v>0</v>
      </c>
      <c r="I1256" t="n">
        <v>0</v>
      </c>
      <c r="J1256" t="n">
        <v>0</v>
      </c>
      <c r="K1256" t="n">
        <v>0</v>
      </c>
      <c r="L1256" t="n">
        <v>0</v>
      </c>
      <c r="M1256" t="n">
        <v>0</v>
      </c>
      <c r="N1256" t="n">
        <v>0</v>
      </c>
      <c r="O1256" t="n">
        <v>0</v>
      </c>
      <c r="P1256" t="n">
        <v>0</v>
      </c>
      <c r="Q1256" t="n">
        <v>0</v>
      </c>
      <c r="R1256" s="2" t="inlineStr"/>
    </row>
    <row r="1257" ht="15" customHeight="1">
      <c r="A1257" t="inlineStr">
        <is>
          <t>A 28667-2019</t>
        </is>
      </c>
      <c r="B1257" s="1" t="n">
        <v>43627</v>
      </c>
      <c r="C1257" s="1" t="n">
        <v>45344</v>
      </c>
      <c r="D1257" t="inlineStr">
        <is>
          <t>GÄVLEBORGS LÄN</t>
        </is>
      </c>
      <c r="E1257" t="inlineStr">
        <is>
          <t>HUDIKSVALL</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28666-2019</t>
        </is>
      </c>
      <c r="B1258" s="1" t="n">
        <v>43627</v>
      </c>
      <c r="C1258" s="1" t="n">
        <v>45344</v>
      </c>
      <c r="D1258" t="inlineStr">
        <is>
          <t>GÄVLEBORGS LÄN</t>
        </is>
      </c>
      <c r="E1258" t="inlineStr">
        <is>
          <t>HUDIKSVALL</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28875-2019</t>
        </is>
      </c>
      <c r="B1259" s="1" t="n">
        <v>43628</v>
      </c>
      <c r="C1259" s="1" t="n">
        <v>45344</v>
      </c>
      <c r="D1259" t="inlineStr">
        <is>
          <t>GÄVLEBORGS LÄN</t>
        </is>
      </c>
      <c r="E1259" t="inlineStr">
        <is>
          <t>LJUSDAL</t>
        </is>
      </c>
      <c r="F1259" t="inlineStr">
        <is>
          <t>Sveaskog</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29044-2019</t>
        </is>
      </c>
      <c r="B1260" s="1" t="n">
        <v>43628</v>
      </c>
      <c r="C1260" s="1" t="n">
        <v>45344</v>
      </c>
      <c r="D1260" t="inlineStr">
        <is>
          <t>GÄVLEBORGS LÄN</t>
        </is>
      </c>
      <c r="E1260" t="inlineStr">
        <is>
          <t>LJUSDAL</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29660-2019</t>
        </is>
      </c>
      <c r="B1261" s="1" t="n">
        <v>43628</v>
      </c>
      <c r="C1261" s="1" t="n">
        <v>45344</v>
      </c>
      <c r="D1261" t="inlineStr">
        <is>
          <t>GÄVLEBORGS LÄN</t>
        </is>
      </c>
      <c r="E1261" t="inlineStr">
        <is>
          <t>LJUSDAL</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29050-2019</t>
        </is>
      </c>
      <c r="B1262" s="1" t="n">
        <v>43628</v>
      </c>
      <c r="C1262" s="1" t="n">
        <v>45344</v>
      </c>
      <c r="D1262" t="inlineStr">
        <is>
          <t>GÄVLEBORGS LÄN</t>
        </is>
      </c>
      <c r="E1262" t="inlineStr">
        <is>
          <t>SANDVIKEN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29267-2019</t>
        </is>
      </c>
      <c r="B1263" s="1" t="n">
        <v>43629</v>
      </c>
      <c r="C1263" s="1" t="n">
        <v>45344</v>
      </c>
      <c r="D1263" t="inlineStr">
        <is>
          <t>GÄVLEBORGS LÄN</t>
        </is>
      </c>
      <c r="E1263" t="inlineStr">
        <is>
          <t>LJUSDAL</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29255-2019</t>
        </is>
      </c>
      <c r="B1264" s="1" t="n">
        <v>43629</v>
      </c>
      <c r="C1264" s="1" t="n">
        <v>45344</v>
      </c>
      <c r="D1264" t="inlineStr">
        <is>
          <t>GÄVLEBORGS LÄN</t>
        </is>
      </c>
      <c r="E1264" t="inlineStr">
        <is>
          <t>BOLLNÄS</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29894-2019</t>
        </is>
      </c>
      <c r="B1265" s="1" t="n">
        <v>43629</v>
      </c>
      <c r="C1265" s="1" t="n">
        <v>45344</v>
      </c>
      <c r="D1265" t="inlineStr">
        <is>
          <t>GÄVLEBORGS LÄN</t>
        </is>
      </c>
      <c r="E1265" t="inlineStr">
        <is>
          <t>OVANÅKER</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29333-2019</t>
        </is>
      </c>
      <c r="B1266" s="1" t="n">
        <v>43629</v>
      </c>
      <c r="C1266" s="1" t="n">
        <v>45344</v>
      </c>
      <c r="D1266" t="inlineStr">
        <is>
          <t>GÄVLEBORGS LÄN</t>
        </is>
      </c>
      <c r="E1266" t="inlineStr">
        <is>
          <t>SANDVIKEN</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29401-2019</t>
        </is>
      </c>
      <c r="B1267" s="1" t="n">
        <v>43629</v>
      </c>
      <c r="C1267" s="1" t="n">
        <v>45344</v>
      </c>
      <c r="D1267" t="inlineStr">
        <is>
          <t>GÄVLEBORGS LÄN</t>
        </is>
      </c>
      <c r="E1267" t="inlineStr">
        <is>
          <t>BOLLNÄS</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29414-2019</t>
        </is>
      </c>
      <c r="B1268" s="1" t="n">
        <v>43629</v>
      </c>
      <c r="C1268" s="1" t="n">
        <v>45344</v>
      </c>
      <c r="D1268" t="inlineStr">
        <is>
          <t>GÄVLEBORGS LÄN</t>
        </is>
      </c>
      <c r="E1268" t="inlineStr">
        <is>
          <t>LJUSDAL</t>
        </is>
      </c>
      <c r="F1268" t="inlineStr">
        <is>
          <t>Holmen skog AB</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29887-2019</t>
        </is>
      </c>
      <c r="B1269" s="1" t="n">
        <v>43629</v>
      </c>
      <c r="C1269" s="1" t="n">
        <v>45344</v>
      </c>
      <c r="D1269" t="inlineStr">
        <is>
          <t>GÄVLEBORGS LÄN</t>
        </is>
      </c>
      <c r="E1269" t="inlineStr">
        <is>
          <t>OVANÅKER</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29590-2019</t>
        </is>
      </c>
      <c r="B1270" s="1" t="n">
        <v>43630</v>
      </c>
      <c r="C1270" s="1" t="n">
        <v>45344</v>
      </c>
      <c r="D1270" t="inlineStr">
        <is>
          <t>GÄVLEBORGS LÄN</t>
        </is>
      </c>
      <c r="E1270" t="inlineStr">
        <is>
          <t>LJUSDAL</t>
        </is>
      </c>
      <c r="F1270" t="inlineStr">
        <is>
          <t>Bergvik skog väst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29688-2019</t>
        </is>
      </c>
      <c r="B1271" s="1" t="n">
        <v>43630</v>
      </c>
      <c r="C1271" s="1" t="n">
        <v>45344</v>
      </c>
      <c r="D1271" t="inlineStr">
        <is>
          <t>GÄVLEBORGS LÄN</t>
        </is>
      </c>
      <c r="E1271" t="inlineStr">
        <is>
          <t>SÖDERHAMN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29559-2019</t>
        </is>
      </c>
      <c r="B1272" s="1" t="n">
        <v>43630</v>
      </c>
      <c r="C1272" s="1" t="n">
        <v>45344</v>
      </c>
      <c r="D1272" t="inlineStr">
        <is>
          <t>GÄVLEBORGS LÄN</t>
        </is>
      </c>
      <c r="E1272" t="inlineStr">
        <is>
          <t>LJUSDAL</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29525-2019</t>
        </is>
      </c>
      <c r="B1273" s="1" t="n">
        <v>43630</v>
      </c>
      <c r="C1273" s="1" t="n">
        <v>45344</v>
      </c>
      <c r="D1273" t="inlineStr">
        <is>
          <t>GÄVLEBORGS LÄN</t>
        </is>
      </c>
      <c r="E1273" t="inlineStr">
        <is>
          <t>LJUSDAL</t>
        </is>
      </c>
      <c r="F1273" t="inlineStr">
        <is>
          <t>Sveaskog</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29852-2019</t>
        </is>
      </c>
      <c r="B1274" s="1" t="n">
        <v>43633</v>
      </c>
      <c r="C1274" s="1" t="n">
        <v>45344</v>
      </c>
      <c r="D1274" t="inlineStr">
        <is>
          <t>GÄVLEBORGS LÄN</t>
        </is>
      </c>
      <c r="E1274" t="inlineStr">
        <is>
          <t>BOLLNÄS</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29967-2019</t>
        </is>
      </c>
      <c r="B1275" s="1" t="n">
        <v>43633</v>
      </c>
      <c r="C1275" s="1" t="n">
        <v>45344</v>
      </c>
      <c r="D1275" t="inlineStr">
        <is>
          <t>GÄVLEBORGS LÄN</t>
        </is>
      </c>
      <c r="E1275" t="inlineStr">
        <is>
          <t>SANDVIKEN</t>
        </is>
      </c>
      <c r="G1275" t="n">
        <v>8.800000000000001</v>
      </c>
      <c r="H1275" t="n">
        <v>0</v>
      </c>
      <c r="I1275" t="n">
        <v>0</v>
      </c>
      <c r="J1275" t="n">
        <v>0</v>
      </c>
      <c r="K1275" t="n">
        <v>0</v>
      </c>
      <c r="L1275" t="n">
        <v>0</v>
      </c>
      <c r="M1275" t="n">
        <v>0</v>
      </c>
      <c r="N1275" t="n">
        <v>0</v>
      </c>
      <c r="O1275" t="n">
        <v>0</v>
      </c>
      <c r="P1275" t="n">
        <v>0</v>
      </c>
      <c r="Q1275" t="n">
        <v>0</v>
      </c>
      <c r="R1275" s="2" t="inlineStr"/>
    </row>
    <row r="1276" ht="15" customHeight="1">
      <c r="A1276" t="inlineStr">
        <is>
          <t>A 30256-2019</t>
        </is>
      </c>
      <c r="B1276" s="1" t="n">
        <v>43634</v>
      </c>
      <c r="C1276" s="1" t="n">
        <v>45344</v>
      </c>
      <c r="D1276" t="inlineStr">
        <is>
          <t>GÄVLEBORGS LÄN</t>
        </is>
      </c>
      <c r="E1276" t="inlineStr">
        <is>
          <t>NORDANSTIG</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30581-2019</t>
        </is>
      </c>
      <c r="B1277" s="1" t="n">
        <v>43635</v>
      </c>
      <c r="C1277" s="1" t="n">
        <v>45344</v>
      </c>
      <c r="D1277" t="inlineStr">
        <is>
          <t>GÄVLEBORGS LÄN</t>
        </is>
      </c>
      <c r="E1277" t="inlineStr">
        <is>
          <t>GÄVLE</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30592-2019</t>
        </is>
      </c>
      <c r="B1278" s="1" t="n">
        <v>43635</v>
      </c>
      <c r="C1278" s="1" t="n">
        <v>45344</v>
      </c>
      <c r="D1278" t="inlineStr">
        <is>
          <t>GÄVLEBORGS LÄN</t>
        </is>
      </c>
      <c r="E1278" t="inlineStr">
        <is>
          <t>HOFORS</t>
        </is>
      </c>
      <c r="F1278" t="inlineStr">
        <is>
          <t>Sveaskog</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30607-2019</t>
        </is>
      </c>
      <c r="B1279" s="1" t="n">
        <v>43635</v>
      </c>
      <c r="C1279" s="1" t="n">
        <v>45344</v>
      </c>
      <c r="D1279" t="inlineStr">
        <is>
          <t>GÄVLEBORGS LÄN</t>
        </is>
      </c>
      <c r="E1279" t="inlineStr">
        <is>
          <t>NORDANSTIG</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30484-2019</t>
        </is>
      </c>
      <c r="B1280" s="1" t="n">
        <v>43635</v>
      </c>
      <c r="C1280" s="1" t="n">
        <v>45344</v>
      </c>
      <c r="D1280" t="inlineStr">
        <is>
          <t>GÄVLEBORGS LÄN</t>
        </is>
      </c>
      <c r="E1280" t="inlineStr">
        <is>
          <t>SANDVIKEN</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30417-2019</t>
        </is>
      </c>
      <c r="B1281" s="1" t="n">
        <v>43635</v>
      </c>
      <c r="C1281" s="1" t="n">
        <v>45344</v>
      </c>
      <c r="D1281" t="inlineStr">
        <is>
          <t>GÄVLEBORGS LÄN</t>
        </is>
      </c>
      <c r="E1281" t="inlineStr">
        <is>
          <t>BOLLNÄS</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30567-2019</t>
        </is>
      </c>
      <c r="B1282" s="1" t="n">
        <v>43635</v>
      </c>
      <c r="C1282" s="1" t="n">
        <v>45344</v>
      </c>
      <c r="D1282" t="inlineStr">
        <is>
          <t>GÄVLEBORGS LÄN</t>
        </is>
      </c>
      <c r="E1282" t="inlineStr">
        <is>
          <t>GÄVLE</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30591-2019</t>
        </is>
      </c>
      <c r="B1283" s="1" t="n">
        <v>43635</v>
      </c>
      <c r="C1283" s="1" t="n">
        <v>45344</v>
      </c>
      <c r="D1283" t="inlineStr">
        <is>
          <t>GÄVLEBORGS LÄN</t>
        </is>
      </c>
      <c r="E1283" t="inlineStr">
        <is>
          <t>HOFORS</t>
        </is>
      </c>
      <c r="F1283" t="inlineStr">
        <is>
          <t>Sveaskog</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30741-2019</t>
        </is>
      </c>
      <c r="B1284" s="1" t="n">
        <v>43636</v>
      </c>
      <c r="C1284" s="1" t="n">
        <v>45344</v>
      </c>
      <c r="D1284" t="inlineStr">
        <is>
          <t>GÄVLEBORGS LÄN</t>
        </is>
      </c>
      <c r="E1284" t="inlineStr">
        <is>
          <t>SANDVIKEN</t>
        </is>
      </c>
      <c r="G1284" t="n">
        <v>3.4</v>
      </c>
      <c r="H1284" t="n">
        <v>0</v>
      </c>
      <c r="I1284" t="n">
        <v>0</v>
      </c>
      <c r="J1284" t="n">
        <v>0</v>
      </c>
      <c r="K1284" t="n">
        <v>0</v>
      </c>
      <c r="L1284" t="n">
        <v>0</v>
      </c>
      <c r="M1284" t="n">
        <v>0</v>
      </c>
      <c r="N1284" t="n">
        <v>0</v>
      </c>
      <c r="O1284" t="n">
        <v>0</v>
      </c>
      <c r="P1284" t="n">
        <v>0</v>
      </c>
      <c r="Q1284" t="n">
        <v>0</v>
      </c>
      <c r="R1284" s="2" t="inlineStr"/>
    </row>
    <row r="1285" ht="15" customHeight="1">
      <c r="A1285" t="inlineStr">
        <is>
          <t>A 30821-2019</t>
        </is>
      </c>
      <c r="B1285" s="1" t="n">
        <v>43636</v>
      </c>
      <c r="C1285" s="1" t="n">
        <v>45344</v>
      </c>
      <c r="D1285" t="inlineStr">
        <is>
          <t>GÄVLEBORGS LÄN</t>
        </is>
      </c>
      <c r="E1285" t="inlineStr">
        <is>
          <t>GÄVLE</t>
        </is>
      </c>
      <c r="F1285" t="inlineStr">
        <is>
          <t>Bergvik skog väst AB</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30786-2019</t>
        </is>
      </c>
      <c r="B1286" s="1" t="n">
        <v>43636</v>
      </c>
      <c r="C1286" s="1" t="n">
        <v>45344</v>
      </c>
      <c r="D1286" t="inlineStr">
        <is>
          <t>GÄVLEBORGS LÄN</t>
        </is>
      </c>
      <c r="E1286" t="inlineStr">
        <is>
          <t>HUDIKSVALL</t>
        </is>
      </c>
      <c r="F1286" t="inlineStr">
        <is>
          <t>Holmen skog AB</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30769-2019</t>
        </is>
      </c>
      <c r="B1287" s="1" t="n">
        <v>43636</v>
      </c>
      <c r="C1287" s="1" t="n">
        <v>45344</v>
      </c>
      <c r="D1287" t="inlineStr">
        <is>
          <t>GÄVLEBORGS LÄN</t>
        </is>
      </c>
      <c r="E1287" t="inlineStr">
        <is>
          <t>HUDIKSVALL</t>
        </is>
      </c>
      <c r="F1287" t="inlineStr">
        <is>
          <t>Holmen skog AB</t>
        </is>
      </c>
      <c r="G1287" t="n">
        <v>8.300000000000001</v>
      </c>
      <c r="H1287" t="n">
        <v>0</v>
      </c>
      <c r="I1287" t="n">
        <v>0</v>
      </c>
      <c r="J1287" t="n">
        <v>0</v>
      </c>
      <c r="K1287" t="n">
        <v>0</v>
      </c>
      <c r="L1287" t="n">
        <v>0</v>
      </c>
      <c r="M1287" t="n">
        <v>0</v>
      </c>
      <c r="N1287" t="n">
        <v>0</v>
      </c>
      <c r="O1287" t="n">
        <v>0</v>
      </c>
      <c r="P1287" t="n">
        <v>0</v>
      </c>
      <c r="Q1287" t="n">
        <v>0</v>
      </c>
      <c r="R1287" s="2" t="inlineStr"/>
    </row>
    <row r="1288" ht="15" customHeight="1">
      <c r="A1288" t="inlineStr">
        <is>
          <t>A 30727-2019</t>
        </is>
      </c>
      <c r="B1288" s="1" t="n">
        <v>43636</v>
      </c>
      <c r="C1288" s="1" t="n">
        <v>45344</v>
      </c>
      <c r="D1288" t="inlineStr">
        <is>
          <t>GÄVLEBORGS LÄN</t>
        </is>
      </c>
      <c r="E1288" t="inlineStr">
        <is>
          <t>LJUSDAL</t>
        </is>
      </c>
      <c r="F1288" t="inlineStr">
        <is>
          <t>Sveaskog</t>
        </is>
      </c>
      <c r="G1288" t="n">
        <v>9.699999999999999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31094-2019</t>
        </is>
      </c>
      <c r="B1289" s="1" t="n">
        <v>43640</v>
      </c>
      <c r="C1289" s="1" t="n">
        <v>45344</v>
      </c>
      <c r="D1289" t="inlineStr">
        <is>
          <t>GÄVLEBORGS LÄN</t>
        </is>
      </c>
      <c r="E1289" t="inlineStr">
        <is>
          <t>HUDIKSVALL</t>
        </is>
      </c>
      <c r="G1289" t="n">
        <v>5.2</v>
      </c>
      <c r="H1289" t="n">
        <v>0</v>
      </c>
      <c r="I1289" t="n">
        <v>0</v>
      </c>
      <c r="J1289" t="n">
        <v>0</v>
      </c>
      <c r="K1289" t="n">
        <v>0</v>
      </c>
      <c r="L1289" t="n">
        <v>0</v>
      </c>
      <c r="M1289" t="n">
        <v>0</v>
      </c>
      <c r="N1289" t="n">
        <v>0</v>
      </c>
      <c r="O1289" t="n">
        <v>0</v>
      </c>
      <c r="P1289" t="n">
        <v>0</v>
      </c>
      <c r="Q1289" t="n">
        <v>0</v>
      </c>
      <c r="R1289" s="2" t="inlineStr"/>
    </row>
    <row r="1290" ht="15" customHeight="1">
      <c r="A1290" t="inlineStr">
        <is>
          <t>A 31014-2019</t>
        </is>
      </c>
      <c r="B1290" s="1" t="n">
        <v>43640</v>
      </c>
      <c r="C1290" s="1" t="n">
        <v>45344</v>
      </c>
      <c r="D1290" t="inlineStr">
        <is>
          <t>GÄVLEBORGS LÄN</t>
        </is>
      </c>
      <c r="E1290" t="inlineStr">
        <is>
          <t>HUDIKSVALL</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31082-2019</t>
        </is>
      </c>
      <c r="B1291" s="1" t="n">
        <v>43640</v>
      </c>
      <c r="C1291" s="1" t="n">
        <v>45344</v>
      </c>
      <c r="D1291" t="inlineStr">
        <is>
          <t>GÄVLEBORGS LÄN</t>
        </is>
      </c>
      <c r="E1291" t="inlineStr">
        <is>
          <t>BOLLNÄS</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31077-2019</t>
        </is>
      </c>
      <c r="B1292" s="1" t="n">
        <v>43640</v>
      </c>
      <c r="C1292" s="1" t="n">
        <v>45344</v>
      </c>
      <c r="D1292" t="inlineStr">
        <is>
          <t>GÄVLEBORGS LÄN</t>
        </is>
      </c>
      <c r="E1292" t="inlineStr">
        <is>
          <t>OVANÅKER</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31103-2019</t>
        </is>
      </c>
      <c r="B1293" s="1" t="n">
        <v>43640</v>
      </c>
      <c r="C1293" s="1" t="n">
        <v>45344</v>
      </c>
      <c r="D1293" t="inlineStr">
        <is>
          <t>GÄVLEBORGS LÄN</t>
        </is>
      </c>
      <c r="E1293" t="inlineStr">
        <is>
          <t>HUDIKSVALL</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31244-2019</t>
        </is>
      </c>
      <c r="B1294" s="1" t="n">
        <v>43640</v>
      </c>
      <c r="C1294" s="1" t="n">
        <v>45344</v>
      </c>
      <c r="D1294" t="inlineStr">
        <is>
          <t>GÄVLEBORGS LÄN</t>
        </is>
      </c>
      <c r="E1294" t="inlineStr">
        <is>
          <t>OVANÅKER</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31234-2019</t>
        </is>
      </c>
      <c r="B1295" s="1" t="n">
        <v>43640</v>
      </c>
      <c r="C1295" s="1" t="n">
        <v>45344</v>
      </c>
      <c r="D1295" t="inlineStr">
        <is>
          <t>GÄVLEBORGS LÄN</t>
        </is>
      </c>
      <c r="E1295" t="inlineStr">
        <is>
          <t>HUDIKSVALL</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31372-2019</t>
        </is>
      </c>
      <c r="B1296" s="1" t="n">
        <v>43641</v>
      </c>
      <c r="C1296" s="1" t="n">
        <v>45344</v>
      </c>
      <c r="D1296" t="inlineStr">
        <is>
          <t>GÄVLEBORGS LÄN</t>
        </is>
      </c>
      <c r="E1296" t="inlineStr">
        <is>
          <t>OVANÅKER</t>
        </is>
      </c>
      <c r="G1296" t="n">
        <v>2.9</v>
      </c>
      <c r="H1296" t="n">
        <v>0</v>
      </c>
      <c r="I1296" t="n">
        <v>0</v>
      </c>
      <c r="J1296" t="n">
        <v>0</v>
      </c>
      <c r="K1296" t="n">
        <v>0</v>
      </c>
      <c r="L1296" t="n">
        <v>0</v>
      </c>
      <c r="M1296" t="n">
        <v>0</v>
      </c>
      <c r="N1296" t="n">
        <v>0</v>
      </c>
      <c r="O1296" t="n">
        <v>0</v>
      </c>
      <c r="P1296" t="n">
        <v>0</v>
      </c>
      <c r="Q1296" t="n">
        <v>0</v>
      </c>
      <c r="R1296" s="2" t="inlineStr"/>
    </row>
    <row r="1297" ht="15" customHeight="1">
      <c r="A1297" t="inlineStr">
        <is>
          <t>A 31495-2019</t>
        </is>
      </c>
      <c r="B1297" s="1" t="n">
        <v>43641</v>
      </c>
      <c r="C1297" s="1" t="n">
        <v>45344</v>
      </c>
      <c r="D1297" t="inlineStr">
        <is>
          <t>GÄVLEBORGS LÄN</t>
        </is>
      </c>
      <c r="E1297" t="inlineStr">
        <is>
          <t>HUDIKSVALL</t>
        </is>
      </c>
      <c r="F1297" t="inlineStr">
        <is>
          <t>Holmen skog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31538-2019</t>
        </is>
      </c>
      <c r="B1298" s="1" t="n">
        <v>43641</v>
      </c>
      <c r="C1298" s="1" t="n">
        <v>45344</v>
      </c>
      <c r="D1298" t="inlineStr">
        <is>
          <t>GÄVLEBORGS LÄN</t>
        </is>
      </c>
      <c r="E1298" t="inlineStr">
        <is>
          <t>BOLLNÄS</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31812-2019</t>
        </is>
      </c>
      <c r="B1299" s="1" t="n">
        <v>43641</v>
      </c>
      <c r="C1299" s="1" t="n">
        <v>45344</v>
      </c>
      <c r="D1299" t="inlineStr">
        <is>
          <t>GÄVLEBORGS LÄN</t>
        </is>
      </c>
      <c r="E1299" t="inlineStr">
        <is>
          <t>LJUSDAL</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31769-2019</t>
        </is>
      </c>
      <c r="B1300" s="1" t="n">
        <v>43642</v>
      </c>
      <c r="C1300" s="1" t="n">
        <v>45344</v>
      </c>
      <c r="D1300" t="inlineStr">
        <is>
          <t>GÄVLEBORGS LÄN</t>
        </is>
      </c>
      <c r="E1300" t="inlineStr">
        <is>
          <t>LJUSDAL</t>
        </is>
      </c>
      <c r="F1300" t="inlineStr">
        <is>
          <t>Holmen skog AB</t>
        </is>
      </c>
      <c r="G1300" t="n">
        <v>14.4</v>
      </c>
      <c r="H1300" t="n">
        <v>0</v>
      </c>
      <c r="I1300" t="n">
        <v>0</v>
      </c>
      <c r="J1300" t="n">
        <v>0</v>
      </c>
      <c r="K1300" t="n">
        <v>0</v>
      </c>
      <c r="L1300" t="n">
        <v>0</v>
      </c>
      <c r="M1300" t="n">
        <v>0</v>
      </c>
      <c r="N1300" t="n">
        <v>0</v>
      </c>
      <c r="O1300" t="n">
        <v>0</v>
      </c>
      <c r="P1300" t="n">
        <v>0</v>
      </c>
      <c r="Q1300" t="n">
        <v>0</v>
      </c>
      <c r="R1300" s="2" t="inlineStr"/>
    </row>
    <row r="1301" ht="15" customHeight="1">
      <c r="A1301" t="inlineStr">
        <is>
          <t>A 31934-2019</t>
        </is>
      </c>
      <c r="B1301" s="1" t="n">
        <v>43642</v>
      </c>
      <c r="C1301" s="1" t="n">
        <v>45344</v>
      </c>
      <c r="D1301" t="inlineStr">
        <is>
          <t>GÄVLEBORGS LÄN</t>
        </is>
      </c>
      <c r="E1301" t="inlineStr">
        <is>
          <t>NORDANSTIG</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31843-2019</t>
        </is>
      </c>
      <c r="B1302" s="1" t="n">
        <v>43642</v>
      </c>
      <c r="C1302" s="1" t="n">
        <v>45344</v>
      </c>
      <c r="D1302" t="inlineStr">
        <is>
          <t>GÄVLEBORGS LÄN</t>
        </is>
      </c>
      <c r="E1302" t="inlineStr">
        <is>
          <t>LJUSDAL</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31854-2019</t>
        </is>
      </c>
      <c r="B1303" s="1" t="n">
        <v>43642</v>
      </c>
      <c r="C1303" s="1" t="n">
        <v>45344</v>
      </c>
      <c r="D1303" t="inlineStr">
        <is>
          <t>GÄVLEBORGS LÄN</t>
        </is>
      </c>
      <c r="E1303" t="inlineStr">
        <is>
          <t>HUDIKSVALL</t>
        </is>
      </c>
      <c r="F1303" t="inlineStr">
        <is>
          <t>Holmen skog AB</t>
        </is>
      </c>
      <c r="G1303" t="n">
        <v>8</v>
      </c>
      <c r="H1303" t="n">
        <v>0</v>
      </c>
      <c r="I1303" t="n">
        <v>0</v>
      </c>
      <c r="J1303" t="n">
        <v>0</v>
      </c>
      <c r="K1303" t="n">
        <v>0</v>
      </c>
      <c r="L1303" t="n">
        <v>0</v>
      </c>
      <c r="M1303" t="n">
        <v>0</v>
      </c>
      <c r="N1303" t="n">
        <v>0</v>
      </c>
      <c r="O1303" t="n">
        <v>0</v>
      </c>
      <c r="P1303" t="n">
        <v>0</v>
      </c>
      <c r="Q1303" t="n">
        <v>0</v>
      </c>
      <c r="R1303" s="2" t="inlineStr"/>
    </row>
    <row r="1304" ht="15" customHeight="1">
      <c r="A1304" t="inlineStr">
        <is>
          <t>A 31827-2019</t>
        </is>
      </c>
      <c r="B1304" s="1" t="n">
        <v>43642</v>
      </c>
      <c r="C1304" s="1" t="n">
        <v>45344</v>
      </c>
      <c r="D1304" t="inlineStr">
        <is>
          <t>GÄVLEBORGS LÄN</t>
        </is>
      </c>
      <c r="E1304" t="inlineStr">
        <is>
          <t>HUDIKSVALL</t>
        </is>
      </c>
      <c r="F1304" t="inlineStr">
        <is>
          <t>Holmen skog AB</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31914-2019</t>
        </is>
      </c>
      <c r="B1305" s="1" t="n">
        <v>43643</v>
      </c>
      <c r="C1305" s="1" t="n">
        <v>45344</v>
      </c>
      <c r="D1305" t="inlineStr">
        <is>
          <t>GÄVLEBORGS LÄN</t>
        </is>
      </c>
      <c r="E1305" t="inlineStr">
        <is>
          <t>BOLLNÄS</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32092-2019</t>
        </is>
      </c>
      <c r="B1306" s="1" t="n">
        <v>43643</v>
      </c>
      <c r="C1306" s="1" t="n">
        <v>45344</v>
      </c>
      <c r="D1306" t="inlineStr">
        <is>
          <t>GÄVLEBORGS LÄN</t>
        </is>
      </c>
      <c r="E1306" t="inlineStr">
        <is>
          <t>NORDANSTIG</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32000-2019</t>
        </is>
      </c>
      <c r="B1307" s="1" t="n">
        <v>43643</v>
      </c>
      <c r="C1307" s="1" t="n">
        <v>45344</v>
      </c>
      <c r="D1307" t="inlineStr">
        <is>
          <t>GÄVLEBORGS LÄN</t>
        </is>
      </c>
      <c r="E1307" t="inlineStr">
        <is>
          <t>OVANÅKER</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32130-2019</t>
        </is>
      </c>
      <c r="B1308" s="1" t="n">
        <v>43643</v>
      </c>
      <c r="C1308" s="1" t="n">
        <v>45344</v>
      </c>
      <c r="D1308" t="inlineStr">
        <is>
          <t>GÄVLEBORGS LÄN</t>
        </is>
      </c>
      <c r="E1308" t="inlineStr">
        <is>
          <t>SANDVIKEN</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32007-2019</t>
        </is>
      </c>
      <c r="B1309" s="1" t="n">
        <v>43643</v>
      </c>
      <c r="C1309" s="1" t="n">
        <v>45344</v>
      </c>
      <c r="D1309" t="inlineStr">
        <is>
          <t>GÄVLEBORGS LÄN</t>
        </is>
      </c>
      <c r="E1309" t="inlineStr">
        <is>
          <t>SANDVIKEN</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33036-2019</t>
        </is>
      </c>
      <c r="B1310" s="1" t="n">
        <v>43643</v>
      </c>
      <c r="C1310" s="1" t="n">
        <v>45344</v>
      </c>
      <c r="D1310" t="inlineStr">
        <is>
          <t>GÄVLEBORGS LÄN</t>
        </is>
      </c>
      <c r="E1310" t="inlineStr">
        <is>
          <t>HUDIKSVALL</t>
        </is>
      </c>
      <c r="F1310" t="inlineStr">
        <is>
          <t>Holmen skog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32084-2019</t>
        </is>
      </c>
      <c r="B1311" s="1" t="n">
        <v>43643</v>
      </c>
      <c r="C1311" s="1" t="n">
        <v>45344</v>
      </c>
      <c r="D1311" t="inlineStr">
        <is>
          <t>GÄVLEBORGS LÄN</t>
        </is>
      </c>
      <c r="E1311" t="inlineStr">
        <is>
          <t>SÖDERHAMN</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32355-2019</t>
        </is>
      </c>
      <c r="B1312" s="1" t="n">
        <v>43644</v>
      </c>
      <c r="C1312" s="1" t="n">
        <v>45344</v>
      </c>
      <c r="D1312" t="inlineStr">
        <is>
          <t>GÄVLEBORGS LÄN</t>
        </is>
      </c>
      <c r="E1312" t="inlineStr">
        <is>
          <t>HUDIKSVALL</t>
        </is>
      </c>
      <c r="F1312" t="inlineStr">
        <is>
          <t>Holmen skog AB</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32436-2019</t>
        </is>
      </c>
      <c r="B1313" s="1" t="n">
        <v>43644</v>
      </c>
      <c r="C1313" s="1" t="n">
        <v>45344</v>
      </c>
      <c r="D1313" t="inlineStr">
        <is>
          <t>GÄVLEBORGS LÄN</t>
        </is>
      </c>
      <c r="E1313" t="inlineStr">
        <is>
          <t>LJUSDAL</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32571-2019</t>
        </is>
      </c>
      <c r="B1314" s="1" t="n">
        <v>43647</v>
      </c>
      <c r="C1314" s="1" t="n">
        <v>45344</v>
      </c>
      <c r="D1314" t="inlineStr">
        <is>
          <t>GÄVLEBORGS LÄN</t>
        </is>
      </c>
      <c r="E1314" t="inlineStr">
        <is>
          <t>OCKELBO</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32600-2019</t>
        </is>
      </c>
      <c r="B1315" s="1" t="n">
        <v>43647</v>
      </c>
      <c r="C1315" s="1" t="n">
        <v>45344</v>
      </c>
      <c r="D1315" t="inlineStr">
        <is>
          <t>GÄVLEBORGS LÄN</t>
        </is>
      </c>
      <c r="E1315" t="inlineStr">
        <is>
          <t>HUDIKSVALL</t>
        </is>
      </c>
      <c r="F1315" t="inlineStr">
        <is>
          <t>Holmen skog AB</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34322-2019</t>
        </is>
      </c>
      <c r="B1316" s="1" t="n">
        <v>43647</v>
      </c>
      <c r="C1316" s="1" t="n">
        <v>45344</v>
      </c>
      <c r="D1316" t="inlineStr">
        <is>
          <t>GÄVLEBORGS LÄN</t>
        </is>
      </c>
      <c r="E1316" t="inlineStr">
        <is>
          <t>OCKELBO</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32551-2019</t>
        </is>
      </c>
      <c r="B1317" s="1" t="n">
        <v>43647</v>
      </c>
      <c r="C1317" s="1" t="n">
        <v>45344</v>
      </c>
      <c r="D1317" t="inlineStr">
        <is>
          <t>GÄVLEBORGS LÄN</t>
        </is>
      </c>
      <c r="E1317" t="inlineStr">
        <is>
          <t>NORDANSTIG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32576-2019</t>
        </is>
      </c>
      <c r="B1318" s="1" t="n">
        <v>43647</v>
      </c>
      <c r="C1318" s="1" t="n">
        <v>45344</v>
      </c>
      <c r="D1318" t="inlineStr">
        <is>
          <t>GÄVLEBORGS LÄN</t>
        </is>
      </c>
      <c r="E1318" t="inlineStr">
        <is>
          <t>OCKELBO</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32880-2019</t>
        </is>
      </c>
      <c r="B1319" s="1" t="n">
        <v>43648</v>
      </c>
      <c r="C1319" s="1" t="n">
        <v>45344</v>
      </c>
      <c r="D1319" t="inlineStr">
        <is>
          <t>GÄVLEBORGS LÄN</t>
        </is>
      </c>
      <c r="E1319" t="inlineStr">
        <is>
          <t>NORDANSTIG</t>
        </is>
      </c>
      <c r="G1319" t="n">
        <v>6.6</v>
      </c>
      <c r="H1319" t="n">
        <v>0</v>
      </c>
      <c r="I1319" t="n">
        <v>0</v>
      </c>
      <c r="J1319" t="n">
        <v>0</v>
      </c>
      <c r="K1319" t="n">
        <v>0</v>
      </c>
      <c r="L1319" t="n">
        <v>0</v>
      </c>
      <c r="M1319" t="n">
        <v>0</v>
      </c>
      <c r="N1319" t="n">
        <v>0</v>
      </c>
      <c r="O1319" t="n">
        <v>0</v>
      </c>
      <c r="P1319" t="n">
        <v>0</v>
      </c>
      <c r="Q1319" t="n">
        <v>0</v>
      </c>
      <c r="R1319" s="2" t="inlineStr"/>
    </row>
    <row r="1320" ht="15" customHeight="1">
      <c r="A1320" t="inlineStr">
        <is>
          <t>A 32912-2019</t>
        </is>
      </c>
      <c r="B1320" s="1" t="n">
        <v>43648</v>
      </c>
      <c r="C1320" s="1" t="n">
        <v>45344</v>
      </c>
      <c r="D1320" t="inlineStr">
        <is>
          <t>GÄVLEBORGS LÄN</t>
        </is>
      </c>
      <c r="E1320" t="inlineStr">
        <is>
          <t>NORDANSTIG</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33128-2019</t>
        </is>
      </c>
      <c r="B1321" s="1" t="n">
        <v>43649</v>
      </c>
      <c r="C1321" s="1" t="n">
        <v>45344</v>
      </c>
      <c r="D1321" t="inlineStr">
        <is>
          <t>GÄVLEBORGS LÄN</t>
        </is>
      </c>
      <c r="E1321" t="inlineStr">
        <is>
          <t>OCKELBO</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33064-2019</t>
        </is>
      </c>
      <c r="B1322" s="1" t="n">
        <v>43649</v>
      </c>
      <c r="C1322" s="1" t="n">
        <v>45344</v>
      </c>
      <c r="D1322" t="inlineStr">
        <is>
          <t>GÄVLEBORGS LÄN</t>
        </is>
      </c>
      <c r="E1322" t="inlineStr">
        <is>
          <t>BOLLNÄS</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33120-2019</t>
        </is>
      </c>
      <c r="B1323" s="1" t="n">
        <v>43649</v>
      </c>
      <c r="C1323" s="1" t="n">
        <v>45344</v>
      </c>
      <c r="D1323" t="inlineStr">
        <is>
          <t>GÄVLEBORGS LÄN</t>
        </is>
      </c>
      <c r="E1323" t="inlineStr">
        <is>
          <t>BOLLNÄS</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33154-2019</t>
        </is>
      </c>
      <c r="B1324" s="1" t="n">
        <v>43649</v>
      </c>
      <c r="C1324" s="1" t="n">
        <v>45344</v>
      </c>
      <c r="D1324" t="inlineStr">
        <is>
          <t>GÄVLEBORGS LÄN</t>
        </is>
      </c>
      <c r="E1324" t="inlineStr">
        <is>
          <t>SANDVIKEN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33248-2019</t>
        </is>
      </c>
      <c r="B1325" s="1" t="n">
        <v>43650</v>
      </c>
      <c r="C1325" s="1" t="n">
        <v>45344</v>
      </c>
      <c r="D1325" t="inlineStr">
        <is>
          <t>GÄVLEBORGS LÄN</t>
        </is>
      </c>
      <c r="E1325" t="inlineStr">
        <is>
          <t>BOLLNÄS</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33378-2019</t>
        </is>
      </c>
      <c r="B1326" s="1" t="n">
        <v>43650</v>
      </c>
      <c r="C1326" s="1" t="n">
        <v>45344</v>
      </c>
      <c r="D1326" t="inlineStr">
        <is>
          <t>GÄVLEBORGS LÄN</t>
        </is>
      </c>
      <c r="E1326" t="inlineStr">
        <is>
          <t>OCKELBO</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33228-2019</t>
        </is>
      </c>
      <c r="B1327" s="1" t="n">
        <v>43650</v>
      </c>
      <c r="C1327" s="1" t="n">
        <v>45344</v>
      </c>
      <c r="D1327" t="inlineStr">
        <is>
          <t>GÄVLEBORGS LÄN</t>
        </is>
      </c>
      <c r="E1327" t="inlineStr">
        <is>
          <t>GÄVLE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33306-2019</t>
        </is>
      </c>
      <c r="B1328" s="1" t="n">
        <v>43650</v>
      </c>
      <c r="C1328" s="1" t="n">
        <v>45344</v>
      </c>
      <c r="D1328" t="inlineStr">
        <is>
          <t>GÄVLEBORGS LÄN</t>
        </is>
      </c>
      <c r="E1328" t="inlineStr">
        <is>
          <t>LJUSDAL</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33359-2019</t>
        </is>
      </c>
      <c r="B1329" s="1" t="n">
        <v>43650</v>
      </c>
      <c r="C1329" s="1" t="n">
        <v>45344</v>
      </c>
      <c r="D1329" t="inlineStr">
        <is>
          <t>GÄVLEBORGS LÄN</t>
        </is>
      </c>
      <c r="E1329" t="inlineStr">
        <is>
          <t>OCKELBO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33383-2019</t>
        </is>
      </c>
      <c r="B1330" s="1" t="n">
        <v>43650</v>
      </c>
      <c r="C1330" s="1" t="n">
        <v>45344</v>
      </c>
      <c r="D1330" t="inlineStr">
        <is>
          <t>GÄVLEBORGS LÄN</t>
        </is>
      </c>
      <c r="E1330" t="inlineStr">
        <is>
          <t>HUDIKSVALL</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33423-2019</t>
        </is>
      </c>
      <c r="B1331" s="1" t="n">
        <v>43650</v>
      </c>
      <c r="C1331" s="1" t="n">
        <v>45344</v>
      </c>
      <c r="D1331" t="inlineStr">
        <is>
          <t>GÄVLEBORGS LÄN</t>
        </is>
      </c>
      <c r="E1331" t="inlineStr">
        <is>
          <t>OCKELBO</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33368-2019</t>
        </is>
      </c>
      <c r="B1332" s="1" t="n">
        <v>43650</v>
      </c>
      <c r="C1332" s="1" t="n">
        <v>45344</v>
      </c>
      <c r="D1332" t="inlineStr">
        <is>
          <t>GÄVLEBORGS LÄN</t>
        </is>
      </c>
      <c r="E1332" t="inlineStr">
        <is>
          <t>HUDIKSVALL</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33374-2019</t>
        </is>
      </c>
      <c r="B1333" s="1" t="n">
        <v>43650</v>
      </c>
      <c r="C1333" s="1" t="n">
        <v>45344</v>
      </c>
      <c r="D1333" t="inlineStr">
        <is>
          <t>GÄVLEBORGS LÄN</t>
        </is>
      </c>
      <c r="E1333" t="inlineStr">
        <is>
          <t>OCKELBO</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33361-2019</t>
        </is>
      </c>
      <c r="B1334" s="1" t="n">
        <v>43650</v>
      </c>
      <c r="C1334" s="1" t="n">
        <v>45344</v>
      </c>
      <c r="D1334" t="inlineStr">
        <is>
          <t>GÄVLEBORGS LÄN</t>
        </is>
      </c>
      <c r="E1334" t="inlineStr">
        <is>
          <t>HUDIKSVALL</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33507-2019</t>
        </is>
      </c>
      <c r="B1335" s="1" t="n">
        <v>43651</v>
      </c>
      <c r="C1335" s="1" t="n">
        <v>45344</v>
      </c>
      <c r="D1335" t="inlineStr">
        <is>
          <t>GÄVLEBORGS LÄN</t>
        </is>
      </c>
      <c r="E1335" t="inlineStr">
        <is>
          <t>BOLLNÄS</t>
        </is>
      </c>
      <c r="F1335" t="inlineStr">
        <is>
          <t>Bergvik skog väst AB</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33553-2019</t>
        </is>
      </c>
      <c r="B1336" s="1" t="n">
        <v>43651</v>
      </c>
      <c r="C1336" s="1" t="n">
        <v>45344</v>
      </c>
      <c r="D1336" t="inlineStr">
        <is>
          <t>GÄVLEBORGS LÄN</t>
        </is>
      </c>
      <c r="E1336" t="inlineStr">
        <is>
          <t>HUDIKSVALL</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33600-2019</t>
        </is>
      </c>
      <c r="B1337" s="1" t="n">
        <v>43651</v>
      </c>
      <c r="C1337" s="1" t="n">
        <v>45344</v>
      </c>
      <c r="D1337" t="inlineStr">
        <is>
          <t>GÄVLEBORGS LÄN</t>
        </is>
      </c>
      <c r="E1337" t="inlineStr">
        <is>
          <t>OCKELBO</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33520-2019</t>
        </is>
      </c>
      <c r="B1338" s="1" t="n">
        <v>43651</v>
      </c>
      <c r="C1338" s="1" t="n">
        <v>45344</v>
      </c>
      <c r="D1338" t="inlineStr">
        <is>
          <t>GÄVLEBORGS LÄN</t>
        </is>
      </c>
      <c r="E1338" t="inlineStr">
        <is>
          <t>HUDIKSVALL</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33661-2019</t>
        </is>
      </c>
      <c r="B1339" s="1" t="n">
        <v>43651</v>
      </c>
      <c r="C1339" s="1" t="n">
        <v>45344</v>
      </c>
      <c r="D1339" t="inlineStr">
        <is>
          <t>GÄVLEBORGS LÄN</t>
        </is>
      </c>
      <c r="E1339" t="inlineStr">
        <is>
          <t>LJUSDAL</t>
        </is>
      </c>
      <c r="F1339" t="inlineStr">
        <is>
          <t>Sveaskog</t>
        </is>
      </c>
      <c r="G1339" t="n">
        <v>6.3</v>
      </c>
      <c r="H1339" t="n">
        <v>0</v>
      </c>
      <c r="I1339" t="n">
        <v>0</v>
      </c>
      <c r="J1339" t="n">
        <v>0</v>
      </c>
      <c r="K1339" t="n">
        <v>0</v>
      </c>
      <c r="L1339" t="n">
        <v>0</v>
      </c>
      <c r="M1339" t="n">
        <v>0</v>
      </c>
      <c r="N1339" t="n">
        <v>0</v>
      </c>
      <c r="O1339" t="n">
        <v>0</v>
      </c>
      <c r="P1339" t="n">
        <v>0</v>
      </c>
      <c r="Q1339" t="n">
        <v>0</v>
      </c>
      <c r="R1339" s="2" t="inlineStr"/>
    </row>
    <row r="1340" ht="15" customHeight="1">
      <c r="A1340" t="inlineStr">
        <is>
          <t>A 33549-2019</t>
        </is>
      </c>
      <c r="B1340" s="1" t="n">
        <v>43651</v>
      </c>
      <c r="C1340" s="1" t="n">
        <v>45344</v>
      </c>
      <c r="D1340" t="inlineStr">
        <is>
          <t>GÄVLEBORGS LÄN</t>
        </is>
      </c>
      <c r="E1340" t="inlineStr">
        <is>
          <t>HUDIKSVALL</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33629-2019</t>
        </is>
      </c>
      <c r="B1341" s="1" t="n">
        <v>43651</v>
      </c>
      <c r="C1341" s="1" t="n">
        <v>45344</v>
      </c>
      <c r="D1341" t="inlineStr">
        <is>
          <t>GÄVLEBORGS LÄN</t>
        </is>
      </c>
      <c r="E1341" t="inlineStr">
        <is>
          <t>SANDVIKEN</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35316-2019</t>
        </is>
      </c>
      <c r="B1342" s="1" t="n">
        <v>43651</v>
      </c>
      <c r="C1342" s="1" t="n">
        <v>45344</v>
      </c>
      <c r="D1342" t="inlineStr">
        <is>
          <t>GÄVLEBORGS LÄN</t>
        </is>
      </c>
      <c r="E1342" t="inlineStr">
        <is>
          <t>SANDVIKEN</t>
        </is>
      </c>
      <c r="F1342" t="inlineStr">
        <is>
          <t>Kommuner</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33580-2019</t>
        </is>
      </c>
      <c r="B1343" s="1" t="n">
        <v>43651</v>
      </c>
      <c r="C1343" s="1" t="n">
        <v>45344</v>
      </c>
      <c r="D1343" t="inlineStr">
        <is>
          <t>GÄVLEBORGS LÄN</t>
        </is>
      </c>
      <c r="E1343" t="inlineStr">
        <is>
          <t>GÄVLE</t>
        </is>
      </c>
      <c r="F1343" t="inlineStr">
        <is>
          <t>Bergvik skog öst AB</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33662-2019</t>
        </is>
      </c>
      <c r="B1344" s="1" t="n">
        <v>43651</v>
      </c>
      <c r="C1344" s="1" t="n">
        <v>45344</v>
      </c>
      <c r="D1344" t="inlineStr">
        <is>
          <t>GÄVLEBORGS LÄN</t>
        </is>
      </c>
      <c r="E1344" t="inlineStr">
        <is>
          <t>LJUSDAL</t>
        </is>
      </c>
      <c r="F1344" t="inlineStr">
        <is>
          <t>Sveaskog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34019-2019</t>
        </is>
      </c>
      <c r="B1345" s="1" t="n">
        <v>43654</v>
      </c>
      <c r="C1345" s="1" t="n">
        <v>45344</v>
      </c>
      <c r="D1345" t="inlineStr">
        <is>
          <t>GÄVLEBORGS LÄN</t>
        </is>
      </c>
      <c r="E1345" t="inlineStr">
        <is>
          <t>BOLLNÄS</t>
        </is>
      </c>
      <c r="G1345" t="n">
        <v>0.1</v>
      </c>
      <c r="H1345" t="n">
        <v>0</v>
      </c>
      <c r="I1345" t="n">
        <v>0</v>
      </c>
      <c r="J1345" t="n">
        <v>0</v>
      </c>
      <c r="K1345" t="n">
        <v>0</v>
      </c>
      <c r="L1345" t="n">
        <v>0</v>
      </c>
      <c r="M1345" t="n">
        <v>0</v>
      </c>
      <c r="N1345" t="n">
        <v>0</v>
      </c>
      <c r="O1345" t="n">
        <v>0</v>
      </c>
      <c r="P1345" t="n">
        <v>0</v>
      </c>
      <c r="Q1345" t="n">
        <v>0</v>
      </c>
      <c r="R1345" s="2" t="inlineStr"/>
    </row>
    <row r="1346" ht="15" customHeight="1">
      <c r="A1346" t="inlineStr">
        <is>
          <t>A 34197-2019</t>
        </is>
      </c>
      <c r="B1346" s="1" t="n">
        <v>43655</v>
      </c>
      <c r="C1346" s="1" t="n">
        <v>45344</v>
      </c>
      <c r="D1346" t="inlineStr">
        <is>
          <t>GÄVLEBORGS LÄN</t>
        </is>
      </c>
      <c r="E1346" t="inlineStr">
        <is>
          <t>LJUSDAL</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35651-2019</t>
        </is>
      </c>
      <c r="B1347" s="1" t="n">
        <v>43655</v>
      </c>
      <c r="C1347" s="1" t="n">
        <v>45344</v>
      </c>
      <c r="D1347" t="inlineStr">
        <is>
          <t>GÄVLEBORGS LÄN</t>
        </is>
      </c>
      <c r="E1347" t="inlineStr">
        <is>
          <t>SANDVIKEN</t>
        </is>
      </c>
      <c r="F1347" t="inlineStr">
        <is>
          <t>Kommuner</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34398-2019</t>
        </is>
      </c>
      <c r="B1348" s="1" t="n">
        <v>43656</v>
      </c>
      <c r="C1348" s="1" t="n">
        <v>45344</v>
      </c>
      <c r="D1348" t="inlineStr">
        <is>
          <t>GÄVLEBORGS LÄN</t>
        </is>
      </c>
      <c r="E1348" t="inlineStr">
        <is>
          <t>LJUSDAL</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34321-2019</t>
        </is>
      </c>
      <c r="B1349" s="1" t="n">
        <v>43656</v>
      </c>
      <c r="C1349" s="1" t="n">
        <v>45344</v>
      </c>
      <c r="D1349" t="inlineStr">
        <is>
          <t>GÄVLEBORGS LÄN</t>
        </is>
      </c>
      <c r="E1349" t="inlineStr">
        <is>
          <t>BOLLNÄS</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34418-2019</t>
        </is>
      </c>
      <c r="B1350" s="1" t="n">
        <v>43656</v>
      </c>
      <c r="C1350" s="1" t="n">
        <v>45344</v>
      </c>
      <c r="D1350" t="inlineStr">
        <is>
          <t>GÄVLEBORGS LÄN</t>
        </is>
      </c>
      <c r="E1350" t="inlineStr">
        <is>
          <t>SÖDERHAMN</t>
        </is>
      </c>
      <c r="F1350" t="inlineStr">
        <is>
          <t>Bergvik skog väst AB</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34438-2019</t>
        </is>
      </c>
      <c r="B1351" s="1" t="n">
        <v>43656</v>
      </c>
      <c r="C1351" s="1" t="n">
        <v>45344</v>
      </c>
      <c r="D1351" t="inlineStr">
        <is>
          <t>GÄVLEBORGS LÄN</t>
        </is>
      </c>
      <c r="E1351" t="inlineStr">
        <is>
          <t>SÖDERHAMN</t>
        </is>
      </c>
      <c r="F1351" t="inlineStr">
        <is>
          <t>Bergvik skog väst AB</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34547-2019</t>
        </is>
      </c>
      <c r="B1352" s="1" t="n">
        <v>43657</v>
      </c>
      <c r="C1352" s="1" t="n">
        <v>45344</v>
      </c>
      <c r="D1352" t="inlineStr">
        <is>
          <t>GÄVLEBORGS LÄN</t>
        </is>
      </c>
      <c r="E1352" t="inlineStr">
        <is>
          <t>SANDVIKEN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34690-2019</t>
        </is>
      </c>
      <c r="B1353" s="1" t="n">
        <v>43657</v>
      </c>
      <c r="C1353" s="1" t="n">
        <v>45344</v>
      </c>
      <c r="D1353" t="inlineStr">
        <is>
          <t>GÄVLEBORGS LÄN</t>
        </is>
      </c>
      <c r="E1353" t="inlineStr">
        <is>
          <t>HUDIKSVALL</t>
        </is>
      </c>
      <c r="G1353" t="n">
        <v>8.6</v>
      </c>
      <c r="H1353" t="n">
        <v>0</v>
      </c>
      <c r="I1353" t="n">
        <v>0</v>
      </c>
      <c r="J1353" t="n">
        <v>0</v>
      </c>
      <c r="K1353" t="n">
        <v>0</v>
      </c>
      <c r="L1353" t="n">
        <v>0</v>
      </c>
      <c r="M1353" t="n">
        <v>0</v>
      </c>
      <c r="N1353" t="n">
        <v>0</v>
      </c>
      <c r="O1353" t="n">
        <v>0</v>
      </c>
      <c r="P1353" t="n">
        <v>0</v>
      </c>
      <c r="Q1353" t="n">
        <v>0</v>
      </c>
      <c r="R1353" s="2" t="inlineStr"/>
    </row>
    <row r="1354" ht="15" customHeight="1">
      <c r="A1354" t="inlineStr">
        <is>
          <t>A 34610-2019</t>
        </is>
      </c>
      <c r="B1354" s="1" t="n">
        <v>43657</v>
      </c>
      <c r="C1354" s="1" t="n">
        <v>45344</v>
      </c>
      <c r="D1354" t="inlineStr">
        <is>
          <t>GÄVLEBORGS LÄN</t>
        </is>
      </c>
      <c r="E1354" t="inlineStr">
        <is>
          <t>BOLLNÄS</t>
        </is>
      </c>
      <c r="F1354" t="inlineStr">
        <is>
          <t>Kyrkan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34564-2019</t>
        </is>
      </c>
      <c r="B1355" s="1" t="n">
        <v>43657</v>
      </c>
      <c r="C1355" s="1" t="n">
        <v>45344</v>
      </c>
      <c r="D1355" t="inlineStr">
        <is>
          <t>GÄVLEBORGS LÄN</t>
        </is>
      </c>
      <c r="E1355" t="inlineStr">
        <is>
          <t>SANDVIKEN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34516-2019</t>
        </is>
      </c>
      <c r="B1356" s="1" t="n">
        <v>43657</v>
      </c>
      <c r="C1356" s="1" t="n">
        <v>45344</v>
      </c>
      <c r="D1356" t="inlineStr">
        <is>
          <t>GÄVLEBORGS LÄN</t>
        </is>
      </c>
      <c r="E1356" t="inlineStr">
        <is>
          <t>BOLLNÄS</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34767-2019</t>
        </is>
      </c>
      <c r="B1357" s="1" t="n">
        <v>43658</v>
      </c>
      <c r="C1357" s="1" t="n">
        <v>45344</v>
      </c>
      <c r="D1357" t="inlineStr">
        <is>
          <t>GÄVLEBORGS LÄN</t>
        </is>
      </c>
      <c r="E1357" t="inlineStr">
        <is>
          <t>HUDIKSVALL</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34989-2019</t>
        </is>
      </c>
      <c r="B1358" s="1" t="n">
        <v>43659</v>
      </c>
      <c r="C1358" s="1" t="n">
        <v>45344</v>
      </c>
      <c r="D1358" t="inlineStr">
        <is>
          <t>GÄVLEBORGS LÄN</t>
        </is>
      </c>
      <c r="E1358" t="inlineStr">
        <is>
          <t>SANDVIKEN</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35016-2019</t>
        </is>
      </c>
      <c r="B1359" s="1" t="n">
        <v>43661</v>
      </c>
      <c r="C1359" s="1" t="n">
        <v>45344</v>
      </c>
      <c r="D1359" t="inlineStr">
        <is>
          <t>GÄVLEBORGS LÄN</t>
        </is>
      </c>
      <c r="E1359" t="inlineStr">
        <is>
          <t>LJUSDAL</t>
        </is>
      </c>
      <c r="G1359" t="n">
        <v>4.5</v>
      </c>
      <c r="H1359" t="n">
        <v>0</v>
      </c>
      <c r="I1359" t="n">
        <v>0</v>
      </c>
      <c r="J1359" t="n">
        <v>0</v>
      </c>
      <c r="K1359" t="n">
        <v>0</v>
      </c>
      <c r="L1359" t="n">
        <v>0</v>
      </c>
      <c r="M1359" t="n">
        <v>0</v>
      </c>
      <c r="N1359" t="n">
        <v>0</v>
      </c>
      <c r="O1359" t="n">
        <v>0</v>
      </c>
      <c r="P1359" t="n">
        <v>0</v>
      </c>
      <c r="Q1359" t="n">
        <v>0</v>
      </c>
      <c r="R1359" s="2" t="inlineStr"/>
    </row>
    <row r="1360" ht="15" customHeight="1">
      <c r="A1360" t="inlineStr">
        <is>
          <t>A 35034-2019</t>
        </is>
      </c>
      <c r="B1360" s="1" t="n">
        <v>43661</v>
      </c>
      <c r="C1360" s="1" t="n">
        <v>45344</v>
      </c>
      <c r="D1360" t="inlineStr">
        <is>
          <t>GÄVLEBORGS LÄN</t>
        </is>
      </c>
      <c r="E1360" t="inlineStr">
        <is>
          <t>LJUSDAL</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35107-2019</t>
        </is>
      </c>
      <c r="B1361" s="1" t="n">
        <v>43661</v>
      </c>
      <c r="C1361" s="1" t="n">
        <v>45344</v>
      </c>
      <c r="D1361" t="inlineStr">
        <is>
          <t>GÄVLEBORGS LÄN</t>
        </is>
      </c>
      <c r="E1361" t="inlineStr">
        <is>
          <t>LJUSDAL</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35208-2019</t>
        </is>
      </c>
      <c r="B1362" s="1" t="n">
        <v>43662</v>
      </c>
      <c r="C1362" s="1" t="n">
        <v>45344</v>
      </c>
      <c r="D1362" t="inlineStr">
        <is>
          <t>GÄVLEBORGS LÄN</t>
        </is>
      </c>
      <c r="E1362" t="inlineStr">
        <is>
          <t>GÄVLE</t>
        </is>
      </c>
      <c r="F1362" t="inlineStr">
        <is>
          <t>Bergvik skog öst AB</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35295-2019</t>
        </is>
      </c>
      <c r="B1363" s="1" t="n">
        <v>43662</v>
      </c>
      <c r="C1363" s="1" t="n">
        <v>45344</v>
      </c>
      <c r="D1363" t="inlineStr">
        <is>
          <t>GÄVLEBORGS LÄN</t>
        </is>
      </c>
      <c r="E1363" t="inlineStr">
        <is>
          <t>LJUSDAL</t>
        </is>
      </c>
      <c r="F1363" t="inlineStr">
        <is>
          <t>Kommuner</t>
        </is>
      </c>
      <c r="G1363" t="n">
        <v>5.5</v>
      </c>
      <c r="H1363" t="n">
        <v>0</v>
      </c>
      <c r="I1363" t="n">
        <v>0</v>
      </c>
      <c r="J1363" t="n">
        <v>0</v>
      </c>
      <c r="K1363" t="n">
        <v>0</v>
      </c>
      <c r="L1363" t="n">
        <v>0</v>
      </c>
      <c r="M1363" t="n">
        <v>0</v>
      </c>
      <c r="N1363" t="n">
        <v>0</v>
      </c>
      <c r="O1363" t="n">
        <v>0</v>
      </c>
      <c r="P1363" t="n">
        <v>0</v>
      </c>
      <c r="Q1363" t="n">
        <v>0</v>
      </c>
      <c r="R1363" s="2" t="inlineStr"/>
    </row>
    <row r="1364" ht="15" customHeight="1">
      <c r="A1364" t="inlineStr">
        <is>
          <t>A 35347-2019</t>
        </is>
      </c>
      <c r="B1364" s="1" t="n">
        <v>43663</v>
      </c>
      <c r="C1364" s="1" t="n">
        <v>45344</v>
      </c>
      <c r="D1364" t="inlineStr">
        <is>
          <t>GÄVLEBORGS LÄN</t>
        </is>
      </c>
      <c r="E1364" t="inlineStr">
        <is>
          <t>LJUSDAL</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35354-2019</t>
        </is>
      </c>
      <c r="B1365" s="1" t="n">
        <v>43663</v>
      </c>
      <c r="C1365" s="1" t="n">
        <v>45344</v>
      </c>
      <c r="D1365" t="inlineStr">
        <is>
          <t>GÄVLEBORGS LÄN</t>
        </is>
      </c>
      <c r="E1365" t="inlineStr">
        <is>
          <t>LJUSDAL</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35610-2019</t>
        </is>
      </c>
      <c r="B1366" s="1" t="n">
        <v>43664</v>
      </c>
      <c r="C1366" s="1" t="n">
        <v>45344</v>
      </c>
      <c r="D1366" t="inlineStr">
        <is>
          <t>GÄVLEBORGS LÄN</t>
        </is>
      </c>
      <c r="E1366" t="inlineStr">
        <is>
          <t>BOLLNÄS</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35805-2019</t>
        </is>
      </c>
      <c r="B1367" s="1" t="n">
        <v>43665</v>
      </c>
      <c r="C1367" s="1" t="n">
        <v>45344</v>
      </c>
      <c r="D1367" t="inlineStr">
        <is>
          <t>GÄVLEBORGS LÄN</t>
        </is>
      </c>
      <c r="E1367" t="inlineStr">
        <is>
          <t>LJUSDAL</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35851-2019</t>
        </is>
      </c>
      <c r="B1368" s="1" t="n">
        <v>43665</v>
      </c>
      <c r="C1368" s="1" t="n">
        <v>45344</v>
      </c>
      <c r="D1368" t="inlineStr">
        <is>
          <t>GÄVLEBORGS LÄN</t>
        </is>
      </c>
      <c r="E1368" t="inlineStr">
        <is>
          <t>HUDIKSVALL</t>
        </is>
      </c>
      <c r="F1368" t="inlineStr">
        <is>
          <t>Holmen skog AB</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35859-2019</t>
        </is>
      </c>
      <c r="B1369" s="1" t="n">
        <v>43665</v>
      </c>
      <c r="C1369" s="1" t="n">
        <v>45344</v>
      </c>
      <c r="D1369" t="inlineStr">
        <is>
          <t>GÄVLEBORGS LÄN</t>
        </is>
      </c>
      <c r="E1369" t="inlineStr">
        <is>
          <t>LJUSDAL</t>
        </is>
      </c>
      <c r="F1369" t="inlineStr">
        <is>
          <t>Kommuner</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36056-2019</t>
        </is>
      </c>
      <c r="B1370" s="1" t="n">
        <v>43668</v>
      </c>
      <c r="C1370" s="1" t="n">
        <v>45344</v>
      </c>
      <c r="D1370" t="inlineStr">
        <is>
          <t>GÄVLEBORGS LÄN</t>
        </is>
      </c>
      <c r="E1370" t="inlineStr">
        <is>
          <t>OCKELBO</t>
        </is>
      </c>
      <c r="F1370" t="inlineStr">
        <is>
          <t>Bergvik skog väst AB</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36040-2019</t>
        </is>
      </c>
      <c r="B1371" s="1" t="n">
        <v>43668</v>
      </c>
      <c r="C1371" s="1" t="n">
        <v>45344</v>
      </c>
      <c r="D1371" t="inlineStr">
        <is>
          <t>GÄVLEBORGS LÄN</t>
        </is>
      </c>
      <c r="E1371" t="inlineStr">
        <is>
          <t>LJUSDAL</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36062-2019</t>
        </is>
      </c>
      <c r="B1372" s="1" t="n">
        <v>43668</v>
      </c>
      <c r="C1372" s="1" t="n">
        <v>45344</v>
      </c>
      <c r="D1372" t="inlineStr">
        <is>
          <t>GÄVLEBORGS LÄN</t>
        </is>
      </c>
      <c r="E1372" t="inlineStr">
        <is>
          <t>OCKELBO</t>
        </is>
      </c>
      <c r="F1372" t="inlineStr">
        <is>
          <t>Bergvik skog väst AB</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36239-2019</t>
        </is>
      </c>
      <c r="B1373" s="1" t="n">
        <v>43669</v>
      </c>
      <c r="C1373" s="1" t="n">
        <v>45344</v>
      </c>
      <c r="D1373" t="inlineStr">
        <is>
          <t>GÄVLEBORGS LÄN</t>
        </is>
      </c>
      <c r="E1373" t="inlineStr">
        <is>
          <t>SÖDERHAMN</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36190-2019</t>
        </is>
      </c>
      <c r="B1374" s="1" t="n">
        <v>43669</v>
      </c>
      <c r="C1374" s="1" t="n">
        <v>45344</v>
      </c>
      <c r="D1374" t="inlineStr">
        <is>
          <t>GÄVLEBORGS LÄN</t>
        </is>
      </c>
      <c r="E1374" t="inlineStr">
        <is>
          <t>LJUSDAL</t>
        </is>
      </c>
      <c r="G1374" t="n">
        <v>53.2</v>
      </c>
      <c r="H1374" t="n">
        <v>0</v>
      </c>
      <c r="I1374" t="n">
        <v>0</v>
      </c>
      <c r="J1374" t="n">
        <v>0</v>
      </c>
      <c r="K1374" t="n">
        <v>0</v>
      </c>
      <c r="L1374" t="n">
        <v>0</v>
      </c>
      <c r="M1374" t="n">
        <v>0</v>
      </c>
      <c r="N1374" t="n">
        <v>0</v>
      </c>
      <c r="O1374" t="n">
        <v>0</v>
      </c>
      <c r="P1374" t="n">
        <v>0</v>
      </c>
      <c r="Q1374" t="n">
        <v>0</v>
      </c>
      <c r="R1374" s="2" t="inlineStr"/>
    </row>
    <row r="1375" ht="15" customHeight="1">
      <c r="A1375" t="inlineStr">
        <is>
          <t>A 36533-2019</t>
        </is>
      </c>
      <c r="B1375" s="1" t="n">
        <v>43671</v>
      </c>
      <c r="C1375" s="1" t="n">
        <v>45344</v>
      </c>
      <c r="D1375" t="inlineStr">
        <is>
          <t>GÄVLEBORGS LÄN</t>
        </is>
      </c>
      <c r="E1375" t="inlineStr">
        <is>
          <t>OVANÅKER</t>
        </is>
      </c>
      <c r="F1375" t="inlineStr">
        <is>
          <t>Bergvik skog väst AB</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36721-2019</t>
        </is>
      </c>
      <c r="B1376" s="1" t="n">
        <v>43672</v>
      </c>
      <c r="C1376" s="1" t="n">
        <v>45344</v>
      </c>
      <c r="D1376" t="inlineStr">
        <is>
          <t>GÄVLEBORGS LÄN</t>
        </is>
      </c>
      <c r="E1376" t="inlineStr">
        <is>
          <t>HUDIKSVALL</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36864-2019</t>
        </is>
      </c>
      <c r="B1377" s="1" t="n">
        <v>43675</v>
      </c>
      <c r="C1377" s="1" t="n">
        <v>45344</v>
      </c>
      <c r="D1377" t="inlineStr">
        <is>
          <t>GÄVLEBORGS LÄN</t>
        </is>
      </c>
      <c r="E1377" t="inlineStr">
        <is>
          <t>OCKELBO</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37116-2019</t>
        </is>
      </c>
      <c r="B1378" s="1" t="n">
        <v>43676</v>
      </c>
      <c r="C1378" s="1" t="n">
        <v>45344</v>
      </c>
      <c r="D1378" t="inlineStr">
        <is>
          <t>GÄVLEBORGS LÄN</t>
        </is>
      </c>
      <c r="E1378" t="inlineStr">
        <is>
          <t>HUDIKSVALL</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37102-2019</t>
        </is>
      </c>
      <c r="B1379" s="1" t="n">
        <v>43676</v>
      </c>
      <c r="C1379" s="1" t="n">
        <v>45344</v>
      </c>
      <c r="D1379" t="inlineStr">
        <is>
          <t>GÄVLEBORGS LÄN</t>
        </is>
      </c>
      <c r="E1379" t="inlineStr">
        <is>
          <t>SANDVIKEN</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37326-2019</t>
        </is>
      </c>
      <c r="B1380" s="1" t="n">
        <v>43677</v>
      </c>
      <c r="C1380" s="1" t="n">
        <v>45344</v>
      </c>
      <c r="D1380" t="inlineStr">
        <is>
          <t>GÄVLEBORGS LÄN</t>
        </is>
      </c>
      <c r="E1380" t="inlineStr">
        <is>
          <t>LJUSDAL</t>
        </is>
      </c>
      <c r="G1380" t="n">
        <v>9.199999999999999</v>
      </c>
      <c r="H1380" t="n">
        <v>0</v>
      </c>
      <c r="I1380" t="n">
        <v>0</v>
      </c>
      <c r="J1380" t="n">
        <v>0</v>
      </c>
      <c r="K1380" t="n">
        <v>0</v>
      </c>
      <c r="L1380" t="n">
        <v>0</v>
      </c>
      <c r="M1380" t="n">
        <v>0</v>
      </c>
      <c r="N1380" t="n">
        <v>0</v>
      </c>
      <c r="O1380" t="n">
        <v>0</v>
      </c>
      <c r="P1380" t="n">
        <v>0</v>
      </c>
      <c r="Q1380" t="n">
        <v>0</v>
      </c>
      <c r="R1380" s="2" t="inlineStr"/>
    </row>
    <row r="1381" ht="15" customHeight="1">
      <c r="A1381" t="inlineStr">
        <is>
          <t>A 37469-2019</t>
        </is>
      </c>
      <c r="B1381" s="1" t="n">
        <v>43679</v>
      </c>
      <c r="C1381" s="1" t="n">
        <v>45344</v>
      </c>
      <c r="D1381" t="inlineStr">
        <is>
          <t>GÄVLEBORGS LÄN</t>
        </is>
      </c>
      <c r="E1381" t="inlineStr">
        <is>
          <t>OVANÅKER</t>
        </is>
      </c>
      <c r="F1381" t="inlineStr">
        <is>
          <t>Holmen skog AB</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37506-2019</t>
        </is>
      </c>
      <c r="B1382" s="1" t="n">
        <v>43679</v>
      </c>
      <c r="C1382" s="1" t="n">
        <v>45344</v>
      </c>
      <c r="D1382" t="inlineStr">
        <is>
          <t>GÄVLEBORGS LÄN</t>
        </is>
      </c>
      <c r="E1382" t="inlineStr">
        <is>
          <t>OVANÅKER</t>
        </is>
      </c>
      <c r="F1382" t="inlineStr">
        <is>
          <t>Holmen skog AB</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37676-2019</t>
        </is>
      </c>
      <c r="B1383" s="1" t="n">
        <v>43679</v>
      </c>
      <c r="C1383" s="1" t="n">
        <v>45344</v>
      </c>
      <c r="D1383" t="inlineStr">
        <is>
          <t>GÄVLEBORGS LÄN</t>
        </is>
      </c>
      <c r="E1383" t="inlineStr">
        <is>
          <t>LJUSDAL</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37537-2019</t>
        </is>
      </c>
      <c r="B1384" s="1" t="n">
        <v>43679</v>
      </c>
      <c r="C1384" s="1" t="n">
        <v>45344</v>
      </c>
      <c r="D1384" t="inlineStr">
        <is>
          <t>GÄVLEBORGS LÄN</t>
        </is>
      </c>
      <c r="E1384" t="inlineStr">
        <is>
          <t>LJUSDAL</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37473-2019</t>
        </is>
      </c>
      <c r="B1385" s="1" t="n">
        <v>43679</v>
      </c>
      <c r="C1385" s="1" t="n">
        <v>45344</v>
      </c>
      <c r="D1385" t="inlineStr">
        <is>
          <t>GÄVLEBORGS LÄN</t>
        </is>
      </c>
      <c r="E1385" t="inlineStr">
        <is>
          <t>SÖDERHAMN</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37854-2019</t>
        </is>
      </c>
      <c r="B1386" s="1" t="n">
        <v>43682</v>
      </c>
      <c r="C1386" s="1" t="n">
        <v>45344</v>
      </c>
      <c r="D1386" t="inlineStr">
        <is>
          <t>GÄVLEBORGS LÄN</t>
        </is>
      </c>
      <c r="E1386" t="inlineStr">
        <is>
          <t>OVANÅKER</t>
        </is>
      </c>
      <c r="F1386" t="inlineStr">
        <is>
          <t>Bergvik skog öst AB</t>
        </is>
      </c>
      <c r="G1386" t="n">
        <v>14.7</v>
      </c>
      <c r="H1386" t="n">
        <v>0</v>
      </c>
      <c r="I1386" t="n">
        <v>0</v>
      </c>
      <c r="J1386" t="n">
        <v>0</v>
      </c>
      <c r="K1386" t="n">
        <v>0</v>
      </c>
      <c r="L1386" t="n">
        <v>0</v>
      </c>
      <c r="M1386" t="n">
        <v>0</v>
      </c>
      <c r="N1386" t="n">
        <v>0</v>
      </c>
      <c r="O1386" t="n">
        <v>0</v>
      </c>
      <c r="P1386" t="n">
        <v>0</v>
      </c>
      <c r="Q1386" t="n">
        <v>0</v>
      </c>
      <c r="R1386" s="2" t="inlineStr"/>
    </row>
    <row r="1387" ht="15" customHeight="1">
      <c r="A1387" t="inlineStr">
        <is>
          <t>A 37852-2019</t>
        </is>
      </c>
      <c r="B1387" s="1" t="n">
        <v>43682</v>
      </c>
      <c r="C1387" s="1" t="n">
        <v>45344</v>
      </c>
      <c r="D1387" t="inlineStr">
        <is>
          <t>GÄVLEBORGS LÄN</t>
        </is>
      </c>
      <c r="E1387" t="inlineStr">
        <is>
          <t>SÖDERHAMN</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38619-2019</t>
        </is>
      </c>
      <c r="B1388" s="1" t="n">
        <v>43686</v>
      </c>
      <c r="C1388" s="1" t="n">
        <v>45344</v>
      </c>
      <c r="D1388" t="inlineStr">
        <is>
          <t>GÄVLEBORGS LÄN</t>
        </is>
      </c>
      <c r="E1388" t="inlineStr">
        <is>
          <t>OVANÅKER</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38756-2019</t>
        </is>
      </c>
      <c r="B1389" s="1" t="n">
        <v>43686</v>
      </c>
      <c r="C1389" s="1" t="n">
        <v>45344</v>
      </c>
      <c r="D1389" t="inlineStr">
        <is>
          <t>GÄVLEBORGS LÄN</t>
        </is>
      </c>
      <c r="E1389" t="inlineStr">
        <is>
          <t>LJUSDAL</t>
        </is>
      </c>
      <c r="G1389" t="n">
        <v>51.7</v>
      </c>
      <c r="H1389" t="n">
        <v>0</v>
      </c>
      <c r="I1389" t="n">
        <v>0</v>
      </c>
      <c r="J1389" t="n">
        <v>0</v>
      </c>
      <c r="K1389" t="n">
        <v>0</v>
      </c>
      <c r="L1389" t="n">
        <v>0</v>
      </c>
      <c r="M1389" t="n">
        <v>0</v>
      </c>
      <c r="N1389" t="n">
        <v>0</v>
      </c>
      <c r="O1389" t="n">
        <v>0</v>
      </c>
      <c r="P1389" t="n">
        <v>0</v>
      </c>
      <c r="Q1389" t="n">
        <v>0</v>
      </c>
      <c r="R1389" s="2" t="inlineStr"/>
    </row>
    <row r="1390" ht="15" customHeight="1">
      <c r="A1390" t="inlineStr">
        <is>
          <t>A 38892-2019</t>
        </is>
      </c>
      <c r="B1390" s="1" t="n">
        <v>43689</v>
      </c>
      <c r="C1390" s="1" t="n">
        <v>45344</v>
      </c>
      <c r="D1390" t="inlineStr">
        <is>
          <t>GÄVLEBORGS LÄN</t>
        </is>
      </c>
      <c r="E1390" t="inlineStr">
        <is>
          <t>OVANÅKER</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38945-2019</t>
        </is>
      </c>
      <c r="B1391" s="1" t="n">
        <v>43689</v>
      </c>
      <c r="C1391" s="1" t="n">
        <v>45344</v>
      </c>
      <c r="D1391" t="inlineStr">
        <is>
          <t>GÄVLEBORGS LÄN</t>
        </is>
      </c>
      <c r="E1391" t="inlineStr">
        <is>
          <t>NORDANSTIG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38891-2019</t>
        </is>
      </c>
      <c r="B1392" s="1" t="n">
        <v>43689</v>
      </c>
      <c r="C1392" s="1" t="n">
        <v>45344</v>
      </c>
      <c r="D1392" t="inlineStr">
        <is>
          <t>GÄVLEBORGS LÄN</t>
        </is>
      </c>
      <c r="E1392" t="inlineStr">
        <is>
          <t>OVANÅKER</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38978-2019</t>
        </is>
      </c>
      <c r="B1393" s="1" t="n">
        <v>43689</v>
      </c>
      <c r="C1393" s="1" t="n">
        <v>45344</v>
      </c>
      <c r="D1393" t="inlineStr">
        <is>
          <t>GÄVLEBORGS LÄN</t>
        </is>
      </c>
      <c r="E1393" t="inlineStr">
        <is>
          <t>NORDANSTIG</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39020-2019</t>
        </is>
      </c>
      <c r="B1394" s="1" t="n">
        <v>43689</v>
      </c>
      <c r="C1394" s="1" t="n">
        <v>45344</v>
      </c>
      <c r="D1394" t="inlineStr">
        <is>
          <t>GÄVLEBORGS LÄN</t>
        </is>
      </c>
      <c r="E1394" t="inlineStr">
        <is>
          <t>BOLLNÄS</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38983-2019</t>
        </is>
      </c>
      <c r="B1395" s="1" t="n">
        <v>43689</v>
      </c>
      <c r="C1395" s="1" t="n">
        <v>45344</v>
      </c>
      <c r="D1395" t="inlineStr">
        <is>
          <t>GÄVLEBORGS LÄN</t>
        </is>
      </c>
      <c r="E1395" t="inlineStr">
        <is>
          <t>NORDANSTIG</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38883-2019</t>
        </is>
      </c>
      <c r="B1396" s="1" t="n">
        <v>43689</v>
      </c>
      <c r="C1396" s="1" t="n">
        <v>45344</v>
      </c>
      <c r="D1396" t="inlineStr">
        <is>
          <t>GÄVLEBORGS LÄN</t>
        </is>
      </c>
      <c r="E1396" t="inlineStr">
        <is>
          <t>SANDVIKEN</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39223-2019</t>
        </is>
      </c>
      <c r="B1397" s="1" t="n">
        <v>43690</v>
      </c>
      <c r="C1397" s="1" t="n">
        <v>45344</v>
      </c>
      <c r="D1397" t="inlineStr">
        <is>
          <t>GÄVLEBORGS LÄN</t>
        </is>
      </c>
      <c r="E1397" t="inlineStr">
        <is>
          <t>OVANÅKER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39235-2019</t>
        </is>
      </c>
      <c r="B1398" s="1" t="n">
        <v>43690</v>
      </c>
      <c r="C1398" s="1" t="n">
        <v>45344</v>
      </c>
      <c r="D1398" t="inlineStr">
        <is>
          <t>GÄVLEBORGS LÄN</t>
        </is>
      </c>
      <c r="E1398" t="inlineStr">
        <is>
          <t>HUDIKSVALL</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39275-2019</t>
        </is>
      </c>
      <c r="B1399" s="1" t="n">
        <v>43690</v>
      </c>
      <c r="C1399" s="1" t="n">
        <v>45344</v>
      </c>
      <c r="D1399" t="inlineStr">
        <is>
          <t>GÄVLEBORGS LÄN</t>
        </is>
      </c>
      <c r="E1399" t="inlineStr">
        <is>
          <t>SANDVIKEN</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39310-2019</t>
        </is>
      </c>
      <c r="B1400" s="1" t="n">
        <v>43690</v>
      </c>
      <c r="C1400" s="1" t="n">
        <v>45344</v>
      </c>
      <c r="D1400" t="inlineStr">
        <is>
          <t>GÄVLEBORGS LÄN</t>
        </is>
      </c>
      <c r="E1400" t="inlineStr">
        <is>
          <t>SANDVIKEN</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39191-2019</t>
        </is>
      </c>
      <c r="B1401" s="1" t="n">
        <v>43690</v>
      </c>
      <c r="C1401" s="1" t="n">
        <v>45344</v>
      </c>
      <c r="D1401" t="inlineStr">
        <is>
          <t>GÄVLEBORGS LÄN</t>
        </is>
      </c>
      <c r="E1401" t="inlineStr">
        <is>
          <t>HUDIKSVALL</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39365-2019</t>
        </is>
      </c>
      <c r="B1402" s="1" t="n">
        <v>43690</v>
      </c>
      <c r="C1402" s="1" t="n">
        <v>45344</v>
      </c>
      <c r="D1402" t="inlineStr">
        <is>
          <t>GÄVLEBORGS LÄN</t>
        </is>
      </c>
      <c r="E1402" t="inlineStr">
        <is>
          <t>SÖDERHAMN</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39237-2019</t>
        </is>
      </c>
      <c r="B1403" s="1" t="n">
        <v>43690</v>
      </c>
      <c r="C1403" s="1" t="n">
        <v>45344</v>
      </c>
      <c r="D1403" t="inlineStr">
        <is>
          <t>GÄVLEBORGS LÄN</t>
        </is>
      </c>
      <c r="E1403" t="inlineStr">
        <is>
          <t>HUDIKSVALL</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39513-2019</t>
        </is>
      </c>
      <c r="B1404" s="1" t="n">
        <v>43691</v>
      </c>
      <c r="C1404" s="1" t="n">
        <v>45344</v>
      </c>
      <c r="D1404" t="inlineStr">
        <is>
          <t>GÄVLEBORGS LÄN</t>
        </is>
      </c>
      <c r="E1404" t="inlineStr">
        <is>
          <t>OCKELBO</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39643-2019</t>
        </is>
      </c>
      <c r="B1405" s="1" t="n">
        <v>43691</v>
      </c>
      <c r="C1405" s="1" t="n">
        <v>45344</v>
      </c>
      <c r="D1405" t="inlineStr">
        <is>
          <t>GÄVLEBORGS LÄN</t>
        </is>
      </c>
      <c r="E1405" t="inlineStr">
        <is>
          <t>BOLLNÄS</t>
        </is>
      </c>
      <c r="F1405" t="inlineStr">
        <is>
          <t>Sveaskog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40196-2019</t>
        </is>
      </c>
      <c r="B1406" s="1" t="n">
        <v>43691</v>
      </c>
      <c r="C1406" s="1" t="n">
        <v>45344</v>
      </c>
      <c r="D1406" t="inlineStr">
        <is>
          <t>GÄVLEBORGS LÄN</t>
        </is>
      </c>
      <c r="E1406" t="inlineStr">
        <is>
          <t>LJUSDAL</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39687-2019</t>
        </is>
      </c>
      <c r="B1407" s="1" t="n">
        <v>43691</v>
      </c>
      <c r="C1407" s="1" t="n">
        <v>45344</v>
      </c>
      <c r="D1407" t="inlineStr">
        <is>
          <t>GÄVLEBORGS LÄN</t>
        </is>
      </c>
      <c r="E1407" t="inlineStr">
        <is>
          <t>OCKELBO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39812-2019</t>
        </is>
      </c>
      <c r="B1408" s="1" t="n">
        <v>43692</v>
      </c>
      <c r="C1408" s="1" t="n">
        <v>45344</v>
      </c>
      <c r="D1408" t="inlineStr">
        <is>
          <t>GÄVLEBORGS LÄN</t>
        </is>
      </c>
      <c r="E1408" t="inlineStr">
        <is>
          <t>OVANÅKER</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39762-2019</t>
        </is>
      </c>
      <c r="B1409" s="1" t="n">
        <v>43692</v>
      </c>
      <c r="C1409" s="1" t="n">
        <v>45344</v>
      </c>
      <c r="D1409" t="inlineStr">
        <is>
          <t>GÄVLEBORGS LÄN</t>
        </is>
      </c>
      <c r="E1409" t="inlineStr">
        <is>
          <t>LJUSDAL</t>
        </is>
      </c>
      <c r="G1409" t="n">
        <v>11.3</v>
      </c>
      <c r="H1409" t="n">
        <v>0</v>
      </c>
      <c r="I1409" t="n">
        <v>0</v>
      </c>
      <c r="J1409" t="n">
        <v>0</v>
      </c>
      <c r="K1409" t="n">
        <v>0</v>
      </c>
      <c r="L1409" t="n">
        <v>0</v>
      </c>
      <c r="M1409" t="n">
        <v>0</v>
      </c>
      <c r="N1409" t="n">
        <v>0</v>
      </c>
      <c r="O1409" t="n">
        <v>0</v>
      </c>
      <c r="P1409" t="n">
        <v>0</v>
      </c>
      <c r="Q1409" t="n">
        <v>0</v>
      </c>
      <c r="R1409" s="2" t="inlineStr"/>
    </row>
    <row r="1410" ht="15" customHeight="1">
      <c r="A1410" t="inlineStr">
        <is>
          <t>A 39945-2019</t>
        </is>
      </c>
      <c r="B1410" s="1" t="n">
        <v>43692</v>
      </c>
      <c r="C1410" s="1" t="n">
        <v>45344</v>
      </c>
      <c r="D1410" t="inlineStr">
        <is>
          <t>GÄVLEBORGS LÄN</t>
        </is>
      </c>
      <c r="E1410" t="inlineStr">
        <is>
          <t>OVANÅKER</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40164-2019</t>
        </is>
      </c>
      <c r="B1411" s="1" t="n">
        <v>43693</v>
      </c>
      <c r="C1411" s="1" t="n">
        <v>45344</v>
      </c>
      <c r="D1411" t="inlineStr">
        <is>
          <t>GÄVLEBORGS LÄN</t>
        </is>
      </c>
      <c r="E1411" t="inlineStr">
        <is>
          <t>HUDIKSVALL</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40184-2019</t>
        </is>
      </c>
      <c r="B1412" s="1" t="n">
        <v>43693</v>
      </c>
      <c r="C1412" s="1" t="n">
        <v>45344</v>
      </c>
      <c r="D1412" t="inlineStr">
        <is>
          <t>GÄVLEBORGS LÄN</t>
        </is>
      </c>
      <c r="E1412" t="inlineStr">
        <is>
          <t>LJUSDAL</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40190-2019</t>
        </is>
      </c>
      <c r="B1413" s="1" t="n">
        <v>43693</v>
      </c>
      <c r="C1413" s="1" t="n">
        <v>45344</v>
      </c>
      <c r="D1413" t="inlineStr">
        <is>
          <t>GÄVLEBORGS LÄN</t>
        </is>
      </c>
      <c r="E1413" t="inlineStr">
        <is>
          <t>LJUSDAL</t>
        </is>
      </c>
      <c r="F1413" t="inlineStr">
        <is>
          <t>Sveaskog</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40128-2019</t>
        </is>
      </c>
      <c r="B1414" s="1" t="n">
        <v>43693</v>
      </c>
      <c r="C1414" s="1" t="n">
        <v>45344</v>
      </c>
      <c r="D1414" t="inlineStr">
        <is>
          <t>GÄVLEBORGS LÄN</t>
        </is>
      </c>
      <c r="E1414" t="inlineStr">
        <is>
          <t>OVANÅKER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40071-2019</t>
        </is>
      </c>
      <c r="B1415" s="1" t="n">
        <v>43693</v>
      </c>
      <c r="C1415" s="1" t="n">
        <v>45344</v>
      </c>
      <c r="D1415" t="inlineStr">
        <is>
          <t>GÄVLEBORGS LÄN</t>
        </is>
      </c>
      <c r="E1415" t="inlineStr">
        <is>
          <t>LJUSDAL</t>
        </is>
      </c>
      <c r="F1415" t="inlineStr">
        <is>
          <t>Sveaskog</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40327-2019</t>
        </is>
      </c>
      <c r="B1416" s="1" t="n">
        <v>43696</v>
      </c>
      <c r="C1416" s="1" t="n">
        <v>45344</v>
      </c>
      <c r="D1416" t="inlineStr">
        <is>
          <t>GÄVLEBORGS LÄN</t>
        </is>
      </c>
      <c r="E1416" t="inlineStr">
        <is>
          <t>OCKELBO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40380-2019</t>
        </is>
      </c>
      <c r="B1417" s="1" t="n">
        <v>43696</v>
      </c>
      <c r="C1417" s="1" t="n">
        <v>45344</v>
      </c>
      <c r="D1417" t="inlineStr">
        <is>
          <t>GÄVLEBORGS LÄN</t>
        </is>
      </c>
      <c r="E1417" t="inlineStr">
        <is>
          <t>SANDVIKEN</t>
        </is>
      </c>
      <c r="F1417" t="inlineStr">
        <is>
          <t>Sveaskog</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40385-2019</t>
        </is>
      </c>
      <c r="B1418" s="1" t="n">
        <v>43696</v>
      </c>
      <c r="C1418" s="1" t="n">
        <v>45344</v>
      </c>
      <c r="D1418" t="inlineStr">
        <is>
          <t>GÄVLEBORGS LÄN</t>
        </is>
      </c>
      <c r="E1418" t="inlineStr">
        <is>
          <t>HOFORS</t>
        </is>
      </c>
      <c r="F1418" t="inlineStr">
        <is>
          <t>Sveaskog</t>
        </is>
      </c>
      <c r="G1418" t="n">
        <v>2.7</v>
      </c>
      <c r="H1418" t="n">
        <v>0</v>
      </c>
      <c r="I1418" t="n">
        <v>0</v>
      </c>
      <c r="J1418" t="n">
        <v>0</v>
      </c>
      <c r="K1418" t="n">
        <v>0</v>
      </c>
      <c r="L1418" t="n">
        <v>0</v>
      </c>
      <c r="M1418" t="n">
        <v>0</v>
      </c>
      <c r="N1418" t="n">
        <v>0</v>
      </c>
      <c r="O1418" t="n">
        <v>0</v>
      </c>
      <c r="P1418" t="n">
        <v>0</v>
      </c>
      <c r="Q1418" t="n">
        <v>0</v>
      </c>
      <c r="R1418" s="2" t="inlineStr"/>
      <c r="U1418">
        <f>HYPERLINK("https://klasma.github.io/Logging_2104/knärot/A 40385-2019 karta knärot.png", "A 40385-2019")</f>
        <v/>
      </c>
      <c r="V1418">
        <f>HYPERLINK("https://klasma.github.io/Logging_2104/klagomål/A 40385-2019 FSC-klagomål.docx", "A 40385-2019")</f>
        <v/>
      </c>
      <c r="W1418">
        <f>HYPERLINK("https://klasma.github.io/Logging_2104/klagomålsmail/A 40385-2019 FSC-klagomål mail.docx", "A 40385-2019")</f>
        <v/>
      </c>
      <c r="X1418">
        <f>HYPERLINK("https://klasma.github.io/Logging_2104/tillsyn/A 40385-2019 tillsynsbegäran.docx", "A 40385-2019")</f>
        <v/>
      </c>
      <c r="Y1418">
        <f>HYPERLINK("https://klasma.github.io/Logging_2104/tillsynsmail/A 40385-2019 tillsynsbegäran mail.docx", "A 40385-2019")</f>
        <v/>
      </c>
    </row>
    <row r="1419" ht="15" customHeight="1">
      <c r="A1419" t="inlineStr">
        <is>
          <t>A 41483-2019</t>
        </is>
      </c>
      <c r="B1419" s="1" t="n">
        <v>43696</v>
      </c>
      <c r="C1419" s="1" t="n">
        <v>45344</v>
      </c>
      <c r="D1419" t="inlineStr">
        <is>
          <t>GÄVLEBORGS LÄN</t>
        </is>
      </c>
      <c r="E1419" t="inlineStr">
        <is>
          <t>GÄVLE</t>
        </is>
      </c>
      <c r="F1419" t="inlineStr">
        <is>
          <t>Bergvik skog väst AB</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40433-2019</t>
        </is>
      </c>
      <c r="B1420" s="1" t="n">
        <v>43696</v>
      </c>
      <c r="C1420" s="1" t="n">
        <v>45344</v>
      </c>
      <c r="D1420" t="inlineStr">
        <is>
          <t>GÄVLEBORGS LÄN</t>
        </is>
      </c>
      <c r="E1420" t="inlineStr">
        <is>
          <t>SÖDERHAMN</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40440-2019</t>
        </is>
      </c>
      <c r="B1421" s="1" t="n">
        <v>43696</v>
      </c>
      <c r="C1421" s="1" t="n">
        <v>45344</v>
      </c>
      <c r="D1421" t="inlineStr">
        <is>
          <t>GÄVLEBORGS LÄN</t>
        </is>
      </c>
      <c r="E1421" t="inlineStr">
        <is>
          <t>GÄVLE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40915-2019</t>
        </is>
      </c>
      <c r="B1422" s="1" t="n">
        <v>43697</v>
      </c>
      <c r="C1422" s="1" t="n">
        <v>45344</v>
      </c>
      <c r="D1422" t="inlineStr">
        <is>
          <t>GÄVLEBORGS LÄN</t>
        </is>
      </c>
      <c r="E1422" t="inlineStr">
        <is>
          <t>OCKELBO</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40830-2019</t>
        </is>
      </c>
      <c r="B1423" s="1" t="n">
        <v>43697</v>
      </c>
      <c r="C1423" s="1" t="n">
        <v>45344</v>
      </c>
      <c r="D1423" t="inlineStr">
        <is>
          <t>GÄVLEBORGS LÄN</t>
        </is>
      </c>
      <c r="E1423" t="inlineStr">
        <is>
          <t>OVANÅKER</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40707-2019</t>
        </is>
      </c>
      <c r="B1424" s="1" t="n">
        <v>43697</v>
      </c>
      <c r="C1424" s="1" t="n">
        <v>45344</v>
      </c>
      <c r="D1424" t="inlineStr">
        <is>
          <t>GÄVLEBORGS LÄN</t>
        </is>
      </c>
      <c r="E1424" t="inlineStr">
        <is>
          <t>LJUSDAL</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41111-2019</t>
        </is>
      </c>
      <c r="B1425" s="1" t="n">
        <v>43698</v>
      </c>
      <c r="C1425" s="1" t="n">
        <v>45344</v>
      </c>
      <c r="D1425" t="inlineStr">
        <is>
          <t>GÄVLEBORGS LÄN</t>
        </is>
      </c>
      <c r="E1425" t="inlineStr">
        <is>
          <t>LJUSDAL</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41047-2019</t>
        </is>
      </c>
      <c r="B1426" s="1" t="n">
        <v>43698</v>
      </c>
      <c r="C1426" s="1" t="n">
        <v>45344</v>
      </c>
      <c r="D1426" t="inlineStr">
        <is>
          <t>GÄVLEBORGS LÄN</t>
        </is>
      </c>
      <c r="E1426" t="inlineStr">
        <is>
          <t>BOLLNÄS</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41365-2019</t>
        </is>
      </c>
      <c r="B1427" s="1" t="n">
        <v>43698</v>
      </c>
      <c r="C1427" s="1" t="n">
        <v>45344</v>
      </c>
      <c r="D1427" t="inlineStr">
        <is>
          <t>GÄVLEBORGS LÄN</t>
        </is>
      </c>
      <c r="E1427" t="inlineStr">
        <is>
          <t>BOLLNÄS</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41223-2019</t>
        </is>
      </c>
      <c r="B1428" s="1" t="n">
        <v>43698</v>
      </c>
      <c r="C1428" s="1" t="n">
        <v>45344</v>
      </c>
      <c r="D1428" t="inlineStr">
        <is>
          <t>GÄVLEBORGS LÄN</t>
        </is>
      </c>
      <c r="E1428" t="inlineStr">
        <is>
          <t>GÄVLE</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41212-2019</t>
        </is>
      </c>
      <c r="B1429" s="1" t="n">
        <v>43698</v>
      </c>
      <c r="C1429" s="1" t="n">
        <v>45344</v>
      </c>
      <c r="D1429" t="inlineStr">
        <is>
          <t>GÄVLEBORGS LÄN</t>
        </is>
      </c>
      <c r="E1429" t="inlineStr">
        <is>
          <t>LJUSDAL</t>
        </is>
      </c>
      <c r="F1429" t="inlineStr">
        <is>
          <t>Allmännings- och besparingsskogar</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41569-2019</t>
        </is>
      </c>
      <c r="B1430" s="1" t="n">
        <v>43699</v>
      </c>
      <c r="C1430" s="1" t="n">
        <v>45344</v>
      </c>
      <c r="D1430" t="inlineStr">
        <is>
          <t>GÄVLEBORGS LÄN</t>
        </is>
      </c>
      <c r="E1430" t="inlineStr">
        <is>
          <t>OCKELBO</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41608-2019</t>
        </is>
      </c>
      <c r="B1431" s="1" t="n">
        <v>43699</v>
      </c>
      <c r="C1431" s="1" t="n">
        <v>45344</v>
      </c>
      <c r="D1431" t="inlineStr">
        <is>
          <t>GÄVLEBORGS LÄN</t>
        </is>
      </c>
      <c r="E1431" t="inlineStr">
        <is>
          <t>HUDIKSVALL</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41509-2019</t>
        </is>
      </c>
      <c r="B1432" s="1" t="n">
        <v>43699</v>
      </c>
      <c r="C1432" s="1" t="n">
        <v>45344</v>
      </c>
      <c r="D1432" t="inlineStr">
        <is>
          <t>GÄVLEBORGS LÄN</t>
        </is>
      </c>
      <c r="E1432" t="inlineStr">
        <is>
          <t>OVANÅKER</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41620-2019</t>
        </is>
      </c>
      <c r="B1433" s="1" t="n">
        <v>43699</v>
      </c>
      <c r="C1433" s="1" t="n">
        <v>45344</v>
      </c>
      <c r="D1433" t="inlineStr">
        <is>
          <t>GÄVLEBORGS LÄN</t>
        </is>
      </c>
      <c r="E1433" t="inlineStr">
        <is>
          <t>NORDANSTIG</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41558-2019</t>
        </is>
      </c>
      <c r="B1434" s="1" t="n">
        <v>43699</v>
      </c>
      <c r="C1434" s="1" t="n">
        <v>45344</v>
      </c>
      <c r="D1434" t="inlineStr">
        <is>
          <t>GÄVLEBORGS LÄN</t>
        </is>
      </c>
      <c r="E1434" t="inlineStr">
        <is>
          <t>OCKELBO</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41917-2019</t>
        </is>
      </c>
      <c r="B1435" s="1" t="n">
        <v>43700</v>
      </c>
      <c r="C1435" s="1" t="n">
        <v>45344</v>
      </c>
      <c r="D1435" t="inlineStr">
        <is>
          <t>GÄVLEBORGS LÄN</t>
        </is>
      </c>
      <c r="E1435" t="inlineStr">
        <is>
          <t>LJUSDAL</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41977-2019</t>
        </is>
      </c>
      <c r="B1436" s="1" t="n">
        <v>43700</v>
      </c>
      <c r="C1436" s="1" t="n">
        <v>45344</v>
      </c>
      <c r="D1436" t="inlineStr">
        <is>
          <t>GÄVLEBORGS LÄN</t>
        </is>
      </c>
      <c r="E1436" t="inlineStr">
        <is>
          <t>GÄVLE</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42018-2019</t>
        </is>
      </c>
      <c r="B1437" s="1" t="n">
        <v>43700</v>
      </c>
      <c r="C1437" s="1" t="n">
        <v>45344</v>
      </c>
      <c r="D1437" t="inlineStr">
        <is>
          <t>GÄVLEBORGS LÄN</t>
        </is>
      </c>
      <c r="E1437" t="inlineStr">
        <is>
          <t>NORDANSTIG</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41843-2019</t>
        </is>
      </c>
      <c r="B1438" s="1" t="n">
        <v>43700</v>
      </c>
      <c r="C1438" s="1" t="n">
        <v>45344</v>
      </c>
      <c r="D1438" t="inlineStr">
        <is>
          <t>GÄVLEBORGS LÄN</t>
        </is>
      </c>
      <c r="E1438" t="inlineStr">
        <is>
          <t>NORDANSTIG</t>
        </is>
      </c>
      <c r="F1438" t="inlineStr">
        <is>
          <t>Holmen skog AB</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41978-2019</t>
        </is>
      </c>
      <c r="B1439" s="1" t="n">
        <v>43700</v>
      </c>
      <c r="C1439" s="1" t="n">
        <v>45344</v>
      </c>
      <c r="D1439" t="inlineStr">
        <is>
          <t>GÄVLEBORGS LÄN</t>
        </is>
      </c>
      <c r="E1439" t="inlineStr">
        <is>
          <t>OVANÅKER</t>
        </is>
      </c>
      <c r="G1439" t="n">
        <v>4</v>
      </c>
      <c r="H1439" t="n">
        <v>0</v>
      </c>
      <c r="I1439" t="n">
        <v>0</v>
      </c>
      <c r="J1439" t="n">
        <v>0</v>
      </c>
      <c r="K1439" t="n">
        <v>0</v>
      </c>
      <c r="L1439" t="n">
        <v>0</v>
      </c>
      <c r="M1439" t="n">
        <v>0</v>
      </c>
      <c r="N1439" t="n">
        <v>0</v>
      </c>
      <c r="O1439" t="n">
        <v>0</v>
      </c>
      <c r="P1439" t="n">
        <v>0</v>
      </c>
      <c r="Q1439" t="n">
        <v>0</v>
      </c>
      <c r="R1439" s="2" t="inlineStr"/>
    </row>
    <row r="1440" ht="15" customHeight="1">
      <c r="A1440" t="inlineStr">
        <is>
          <t>A 42038-2019</t>
        </is>
      </c>
      <c r="B1440" s="1" t="n">
        <v>43700</v>
      </c>
      <c r="C1440" s="1" t="n">
        <v>45344</v>
      </c>
      <c r="D1440" t="inlineStr">
        <is>
          <t>GÄVLEBORGS LÄN</t>
        </is>
      </c>
      <c r="E1440" t="inlineStr">
        <is>
          <t>NORDANSTIG</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42009-2019</t>
        </is>
      </c>
      <c r="B1441" s="1" t="n">
        <v>43700</v>
      </c>
      <c r="C1441" s="1" t="n">
        <v>45344</v>
      </c>
      <c r="D1441" t="inlineStr">
        <is>
          <t>GÄVLEBORGS LÄN</t>
        </is>
      </c>
      <c r="E1441" t="inlineStr">
        <is>
          <t>HUDIKSVALL</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44374-2019</t>
        </is>
      </c>
      <c r="B1442" s="1" t="n">
        <v>43700</v>
      </c>
      <c r="C1442" s="1" t="n">
        <v>45344</v>
      </c>
      <c r="D1442" t="inlineStr">
        <is>
          <t>GÄVLEBORGS LÄN</t>
        </is>
      </c>
      <c r="E1442" t="inlineStr">
        <is>
          <t>LJUSDAL</t>
        </is>
      </c>
      <c r="G1442" t="n">
        <v>6.9</v>
      </c>
      <c r="H1442" t="n">
        <v>0</v>
      </c>
      <c r="I1442" t="n">
        <v>0</v>
      </c>
      <c r="J1442" t="n">
        <v>0</v>
      </c>
      <c r="K1442" t="n">
        <v>0</v>
      </c>
      <c r="L1442" t="n">
        <v>0</v>
      </c>
      <c r="M1442" t="n">
        <v>0</v>
      </c>
      <c r="N1442" t="n">
        <v>0</v>
      </c>
      <c r="O1442" t="n">
        <v>0</v>
      </c>
      <c r="P1442" t="n">
        <v>0</v>
      </c>
      <c r="Q1442" t="n">
        <v>0</v>
      </c>
      <c r="R1442" s="2" t="inlineStr"/>
    </row>
    <row r="1443" ht="15" customHeight="1">
      <c r="A1443" t="inlineStr">
        <is>
          <t>A 42026-2019</t>
        </is>
      </c>
      <c r="B1443" s="1" t="n">
        <v>43700</v>
      </c>
      <c r="C1443" s="1" t="n">
        <v>45344</v>
      </c>
      <c r="D1443" t="inlineStr">
        <is>
          <t>GÄVLEBORGS LÄN</t>
        </is>
      </c>
      <c r="E1443" t="inlineStr">
        <is>
          <t>NORDANSTIG</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41852-2019</t>
        </is>
      </c>
      <c r="B1444" s="1" t="n">
        <v>43700</v>
      </c>
      <c r="C1444" s="1" t="n">
        <v>45344</v>
      </c>
      <c r="D1444" t="inlineStr">
        <is>
          <t>GÄVLEBORGS LÄN</t>
        </is>
      </c>
      <c r="E1444" t="inlineStr">
        <is>
          <t>LJUSDAL</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42287-2019</t>
        </is>
      </c>
      <c r="B1445" s="1" t="n">
        <v>43703</v>
      </c>
      <c r="C1445" s="1" t="n">
        <v>45344</v>
      </c>
      <c r="D1445" t="inlineStr">
        <is>
          <t>GÄVLEBORGS LÄN</t>
        </is>
      </c>
      <c r="E1445" t="inlineStr">
        <is>
          <t>HUDIKSVALL</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42181-2019</t>
        </is>
      </c>
      <c r="B1446" s="1" t="n">
        <v>43703</v>
      </c>
      <c r="C1446" s="1" t="n">
        <v>45344</v>
      </c>
      <c r="D1446" t="inlineStr">
        <is>
          <t>GÄVLEBORGS LÄN</t>
        </is>
      </c>
      <c r="E1446" t="inlineStr">
        <is>
          <t>BOLLNÄS</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42289-2019</t>
        </is>
      </c>
      <c r="B1447" s="1" t="n">
        <v>43703</v>
      </c>
      <c r="C1447" s="1" t="n">
        <v>45344</v>
      </c>
      <c r="D1447" t="inlineStr">
        <is>
          <t>GÄVLEBORGS LÄN</t>
        </is>
      </c>
      <c r="E1447" t="inlineStr">
        <is>
          <t>HUDIKSVALL</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42253-2019</t>
        </is>
      </c>
      <c r="B1448" s="1" t="n">
        <v>43703</v>
      </c>
      <c r="C1448" s="1" t="n">
        <v>45344</v>
      </c>
      <c r="D1448" t="inlineStr">
        <is>
          <t>GÄVLEBORGS LÄN</t>
        </is>
      </c>
      <c r="E1448" t="inlineStr">
        <is>
          <t>HOFORS</t>
        </is>
      </c>
      <c r="F1448" t="inlineStr">
        <is>
          <t>Sveaskog</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42122-2019</t>
        </is>
      </c>
      <c r="B1449" s="1" t="n">
        <v>43703</v>
      </c>
      <c r="C1449" s="1" t="n">
        <v>45344</v>
      </c>
      <c r="D1449" t="inlineStr">
        <is>
          <t>GÄVLEBORGS LÄN</t>
        </is>
      </c>
      <c r="E1449" t="inlineStr">
        <is>
          <t>BOLLNÄS</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42596-2019</t>
        </is>
      </c>
      <c r="B1450" s="1" t="n">
        <v>43704</v>
      </c>
      <c r="C1450" s="1" t="n">
        <v>45344</v>
      </c>
      <c r="D1450" t="inlineStr">
        <is>
          <t>GÄVLEBORGS LÄN</t>
        </is>
      </c>
      <c r="E1450" t="inlineStr">
        <is>
          <t>BOLLNÄS</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42445-2019</t>
        </is>
      </c>
      <c r="B1451" s="1" t="n">
        <v>43704</v>
      </c>
      <c r="C1451" s="1" t="n">
        <v>45344</v>
      </c>
      <c r="D1451" t="inlineStr">
        <is>
          <t>GÄVLEBORGS LÄN</t>
        </is>
      </c>
      <c r="E1451" t="inlineStr">
        <is>
          <t>LJUSDAL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42454-2019</t>
        </is>
      </c>
      <c r="B1452" s="1" t="n">
        <v>43704</v>
      </c>
      <c r="C1452" s="1" t="n">
        <v>45344</v>
      </c>
      <c r="D1452" t="inlineStr">
        <is>
          <t>GÄVLEBORGS LÄN</t>
        </is>
      </c>
      <c r="E1452" t="inlineStr">
        <is>
          <t>OVANÅKER</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42598-2019</t>
        </is>
      </c>
      <c r="B1453" s="1" t="n">
        <v>43704</v>
      </c>
      <c r="C1453" s="1" t="n">
        <v>45344</v>
      </c>
      <c r="D1453" t="inlineStr">
        <is>
          <t>GÄVLEBORGS LÄN</t>
        </is>
      </c>
      <c r="E1453" t="inlineStr">
        <is>
          <t>BOLLNÄS</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42820-2019</t>
        </is>
      </c>
      <c r="B1454" s="1" t="n">
        <v>43705</v>
      </c>
      <c r="C1454" s="1" t="n">
        <v>45344</v>
      </c>
      <c r="D1454" t="inlineStr">
        <is>
          <t>GÄVLEBORGS LÄN</t>
        </is>
      </c>
      <c r="E1454" t="inlineStr">
        <is>
          <t>OCKELBO</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42874-2019</t>
        </is>
      </c>
      <c r="B1455" s="1" t="n">
        <v>43705</v>
      </c>
      <c r="C1455" s="1" t="n">
        <v>45344</v>
      </c>
      <c r="D1455" t="inlineStr">
        <is>
          <t>GÄVLEBORGS LÄN</t>
        </is>
      </c>
      <c r="E1455" t="inlineStr">
        <is>
          <t>HUDIKSVALL</t>
        </is>
      </c>
      <c r="G1455" t="n">
        <v>15.6</v>
      </c>
      <c r="H1455" t="n">
        <v>0</v>
      </c>
      <c r="I1455" t="n">
        <v>0</v>
      </c>
      <c r="J1455" t="n">
        <v>0</v>
      </c>
      <c r="K1455" t="n">
        <v>0</v>
      </c>
      <c r="L1455" t="n">
        <v>0</v>
      </c>
      <c r="M1455" t="n">
        <v>0</v>
      </c>
      <c r="N1455" t="n">
        <v>0</v>
      </c>
      <c r="O1455" t="n">
        <v>0</v>
      </c>
      <c r="P1455" t="n">
        <v>0</v>
      </c>
      <c r="Q1455" t="n">
        <v>0</v>
      </c>
      <c r="R1455" s="2" t="inlineStr"/>
    </row>
    <row r="1456" ht="15" customHeight="1">
      <c r="A1456" t="inlineStr">
        <is>
          <t>A 42927-2019</t>
        </is>
      </c>
      <c r="B1456" s="1" t="n">
        <v>43705</v>
      </c>
      <c r="C1456" s="1" t="n">
        <v>45344</v>
      </c>
      <c r="D1456" t="inlineStr">
        <is>
          <t>GÄVLEBORGS LÄN</t>
        </is>
      </c>
      <c r="E1456" t="inlineStr">
        <is>
          <t>HUDIKSVALL</t>
        </is>
      </c>
      <c r="F1456" t="inlineStr">
        <is>
          <t>Holmen skog AB</t>
        </is>
      </c>
      <c r="G1456" t="n">
        <v>6.6</v>
      </c>
      <c r="H1456" t="n">
        <v>0</v>
      </c>
      <c r="I1456" t="n">
        <v>0</v>
      </c>
      <c r="J1456" t="n">
        <v>0</v>
      </c>
      <c r="K1456" t="n">
        <v>0</v>
      </c>
      <c r="L1456" t="n">
        <v>0</v>
      </c>
      <c r="M1456" t="n">
        <v>0</v>
      </c>
      <c r="N1456" t="n">
        <v>0</v>
      </c>
      <c r="O1456" t="n">
        <v>0</v>
      </c>
      <c r="P1456" t="n">
        <v>0</v>
      </c>
      <c r="Q1456" t="n">
        <v>0</v>
      </c>
      <c r="R1456" s="2" t="inlineStr"/>
    </row>
    <row r="1457" ht="15" customHeight="1">
      <c r="A1457" t="inlineStr">
        <is>
          <t>A 42987-2019</t>
        </is>
      </c>
      <c r="B1457" s="1" t="n">
        <v>43705</v>
      </c>
      <c r="C1457" s="1" t="n">
        <v>45344</v>
      </c>
      <c r="D1457" t="inlineStr">
        <is>
          <t>GÄVLEBORGS LÄN</t>
        </is>
      </c>
      <c r="E1457" t="inlineStr">
        <is>
          <t>NORDANSTIG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43095-2019</t>
        </is>
      </c>
      <c r="B1458" s="1" t="n">
        <v>43705</v>
      </c>
      <c r="C1458" s="1" t="n">
        <v>45344</v>
      </c>
      <c r="D1458" t="inlineStr">
        <is>
          <t>GÄVLEBORGS LÄN</t>
        </is>
      </c>
      <c r="E1458" t="inlineStr">
        <is>
          <t>SANDVIKEN</t>
        </is>
      </c>
      <c r="F1458" t="inlineStr">
        <is>
          <t>Bergvik skog öst AB</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42868-2019</t>
        </is>
      </c>
      <c r="B1459" s="1" t="n">
        <v>43705</v>
      </c>
      <c r="C1459" s="1" t="n">
        <v>45344</v>
      </c>
      <c r="D1459" t="inlineStr">
        <is>
          <t>GÄVLEBORGS LÄN</t>
        </is>
      </c>
      <c r="E1459" t="inlineStr">
        <is>
          <t>LJUSDAL</t>
        </is>
      </c>
      <c r="F1459" t="inlineStr">
        <is>
          <t>Sveaskog</t>
        </is>
      </c>
      <c r="G1459" t="n">
        <v>9.800000000000001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43051-2019</t>
        </is>
      </c>
      <c r="B1460" s="1" t="n">
        <v>43705</v>
      </c>
      <c r="C1460" s="1" t="n">
        <v>45344</v>
      </c>
      <c r="D1460" t="inlineStr">
        <is>
          <t>GÄVLEBORGS LÄN</t>
        </is>
      </c>
      <c r="E1460" t="inlineStr">
        <is>
          <t>HUDIKSVALL</t>
        </is>
      </c>
      <c r="F1460" t="inlineStr">
        <is>
          <t>Holmen skog AB</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42908-2019</t>
        </is>
      </c>
      <c r="B1461" s="1" t="n">
        <v>43705</v>
      </c>
      <c r="C1461" s="1" t="n">
        <v>45344</v>
      </c>
      <c r="D1461" t="inlineStr">
        <is>
          <t>GÄVLEBORGS LÄN</t>
        </is>
      </c>
      <c r="E1461" t="inlineStr">
        <is>
          <t>BOLLNÄS</t>
        </is>
      </c>
      <c r="F1461" t="inlineStr">
        <is>
          <t>Bergvik skog väst AB</t>
        </is>
      </c>
      <c r="G1461" t="n">
        <v>0.2</v>
      </c>
      <c r="H1461" t="n">
        <v>0</v>
      </c>
      <c r="I1461" t="n">
        <v>0</v>
      </c>
      <c r="J1461" t="n">
        <v>0</v>
      </c>
      <c r="K1461" t="n">
        <v>0</v>
      </c>
      <c r="L1461" t="n">
        <v>0</v>
      </c>
      <c r="M1461" t="n">
        <v>0</v>
      </c>
      <c r="N1461" t="n">
        <v>0</v>
      </c>
      <c r="O1461" t="n">
        <v>0</v>
      </c>
      <c r="P1461" t="n">
        <v>0</v>
      </c>
      <c r="Q1461" t="n">
        <v>0</v>
      </c>
      <c r="R1461" s="2" t="inlineStr"/>
    </row>
    <row r="1462" ht="15" customHeight="1">
      <c r="A1462" t="inlineStr">
        <is>
          <t>A 42995-2019</t>
        </is>
      </c>
      <c r="B1462" s="1" t="n">
        <v>43705</v>
      </c>
      <c r="C1462" s="1" t="n">
        <v>45344</v>
      </c>
      <c r="D1462" t="inlineStr">
        <is>
          <t>GÄVLEBORGS LÄN</t>
        </is>
      </c>
      <c r="E1462" t="inlineStr">
        <is>
          <t>OVANÅKER</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43287-2019</t>
        </is>
      </c>
      <c r="B1463" s="1" t="n">
        <v>43706</v>
      </c>
      <c r="C1463" s="1" t="n">
        <v>45344</v>
      </c>
      <c r="D1463" t="inlineStr">
        <is>
          <t>GÄVLEBORGS LÄN</t>
        </is>
      </c>
      <c r="E1463" t="inlineStr">
        <is>
          <t>GÄVLE</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43529-2019</t>
        </is>
      </c>
      <c r="B1464" s="1" t="n">
        <v>43706</v>
      </c>
      <c r="C1464" s="1" t="n">
        <v>45344</v>
      </c>
      <c r="D1464" t="inlineStr">
        <is>
          <t>GÄVLEBORGS LÄN</t>
        </is>
      </c>
      <c r="E1464" t="inlineStr">
        <is>
          <t>BOLLNÄS</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43570-2019</t>
        </is>
      </c>
      <c r="B1465" s="1" t="n">
        <v>43706</v>
      </c>
      <c r="C1465" s="1" t="n">
        <v>45344</v>
      </c>
      <c r="D1465" t="inlineStr">
        <is>
          <t>GÄVLEBORGS LÄN</t>
        </is>
      </c>
      <c r="E1465" t="inlineStr">
        <is>
          <t>HUDIKSVALL</t>
        </is>
      </c>
      <c r="G1465" t="n">
        <v>7</v>
      </c>
      <c r="H1465" t="n">
        <v>0</v>
      </c>
      <c r="I1465" t="n">
        <v>0</v>
      </c>
      <c r="J1465" t="n">
        <v>0</v>
      </c>
      <c r="K1465" t="n">
        <v>0</v>
      </c>
      <c r="L1465" t="n">
        <v>0</v>
      </c>
      <c r="M1465" t="n">
        <v>0</v>
      </c>
      <c r="N1465" t="n">
        <v>0</v>
      </c>
      <c r="O1465" t="n">
        <v>0</v>
      </c>
      <c r="P1465" t="n">
        <v>0</v>
      </c>
      <c r="Q1465" t="n">
        <v>0</v>
      </c>
      <c r="R1465" s="2" t="inlineStr"/>
    </row>
    <row r="1466" ht="15" customHeight="1">
      <c r="A1466" t="inlineStr">
        <is>
          <t>A 43624-2019</t>
        </is>
      </c>
      <c r="B1466" s="1" t="n">
        <v>43707</v>
      </c>
      <c r="C1466" s="1" t="n">
        <v>45344</v>
      </c>
      <c r="D1466" t="inlineStr">
        <is>
          <t>GÄVLEBORGS LÄN</t>
        </is>
      </c>
      <c r="E1466" t="inlineStr">
        <is>
          <t>HUDIKSVALL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43780-2019</t>
        </is>
      </c>
      <c r="B1467" s="1" t="n">
        <v>43707</v>
      </c>
      <c r="C1467" s="1" t="n">
        <v>45344</v>
      </c>
      <c r="D1467" t="inlineStr">
        <is>
          <t>GÄVLEBORGS LÄN</t>
        </is>
      </c>
      <c r="E1467" t="inlineStr">
        <is>
          <t>BOLLNÄS</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43610-2019</t>
        </is>
      </c>
      <c r="B1468" s="1" t="n">
        <v>43707</v>
      </c>
      <c r="C1468" s="1" t="n">
        <v>45344</v>
      </c>
      <c r="D1468" t="inlineStr">
        <is>
          <t>GÄVLEBORGS LÄN</t>
        </is>
      </c>
      <c r="E1468" t="inlineStr">
        <is>
          <t>GÄVLE</t>
        </is>
      </c>
      <c r="F1468" t="inlineStr">
        <is>
          <t>Kyrkan</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43778-2019</t>
        </is>
      </c>
      <c r="B1469" s="1" t="n">
        <v>43707</v>
      </c>
      <c r="C1469" s="1" t="n">
        <v>45344</v>
      </c>
      <c r="D1469" t="inlineStr">
        <is>
          <t>GÄVLEBORGS LÄN</t>
        </is>
      </c>
      <c r="E1469" t="inlineStr">
        <is>
          <t>BOLLNÄS</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44801-2019</t>
        </is>
      </c>
      <c r="B1470" s="1" t="n">
        <v>43707</v>
      </c>
      <c r="C1470" s="1" t="n">
        <v>45344</v>
      </c>
      <c r="D1470" t="inlineStr">
        <is>
          <t>GÄVLEBORGS LÄN</t>
        </is>
      </c>
      <c r="E1470" t="inlineStr">
        <is>
          <t>SANDVIKEN</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43941-2019</t>
        </is>
      </c>
      <c r="B1471" s="1" t="n">
        <v>43707</v>
      </c>
      <c r="C1471" s="1" t="n">
        <v>45344</v>
      </c>
      <c r="D1471" t="inlineStr">
        <is>
          <t>GÄVLEBORGS LÄN</t>
        </is>
      </c>
      <c r="E1471" t="inlineStr">
        <is>
          <t>HUDIKSVALL</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44791-2019</t>
        </is>
      </c>
      <c r="B1472" s="1" t="n">
        <v>43707</v>
      </c>
      <c r="C1472" s="1" t="n">
        <v>45344</v>
      </c>
      <c r="D1472" t="inlineStr">
        <is>
          <t>GÄVLEBORGS LÄN</t>
        </is>
      </c>
      <c r="E1472" t="inlineStr">
        <is>
          <t>HOFORS</t>
        </is>
      </c>
      <c r="G1472" t="n">
        <v>14.7</v>
      </c>
      <c r="H1472" t="n">
        <v>0</v>
      </c>
      <c r="I1472" t="n">
        <v>0</v>
      </c>
      <c r="J1472" t="n">
        <v>0</v>
      </c>
      <c r="K1472" t="n">
        <v>0</v>
      </c>
      <c r="L1472" t="n">
        <v>0</v>
      </c>
      <c r="M1472" t="n">
        <v>0</v>
      </c>
      <c r="N1472" t="n">
        <v>0</v>
      </c>
      <c r="O1472" t="n">
        <v>0</v>
      </c>
      <c r="P1472" t="n">
        <v>0</v>
      </c>
      <c r="Q1472" t="n">
        <v>0</v>
      </c>
      <c r="R1472" s="2" t="inlineStr"/>
    </row>
    <row r="1473" ht="15" customHeight="1">
      <c r="A1473" t="inlineStr">
        <is>
          <t>A 44218-2019</t>
        </is>
      </c>
      <c r="B1473" s="1" t="n">
        <v>43710</v>
      </c>
      <c r="C1473" s="1" t="n">
        <v>45344</v>
      </c>
      <c r="D1473" t="inlineStr">
        <is>
          <t>GÄVLEBORGS LÄN</t>
        </is>
      </c>
      <c r="E1473" t="inlineStr">
        <is>
          <t>HOFORS</t>
        </is>
      </c>
      <c r="F1473" t="inlineStr">
        <is>
          <t>Sveaskog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44212-2019</t>
        </is>
      </c>
      <c r="B1474" s="1" t="n">
        <v>43710</v>
      </c>
      <c r="C1474" s="1" t="n">
        <v>45344</v>
      </c>
      <c r="D1474" t="inlineStr">
        <is>
          <t>GÄVLEBORGS LÄN</t>
        </is>
      </c>
      <c r="E1474" t="inlineStr">
        <is>
          <t>BOLLNÄS</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44275-2019</t>
        </is>
      </c>
      <c r="B1475" s="1" t="n">
        <v>43710</v>
      </c>
      <c r="C1475" s="1" t="n">
        <v>45344</v>
      </c>
      <c r="D1475" t="inlineStr">
        <is>
          <t>GÄVLEBORGS LÄN</t>
        </is>
      </c>
      <c r="E1475" t="inlineStr">
        <is>
          <t>LJUSDAL</t>
        </is>
      </c>
      <c r="F1475" t="inlineStr">
        <is>
          <t>Sveaskog</t>
        </is>
      </c>
      <c r="G1475" t="n">
        <v>25.1</v>
      </c>
      <c r="H1475" t="n">
        <v>0</v>
      </c>
      <c r="I1475" t="n">
        <v>0</v>
      </c>
      <c r="J1475" t="n">
        <v>0</v>
      </c>
      <c r="K1475" t="n">
        <v>0</v>
      </c>
      <c r="L1475" t="n">
        <v>0</v>
      </c>
      <c r="M1475" t="n">
        <v>0</v>
      </c>
      <c r="N1475" t="n">
        <v>0</v>
      </c>
      <c r="O1475" t="n">
        <v>0</v>
      </c>
      <c r="P1475" t="n">
        <v>0</v>
      </c>
      <c r="Q1475" t="n">
        <v>0</v>
      </c>
      <c r="R1475" s="2" t="inlineStr"/>
    </row>
    <row r="1476" ht="15" customHeight="1">
      <c r="A1476" t="inlineStr">
        <is>
          <t>A 44139-2019</t>
        </is>
      </c>
      <c r="B1476" s="1" t="n">
        <v>43710</v>
      </c>
      <c r="C1476" s="1" t="n">
        <v>45344</v>
      </c>
      <c r="D1476" t="inlineStr">
        <is>
          <t>GÄVLEBORGS LÄN</t>
        </is>
      </c>
      <c r="E1476" t="inlineStr">
        <is>
          <t>HUDIKSVALL</t>
        </is>
      </c>
      <c r="F1476" t="inlineStr">
        <is>
          <t>Holmen skog AB</t>
        </is>
      </c>
      <c r="G1476" t="n">
        <v>13.4</v>
      </c>
      <c r="H1476" t="n">
        <v>0</v>
      </c>
      <c r="I1476" t="n">
        <v>0</v>
      </c>
      <c r="J1476" t="n">
        <v>0</v>
      </c>
      <c r="K1476" t="n">
        <v>0</v>
      </c>
      <c r="L1476" t="n">
        <v>0</v>
      </c>
      <c r="M1476" t="n">
        <v>0</v>
      </c>
      <c r="N1476" t="n">
        <v>0</v>
      </c>
      <c r="O1476" t="n">
        <v>0</v>
      </c>
      <c r="P1476" t="n">
        <v>0</v>
      </c>
      <c r="Q1476" t="n">
        <v>0</v>
      </c>
      <c r="R1476" s="2" t="inlineStr"/>
    </row>
    <row r="1477" ht="15" customHeight="1">
      <c r="A1477" t="inlineStr">
        <is>
          <t>A 44196-2019</t>
        </is>
      </c>
      <c r="B1477" s="1" t="n">
        <v>43710</v>
      </c>
      <c r="C1477" s="1" t="n">
        <v>45344</v>
      </c>
      <c r="D1477" t="inlineStr">
        <is>
          <t>GÄVLEBORGS LÄN</t>
        </is>
      </c>
      <c r="E1477" t="inlineStr">
        <is>
          <t>HOFORS</t>
        </is>
      </c>
      <c r="F1477" t="inlineStr">
        <is>
          <t>Sveaskog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44066-2019</t>
        </is>
      </c>
      <c r="B1478" s="1" t="n">
        <v>43710</v>
      </c>
      <c r="C1478" s="1" t="n">
        <v>45344</v>
      </c>
      <c r="D1478" t="inlineStr">
        <is>
          <t>GÄVLEBORGS LÄN</t>
        </is>
      </c>
      <c r="E1478" t="inlineStr">
        <is>
          <t>LJUSDAL</t>
        </is>
      </c>
      <c r="F1478" t="inlineStr">
        <is>
          <t>Holmen skog AB</t>
        </is>
      </c>
      <c r="G1478" t="n">
        <v>19.6</v>
      </c>
      <c r="H1478" t="n">
        <v>0</v>
      </c>
      <c r="I1478" t="n">
        <v>0</v>
      </c>
      <c r="J1478" t="n">
        <v>0</v>
      </c>
      <c r="K1478" t="n">
        <v>0</v>
      </c>
      <c r="L1478" t="n">
        <v>0</v>
      </c>
      <c r="M1478" t="n">
        <v>0</v>
      </c>
      <c r="N1478" t="n">
        <v>0</v>
      </c>
      <c r="O1478" t="n">
        <v>0</v>
      </c>
      <c r="P1478" t="n">
        <v>0</v>
      </c>
      <c r="Q1478" t="n">
        <v>0</v>
      </c>
      <c r="R1478" s="2" t="inlineStr"/>
    </row>
    <row r="1479" ht="15" customHeight="1">
      <c r="A1479" t="inlineStr">
        <is>
          <t>A 44150-2019</t>
        </is>
      </c>
      <c r="B1479" s="1" t="n">
        <v>43710</v>
      </c>
      <c r="C1479" s="1" t="n">
        <v>45344</v>
      </c>
      <c r="D1479" t="inlineStr">
        <is>
          <t>GÄVLEBORGS LÄN</t>
        </is>
      </c>
      <c r="E1479" t="inlineStr">
        <is>
          <t>SÖDERHAMN</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44062-2019</t>
        </is>
      </c>
      <c r="B1480" s="1" t="n">
        <v>43710</v>
      </c>
      <c r="C1480" s="1" t="n">
        <v>45344</v>
      </c>
      <c r="D1480" t="inlineStr">
        <is>
          <t>GÄVLEBORGS LÄN</t>
        </is>
      </c>
      <c r="E1480" t="inlineStr">
        <is>
          <t>LJUSDAL</t>
        </is>
      </c>
      <c r="F1480" t="inlineStr">
        <is>
          <t>Sveaskog</t>
        </is>
      </c>
      <c r="G1480" t="n">
        <v>7.4</v>
      </c>
      <c r="H1480" t="n">
        <v>0</v>
      </c>
      <c r="I1480" t="n">
        <v>0</v>
      </c>
      <c r="J1480" t="n">
        <v>0</v>
      </c>
      <c r="K1480" t="n">
        <v>0</v>
      </c>
      <c r="L1480" t="n">
        <v>0</v>
      </c>
      <c r="M1480" t="n">
        <v>0</v>
      </c>
      <c r="N1480" t="n">
        <v>0</v>
      </c>
      <c r="O1480" t="n">
        <v>0</v>
      </c>
      <c r="P1480" t="n">
        <v>0</v>
      </c>
      <c r="Q1480" t="n">
        <v>0</v>
      </c>
      <c r="R1480" s="2" t="inlineStr"/>
    </row>
    <row r="1481" ht="15" customHeight="1">
      <c r="A1481" t="inlineStr">
        <is>
          <t>A 44342-2019</t>
        </is>
      </c>
      <c r="B1481" s="1" t="n">
        <v>43711</v>
      </c>
      <c r="C1481" s="1" t="n">
        <v>45344</v>
      </c>
      <c r="D1481" t="inlineStr">
        <is>
          <t>GÄVLEBORGS LÄN</t>
        </is>
      </c>
      <c r="E1481" t="inlineStr">
        <is>
          <t>BOLLNÄS</t>
        </is>
      </c>
      <c r="F1481" t="inlineStr">
        <is>
          <t>Sveaskog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44439-2019</t>
        </is>
      </c>
      <c r="B1482" s="1" t="n">
        <v>43711</v>
      </c>
      <c r="C1482" s="1" t="n">
        <v>45344</v>
      </c>
      <c r="D1482" t="inlineStr">
        <is>
          <t>GÄVLEBORGS LÄN</t>
        </is>
      </c>
      <c r="E1482" t="inlineStr">
        <is>
          <t>SÖDERHAMN</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44717-2019</t>
        </is>
      </c>
      <c r="B1483" s="1" t="n">
        <v>43712</v>
      </c>
      <c r="C1483" s="1" t="n">
        <v>45344</v>
      </c>
      <c r="D1483" t="inlineStr">
        <is>
          <t>GÄVLEBORGS LÄN</t>
        </is>
      </c>
      <c r="E1483" t="inlineStr">
        <is>
          <t>SANDVIKEN</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44847-2019</t>
        </is>
      </c>
      <c r="B1484" s="1" t="n">
        <v>43712</v>
      </c>
      <c r="C1484" s="1" t="n">
        <v>45344</v>
      </c>
      <c r="D1484" t="inlineStr">
        <is>
          <t>GÄVLEBORGS LÄN</t>
        </is>
      </c>
      <c r="E1484" t="inlineStr">
        <is>
          <t>LJUSDAL</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44904-2019</t>
        </is>
      </c>
      <c r="B1485" s="1" t="n">
        <v>43713</v>
      </c>
      <c r="C1485" s="1" t="n">
        <v>45344</v>
      </c>
      <c r="D1485" t="inlineStr">
        <is>
          <t>GÄVLEBORGS LÄN</t>
        </is>
      </c>
      <c r="E1485" t="inlineStr">
        <is>
          <t>LJUSDAL</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45085-2019</t>
        </is>
      </c>
      <c r="B1486" s="1" t="n">
        <v>43713</v>
      </c>
      <c r="C1486" s="1" t="n">
        <v>45344</v>
      </c>
      <c r="D1486" t="inlineStr">
        <is>
          <t>GÄVLEBORGS LÄN</t>
        </is>
      </c>
      <c r="E1486" t="inlineStr">
        <is>
          <t>HUDIKSVALL</t>
        </is>
      </c>
      <c r="F1486" t="inlineStr">
        <is>
          <t>Holmen skog AB</t>
        </is>
      </c>
      <c r="G1486" t="n">
        <v>11.1</v>
      </c>
      <c r="H1486" t="n">
        <v>0</v>
      </c>
      <c r="I1486" t="n">
        <v>0</v>
      </c>
      <c r="J1486" t="n">
        <v>0</v>
      </c>
      <c r="K1486" t="n">
        <v>0</v>
      </c>
      <c r="L1486" t="n">
        <v>0</v>
      </c>
      <c r="M1486" t="n">
        <v>0</v>
      </c>
      <c r="N1486" t="n">
        <v>0</v>
      </c>
      <c r="O1486" t="n">
        <v>0</v>
      </c>
      <c r="P1486" t="n">
        <v>0</v>
      </c>
      <c r="Q1486" t="n">
        <v>0</v>
      </c>
      <c r="R1486" s="2" t="inlineStr"/>
    </row>
    <row r="1487" ht="15" customHeight="1">
      <c r="A1487" t="inlineStr">
        <is>
          <t>A 44897-2019</t>
        </is>
      </c>
      <c r="B1487" s="1" t="n">
        <v>43713</v>
      </c>
      <c r="C1487" s="1" t="n">
        <v>45344</v>
      </c>
      <c r="D1487" t="inlineStr">
        <is>
          <t>GÄVLEBORGS LÄN</t>
        </is>
      </c>
      <c r="E1487" t="inlineStr">
        <is>
          <t>NORDANSTIG</t>
        </is>
      </c>
      <c r="G1487" t="n">
        <v>11.3</v>
      </c>
      <c r="H1487" t="n">
        <v>0</v>
      </c>
      <c r="I1487" t="n">
        <v>0</v>
      </c>
      <c r="J1487" t="n">
        <v>0</v>
      </c>
      <c r="K1487" t="n">
        <v>0</v>
      </c>
      <c r="L1487" t="n">
        <v>0</v>
      </c>
      <c r="M1487" t="n">
        <v>0</v>
      </c>
      <c r="N1487" t="n">
        <v>0</v>
      </c>
      <c r="O1487" t="n">
        <v>0</v>
      </c>
      <c r="P1487" t="n">
        <v>0</v>
      </c>
      <c r="Q1487" t="n">
        <v>0</v>
      </c>
      <c r="R1487" s="2" t="inlineStr"/>
    </row>
    <row r="1488" ht="15" customHeight="1">
      <c r="A1488" t="inlineStr">
        <is>
          <t>A 44974-2019</t>
        </is>
      </c>
      <c r="B1488" s="1" t="n">
        <v>43713</v>
      </c>
      <c r="C1488" s="1" t="n">
        <v>45344</v>
      </c>
      <c r="D1488" t="inlineStr">
        <is>
          <t>GÄVLEBORGS LÄN</t>
        </is>
      </c>
      <c r="E1488" t="inlineStr">
        <is>
          <t>SANDVIKEN</t>
        </is>
      </c>
      <c r="F1488" t="inlineStr">
        <is>
          <t>Bergvik skog öst AB</t>
        </is>
      </c>
      <c r="G1488" t="n">
        <v>4</v>
      </c>
      <c r="H1488" t="n">
        <v>0</v>
      </c>
      <c r="I1488" t="n">
        <v>0</v>
      </c>
      <c r="J1488" t="n">
        <v>0</v>
      </c>
      <c r="K1488" t="n">
        <v>0</v>
      </c>
      <c r="L1488" t="n">
        <v>0</v>
      </c>
      <c r="M1488" t="n">
        <v>0</v>
      </c>
      <c r="N1488" t="n">
        <v>0</v>
      </c>
      <c r="O1488" t="n">
        <v>0</v>
      </c>
      <c r="P1488" t="n">
        <v>0</v>
      </c>
      <c r="Q1488" t="n">
        <v>0</v>
      </c>
      <c r="R1488" s="2" t="inlineStr"/>
    </row>
    <row r="1489" ht="15" customHeight="1">
      <c r="A1489" t="inlineStr">
        <is>
          <t>A 44999-2019</t>
        </is>
      </c>
      <c r="B1489" s="1" t="n">
        <v>43713</v>
      </c>
      <c r="C1489" s="1" t="n">
        <v>45344</v>
      </c>
      <c r="D1489" t="inlineStr">
        <is>
          <t>GÄVLEBORGS LÄN</t>
        </is>
      </c>
      <c r="E1489" t="inlineStr">
        <is>
          <t>OVANÅKER</t>
        </is>
      </c>
      <c r="F1489" t="inlineStr">
        <is>
          <t>Sveaskog</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45158-2019</t>
        </is>
      </c>
      <c r="B1490" s="1" t="n">
        <v>43713</v>
      </c>
      <c r="C1490" s="1" t="n">
        <v>45344</v>
      </c>
      <c r="D1490" t="inlineStr">
        <is>
          <t>GÄVLEBORGS LÄN</t>
        </is>
      </c>
      <c r="E1490" t="inlineStr">
        <is>
          <t>HUDIKSVALL</t>
        </is>
      </c>
      <c r="F1490" t="inlineStr">
        <is>
          <t>Holmen skog AB</t>
        </is>
      </c>
      <c r="G1490" t="n">
        <v>8.6</v>
      </c>
      <c r="H1490" t="n">
        <v>0</v>
      </c>
      <c r="I1490" t="n">
        <v>0</v>
      </c>
      <c r="J1490" t="n">
        <v>0</v>
      </c>
      <c r="K1490" t="n">
        <v>0</v>
      </c>
      <c r="L1490" t="n">
        <v>0</v>
      </c>
      <c r="M1490" t="n">
        <v>0</v>
      </c>
      <c r="N1490" t="n">
        <v>0</v>
      </c>
      <c r="O1490" t="n">
        <v>0</v>
      </c>
      <c r="P1490" t="n">
        <v>0</v>
      </c>
      <c r="Q1490" t="n">
        <v>0</v>
      </c>
      <c r="R1490" s="2" t="inlineStr"/>
    </row>
    <row r="1491" ht="15" customHeight="1">
      <c r="A1491" t="inlineStr">
        <is>
          <t>A 45207-2019</t>
        </is>
      </c>
      <c r="B1491" s="1" t="n">
        <v>43713</v>
      </c>
      <c r="C1491" s="1" t="n">
        <v>45344</v>
      </c>
      <c r="D1491" t="inlineStr">
        <is>
          <t>GÄVLEBORGS LÄN</t>
        </is>
      </c>
      <c r="E1491" t="inlineStr">
        <is>
          <t>SANDVIKEN</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45019-2019</t>
        </is>
      </c>
      <c r="B1492" s="1" t="n">
        <v>43713</v>
      </c>
      <c r="C1492" s="1" t="n">
        <v>45344</v>
      </c>
      <c r="D1492" t="inlineStr">
        <is>
          <t>GÄVLEBORGS LÄN</t>
        </is>
      </c>
      <c r="E1492" t="inlineStr">
        <is>
          <t>SANDVIKEN</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45211-2019</t>
        </is>
      </c>
      <c r="B1493" s="1" t="n">
        <v>43713</v>
      </c>
      <c r="C1493" s="1" t="n">
        <v>45344</v>
      </c>
      <c r="D1493" t="inlineStr">
        <is>
          <t>GÄVLEBORGS LÄN</t>
        </is>
      </c>
      <c r="E1493" t="inlineStr">
        <is>
          <t>OCKELBO</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45052-2019</t>
        </is>
      </c>
      <c r="B1494" s="1" t="n">
        <v>43713</v>
      </c>
      <c r="C1494" s="1" t="n">
        <v>45344</v>
      </c>
      <c r="D1494" t="inlineStr">
        <is>
          <t>GÄVLEBORGS LÄN</t>
        </is>
      </c>
      <c r="E1494" t="inlineStr">
        <is>
          <t>HUDIKSVALL</t>
        </is>
      </c>
      <c r="F1494" t="inlineStr">
        <is>
          <t>Holmen skog AB</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45358-2019</t>
        </is>
      </c>
      <c r="B1495" s="1" t="n">
        <v>43714</v>
      </c>
      <c r="C1495" s="1" t="n">
        <v>45344</v>
      </c>
      <c r="D1495" t="inlineStr">
        <is>
          <t>GÄVLEBORGS LÄN</t>
        </is>
      </c>
      <c r="E1495" t="inlineStr">
        <is>
          <t>GÄVLE</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45419-2019</t>
        </is>
      </c>
      <c r="B1496" s="1" t="n">
        <v>43714</v>
      </c>
      <c r="C1496" s="1" t="n">
        <v>45344</v>
      </c>
      <c r="D1496" t="inlineStr">
        <is>
          <t>GÄVLEBORGS LÄN</t>
        </is>
      </c>
      <c r="E1496" t="inlineStr">
        <is>
          <t>NORDANSTIG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45451-2019</t>
        </is>
      </c>
      <c r="B1497" s="1" t="n">
        <v>43714</v>
      </c>
      <c r="C1497" s="1" t="n">
        <v>45344</v>
      </c>
      <c r="D1497" t="inlineStr">
        <is>
          <t>GÄVLEBORGS LÄN</t>
        </is>
      </c>
      <c r="E1497" t="inlineStr">
        <is>
          <t>LJUSDAL</t>
        </is>
      </c>
      <c r="F1497" t="inlineStr">
        <is>
          <t>Sveaskog</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45450-2019</t>
        </is>
      </c>
      <c r="B1498" s="1" t="n">
        <v>43714</v>
      </c>
      <c r="C1498" s="1" t="n">
        <v>45344</v>
      </c>
      <c r="D1498" t="inlineStr">
        <is>
          <t>GÄVLEBORGS LÄN</t>
        </is>
      </c>
      <c r="E1498" t="inlineStr">
        <is>
          <t>LJUSDAL</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45516-2019</t>
        </is>
      </c>
      <c r="B1499" s="1" t="n">
        <v>43714</v>
      </c>
      <c r="C1499" s="1" t="n">
        <v>45344</v>
      </c>
      <c r="D1499" t="inlineStr">
        <is>
          <t>GÄVLEBORGS LÄN</t>
        </is>
      </c>
      <c r="E1499" t="inlineStr">
        <is>
          <t>HUDIKSVALL</t>
        </is>
      </c>
      <c r="F1499" t="inlineStr">
        <is>
          <t>Holmen skog AB</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45287-2019</t>
        </is>
      </c>
      <c r="B1500" s="1" t="n">
        <v>43714</v>
      </c>
      <c r="C1500" s="1" t="n">
        <v>45344</v>
      </c>
      <c r="D1500" t="inlineStr">
        <is>
          <t>GÄVLEBORGS LÄN</t>
        </is>
      </c>
      <c r="E1500" t="inlineStr">
        <is>
          <t>HUDIKSVALL</t>
        </is>
      </c>
      <c r="G1500" t="n">
        <v>7.7</v>
      </c>
      <c r="H1500" t="n">
        <v>0</v>
      </c>
      <c r="I1500" t="n">
        <v>0</v>
      </c>
      <c r="J1500" t="n">
        <v>0</v>
      </c>
      <c r="K1500" t="n">
        <v>0</v>
      </c>
      <c r="L1500" t="n">
        <v>0</v>
      </c>
      <c r="M1500" t="n">
        <v>0</v>
      </c>
      <c r="N1500" t="n">
        <v>0</v>
      </c>
      <c r="O1500" t="n">
        <v>0</v>
      </c>
      <c r="P1500" t="n">
        <v>0</v>
      </c>
      <c r="Q1500" t="n">
        <v>0</v>
      </c>
      <c r="R1500" s="2" t="inlineStr"/>
    </row>
    <row r="1501" ht="15" customHeight="1">
      <c r="A1501" t="inlineStr">
        <is>
          <t>A 45661-2019</t>
        </is>
      </c>
      <c r="B1501" s="1" t="n">
        <v>43717</v>
      </c>
      <c r="C1501" s="1" t="n">
        <v>45344</v>
      </c>
      <c r="D1501" t="inlineStr">
        <is>
          <t>GÄVLEBORGS LÄN</t>
        </is>
      </c>
      <c r="E1501" t="inlineStr">
        <is>
          <t>OCKELBO</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45595-2019</t>
        </is>
      </c>
      <c r="B1502" s="1" t="n">
        <v>43717</v>
      </c>
      <c r="C1502" s="1" t="n">
        <v>45344</v>
      </c>
      <c r="D1502" t="inlineStr">
        <is>
          <t>GÄVLEBORGS LÄN</t>
        </is>
      </c>
      <c r="E1502" t="inlineStr">
        <is>
          <t>BOLLNÄS</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45749-2019</t>
        </is>
      </c>
      <c r="B1503" s="1" t="n">
        <v>43717</v>
      </c>
      <c r="C1503" s="1" t="n">
        <v>45344</v>
      </c>
      <c r="D1503" t="inlineStr">
        <is>
          <t>GÄVLEBORGS LÄN</t>
        </is>
      </c>
      <c r="E1503" t="inlineStr">
        <is>
          <t>NORDANSTIG</t>
        </is>
      </c>
      <c r="F1503" t="inlineStr">
        <is>
          <t>Holmen skog AB</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45808-2019</t>
        </is>
      </c>
      <c r="B1504" s="1" t="n">
        <v>43717</v>
      </c>
      <c r="C1504" s="1" t="n">
        <v>45344</v>
      </c>
      <c r="D1504" t="inlineStr">
        <is>
          <t>GÄVLEBORGS LÄN</t>
        </is>
      </c>
      <c r="E1504" t="inlineStr">
        <is>
          <t>LJUSDAL</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46273-2019</t>
        </is>
      </c>
      <c r="B1505" s="1" t="n">
        <v>43718</v>
      </c>
      <c r="C1505" s="1" t="n">
        <v>45344</v>
      </c>
      <c r="D1505" t="inlineStr">
        <is>
          <t>GÄVLEBORGS LÄN</t>
        </is>
      </c>
      <c r="E1505" t="inlineStr">
        <is>
          <t>BOLLNÄS</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46253-2019</t>
        </is>
      </c>
      <c r="B1506" s="1" t="n">
        <v>43718</v>
      </c>
      <c r="C1506" s="1" t="n">
        <v>45344</v>
      </c>
      <c r="D1506" t="inlineStr">
        <is>
          <t>GÄVLEBORGS LÄN</t>
        </is>
      </c>
      <c r="E1506" t="inlineStr">
        <is>
          <t>BOLLNÄS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46294-2019</t>
        </is>
      </c>
      <c r="B1507" s="1" t="n">
        <v>43718</v>
      </c>
      <c r="C1507" s="1" t="n">
        <v>45344</v>
      </c>
      <c r="D1507" t="inlineStr">
        <is>
          <t>GÄVLEBORGS LÄN</t>
        </is>
      </c>
      <c r="E1507" t="inlineStr">
        <is>
          <t>NORDANSTIG</t>
        </is>
      </c>
      <c r="F1507" t="inlineStr">
        <is>
          <t>Holmen skog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46032-2019</t>
        </is>
      </c>
      <c r="B1508" s="1" t="n">
        <v>43718</v>
      </c>
      <c r="C1508" s="1" t="n">
        <v>45344</v>
      </c>
      <c r="D1508" t="inlineStr">
        <is>
          <t>GÄVLEBORGS LÄN</t>
        </is>
      </c>
      <c r="E1508" t="inlineStr">
        <is>
          <t>HUDIKSVALL</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46014-2019</t>
        </is>
      </c>
      <c r="B1509" s="1" t="n">
        <v>43718</v>
      </c>
      <c r="C1509" s="1" t="n">
        <v>45344</v>
      </c>
      <c r="D1509" t="inlineStr">
        <is>
          <t>GÄVLEBORGS LÄN</t>
        </is>
      </c>
      <c r="E1509" t="inlineStr">
        <is>
          <t>GÄVLE</t>
        </is>
      </c>
      <c r="F1509" t="inlineStr">
        <is>
          <t>Bergvik skog öst AB</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46153-2019</t>
        </is>
      </c>
      <c r="B1510" s="1" t="n">
        <v>43718</v>
      </c>
      <c r="C1510" s="1" t="n">
        <v>45344</v>
      </c>
      <c r="D1510" t="inlineStr">
        <is>
          <t>GÄVLEBORGS LÄN</t>
        </is>
      </c>
      <c r="E1510" t="inlineStr">
        <is>
          <t>HOFORS</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46161-2019</t>
        </is>
      </c>
      <c r="B1511" s="1" t="n">
        <v>43718</v>
      </c>
      <c r="C1511" s="1" t="n">
        <v>45344</v>
      </c>
      <c r="D1511" t="inlineStr">
        <is>
          <t>GÄVLEBORGS LÄN</t>
        </is>
      </c>
      <c r="E1511" t="inlineStr">
        <is>
          <t>HOFORS</t>
        </is>
      </c>
      <c r="F1511" t="inlineStr">
        <is>
          <t>Sveaskog</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46036-2019</t>
        </is>
      </c>
      <c r="B1512" s="1" t="n">
        <v>43718</v>
      </c>
      <c r="C1512" s="1" t="n">
        <v>45344</v>
      </c>
      <c r="D1512" t="inlineStr">
        <is>
          <t>GÄVLEBORGS LÄN</t>
        </is>
      </c>
      <c r="E1512" t="inlineStr">
        <is>
          <t>HUDIKSVALL</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46113-2019</t>
        </is>
      </c>
      <c r="B1513" s="1" t="n">
        <v>43718</v>
      </c>
      <c r="C1513" s="1" t="n">
        <v>45344</v>
      </c>
      <c r="D1513" t="inlineStr">
        <is>
          <t>GÄVLEBORGS LÄN</t>
        </is>
      </c>
      <c r="E1513" t="inlineStr">
        <is>
          <t>SANDVIKEN</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46262-2019</t>
        </is>
      </c>
      <c r="B1514" s="1" t="n">
        <v>43718</v>
      </c>
      <c r="C1514" s="1" t="n">
        <v>45344</v>
      </c>
      <c r="D1514" t="inlineStr">
        <is>
          <t>GÄVLEBORGS LÄN</t>
        </is>
      </c>
      <c r="E1514" t="inlineStr">
        <is>
          <t>SANDVIKEN</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46019-2019</t>
        </is>
      </c>
      <c r="B1515" s="1" t="n">
        <v>43718</v>
      </c>
      <c r="C1515" s="1" t="n">
        <v>45344</v>
      </c>
      <c r="D1515" t="inlineStr">
        <is>
          <t>GÄVLEBORGS LÄN</t>
        </is>
      </c>
      <c r="E1515" t="inlineStr">
        <is>
          <t>OVANÅKER</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46444-2019</t>
        </is>
      </c>
      <c r="B1516" s="1" t="n">
        <v>43719</v>
      </c>
      <c r="C1516" s="1" t="n">
        <v>45344</v>
      </c>
      <c r="D1516" t="inlineStr">
        <is>
          <t>GÄVLEBORGS LÄN</t>
        </is>
      </c>
      <c r="E1516" t="inlineStr">
        <is>
          <t>GÄVLE</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46442-2019</t>
        </is>
      </c>
      <c r="B1517" s="1" t="n">
        <v>43719</v>
      </c>
      <c r="C1517" s="1" t="n">
        <v>45344</v>
      </c>
      <c r="D1517" t="inlineStr">
        <is>
          <t>GÄVLEBORGS LÄN</t>
        </is>
      </c>
      <c r="E1517" t="inlineStr">
        <is>
          <t>GÄVLE</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46408-2019</t>
        </is>
      </c>
      <c r="B1518" s="1" t="n">
        <v>43719</v>
      </c>
      <c r="C1518" s="1" t="n">
        <v>45344</v>
      </c>
      <c r="D1518" t="inlineStr">
        <is>
          <t>GÄVLEBORGS LÄN</t>
        </is>
      </c>
      <c r="E1518" t="inlineStr">
        <is>
          <t>LJUSDAL</t>
        </is>
      </c>
      <c r="F1518" t="inlineStr">
        <is>
          <t>Bergvik skog väst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46577-2019</t>
        </is>
      </c>
      <c r="B1519" s="1" t="n">
        <v>43719</v>
      </c>
      <c r="C1519" s="1" t="n">
        <v>45344</v>
      </c>
      <c r="D1519" t="inlineStr">
        <is>
          <t>GÄVLEBORGS LÄN</t>
        </is>
      </c>
      <c r="E1519" t="inlineStr">
        <is>
          <t>HUDIKSVALL</t>
        </is>
      </c>
      <c r="F1519" t="inlineStr">
        <is>
          <t>Holmen skog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46949-2019</t>
        </is>
      </c>
      <c r="B1520" s="1" t="n">
        <v>43719</v>
      </c>
      <c r="C1520" s="1" t="n">
        <v>45344</v>
      </c>
      <c r="D1520" t="inlineStr">
        <is>
          <t>GÄVLEBORGS LÄN</t>
        </is>
      </c>
      <c r="E1520" t="inlineStr">
        <is>
          <t>SANDVIKEN</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46865-2019</t>
        </is>
      </c>
      <c r="B1521" s="1" t="n">
        <v>43720</v>
      </c>
      <c r="C1521" s="1" t="n">
        <v>45344</v>
      </c>
      <c r="D1521" t="inlineStr">
        <is>
          <t>GÄVLEBORGS LÄN</t>
        </is>
      </c>
      <c r="E1521" t="inlineStr">
        <is>
          <t>HUDIKSVALL</t>
        </is>
      </c>
      <c r="F1521" t="inlineStr">
        <is>
          <t>Holmen skog AB</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46773-2019</t>
        </is>
      </c>
      <c r="B1522" s="1" t="n">
        <v>43720</v>
      </c>
      <c r="C1522" s="1" t="n">
        <v>45344</v>
      </c>
      <c r="D1522" t="inlineStr">
        <is>
          <t>GÄVLEBORGS LÄN</t>
        </is>
      </c>
      <c r="E1522" t="inlineStr">
        <is>
          <t>LJUSDAL</t>
        </is>
      </c>
      <c r="F1522" t="inlineStr">
        <is>
          <t>Holmen skog AB</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46864-2019</t>
        </is>
      </c>
      <c r="B1523" s="1" t="n">
        <v>43720</v>
      </c>
      <c r="C1523" s="1" t="n">
        <v>45344</v>
      </c>
      <c r="D1523" t="inlineStr">
        <is>
          <t>GÄVLEBORGS LÄN</t>
        </is>
      </c>
      <c r="E1523" t="inlineStr">
        <is>
          <t>HUDIKSVALL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46794-2019</t>
        </is>
      </c>
      <c r="B1524" s="1" t="n">
        <v>43720</v>
      </c>
      <c r="C1524" s="1" t="n">
        <v>45344</v>
      </c>
      <c r="D1524" t="inlineStr">
        <is>
          <t>GÄVLEBORGS LÄN</t>
        </is>
      </c>
      <c r="E1524" t="inlineStr">
        <is>
          <t>HUDIKSVALL</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47003-2019</t>
        </is>
      </c>
      <c r="B1525" s="1" t="n">
        <v>43720</v>
      </c>
      <c r="C1525" s="1" t="n">
        <v>45344</v>
      </c>
      <c r="D1525" t="inlineStr">
        <is>
          <t>GÄVLEBORGS LÄN</t>
        </is>
      </c>
      <c r="E1525" t="inlineStr">
        <is>
          <t>OCKELBO</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47286-2019</t>
        </is>
      </c>
      <c r="B1526" s="1" t="n">
        <v>43721</v>
      </c>
      <c r="C1526" s="1" t="n">
        <v>45344</v>
      </c>
      <c r="D1526" t="inlineStr">
        <is>
          <t>GÄVLEBORGS LÄN</t>
        </is>
      </c>
      <c r="E1526" t="inlineStr">
        <is>
          <t>SANDVIKEN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47301-2019</t>
        </is>
      </c>
      <c r="B1527" s="1" t="n">
        <v>43721</v>
      </c>
      <c r="C1527" s="1" t="n">
        <v>45344</v>
      </c>
      <c r="D1527" t="inlineStr">
        <is>
          <t>GÄVLEBORGS LÄN</t>
        </is>
      </c>
      <c r="E1527" t="inlineStr">
        <is>
          <t>SÖDERHAMN</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47290-2019</t>
        </is>
      </c>
      <c r="B1528" s="1" t="n">
        <v>43721</v>
      </c>
      <c r="C1528" s="1" t="n">
        <v>45344</v>
      </c>
      <c r="D1528" t="inlineStr">
        <is>
          <t>GÄVLEBORGS LÄN</t>
        </is>
      </c>
      <c r="E1528" t="inlineStr">
        <is>
          <t>HUDIKSVALL</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47326-2019</t>
        </is>
      </c>
      <c r="B1529" s="1" t="n">
        <v>43721</v>
      </c>
      <c r="C1529" s="1" t="n">
        <v>45344</v>
      </c>
      <c r="D1529" t="inlineStr">
        <is>
          <t>GÄVLEBORGS LÄN</t>
        </is>
      </c>
      <c r="E1529" t="inlineStr">
        <is>
          <t>LJUSDAL</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47182-2019</t>
        </is>
      </c>
      <c r="B1530" s="1" t="n">
        <v>43721</v>
      </c>
      <c r="C1530" s="1" t="n">
        <v>45344</v>
      </c>
      <c r="D1530" t="inlineStr">
        <is>
          <t>GÄVLEBORGS LÄN</t>
        </is>
      </c>
      <c r="E1530" t="inlineStr">
        <is>
          <t>BOLLNÄS</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47205-2019</t>
        </is>
      </c>
      <c r="B1531" s="1" t="n">
        <v>43721</v>
      </c>
      <c r="C1531" s="1" t="n">
        <v>45344</v>
      </c>
      <c r="D1531" t="inlineStr">
        <is>
          <t>GÄVLEBORGS LÄN</t>
        </is>
      </c>
      <c r="E1531" t="inlineStr">
        <is>
          <t>OCKELBO</t>
        </is>
      </c>
      <c r="F1531" t="inlineStr">
        <is>
          <t>Bergvik skog väst AB</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47378-2019</t>
        </is>
      </c>
      <c r="B1532" s="1" t="n">
        <v>43721</v>
      </c>
      <c r="C1532" s="1" t="n">
        <v>45344</v>
      </c>
      <c r="D1532" t="inlineStr">
        <is>
          <t>GÄVLEBORGS LÄN</t>
        </is>
      </c>
      <c r="E1532" t="inlineStr">
        <is>
          <t>GÄVLE</t>
        </is>
      </c>
      <c r="F1532" t="inlineStr">
        <is>
          <t>Bergvik skog öst AB</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47329-2019</t>
        </is>
      </c>
      <c r="B1533" s="1" t="n">
        <v>43721</v>
      </c>
      <c r="C1533" s="1" t="n">
        <v>45344</v>
      </c>
      <c r="D1533" t="inlineStr">
        <is>
          <t>GÄVLEBORGS LÄN</t>
        </is>
      </c>
      <c r="E1533" t="inlineStr">
        <is>
          <t>LJUSDAL</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47449-2019</t>
        </is>
      </c>
      <c r="B1534" s="1" t="n">
        <v>43721</v>
      </c>
      <c r="C1534" s="1" t="n">
        <v>45344</v>
      </c>
      <c r="D1534" t="inlineStr">
        <is>
          <t>GÄVLEBORGS LÄN</t>
        </is>
      </c>
      <c r="E1534" t="inlineStr">
        <is>
          <t>LJUSDAL</t>
        </is>
      </c>
      <c r="G1534" t="n">
        <v>12.5</v>
      </c>
      <c r="H1534" t="n">
        <v>0</v>
      </c>
      <c r="I1534" t="n">
        <v>0</v>
      </c>
      <c r="J1534" t="n">
        <v>0</v>
      </c>
      <c r="K1534" t="n">
        <v>0</v>
      </c>
      <c r="L1534" t="n">
        <v>0</v>
      </c>
      <c r="M1534" t="n">
        <v>0</v>
      </c>
      <c r="N1534" t="n">
        <v>0</v>
      </c>
      <c r="O1534" t="n">
        <v>0</v>
      </c>
      <c r="P1534" t="n">
        <v>0</v>
      </c>
      <c r="Q1534" t="n">
        <v>0</v>
      </c>
      <c r="R1534" s="2" t="inlineStr"/>
    </row>
    <row r="1535" ht="15" customHeight="1">
      <c r="A1535" t="inlineStr">
        <is>
          <t>A 47443-2019</t>
        </is>
      </c>
      <c r="B1535" s="1" t="n">
        <v>43723</v>
      </c>
      <c r="C1535" s="1" t="n">
        <v>45344</v>
      </c>
      <c r="D1535" t="inlineStr">
        <is>
          <t>GÄVLEBORGS LÄN</t>
        </is>
      </c>
      <c r="E1535" t="inlineStr">
        <is>
          <t>SÖDERHAMN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47843-2019</t>
        </is>
      </c>
      <c r="B1536" s="1" t="n">
        <v>43725</v>
      </c>
      <c r="C1536" s="1" t="n">
        <v>45344</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48019-2019</t>
        </is>
      </c>
      <c r="B1537" s="1" t="n">
        <v>43725</v>
      </c>
      <c r="C1537" s="1" t="n">
        <v>45344</v>
      </c>
      <c r="D1537" t="inlineStr">
        <is>
          <t>GÄVLEBORGS LÄN</t>
        </is>
      </c>
      <c r="E1537" t="inlineStr">
        <is>
          <t>NORDANSTIG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47907-2019</t>
        </is>
      </c>
      <c r="B1538" s="1" t="n">
        <v>43725</v>
      </c>
      <c r="C1538" s="1" t="n">
        <v>45344</v>
      </c>
      <c r="D1538" t="inlineStr">
        <is>
          <t>GÄVLEBORGS LÄN</t>
        </is>
      </c>
      <c r="E1538" t="inlineStr">
        <is>
          <t>NORDANSTIG</t>
        </is>
      </c>
      <c r="G1538" t="n">
        <v>8.300000000000001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47929-2019</t>
        </is>
      </c>
      <c r="B1539" s="1" t="n">
        <v>43725</v>
      </c>
      <c r="C1539" s="1" t="n">
        <v>45344</v>
      </c>
      <c r="D1539" t="inlineStr">
        <is>
          <t>GÄVLEBORGS LÄN</t>
        </is>
      </c>
      <c r="E1539" t="inlineStr">
        <is>
          <t>OVANÅKER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47984-2019</t>
        </is>
      </c>
      <c r="B1540" s="1" t="n">
        <v>43725</v>
      </c>
      <c r="C1540" s="1" t="n">
        <v>45344</v>
      </c>
      <c r="D1540" t="inlineStr">
        <is>
          <t>GÄVLEBORGS LÄN</t>
        </is>
      </c>
      <c r="E1540" t="inlineStr">
        <is>
          <t>HUDIKSVALL</t>
        </is>
      </c>
      <c r="G1540" t="n">
        <v>3.4</v>
      </c>
      <c r="H1540" t="n">
        <v>0</v>
      </c>
      <c r="I1540" t="n">
        <v>0</v>
      </c>
      <c r="J1540" t="n">
        <v>0</v>
      </c>
      <c r="K1540" t="n">
        <v>0</v>
      </c>
      <c r="L1540" t="n">
        <v>0</v>
      </c>
      <c r="M1540" t="n">
        <v>0</v>
      </c>
      <c r="N1540" t="n">
        <v>0</v>
      </c>
      <c r="O1540" t="n">
        <v>0</v>
      </c>
      <c r="P1540" t="n">
        <v>0</v>
      </c>
      <c r="Q1540" t="n">
        <v>0</v>
      </c>
      <c r="R1540" s="2" t="inlineStr"/>
    </row>
    <row r="1541" ht="15" customHeight="1">
      <c r="A1541" t="inlineStr">
        <is>
          <t>A 48100-2019</t>
        </is>
      </c>
      <c r="B1541" s="1" t="n">
        <v>43725</v>
      </c>
      <c r="C1541" s="1" t="n">
        <v>45344</v>
      </c>
      <c r="D1541" t="inlineStr">
        <is>
          <t>GÄVLEBORGS LÄN</t>
        </is>
      </c>
      <c r="E1541" t="inlineStr">
        <is>
          <t>SÖDERHAMN</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48003-2019</t>
        </is>
      </c>
      <c r="B1542" s="1" t="n">
        <v>43725</v>
      </c>
      <c r="C1542" s="1" t="n">
        <v>45344</v>
      </c>
      <c r="D1542" t="inlineStr">
        <is>
          <t>GÄVLEBORGS LÄN</t>
        </is>
      </c>
      <c r="E1542" t="inlineStr">
        <is>
          <t>OVANÅKER</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48139-2019</t>
        </is>
      </c>
      <c r="B1543" s="1" t="n">
        <v>43725</v>
      </c>
      <c r="C1543" s="1" t="n">
        <v>45344</v>
      </c>
      <c r="D1543" t="inlineStr">
        <is>
          <t>GÄVLEBORGS LÄN</t>
        </is>
      </c>
      <c r="E1543" t="inlineStr">
        <is>
          <t>NORDANSTIG</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48236-2019</t>
        </is>
      </c>
      <c r="B1544" s="1" t="n">
        <v>43726</v>
      </c>
      <c r="C1544" s="1" t="n">
        <v>45344</v>
      </c>
      <c r="D1544" t="inlineStr">
        <is>
          <t>GÄVLEBORGS LÄN</t>
        </is>
      </c>
      <c r="E1544" t="inlineStr">
        <is>
          <t>OCKELBO</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48358-2019</t>
        </is>
      </c>
      <c r="B1545" s="1" t="n">
        <v>43726</v>
      </c>
      <c r="C1545" s="1" t="n">
        <v>45344</v>
      </c>
      <c r="D1545" t="inlineStr">
        <is>
          <t>GÄVLEBORGS LÄN</t>
        </is>
      </c>
      <c r="E1545" t="inlineStr">
        <is>
          <t>HUDIKSVALL</t>
        </is>
      </c>
      <c r="F1545" t="inlineStr">
        <is>
          <t>Holmen skog AB</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48379-2019</t>
        </is>
      </c>
      <c r="B1546" s="1" t="n">
        <v>43726</v>
      </c>
      <c r="C1546" s="1" t="n">
        <v>45344</v>
      </c>
      <c r="D1546" t="inlineStr">
        <is>
          <t>GÄVLEBORGS LÄN</t>
        </is>
      </c>
      <c r="E1546" t="inlineStr">
        <is>
          <t>LJUSDAL</t>
        </is>
      </c>
      <c r="F1546" t="inlineStr">
        <is>
          <t>Bergvik skog väst AB</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48178-2019</t>
        </is>
      </c>
      <c r="B1547" s="1" t="n">
        <v>43726</v>
      </c>
      <c r="C1547" s="1" t="n">
        <v>45344</v>
      </c>
      <c r="D1547" t="inlineStr">
        <is>
          <t>GÄVLEBORGS LÄN</t>
        </is>
      </c>
      <c r="E1547" t="inlineStr">
        <is>
          <t>OVANÅKER</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48375-2019</t>
        </is>
      </c>
      <c r="B1548" s="1" t="n">
        <v>43726</v>
      </c>
      <c r="C1548" s="1" t="n">
        <v>45344</v>
      </c>
      <c r="D1548" t="inlineStr">
        <is>
          <t>GÄVLEBORGS LÄN</t>
        </is>
      </c>
      <c r="E1548" t="inlineStr">
        <is>
          <t>LJUSDAL</t>
        </is>
      </c>
      <c r="F1548" t="inlineStr">
        <is>
          <t>Bergvik skog väst AB</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48344-2019</t>
        </is>
      </c>
      <c r="B1549" s="1" t="n">
        <v>43726</v>
      </c>
      <c r="C1549" s="1" t="n">
        <v>45344</v>
      </c>
      <c r="D1549" t="inlineStr">
        <is>
          <t>GÄVLEBORGS LÄN</t>
        </is>
      </c>
      <c r="E1549" t="inlineStr">
        <is>
          <t>BOLLNÄS</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48355-2019</t>
        </is>
      </c>
      <c r="B1550" s="1" t="n">
        <v>43726</v>
      </c>
      <c r="C1550" s="1" t="n">
        <v>45344</v>
      </c>
      <c r="D1550" t="inlineStr">
        <is>
          <t>GÄVLEBORGS LÄN</t>
        </is>
      </c>
      <c r="E1550" t="inlineStr">
        <is>
          <t>OCKELBO</t>
        </is>
      </c>
      <c r="F1550" t="inlineStr">
        <is>
          <t>Bergvik skog väst AB</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48467-2019</t>
        </is>
      </c>
      <c r="B1551" s="1" t="n">
        <v>43727</v>
      </c>
      <c r="C1551" s="1" t="n">
        <v>45344</v>
      </c>
      <c r="D1551" t="inlineStr">
        <is>
          <t>GÄVLEBORGS LÄN</t>
        </is>
      </c>
      <c r="E1551" t="inlineStr">
        <is>
          <t>LJUSDAL</t>
        </is>
      </c>
      <c r="F1551" t="inlineStr">
        <is>
          <t>Holmen skog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48439-2019</t>
        </is>
      </c>
      <c r="B1552" s="1" t="n">
        <v>43727</v>
      </c>
      <c r="C1552" s="1" t="n">
        <v>45344</v>
      </c>
      <c r="D1552" t="inlineStr">
        <is>
          <t>GÄVLEBORGS LÄN</t>
        </is>
      </c>
      <c r="E1552" t="inlineStr">
        <is>
          <t>HUDIKSVALL</t>
        </is>
      </c>
      <c r="F1552" t="inlineStr">
        <is>
          <t>Holmen skog AB</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48599-2019</t>
        </is>
      </c>
      <c r="B1553" s="1" t="n">
        <v>43727</v>
      </c>
      <c r="C1553" s="1" t="n">
        <v>45344</v>
      </c>
      <c r="D1553" t="inlineStr">
        <is>
          <t>GÄVLEBORGS LÄN</t>
        </is>
      </c>
      <c r="E1553" t="inlineStr">
        <is>
          <t>HUDIKSVALL</t>
        </is>
      </c>
      <c r="F1553" t="inlineStr">
        <is>
          <t>Kommuner</t>
        </is>
      </c>
      <c r="G1553" t="n">
        <v>5.1</v>
      </c>
      <c r="H1553" t="n">
        <v>0</v>
      </c>
      <c r="I1553" t="n">
        <v>0</v>
      </c>
      <c r="J1553" t="n">
        <v>0</v>
      </c>
      <c r="K1553" t="n">
        <v>0</v>
      </c>
      <c r="L1553" t="n">
        <v>0</v>
      </c>
      <c r="M1553" t="n">
        <v>0</v>
      </c>
      <c r="N1553" t="n">
        <v>0</v>
      </c>
      <c r="O1553" t="n">
        <v>0</v>
      </c>
      <c r="P1553" t="n">
        <v>0</v>
      </c>
      <c r="Q1553" t="n">
        <v>0</v>
      </c>
      <c r="R1553" s="2" t="inlineStr"/>
    </row>
    <row r="1554" ht="15" customHeight="1">
      <c r="A1554" t="inlineStr">
        <is>
          <t>A 48772-2019</t>
        </is>
      </c>
      <c r="B1554" s="1" t="n">
        <v>43727</v>
      </c>
      <c r="C1554" s="1" t="n">
        <v>45344</v>
      </c>
      <c r="D1554" t="inlineStr">
        <is>
          <t>GÄVLEBORGS LÄN</t>
        </is>
      </c>
      <c r="E1554" t="inlineStr">
        <is>
          <t>SANDVIKEN</t>
        </is>
      </c>
      <c r="F1554" t="inlineStr">
        <is>
          <t>Sveaskog</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48781-2019</t>
        </is>
      </c>
      <c r="B1555" s="1" t="n">
        <v>43727</v>
      </c>
      <c r="C1555" s="1" t="n">
        <v>45344</v>
      </c>
      <c r="D1555" t="inlineStr">
        <is>
          <t>GÄVLEBORGS LÄN</t>
        </is>
      </c>
      <c r="E1555" t="inlineStr">
        <is>
          <t>SANDVIKEN</t>
        </is>
      </c>
      <c r="F1555" t="inlineStr">
        <is>
          <t>Sveaskog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48765-2019</t>
        </is>
      </c>
      <c r="B1556" s="1" t="n">
        <v>43727</v>
      </c>
      <c r="C1556" s="1" t="n">
        <v>45344</v>
      </c>
      <c r="D1556" t="inlineStr">
        <is>
          <t>GÄVLEBORGS LÄN</t>
        </is>
      </c>
      <c r="E1556" t="inlineStr">
        <is>
          <t>SANDVIKEN</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48764-2019</t>
        </is>
      </c>
      <c r="B1557" s="1" t="n">
        <v>43727</v>
      </c>
      <c r="C1557" s="1" t="n">
        <v>45344</v>
      </c>
      <c r="D1557" t="inlineStr">
        <is>
          <t>GÄVLEBORGS LÄN</t>
        </is>
      </c>
      <c r="E1557" t="inlineStr">
        <is>
          <t>SANDVIKEN</t>
        </is>
      </c>
      <c r="F1557" t="inlineStr">
        <is>
          <t>Sveaskog</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48773-2019</t>
        </is>
      </c>
      <c r="B1558" s="1" t="n">
        <v>43727</v>
      </c>
      <c r="C1558" s="1" t="n">
        <v>45344</v>
      </c>
      <c r="D1558" t="inlineStr">
        <is>
          <t>GÄVLEBORGS LÄN</t>
        </is>
      </c>
      <c r="E1558" t="inlineStr">
        <is>
          <t>SANDVIKEN</t>
        </is>
      </c>
      <c r="F1558" t="inlineStr">
        <is>
          <t>Sveaskog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48787-2019</t>
        </is>
      </c>
      <c r="B1559" s="1" t="n">
        <v>43727</v>
      </c>
      <c r="C1559" s="1" t="n">
        <v>45344</v>
      </c>
      <c r="D1559" t="inlineStr">
        <is>
          <t>GÄVLEBORGS LÄN</t>
        </is>
      </c>
      <c r="E1559" t="inlineStr">
        <is>
          <t>SANDVIKEN</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48596-2019</t>
        </is>
      </c>
      <c r="B1560" s="1" t="n">
        <v>43727</v>
      </c>
      <c r="C1560" s="1" t="n">
        <v>45344</v>
      </c>
      <c r="D1560" t="inlineStr">
        <is>
          <t>GÄVLEBORGS LÄN</t>
        </is>
      </c>
      <c r="E1560" t="inlineStr">
        <is>
          <t>OVANÅKER</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48766-2019</t>
        </is>
      </c>
      <c r="B1561" s="1" t="n">
        <v>43727</v>
      </c>
      <c r="C1561" s="1" t="n">
        <v>45344</v>
      </c>
      <c r="D1561" t="inlineStr">
        <is>
          <t>GÄVLEBORGS LÄN</t>
        </is>
      </c>
      <c r="E1561" t="inlineStr">
        <is>
          <t>SANDVIKEN</t>
        </is>
      </c>
      <c r="F1561" t="inlineStr">
        <is>
          <t>Sveaskog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48885-2019</t>
        </is>
      </c>
      <c r="B1562" s="1" t="n">
        <v>43728</v>
      </c>
      <c r="C1562" s="1" t="n">
        <v>45344</v>
      </c>
      <c r="D1562" t="inlineStr">
        <is>
          <t>GÄVLEBORGS LÄN</t>
        </is>
      </c>
      <c r="E1562" t="inlineStr">
        <is>
          <t>HUDIKSVALL</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48914-2019</t>
        </is>
      </c>
      <c r="B1563" s="1" t="n">
        <v>43728</v>
      </c>
      <c r="C1563" s="1" t="n">
        <v>45344</v>
      </c>
      <c r="D1563" t="inlineStr">
        <is>
          <t>GÄVLEBORGS LÄN</t>
        </is>
      </c>
      <c r="E1563" t="inlineStr">
        <is>
          <t>LJUSDAL</t>
        </is>
      </c>
      <c r="F1563" t="inlineStr">
        <is>
          <t>Holmen skog AB</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48641-2019</t>
        </is>
      </c>
      <c r="B1564" s="1" t="n">
        <v>43728</v>
      </c>
      <c r="C1564" s="1" t="n">
        <v>45344</v>
      </c>
      <c r="D1564" t="inlineStr">
        <is>
          <t>GÄVLEBORGS LÄN</t>
        </is>
      </c>
      <c r="E1564" t="inlineStr">
        <is>
          <t>GÄVLE</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48736-2019</t>
        </is>
      </c>
      <c r="B1565" s="1" t="n">
        <v>43728</v>
      </c>
      <c r="C1565" s="1" t="n">
        <v>45344</v>
      </c>
      <c r="D1565" t="inlineStr">
        <is>
          <t>GÄVLEBORGS LÄN</t>
        </is>
      </c>
      <c r="E1565" t="inlineStr">
        <is>
          <t>OVANÅKER</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48642-2019</t>
        </is>
      </c>
      <c r="B1566" s="1" t="n">
        <v>43728</v>
      </c>
      <c r="C1566" s="1" t="n">
        <v>45344</v>
      </c>
      <c r="D1566" t="inlineStr">
        <is>
          <t>GÄVLEBORGS LÄN</t>
        </is>
      </c>
      <c r="E1566" t="inlineStr">
        <is>
          <t>GÄVLE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48647-2019</t>
        </is>
      </c>
      <c r="B1567" s="1" t="n">
        <v>43728</v>
      </c>
      <c r="C1567" s="1" t="n">
        <v>45344</v>
      </c>
      <c r="D1567" t="inlineStr">
        <is>
          <t>GÄVLEBORGS LÄN</t>
        </is>
      </c>
      <c r="E1567" t="inlineStr">
        <is>
          <t>GÄVLE</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48931-2019</t>
        </is>
      </c>
      <c r="B1568" s="1" t="n">
        <v>43728</v>
      </c>
      <c r="C1568" s="1" t="n">
        <v>45344</v>
      </c>
      <c r="D1568" t="inlineStr">
        <is>
          <t>GÄVLEBORGS LÄN</t>
        </is>
      </c>
      <c r="E1568" t="inlineStr">
        <is>
          <t>OVANÅKER</t>
        </is>
      </c>
      <c r="G1568" t="n">
        <v>6.9</v>
      </c>
      <c r="H1568" t="n">
        <v>0</v>
      </c>
      <c r="I1568" t="n">
        <v>0</v>
      </c>
      <c r="J1568" t="n">
        <v>0</v>
      </c>
      <c r="K1568" t="n">
        <v>0</v>
      </c>
      <c r="L1568" t="n">
        <v>0</v>
      </c>
      <c r="M1568" t="n">
        <v>0</v>
      </c>
      <c r="N1568" t="n">
        <v>0</v>
      </c>
      <c r="O1568" t="n">
        <v>0</v>
      </c>
      <c r="P1568" t="n">
        <v>0</v>
      </c>
      <c r="Q1568" t="n">
        <v>0</v>
      </c>
      <c r="R1568" s="2" t="inlineStr"/>
    </row>
    <row r="1569" ht="15" customHeight="1">
      <c r="A1569" t="inlineStr">
        <is>
          <t>A 49156-2019</t>
        </is>
      </c>
      <c r="B1569" s="1" t="n">
        <v>43731</v>
      </c>
      <c r="C1569" s="1" t="n">
        <v>45344</v>
      </c>
      <c r="D1569" t="inlineStr">
        <is>
          <t>GÄVLEBORGS LÄN</t>
        </is>
      </c>
      <c r="E1569" t="inlineStr">
        <is>
          <t>OVANÅKER</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49108-2019</t>
        </is>
      </c>
      <c r="B1570" s="1" t="n">
        <v>43731</v>
      </c>
      <c r="C1570" s="1" t="n">
        <v>45344</v>
      </c>
      <c r="D1570" t="inlineStr">
        <is>
          <t>GÄVLEBORGS LÄN</t>
        </is>
      </c>
      <c r="E1570" t="inlineStr">
        <is>
          <t>LJUSDAL</t>
        </is>
      </c>
      <c r="F1570" t="inlineStr">
        <is>
          <t>Sveaskog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49127-2019</t>
        </is>
      </c>
      <c r="B1571" s="1" t="n">
        <v>43731</v>
      </c>
      <c r="C1571" s="1" t="n">
        <v>45344</v>
      </c>
      <c r="D1571" t="inlineStr">
        <is>
          <t>GÄVLEBORGS LÄN</t>
        </is>
      </c>
      <c r="E1571" t="inlineStr">
        <is>
          <t>OVANÅKER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49251-2019</t>
        </is>
      </c>
      <c r="B1572" s="1" t="n">
        <v>43731</v>
      </c>
      <c r="C1572" s="1" t="n">
        <v>45344</v>
      </c>
      <c r="D1572" t="inlineStr">
        <is>
          <t>GÄVLEBORGS LÄN</t>
        </is>
      </c>
      <c r="E1572" t="inlineStr">
        <is>
          <t>HUDIKSVALL</t>
        </is>
      </c>
      <c r="F1572" t="inlineStr">
        <is>
          <t>Holmen skog AB</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49103-2019</t>
        </is>
      </c>
      <c r="B1573" s="1" t="n">
        <v>43731</v>
      </c>
      <c r="C1573" s="1" t="n">
        <v>45344</v>
      </c>
      <c r="D1573" t="inlineStr">
        <is>
          <t>GÄVLEBORGS LÄN</t>
        </is>
      </c>
      <c r="E1573" t="inlineStr">
        <is>
          <t>OVANÅKER</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49248-2019</t>
        </is>
      </c>
      <c r="B1574" s="1" t="n">
        <v>43731</v>
      </c>
      <c r="C1574" s="1" t="n">
        <v>45344</v>
      </c>
      <c r="D1574" t="inlineStr">
        <is>
          <t>GÄVLEBORGS LÄN</t>
        </is>
      </c>
      <c r="E1574" t="inlineStr">
        <is>
          <t>OVANÅKER</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49135-2019</t>
        </is>
      </c>
      <c r="B1575" s="1" t="n">
        <v>43731</v>
      </c>
      <c r="C1575" s="1" t="n">
        <v>45344</v>
      </c>
      <c r="D1575" t="inlineStr">
        <is>
          <t>GÄVLEBORGS LÄN</t>
        </is>
      </c>
      <c r="E1575" t="inlineStr">
        <is>
          <t>OVANÅKER</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49241-2019</t>
        </is>
      </c>
      <c r="B1576" s="1" t="n">
        <v>43731</v>
      </c>
      <c r="C1576" s="1" t="n">
        <v>45344</v>
      </c>
      <c r="D1576" t="inlineStr">
        <is>
          <t>GÄVLEBORGS LÄN</t>
        </is>
      </c>
      <c r="E1576" t="inlineStr">
        <is>
          <t>OVANÅKER</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49298-2019</t>
        </is>
      </c>
      <c r="B1577" s="1" t="n">
        <v>43731</v>
      </c>
      <c r="C1577" s="1" t="n">
        <v>45344</v>
      </c>
      <c r="D1577" t="inlineStr">
        <is>
          <t>GÄVLEBORGS LÄN</t>
        </is>
      </c>
      <c r="E1577" t="inlineStr">
        <is>
          <t>HUDIKSVALL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49361-2019</t>
        </is>
      </c>
      <c r="B1578" s="1" t="n">
        <v>43731</v>
      </c>
      <c r="C1578" s="1" t="n">
        <v>45344</v>
      </c>
      <c r="D1578" t="inlineStr">
        <is>
          <t>GÄVLEBORGS LÄN</t>
        </is>
      </c>
      <c r="E1578" t="inlineStr">
        <is>
          <t>HOFORS</t>
        </is>
      </c>
      <c r="F1578" t="inlineStr">
        <is>
          <t>Sveaskog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49296-2019</t>
        </is>
      </c>
      <c r="B1579" s="1" t="n">
        <v>43731</v>
      </c>
      <c r="C1579" s="1" t="n">
        <v>45344</v>
      </c>
      <c r="D1579" t="inlineStr">
        <is>
          <t>GÄVLEBORGS LÄN</t>
        </is>
      </c>
      <c r="E1579" t="inlineStr">
        <is>
          <t>HOFORS</t>
        </is>
      </c>
      <c r="F1579" t="inlineStr">
        <is>
          <t>Sveaskog</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50311-2019</t>
        </is>
      </c>
      <c r="B1580" s="1" t="n">
        <v>43731</v>
      </c>
      <c r="C1580" s="1" t="n">
        <v>45344</v>
      </c>
      <c r="D1580" t="inlineStr">
        <is>
          <t>GÄVLEBORGS LÄN</t>
        </is>
      </c>
      <c r="E1580" t="inlineStr">
        <is>
          <t>LJUSDAL</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49390-2019</t>
        </is>
      </c>
      <c r="B1581" s="1" t="n">
        <v>43732</v>
      </c>
      <c r="C1581" s="1" t="n">
        <v>45344</v>
      </c>
      <c r="D1581" t="inlineStr">
        <is>
          <t>GÄVLEBORGS LÄN</t>
        </is>
      </c>
      <c r="E1581" t="inlineStr">
        <is>
          <t>HUDIKSVALL</t>
        </is>
      </c>
      <c r="F1581" t="inlineStr">
        <is>
          <t>Holmen skog AB</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49477-2019</t>
        </is>
      </c>
      <c r="B1582" s="1" t="n">
        <v>43732</v>
      </c>
      <c r="C1582" s="1" t="n">
        <v>45344</v>
      </c>
      <c r="D1582" t="inlineStr">
        <is>
          <t>GÄVLEBORGS LÄN</t>
        </is>
      </c>
      <c r="E1582" t="inlineStr">
        <is>
          <t>SÖDERHAMN</t>
        </is>
      </c>
      <c r="F1582" t="inlineStr">
        <is>
          <t>Kommuner</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49492-2019</t>
        </is>
      </c>
      <c r="B1583" s="1" t="n">
        <v>43732</v>
      </c>
      <c r="C1583" s="1" t="n">
        <v>45344</v>
      </c>
      <c r="D1583" t="inlineStr">
        <is>
          <t>GÄVLEBORGS LÄN</t>
        </is>
      </c>
      <c r="E1583" t="inlineStr">
        <is>
          <t>LJUSDAL</t>
        </is>
      </c>
      <c r="F1583" t="inlineStr">
        <is>
          <t>Bergvik skog väst AB</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49513-2019</t>
        </is>
      </c>
      <c r="B1584" s="1" t="n">
        <v>43732</v>
      </c>
      <c r="C1584" s="1" t="n">
        <v>45344</v>
      </c>
      <c r="D1584" t="inlineStr">
        <is>
          <t>GÄVLEBORGS LÄN</t>
        </is>
      </c>
      <c r="E1584" t="inlineStr">
        <is>
          <t>HUDIKSVALL</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49520-2019</t>
        </is>
      </c>
      <c r="B1585" s="1" t="n">
        <v>43732</v>
      </c>
      <c r="C1585" s="1" t="n">
        <v>45344</v>
      </c>
      <c r="D1585" t="inlineStr">
        <is>
          <t>GÄVLEBORGS LÄN</t>
        </is>
      </c>
      <c r="E1585" t="inlineStr">
        <is>
          <t>BOLLNÄS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49472-2019</t>
        </is>
      </c>
      <c r="B1586" s="1" t="n">
        <v>43732</v>
      </c>
      <c r="C1586" s="1" t="n">
        <v>45344</v>
      </c>
      <c r="D1586" t="inlineStr">
        <is>
          <t>GÄVLEBORGS LÄN</t>
        </is>
      </c>
      <c r="E1586" t="inlineStr">
        <is>
          <t>HUDIKSVALL</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49481-2019</t>
        </is>
      </c>
      <c r="B1587" s="1" t="n">
        <v>43732</v>
      </c>
      <c r="C1587" s="1" t="n">
        <v>45344</v>
      </c>
      <c r="D1587" t="inlineStr">
        <is>
          <t>GÄVLEBORGS LÄN</t>
        </is>
      </c>
      <c r="E1587" t="inlineStr">
        <is>
          <t>SÖDERHAMN</t>
        </is>
      </c>
      <c r="F1587" t="inlineStr">
        <is>
          <t>Kommuner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49607-2019</t>
        </is>
      </c>
      <c r="B1588" s="1" t="n">
        <v>43732</v>
      </c>
      <c r="C1588" s="1" t="n">
        <v>45344</v>
      </c>
      <c r="D1588" t="inlineStr">
        <is>
          <t>GÄVLEBORGS LÄN</t>
        </is>
      </c>
      <c r="E1588" t="inlineStr">
        <is>
          <t>HUDIKSVALL</t>
        </is>
      </c>
      <c r="F1588" t="inlineStr">
        <is>
          <t>Holmen skog AB</t>
        </is>
      </c>
      <c r="G1588" t="n">
        <v>9</v>
      </c>
      <c r="H1588" t="n">
        <v>0</v>
      </c>
      <c r="I1588" t="n">
        <v>0</v>
      </c>
      <c r="J1588" t="n">
        <v>0</v>
      </c>
      <c r="K1588" t="n">
        <v>0</v>
      </c>
      <c r="L1588" t="n">
        <v>0</v>
      </c>
      <c r="M1588" t="n">
        <v>0</v>
      </c>
      <c r="N1588" t="n">
        <v>0</v>
      </c>
      <c r="O1588" t="n">
        <v>0</v>
      </c>
      <c r="P1588" t="n">
        <v>0</v>
      </c>
      <c r="Q1588" t="n">
        <v>0</v>
      </c>
      <c r="R1588" s="2" t="inlineStr"/>
    </row>
    <row r="1589" ht="15" customHeight="1">
      <c r="A1589" t="inlineStr">
        <is>
          <t>A 49656-2019</t>
        </is>
      </c>
      <c r="B1589" s="1" t="n">
        <v>43732</v>
      </c>
      <c r="C1589" s="1" t="n">
        <v>45344</v>
      </c>
      <c r="D1589" t="inlineStr">
        <is>
          <t>GÄVLEBORGS LÄN</t>
        </is>
      </c>
      <c r="E1589" t="inlineStr">
        <is>
          <t>LJUSDAL</t>
        </is>
      </c>
      <c r="F1589" t="inlineStr">
        <is>
          <t>Sveaskog</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49622-2019</t>
        </is>
      </c>
      <c r="B1590" s="1" t="n">
        <v>43732</v>
      </c>
      <c r="C1590" s="1" t="n">
        <v>45344</v>
      </c>
      <c r="D1590" t="inlineStr">
        <is>
          <t>GÄVLEBORGS LÄN</t>
        </is>
      </c>
      <c r="E1590" t="inlineStr">
        <is>
          <t>OCKELBO</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49573-2019</t>
        </is>
      </c>
      <c r="B1591" s="1" t="n">
        <v>43732</v>
      </c>
      <c r="C1591" s="1" t="n">
        <v>45344</v>
      </c>
      <c r="D1591" t="inlineStr">
        <is>
          <t>GÄVLEBORGS LÄN</t>
        </is>
      </c>
      <c r="E1591" t="inlineStr">
        <is>
          <t>GÄVLE</t>
        </is>
      </c>
      <c r="F1591" t="inlineStr">
        <is>
          <t>Bergvik skog öst AB</t>
        </is>
      </c>
      <c r="G1591" t="n">
        <v>4.8</v>
      </c>
      <c r="H1591" t="n">
        <v>0</v>
      </c>
      <c r="I1591" t="n">
        <v>0</v>
      </c>
      <c r="J1591" t="n">
        <v>0</v>
      </c>
      <c r="K1591" t="n">
        <v>0</v>
      </c>
      <c r="L1591" t="n">
        <v>0</v>
      </c>
      <c r="M1591" t="n">
        <v>0</v>
      </c>
      <c r="N1591" t="n">
        <v>0</v>
      </c>
      <c r="O1591" t="n">
        <v>0</v>
      </c>
      <c r="P1591" t="n">
        <v>0</v>
      </c>
      <c r="Q1591" t="n">
        <v>0</v>
      </c>
      <c r="R1591" s="2" t="inlineStr"/>
    </row>
    <row r="1592" ht="15" customHeight="1">
      <c r="A1592" t="inlineStr">
        <is>
          <t>A 49547-2019</t>
        </is>
      </c>
      <c r="B1592" s="1" t="n">
        <v>43732</v>
      </c>
      <c r="C1592" s="1" t="n">
        <v>45344</v>
      </c>
      <c r="D1592" t="inlineStr">
        <is>
          <t>GÄVLEBORGS LÄN</t>
        </is>
      </c>
      <c r="E1592" t="inlineStr">
        <is>
          <t>SÖDERHAMN</t>
        </is>
      </c>
      <c r="F1592" t="inlineStr">
        <is>
          <t>Kommuner</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49528-2019</t>
        </is>
      </c>
      <c r="B1593" s="1" t="n">
        <v>43732</v>
      </c>
      <c r="C1593" s="1" t="n">
        <v>45344</v>
      </c>
      <c r="D1593" t="inlineStr">
        <is>
          <t>GÄVLEBORGS LÄN</t>
        </is>
      </c>
      <c r="E1593" t="inlineStr">
        <is>
          <t>SANDVIKEN</t>
        </is>
      </c>
      <c r="F1593" t="inlineStr">
        <is>
          <t>Bergvik skog öst AB</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49994-2019</t>
        </is>
      </c>
      <c r="B1594" s="1" t="n">
        <v>43733</v>
      </c>
      <c r="C1594" s="1" t="n">
        <v>45344</v>
      </c>
      <c r="D1594" t="inlineStr">
        <is>
          <t>GÄVLEBORGS LÄN</t>
        </is>
      </c>
      <c r="E1594" t="inlineStr">
        <is>
          <t>HUDIKSVALL</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49909-2019</t>
        </is>
      </c>
      <c r="B1595" s="1" t="n">
        <v>43733</v>
      </c>
      <c r="C1595" s="1" t="n">
        <v>45344</v>
      </c>
      <c r="D1595" t="inlineStr">
        <is>
          <t>GÄVLEBORGS LÄN</t>
        </is>
      </c>
      <c r="E1595" t="inlineStr">
        <is>
          <t>BOLLNÄS</t>
        </is>
      </c>
      <c r="F1595" t="inlineStr">
        <is>
          <t>Sveaskog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49906-2019</t>
        </is>
      </c>
      <c r="B1596" s="1" t="n">
        <v>43733</v>
      </c>
      <c r="C1596" s="1" t="n">
        <v>45344</v>
      </c>
      <c r="D1596" t="inlineStr">
        <is>
          <t>GÄVLEBORGS LÄN</t>
        </is>
      </c>
      <c r="E1596" t="inlineStr">
        <is>
          <t>BOLLNÄS</t>
        </is>
      </c>
      <c r="F1596" t="inlineStr">
        <is>
          <t>Sveaskog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50222-2019</t>
        </is>
      </c>
      <c r="B1597" s="1" t="n">
        <v>43734</v>
      </c>
      <c r="C1597" s="1" t="n">
        <v>45344</v>
      </c>
      <c r="D1597" t="inlineStr">
        <is>
          <t>GÄVLEBORGS LÄN</t>
        </is>
      </c>
      <c r="E1597" t="inlineStr">
        <is>
          <t>LJUSDAL</t>
        </is>
      </c>
      <c r="G1597" t="n">
        <v>22.9</v>
      </c>
      <c r="H1597" t="n">
        <v>0</v>
      </c>
      <c r="I1597" t="n">
        <v>0</v>
      </c>
      <c r="J1597" t="n">
        <v>0</v>
      </c>
      <c r="K1597" t="n">
        <v>0</v>
      </c>
      <c r="L1597" t="n">
        <v>0</v>
      </c>
      <c r="M1597" t="n">
        <v>0</v>
      </c>
      <c r="N1597" t="n">
        <v>0</v>
      </c>
      <c r="O1597" t="n">
        <v>0</v>
      </c>
      <c r="P1597" t="n">
        <v>0</v>
      </c>
      <c r="Q1597" t="n">
        <v>0</v>
      </c>
      <c r="R1597" s="2" t="inlineStr"/>
    </row>
    <row r="1598" ht="15" customHeight="1">
      <c r="A1598" t="inlineStr">
        <is>
          <t>A 50154-2019</t>
        </is>
      </c>
      <c r="B1598" s="1" t="n">
        <v>43734</v>
      </c>
      <c r="C1598" s="1" t="n">
        <v>45344</v>
      </c>
      <c r="D1598" t="inlineStr">
        <is>
          <t>GÄVLEBORGS LÄN</t>
        </is>
      </c>
      <c r="E1598" t="inlineStr">
        <is>
          <t>HUDIKSVALL</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50201-2019</t>
        </is>
      </c>
      <c r="B1599" s="1" t="n">
        <v>43734</v>
      </c>
      <c r="C1599" s="1" t="n">
        <v>45344</v>
      </c>
      <c r="D1599" t="inlineStr">
        <is>
          <t>GÄVLEBORGS LÄN</t>
        </is>
      </c>
      <c r="E1599" t="inlineStr">
        <is>
          <t>SÖDERHAMN</t>
        </is>
      </c>
      <c r="F1599" t="inlineStr">
        <is>
          <t>Kommuner</t>
        </is>
      </c>
      <c r="G1599" t="n">
        <v>8.800000000000001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50093-2019</t>
        </is>
      </c>
      <c r="B1600" s="1" t="n">
        <v>43734</v>
      </c>
      <c r="C1600" s="1" t="n">
        <v>45344</v>
      </c>
      <c r="D1600" t="inlineStr">
        <is>
          <t>GÄVLEBORGS LÄN</t>
        </is>
      </c>
      <c r="E1600" t="inlineStr">
        <is>
          <t>HUDIKSVALL</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50150-2019</t>
        </is>
      </c>
      <c r="B1601" s="1" t="n">
        <v>43734</v>
      </c>
      <c r="C1601" s="1" t="n">
        <v>45344</v>
      </c>
      <c r="D1601" t="inlineStr">
        <is>
          <t>GÄVLEBORGS LÄN</t>
        </is>
      </c>
      <c r="E1601" t="inlineStr">
        <is>
          <t>NORDANSTIG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50249-2019</t>
        </is>
      </c>
      <c r="B1602" s="1" t="n">
        <v>43734</v>
      </c>
      <c r="C1602" s="1" t="n">
        <v>45344</v>
      </c>
      <c r="D1602" t="inlineStr">
        <is>
          <t>GÄVLEBORGS LÄN</t>
        </is>
      </c>
      <c r="E1602" t="inlineStr">
        <is>
          <t>HUDIKSVALL</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50152-2019</t>
        </is>
      </c>
      <c r="B1603" s="1" t="n">
        <v>43734</v>
      </c>
      <c r="C1603" s="1" t="n">
        <v>45344</v>
      </c>
      <c r="D1603" t="inlineStr">
        <is>
          <t>GÄVLEBORGS LÄN</t>
        </is>
      </c>
      <c r="E1603" t="inlineStr">
        <is>
          <t>HUDIKSVALL</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50333-2019</t>
        </is>
      </c>
      <c r="B1604" s="1" t="n">
        <v>43735</v>
      </c>
      <c r="C1604" s="1" t="n">
        <v>45344</v>
      </c>
      <c r="D1604" t="inlineStr">
        <is>
          <t>GÄVLEBORGS LÄN</t>
        </is>
      </c>
      <c r="E1604" t="inlineStr">
        <is>
          <t>GÄVLE</t>
        </is>
      </c>
      <c r="F1604" t="inlineStr">
        <is>
          <t>Bergvik skog väst AB</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50444-2019</t>
        </is>
      </c>
      <c r="B1605" s="1" t="n">
        <v>43735</v>
      </c>
      <c r="C1605" s="1" t="n">
        <v>45344</v>
      </c>
      <c r="D1605" t="inlineStr">
        <is>
          <t>GÄVLEBORGS LÄN</t>
        </is>
      </c>
      <c r="E1605" t="inlineStr">
        <is>
          <t>OVANÅKER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50307-2019</t>
        </is>
      </c>
      <c r="B1606" s="1" t="n">
        <v>43735</v>
      </c>
      <c r="C1606" s="1" t="n">
        <v>45344</v>
      </c>
      <c r="D1606" t="inlineStr">
        <is>
          <t>GÄVLEBORGS LÄN</t>
        </is>
      </c>
      <c r="E1606" t="inlineStr">
        <is>
          <t>LJUSDAL</t>
        </is>
      </c>
      <c r="G1606" t="n">
        <v>18.4</v>
      </c>
      <c r="H1606" t="n">
        <v>0</v>
      </c>
      <c r="I1606" t="n">
        <v>0</v>
      </c>
      <c r="J1606" t="n">
        <v>0</v>
      </c>
      <c r="K1606" t="n">
        <v>0</v>
      </c>
      <c r="L1606" t="n">
        <v>0</v>
      </c>
      <c r="M1606" t="n">
        <v>0</v>
      </c>
      <c r="N1606" t="n">
        <v>0</v>
      </c>
      <c r="O1606" t="n">
        <v>0</v>
      </c>
      <c r="P1606" t="n">
        <v>0</v>
      </c>
      <c r="Q1606" t="n">
        <v>0</v>
      </c>
      <c r="R1606" s="2" t="inlineStr"/>
    </row>
    <row r="1607" ht="15" customHeight="1">
      <c r="A1607" t="inlineStr">
        <is>
          <t>A 50757-2019</t>
        </is>
      </c>
      <c r="B1607" s="1" t="n">
        <v>43738</v>
      </c>
      <c r="C1607" s="1" t="n">
        <v>45344</v>
      </c>
      <c r="D1607" t="inlineStr">
        <is>
          <t>GÄVLEBORGS LÄN</t>
        </is>
      </c>
      <c r="E1607" t="inlineStr">
        <is>
          <t>HUDIKSVALL</t>
        </is>
      </c>
      <c r="F1607" t="inlineStr">
        <is>
          <t>Holmen skog AB</t>
        </is>
      </c>
      <c r="G1607" t="n">
        <v>35.3</v>
      </c>
      <c r="H1607" t="n">
        <v>0</v>
      </c>
      <c r="I1607" t="n">
        <v>0</v>
      </c>
      <c r="J1607" t="n">
        <v>0</v>
      </c>
      <c r="K1607" t="n">
        <v>0</v>
      </c>
      <c r="L1607" t="n">
        <v>0</v>
      </c>
      <c r="M1607" t="n">
        <v>0</v>
      </c>
      <c r="N1607" t="n">
        <v>0</v>
      </c>
      <c r="O1607" t="n">
        <v>0</v>
      </c>
      <c r="P1607" t="n">
        <v>0</v>
      </c>
      <c r="Q1607" t="n">
        <v>0</v>
      </c>
      <c r="R1607" s="2" t="inlineStr"/>
    </row>
    <row r="1608" ht="15" customHeight="1">
      <c r="A1608" t="inlineStr">
        <is>
          <t>A 50705-2019</t>
        </is>
      </c>
      <c r="B1608" s="1" t="n">
        <v>43738</v>
      </c>
      <c r="C1608" s="1" t="n">
        <v>45344</v>
      </c>
      <c r="D1608" t="inlineStr">
        <is>
          <t>GÄVLEBORGS LÄN</t>
        </is>
      </c>
      <c r="E1608" t="inlineStr">
        <is>
          <t>BOLLNÄS</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55504-2019</t>
        </is>
      </c>
      <c r="B1609" s="1" t="n">
        <v>43738</v>
      </c>
      <c r="C1609" s="1" t="n">
        <v>45344</v>
      </c>
      <c r="D1609" t="inlineStr">
        <is>
          <t>GÄVLEBORGS LÄN</t>
        </is>
      </c>
      <c r="E1609" t="inlineStr">
        <is>
          <t>LJUSDAL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50696-2019</t>
        </is>
      </c>
      <c r="B1610" s="1" t="n">
        <v>43738</v>
      </c>
      <c r="C1610" s="1" t="n">
        <v>45344</v>
      </c>
      <c r="D1610" t="inlineStr">
        <is>
          <t>GÄVLEBORGS LÄN</t>
        </is>
      </c>
      <c r="E1610" t="inlineStr">
        <is>
          <t>HOFORS</t>
        </is>
      </c>
      <c r="F1610" t="inlineStr">
        <is>
          <t>Sveaskog</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50694-2019</t>
        </is>
      </c>
      <c r="B1611" s="1" t="n">
        <v>43738</v>
      </c>
      <c r="C1611" s="1" t="n">
        <v>45344</v>
      </c>
      <c r="D1611" t="inlineStr">
        <is>
          <t>GÄVLEBORGS LÄN</t>
        </is>
      </c>
      <c r="E1611" t="inlineStr">
        <is>
          <t>HOFORS</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55549-2019</t>
        </is>
      </c>
      <c r="B1612" s="1" t="n">
        <v>43738</v>
      </c>
      <c r="C1612" s="1" t="n">
        <v>45344</v>
      </c>
      <c r="D1612" t="inlineStr">
        <is>
          <t>GÄVLEBORGS LÄN</t>
        </is>
      </c>
      <c r="E1612" t="inlineStr">
        <is>
          <t>LJUSDAL</t>
        </is>
      </c>
      <c r="G1612" t="n">
        <v>0.2</v>
      </c>
      <c r="H1612" t="n">
        <v>0</v>
      </c>
      <c r="I1612" t="n">
        <v>0</v>
      </c>
      <c r="J1612" t="n">
        <v>0</v>
      </c>
      <c r="K1612" t="n">
        <v>0</v>
      </c>
      <c r="L1612" t="n">
        <v>0</v>
      </c>
      <c r="M1612" t="n">
        <v>0</v>
      </c>
      <c r="N1612" t="n">
        <v>0</v>
      </c>
      <c r="O1612" t="n">
        <v>0</v>
      </c>
      <c r="P1612" t="n">
        <v>0</v>
      </c>
      <c r="Q1612" t="n">
        <v>0</v>
      </c>
      <c r="R1612" s="2" t="inlineStr"/>
    </row>
    <row r="1613" ht="15" customHeight="1">
      <c r="A1613" t="inlineStr">
        <is>
          <t>A 51162-2019</t>
        </is>
      </c>
      <c r="B1613" s="1" t="n">
        <v>43739</v>
      </c>
      <c r="C1613" s="1" t="n">
        <v>45344</v>
      </c>
      <c r="D1613" t="inlineStr">
        <is>
          <t>GÄVLEBORGS LÄN</t>
        </is>
      </c>
      <c r="E1613" t="inlineStr">
        <is>
          <t>BOLLNÄS</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51286-2019</t>
        </is>
      </c>
      <c r="B1614" s="1" t="n">
        <v>43739</v>
      </c>
      <c r="C1614" s="1" t="n">
        <v>45344</v>
      </c>
      <c r="D1614" t="inlineStr">
        <is>
          <t>GÄVLEBORGS LÄN</t>
        </is>
      </c>
      <c r="E1614" t="inlineStr">
        <is>
          <t>OVANÅKER</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51307-2019</t>
        </is>
      </c>
      <c r="B1615" s="1" t="n">
        <v>43739</v>
      </c>
      <c r="C1615" s="1" t="n">
        <v>45344</v>
      </c>
      <c r="D1615" t="inlineStr">
        <is>
          <t>GÄVLEBORGS LÄN</t>
        </is>
      </c>
      <c r="E1615" t="inlineStr">
        <is>
          <t>HUDIKSVALL</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51076-2019</t>
        </is>
      </c>
      <c r="B1616" s="1" t="n">
        <v>43739</v>
      </c>
      <c r="C1616" s="1" t="n">
        <v>45344</v>
      </c>
      <c r="D1616" t="inlineStr">
        <is>
          <t>GÄVLEBORGS LÄN</t>
        </is>
      </c>
      <c r="E1616" t="inlineStr">
        <is>
          <t>HUDIKSVALL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51425-2019</t>
        </is>
      </c>
      <c r="B1617" s="1" t="n">
        <v>43740</v>
      </c>
      <c r="C1617" s="1" t="n">
        <v>45344</v>
      </c>
      <c r="D1617" t="inlineStr">
        <is>
          <t>GÄVLEBORGS LÄN</t>
        </is>
      </c>
      <c r="E1617" t="inlineStr">
        <is>
          <t>BOLLNÄS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51582-2019</t>
        </is>
      </c>
      <c r="B1618" s="1" t="n">
        <v>43740</v>
      </c>
      <c r="C1618" s="1" t="n">
        <v>45344</v>
      </c>
      <c r="D1618" t="inlineStr">
        <is>
          <t>GÄVLEBORGS LÄN</t>
        </is>
      </c>
      <c r="E1618" t="inlineStr">
        <is>
          <t>HUDIKSVALL</t>
        </is>
      </c>
      <c r="F1618" t="inlineStr">
        <is>
          <t>Holmen skog AB</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53327-2019</t>
        </is>
      </c>
      <c r="B1619" s="1" t="n">
        <v>43740</v>
      </c>
      <c r="C1619" s="1" t="n">
        <v>45344</v>
      </c>
      <c r="D1619" t="inlineStr">
        <is>
          <t>GÄVLEBORGS LÄN</t>
        </is>
      </c>
      <c r="E1619" t="inlineStr">
        <is>
          <t>OVANÅKER</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51770-2019</t>
        </is>
      </c>
      <c r="B1620" s="1" t="n">
        <v>43741</v>
      </c>
      <c r="C1620" s="1" t="n">
        <v>45344</v>
      </c>
      <c r="D1620" t="inlineStr">
        <is>
          <t>GÄVLEBORGS LÄN</t>
        </is>
      </c>
      <c r="E1620" t="inlineStr">
        <is>
          <t>HUDIKSVALL</t>
        </is>
      </c>
      <c r="F1620" t="inlineStr">
        <is>
          <t>Holmen skog AB</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51825-2019</t>
        </is>
      </c>
      <c r="B1621" s="1" t="n">
        <v>43741</v>
      </c>
      <c r="C1621" s="1" t="n">
        <v>45344</v>
      </c>
      <c r="D1621" t="inlineStr">
        <is>
          <t>GÄVLEBORGS LÄN</t>
        </is>
      </c>
      <c r="E1621" t="inlineStr">
        <is>
          <t>BOLLNÄS</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51904-2019</t>
        </is>
      </c>
      <c r="B1622" s="1" t="n">
        <v>43741</v>
      </c>
      <c r="C1622" s="1" t="n">
        <v>45344</v>
      </c>
      <c r="D1622" t="inlineStr">
        <is>
          <t>GÄVLEBORGS LÄN</t>
        </is>
      </c>
      <c r="E1622" t="inlineStr">
        <is>
          <t>NORDANSTIG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51927-2019</t>
        </is>
      </c>
      <c r="B1623" s="1" t="n">
        <v>43741</v>
      </c>
      <c r="C1623" s="1" t="n">
        <v>45344</v>
      </c>
      <c r="D1623" t="inlineStr">
        <is>
          <t>GÄVLEBORGS LÄN</t>
        </is>
      </c>
      <c r="E1623" t="inlineStr">
        <is>
          <t>HOFORS</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51779-2019</t>
        </is>
      </c>
      <c r="B1624" s="1" t="n">
        <v>43741</v>
      </c>
      <c r="C1624" s="1" t="n">
        <v>45344</v>
      </c>
      <c r="D1624" t="inlineStr">
        <is>
          <t>GÄVLEBORGS LÄN</t>
        </is>
      </c>
      <c r="E1624" t="inlineStr">
        <is>
          <t>LJUSDAL</t>
        </is>
      </c>
      <c r="F1624" t="inlineStr">
        <is>
          <t>Sveaskog</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52096-2019</t>
        </is>
      </c>
      <c r="B1625" s="1" t="n">
        <v>43742</v>
      </c>
      <c r="C1625" s="1" t="n">
        <v>45344</v>
      </c>
      <c r="D1625" t="inlineStr">
        <is>
          <t>GÄVLEBORGS LÄN</t>
        </is>
      </c>
      <c r="E1625" t="inlineStr">
        <is>
          <t>LJUSDAL</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52178-2019</t>
        </is>
      </c>
      <c r="B1626" s="1" t="n">
        <v>43742</v>
      </c>
      <c r="C1626" s="1" t="n">
        <v>45344</v>
      </c>
      <c r="D1626" t="inlineStr">
        <is>
          <t>GÄVLEBORGS LÄN</t>
        </is>
      </c>
      <c r="E1626" t="inlineStr">
        <is>
          <t>BOLLNÄS</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52176-2019</t>
        </is>
      </c>
      <c r="B1627" s="1" t="n">
        <v>43742</v>
      </c>
      <c r="C1627" s="1" t="n">
        <v>45344</v>
      </c>
      <c r="D1627" t="inlineStr">
        <is>
          <t>GÄVLEBORGS LÄN</t>
        </is>
      </c>
      <c r="E1627" t="inlineStr">
        <is>
          <t>BOLLNÄS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52125-2019</t>
        </is>
      </c>
      <c r="B1628" s="1" t="n">
        <v>43742</v>
      </c>
      <c r="C1628" s="1" t="n">
        <v>45344</v>
      </c>
      <c r="D1628" t="inlineStr">
        <is>
          <t>GÄVLEBORGS LÄN</t>
        </is>
      </c>
      <c r="E1628" t="inlineStr">
        <is>
          <t>BOLLNÄS</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52181-2019</t>
        </is>
      </c>
      <c r="B1629" s="1" t="n">
        <v>43742</v>
      </c>
      <c r="C1629" s="1" t="n">
        <v>45344</v>
      </c>
      <c r="D1629" t="inlineStr">
        <is>
          <t>GÄVLEBORGS LÄN</t>
        </is>
      </c>
      <c r="E1629" t="inlineStr">
        <is>
          <t>BOLLNÄS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52336-2019</t>
        </is>
      </c>
      <c r="B1630" s="1" t="n">
        <v>43745</v>
      </c>
      <c r="C1630" s="1" t="n">
        <v>45344</v>
      </c>
      <c r="D1630" t="inlineStr">
        <is>
          <t>GÄVLEBORGS LÄN</t>
        </is>
      </c>
      <c r="E1630" t="inlineStr">
        <is>
          <t>HUDIKSVALL</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52458-2019</t>
        </is>
      </c>
      <c r="B1631" s="1" t="n">
        <v>43745</v>
      </c>
      <c r="C1631" s="1" t="n">
        <v>45344</v>
      </c>
      <c r="D1631" t="inlineStr">
        <is>
          <t>GÄVLEBORGS LÄN</t>
        </is>
      </c>
      <c r="E1631" t="inlineStr">
        <is>
          <t>SANDVIKEN</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54168-2019</t>
        </is>
      </c>
      <c r="B1632" s="1" t="n">
        <v>43745</v>
      </c>
      <c r="C1632" s="1" t="n">
        <v>45344</v>
      </c>
      <c r="D1632" t="inlineStr">
        <is>
          <t>GÄVLEBORGS LÄN</t>
        </is>
      </c>
      <c r="E1632" t="inlineStr">
        <is>
          <t>LJUSDAL</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52405-2019</t>
        </is>
      </c>
      <c r="B1633" s="1" t="n">
        <v>43745</v>
      </c>
      <c r="C1633" s="1" t="n">
        <v>45344</v>
      </c>
      <c r="D1633" t="inlineStr">
        <is>
          <t>GÄVLEBORGS LÄN</t>
        </is>
      </c>
      <c r="E1633" t="inlineStr">
        <is>
          <t>LJUSDAL</t>
        </is>
      </c>
      <c r="F1633" t="inlineStr">
        <is>
          <t>Sveaskog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52365-2019</t>
        </is>
      </c>
      <c r="B1634" s="1" t="n">
        <v>43745</v>
      </c>
      <c r="C1634" s="1" t="n">
        <v>45344</v>
      </c>
      <c r="D1634" t="inlineStr">
        <is>
          <t>GÄVLEBORGS LÄN</t>
        </is>
      </c>
      <c r="E1634" t="inlineStr">
        <is>
          <t>HUDIKSVALL</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52795-2019</t>
        </is>
      </c>
      <c r="B1635" s="1" t="n">
        <v>43746</v>
      </c>
      <c r="C1635" s="1" t="n">
        <v>45344</v>
      </c>
      <c r="D1635" t="inlineStr">
        <is>
          <t>GÄVLEBORGS LÄN</t>
        </is>
      </c>
      <c r="E1635" t="inlineStr">
        <is>
          <t>NORDANSTIG</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52626-2019</t>
        </is>
      </c>
      <c r="B1636" s="1" t="n">
        <v>43746</v>
      </c>
      <c r="C1636" s="1" t="n">
        <v>45344</v>
      </c>
      <c r="D1636" t="inlineStr">
        <is>
          <t>GÄVLEBORGS LÄN</t>
        </is>
      </c>
      <c r="E1636" t="inlineStr">
        <is>
          <t>LJUSDAL</t>
        </is>
      </c>
      <c r="G1636" t="n">
        <v>18.9</v>
      </c>
      <c r="H1636" t="n">
        <v>0</v>
      </c>
      <c r="I1636" t="n">
        <v>0</v>
      </c>
      <c r="J1636" t="n">
        <v>0</v>
      </c>
      <c r="K1636" t="n">
        <v>0</v>
      </c>
      <c r="L1636" t="n">
        <v>0</v>
      </c>
      <c r="M1636" t="n">
        <v>0</v>
      </c>
      <c r="N1636" t="n">
        <v>0</v>
      </c>
      <c r="O1636" t="n">
        <v>0</v>
      </c>
      <c r="P1636" t="n">
        <v>0</v>
      </c>
      <c r="Q1636" t="n">
        <v>0</v>
      </c>
      <c r="R1636" s="2" t="inlineStr"/>
    </row>
    <row r="1637" ht="15" customHeight="1">
      <c r="A1637" t="inlineStr">
        <is>
          <t>A 53589-2019</t>
        </is>
      </c>
      <c r="B1637" s="1" t="n">
        <v>43746</v>
      </c>
      <c r="C1637" s="1" t="n">
        <v>45344</v>
      </c>
      <c r="D1637" t="inlineStr">
        <is>
          <t>GÄVLEBORGS LÄN</t>
        </is>
      </c>
      <c r="E1637" t="inlineStr">
        <is>
          <t>SÖDERHAMN</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52743-2019</t>
        </is>
      </c>
      <c r="B1638" s="1" t="n">
        <v>43746</v>
      </c>
      <c r="C1638" s="1" t="n">
        <v>45344</v>
      </c>
      <c r="D1638" t="inlineStr">
        <is>
          <t>GÄVLEBORGS LÄN</t>
        </is>
      </c>
      <c r="E1638" t="inlineStr">
        <is>
          <t>GÄVLE</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52942-2019</t>
        </is>
      </c>
      <c r="B1639" s="1" t="n">
        <v>43747</v>
      </c>
      <c r="C1639" s="1" t="n">
        <v>45344</v>
      </c>
      <c r="D1639" t="inlineStr">
        <is>
          <t>GÄVLEBORGS LÄN</t>
        </is>
      </c>
      <c r="E1639" t="inlineStr">
        <is>
          <t>OVANÅKER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52976-2019</t>
        </is>
      </c>
      <c r="B1640" s="1" t="n">
        <v>43747</v>
      </c>
      <c r="C1640" s="1" t="n">
        <v>45344</v>
      </c>
      <c r="D1640" t="inlineStr">
        <is>
          <t>GÄVLEBORGS LÄN</t>
        </is>
      </c>
      <c r="E1640" t="inlineStr">
        <is>
          <t>SÖDERHAMN</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53010-2019</t>
        </is>
      </c>
      <c r="B1641" s="1" t="n">
        <v>43747</v>
      </c>
      <c r="C1641" s="1" t="n">
        <v>45344</v>
      </c>
      <c r="D1641" t="inlineStr">
        <is>
          <t>GÄVLEBORGS LÄN</t>
        </is>
      </c>
      <c r="E1641" t="inlineStr">
        <is>
          <t>OCKELBO</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52972-2019</t>
        </is>
      </c>
      <c r="B1642" s="1" t="n">
        <v>43747</v>
      </c>
      <c r="C1642" s="1" t="n">
        <v>45344</v>
      </c>
      <c r="D1642" t="inlineStr">
        <is>
          <t>GÄVLEBORGS LÄN</t>
        </is>
      </c>
      <c r="E1642" t="inlineStr">
        <is>
          <t>LJUSDAL</t>
        </is>
      </c>
      <c r="F1642" t="inlineStr">
        <is>
          <t>Sveaskog</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52973-2019</t>
        </is>
      </c>
      <c r="B1643" s="1" t="n">
        <v>43747</v>
      </c>
      <c r="C1643" s="1" t="n">
        <v>45344</v>
      </c>
      <c r="D1643" t="inlineStr">
        <is>
          <t>GÄVLEBORGS LÄN</t>
        </is>
      </c>
      <c r="E1643" t="inlineStr">
        <is>
          <t>LJUSDAL</t>
        </is>
      </c>
      <c r="F1643" t="inlineStr">
        <is>
          <t>Sveaskog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53219-2019</t>
        </is>
      </c>
      <c r="B1644" s="1" t="n">
        <v>43748</v>
      </c>
      <c r="C1644" s="1" t="n">
        <v>45344</v>
      </c>
      <c r="D1644" t="inlineStr">
        <is>
          <t>GÄVLEBORGS LÄN</t>
        </is>
      </c>
      <c r="E1644" t="inlineStr">
        <is>
          <t>OCKELBO</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53312-2019</t>
        </is>
      </c>
      <c r="B1645" s="1" t="n">
        <v>43748</v>
      </c>
      <c r="C1645" s="1" t="n">
        <v>45344</v>
      </c>
      <c r="D1645" t="inlineStr">
        <is>
          <t>GÄVLEBORGS LÄN</t>
        </is>
      </c>
      <c r="E1645" t="inlineStr">
        <is>
          <t>HOFORS</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53356-2019</t>
        </is>
      </c>
      <c r="B1646" s="1" t="n">
        <v>43748</v>
      </c>
      <c r="C1646" s="1" t="n">
        <v>45344</v>
      </c>
      <c r="D1646" t="inlineStr">
        <is>
          <t>GÄVLEBORGS LÄN</t>
        </is>
      </c>
      <c r="E1646" t="inlineStr">
        <is>
          <t>OCKELBO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53249-2019</t>
        </is>
      </c>
      <c r="B1647" s="1" t="n">
        <v>43748</v>
      </c>
      <c r="C1647" s="1" t="n">
        <v>45344</v>
      </c>
      <c r="D1647" t="inlineStr">
        <is>
          <t>GÄVLEBORGS LÄN</t>
        </is>
      </c>
      <c r="E1647" t="inlineStr">
        <is>
          <t>OVANÅKER</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53361-2019</t>
        </is>
      </c>
      <c r="B1648" s="1" t="n">
        <v>43748</v>
      </c>
      <c r="C1648" s="1" t="n">
        <v>45344</v>
      </c>
      <c r="D1648" t="inlineStr">
        <is>
          <t>GÄVLEBORGS LÄN</t>
        </is>
      </c>
      <c r="E1648" t="inlineStr">
        <is>
          <t>NORDANSTIG</t>
        </is>
      </c>
      <c r="F1648" t="inlineStr">
        <is>
          <t>Holmen skog AB</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53384-2019</t>
        </is>
      </c>
      <c r="B1649" s="1" t="n">
        <v>43748</v>
      </c>
      <c r="C1649" s="1" t="n">
        <v>45344</v>
      </c>
      <c r="D1649" t="inlineStr">
        <is>
          <t>GÄVLEBORGS LÄN</t>
        </is>
      </c>
      <c r="E1649" t="inlineStr">
        <is>
          <t>HUDIKSVALL</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53395-2019</t>
        </is>
      </c>
      <c r="B1650" s="1" t="n">
        <v>43748</v>
      </c>
      <c r="C1650" s="1" t="n">
        <v>45344</v>
      </c>
      <c r="D1650" t="inlineStr">
        <is>
          <t>GÄVLEBORGS LÄN</t>
        </is>
      </c>
      <c r="E1650" t="inlineStr">
        <is>
          <t>BOLLNÄS</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53218-2019</t>
        </is>
      </c>
      <c r="B1651" s="1" t="n">
        <v>43748</v>
      </c>
      <c r="C1651" s="1" t="n">
        <v>45344</v>
      </c>
      <c r="D1651" t="inlineStr">
        <is>
          <t>GÄVLEBORGS LÄN</t>
        </is>
      </c>
      <c r="E1651" t="inlineStr">
        <is>
          <t>OCKELBO</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53386-2019</t>
        </is>
      </c>
      <c r="B1652" s="1" t="n">
        <v>43748</v>
      </c>
      <c r="C1652" s="1" t="n">
        <v>45344</v>
      </c>
      <c r="D1652" t="inlineStr">
        <is>
          <t>GÄVLEBORGS LÄN</t>
        </is>
      </c>
      <c r="E1652" t="inlineStr">
        <is>
          <t>SÖDERHAMN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53429-2019</t>
        </is>
      </c>
      <c r="B1653" s="1" t="n">
        <v>43748</v>
      </c>
      <c r="C1653" s="1" t="n">
        <v>45344</v>
      </c>
      <c r="D1653" t="inlineStr">
        <is>
          <t>GÄVLEBORGS LÄN</t>
        </is>
      </c>
      <c r="E1653" t="inlineStr">
        <is>
          <t>LJUSDAL</t>
        </is>
      </c>
      <c r="F1653" t="inlineStr">
        <is>
          <t>Sveaskog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53409-2019</t>
        </is>
      </c>
      <c r="B1654" s="1" t="n">
        <v>43748</v>
      </c>
      <c r="C1654" s="1" t="n">
        <v>45344</v>
      </c>
      <c r="D1654" t="inlineStr">
        <is>
          <t>GÄVLEBORGS LÄN</t>
        </is>
      </c>
      <c r="E1654" t="inlineStr">
        <is>
          <t>SÖDERHAMN</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53198-2019</t>
        </is>
      </c>
      <c r="B1655" s="1" t="n">
        <v>43748</v>
      </c>
      <c r="C1655" s="1" t="n">
        <v>45344</v>
      </c>
      <c r="D1655" t="inlineStr">
        <is>
          <t>GÄVLEBORGS LÄN</t>
        </is>
      </c>
      <c r="E1655" t="inlineStr">
        <is>
          <t>NORDANSTIG</t>
        </is>
      </c>
      <c r="F1655" t="inlineStr">
        <is>
          <t>Holmen skog AB</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53215-2019</t>
        </is>
      </c>
      <c r="B1656" s="1" t="n">
        <v>43748</v>
      </c>
      <c r="C1656" s="1" t="n">
        <v>45344</v>
      </c>
      <c r="D1656" t="inlineStr">
        <is>
          <t>GÄVLEBORGS LÄN</t>
        </is>
      </c>
      <c r="E1656" t="inlineStr">
        <is>
          <t>OCKELBO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53646-2019</t>
        </is>
      </c>
      <c r="B1657" s="1" t="n">
        <v>43749</v>
      </c>
      <c r="C1657" s="1" t="n">
        <v>45344</v>
      </c>
      <c r="D1657" t="inlineStr">
        <is>
          <t>GÄVLEBORGS LÄN</t>
        </is>
      </c>
      <c r="E1657" t="inlineStr">
        <is>
          <t>OVANÅKER</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53513-2019</t>
        </is>
      </c>
      <c r="B1658" s="1" t="n">
        <v>43749</v>
      </c>
      <c r="C1658" s="1" t="n">
        <v>45344</v>
      </c>
      <c r="D1658" t="inlineStr">
        <is>
          <t>GÄVLEBORGS LÄN</t>
        </is>
      </c>
      <c r="E1658" t="inlineStr">
        <is>
          <t>LJUSDAL</t>
        </is>
      </c>
      <c r="F1658" t="inlineStr">
        <is>
          <t>Sveaskog</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53507-2019</t>
        </is>
      </c>
      <c r="B1659" s="1" t="n">
        <v>43749</v>
      </c>
      <c r="C1659" s="1" t="n">
        <v>45344</v>
      </c>
      <c r="D1659" t="inlineStr">
        <is>
          <t>GÄVLEBORGS LÄN</t>
        </is>
      </c>
      <c r="E1659" t="inlineStr">
        <is>
          <t>BOLLNÄS</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53520-2019</t>
        </is>
      </c>
      <c r="B1660" s="1" t="n">
        <v>43749</v>
      </c>
      <c r="C1660" s="1" t="n">
        <v>45344</v>
      </c>
      <c r="D1660" t="inlineStr">
        <is>
          <t>GÄVLEBORGS LÄN</t>
        </is>
      </c>
      <c r="E1660" t="inlineStr">
        <is>
          <t>SANDVIKEN</t>
        </is>
      </c>
      <c r="F1660" t="inlineStr">
        <is>
          <t>Bergvik skog öst AB</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53850-2019</t>
        </is>
      </c>
      <c r="B1661" s="1" t="n">
        <v>43752</v>
      </c>
      <c r="C1661" s="1" t="n">
        <v>45344</v>
      </c>
      <c r="D1661" t="inlineStr">
        <is>
          <t>GÄVLEBORGS LÄN</t>
        </is>
      </c>
      <c r="E1661" t="inlineStr">
        <is>
          <t>HOFORS</t>
        </is>
      </c>
      <c r="F1661" t="inlineStr">
        <is>
          <t>Sveaskog</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53908-2019</t>
        </is>
      </c>
      <c r="B1662" s="1" t="n">
        <v>43752</v>
      </c>
      <c r="C1662" s="1" t="n">
        <v>45344</v>
      </c>
      <c r="D1662" t="inlineStr">
        <is>
          <t>GÄVLEBORGS LÄN</t>
        </is>
      </c>
      <c r="E1662" t="inlineStr">
        <is>
          <t>HOFORS</t>
        </is>
      </c>
      <c r="F1662" t="inlineStr">
        <is>
          <t>Sveaskog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53975-2019</t>
        </is>
      </c>
      <c r="B1663" s="1" t="n">
        <v>43752</v>
      </c>
      <c r="C1663" s="1" t="n">
        <v>45344</v>
      </c>
      <c r="D1663" t="inlineStr">
        <is>
          <t>GÄVLEBORGS LÄN</t>
        </is>
      </c>
      <c r="E1663" t="inlineStr">
        <is>
          <t>HOFORS</t>
        </is>
      </c>
      <c r="F1663" t="inlineStr">
        <is>
          <t>Sveaskog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53930-2019</t>
        </is>
      </c>
      <c r="B1664" s="1" t="n">
        <v>43752</v>
      </c>
      <c r="C1664" s="1" t="n">
        <v>45344</v>
      </c>
      <c r="D1664" t="inlineStr">
        <is>
          <t>GÄVLEBORGS LÄN</t>
        </is>
      </c>
      <c r="E1664" t="inlineStr">
        <is>
          <t>HOFORS</t>
        </is>
      </c>
      <c r="F1664" t="inlineStr">
        <is>
          <t>Sveaskog</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54142-2019</t>
        </is>
      </c>
      <c r="B1665" s="1" t="n">
        <v>43753</v>
      </c>
      <c r="C1665" s="1" t="n">
        <v>45344</v>
      </c>
      <c r="D1665" t="inlineStr">
        <is>
          <t>GÄVLEBORGS LÄN</t>
        </is>
      </c>
      <c r="E1665" t="inlineStr">
        <is>
          <t>BOLLNÄS</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54172-2019</t>
        </is>
      </c>
      <c r="B1666" s="1" t="n">
        <v>43753</v>
      </c>
      <c r="C1666" s="1" t="n">
        <v>45344</v>
      </c>
      <c r="D1666" t="inlineStr">
        <is>
          <t>GÄVLEBORGS LÄN</t>
        </is>
      </c>
      <c r="E1666" t="inlineStr">
        <is>
          <t>OCKELBO</t>
        </is>
      </c>
      <c r="F1666" t="inlineStr">
        <is>
          <t>Bergvik skog väst AB</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54402-2019</t>
        </is>
      </c>
      <c r="B1667" s="1" t="n">
        <v>43754</v>
      </c>
      <c r="C1667" s="1" t="n">
        <v>45344</v>
      </c>
      <c r="D1667" t="inlineStr">
        <is>
          <t>GÄVLEBORGS LÄN</t>
        </is>
      </c>
      <c r="E1667" t="inlineStr">
        <is>
          <t>LJUSDAL</t>
        </is>
      </c>
      <c r="F1667" t="inlineStr">
        <is>
          <t>Sveaskog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54600-2019</t>
        </is>
      </c>
      <c r="B1668" s="1" t="n">
        <v>43754</v>
      </c>
      <c r="C1668" s="1" t="n">
        <v>45344</v>
      </c>
      <c r="D1668" t="inlineStr">
        <is>
          <t>GÄVLEBORGS LÄN</t>
        </is>
      </c>
      <c r="E1668" t="inlineStr">
        <is>
          <t>BOLLNÄS</t>
        </is>
      </c>
      <c r="F1668" t="inlineStr">
        <is>
          <t>Sveaskog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54606-2019</t>
        </is>
      </c>
      <c r="B1669" s="1" t="n">
        <v>43754</v>
      </c>
      <c r="C1669" s="1" t="n">
        <v>45344</v>
      </c>
      <c r="D1669" t="inlineStr">
        <is>
          <t>GÄVLEBORGS LÄN</t>
        </is>
      </c>
      <c r="E1669" t="inlineStr">
        <is>
          <t>BOLLNÄS</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54670-2019</t>
        </is>
      </c>
      <c r="B1670" s="1" t="n">
        <v>43754</v>
      </c>
      <c r="C1670" s="1" t="n">
        <v>45344</v>
      </c>
      <c r="D1670" t="inlineStr">
        <is>
          <t>GÄVLEBORGS LÄN</t>
        </is>
      </c>
      <c r="E1670" t="inlineStr">
        <is>
          <t>NORDANSTIG</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54401-2019</t>
        </is>
      </c>
      <c r="B1671" s="1" t="n">
        <v>43754</v>
      </c>
      <c r="C1671" s="1" t="n">
        <v>45344</v>
      </c>
      <c r="D1671" t="inlineStr">
        <is>
          <t>GÄVLEBORGS LÄN</t>
        </is>
      </c>
      <c r="E1671" t="inlineStr">
        <is>
          <t>LJUSDAL</t>
        </is>
      </c>
      <c r="F1671" t="inlineStr">
        <is>
          <t>Sveaskog</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54773-2019</t>
        </is>
      </c>
      <c r="B1672" s="1" t="n">
        <v>43755</v>
      </c>
      <c r="C1672" s="1" t="n">
        <v>45344</v>
      </c>
      <c r="D1672" t="inlineStr">
        <is>
          <t>GÄVLEBORGS LÄN</t>
        </is>
      </c>
      <c r="E1672" t="inlineStr">
        <is>
          <t>GÄVLE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54812-2019</t>
        </is>
      </c>
      <c r="B1673" s="1" t="n">
        <v>43755</v>
      </c>
      <c r="C1673" s="1" t="n">
        <v>45344</v>
      </c>
      <c r="D1673" t="inlineStr">
        <is>
          <t>GÄVLEBORGS LÄN</t>
        </is>
      </c>
      <c r="E1673" t="inlineStr">
        <is>
          <t>OVANÅKER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54934-2019</t>
        </is>
      </c>
      <c r="B1674" s="1" t="n">
        <v>43755</v>
      </c>
      <c r="C1674" s="1" t="n">
        <v>45344</v>
      </c>
      <c r="D1674" t="inlineStr">
        <is>
          <t>GÄVLEBORGS LÄN</t>
        </is>
      </c>
      <c r="E1674" t="inlineStr">
        <is>
          <t>HOFORS</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54807-2019</t>
        </is>
      </c>
      <c r="B1675" s="1" t="n">
        <v>43755</v>
      </c>
      <c r="C1675" s="1" t="n">
        <v>45344</v>
      </c>
      <c r="D1675" t="inlineStr">
        <is>
          <t>GÄVLEBORGS LÄN</t>
        </is>
      </c>
      <c r="E1675" t="inlineStr">
        <is>
          <t>BOLLNÄS</t>
        </is>
      </c>
      <c r="F1675" t="inlineStr">
        <is>
          <t>Sveaskog</t>
        </is>
      </c>
      <c r="G1675" t="n">
        <v>12.9</v>
      </c>
      <c r="H1675" t="n">
        <v>0</v>
      </c>
      <c r="I1675" t="n">
        <v>0</v>
      </c>
      <c r="J1675" t="n">
        <v>0</v>
      </c>
      <c r="K1675" t="n">
        <v>0</v>
      </c>
      <c r="L1675" t="n">
        <v>0</v>
      </c>
      <c r="M1675" t="n">
        <v>0</v>
      </c>
      <c r="N1675" t="n">
        <v>0</v>
      </c>
      <c r="O1675" t="n">
        <v>0</v>
      </c>
      <c r="P1675" t="n">
        <v>0</v>
      </c>
      <c r="Q1675" t="n">
        <v>0</v>
      </c>
      <c r="R1675" s="2" t="inlineStr"/>
    </row>
    <row r="1676" ht="15" customHeight="1">
      <c r="A1676" t="inlineStr">
        <is>
          <t>A 54840-2019</t>
        </is>
      </c>
      <c r="B1676" s="1" t="n">
        <v>43755</v>
      </c>
      <c r="C1676" s="1" t="n">
        <v>45344</v>
      </c>
      <c r="D1676" t="inlineStr">
        <is>
          <t>GÄVLEBORGS LÄN</t>
        </is>
      </c>
      <c r="E1676" t="inlineStr">
        <is>
          <t>OCKELBO</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54833-2019</t>
        </is>
      </c>
      <c r="B1677" s="1" t="n">
        <v>43755</v>
      </c>
      <c r="C1677" s="1" t="n">
        <v>45344</v>
      </c>
      <c r="D1677" t="inlineStr">
        <is>
          <t>GÄVLEBORGS LÄN</t>
        </is>
      </c>
      <c r="E1677" t="inlineStr">
        <is>
          <t>OVANÅKER</t>
        </is>
      </c>
      <c r="G1677" t="n">
        <v>4.6</v>
      </c>
      <c r="H1677" t="n">
        <v>0</v>
      </c>
      <c r="I1677" t="n">
        <v>0</v>
      </c>
      <c r="J1677" t="n">
        <v>0</v>
      </c>
      <c r="K1677" t="n">
        <v>0</v>
      </c>
      <c r="L1677" t="n">
        <v>0</v>
      </c>
      <c r="M1677" t="n">
        <v>0</v>
      </c>
      <c r="N1677" t="n">
        <v>0</v>
      </c>
      <c r="O1677" t="n">
        <v>0</v>
      </c>
      <c r="P1677" t="n">
        <v>0</v>
      </c>
      <c r="Q1677" t="n">
        <v>0</v>
      </c>
      <c r="R1677" s="2" t="inlineStr"/>
    </row>
    <row r="1678" ht="15" customHeight="1">
      <c r="A1678" t="inlineStr">
        <is>
          <t>A 54966-2019</t>
        </is>
      </c>
      <c r="B1678" s="1" t="n">
        <v>43755</v>
      </c>
      <c r="C1678" s="1" t="n">
        <v>45344</v>
      </c>
      <c r="D1678" t="inlineStr">
        <is>
          <t>GÄVLEBORGS LÄN</t>
        </is>
      </c>
      <c r="E1678" t="inlineStr">
        <is>
          <t>LJUSDAL</t>
        </is>
      </c>
      <c r="F1678" t="inlineStr">
        <is>
          <t>Sveaskog</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54723-2019</t>
        </is>
      </c>
      <c r="B1679" s="1" t="n">
        <v>43755</v>
      </c>
      <c r="C1679" s="1" t="n">
        <v>45344</v>
      </c>
      <c r="D1679" t="inlineStr">
        <is>
          <t>GÄVLEBORGS LÄN</t>
        </is>
      </c>
      <c r="E1679" t="inlineStr">
        <is>
          <t>LJUSDAL</t>
        </is>
      </c>
      <c r="F1679" t="inlineStr">
        <is>
          <t>Allmännings- och besparingsskogar</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55279-2019</t>
        </is>
      </c>
      <c r="B1680" s="1" t="n">
        <v>43756</v>
      </c>
      <c r="C1680" s="1" t="n">
        <v>45344</v>
      </c>
      <c r="D1680" t="inlineStr">
        <is>
          <t>GÄVLEBORGS LÄN</t>
        </is>
      </c>
      <c r="E1680" t="inlineStr">
        <is>
          <t>HUDIKSVALL</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55108-2019</t>
        </is>
      </c>
      <c r="B1681" s="1" t="n">
        <v>43756</v>
      </c>
      <c r="C1681" s="1" t="n">
        <v>45344</v>
      </c>
      <c r="D1681" t="inlineStr">
        <is>
          <t>GÄVLEBORGS LÄN</t>
        </is>
      </c>
      <c r="E1681" t="inlineStr">
        <is>
          <t>OCKELBO</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55045-2019</t>
        </is>
      </c>
      <c r="B1682" s="1" t="n">
        <v>43756</v>
      </c>
      <c r="C1682" s="1" t="n">
        <v>45344</v>
      </c>
      <c r="D1682" t="inlineStr">
        <is>
          <t>GÄVLEBORGS LÄN</t>
        </is>
      </c>
      <c r="E1682" t="inlineStr">
        <is>
          <t>HUDIKSVALL</t>
        </is>
      </c>
      <c r="F1682" t="inlineStr">
        <is>
          <t>Holmen skog AB</t>
        </is>
      </c>
      <c r="G1682" t="n">
        <v>9.1</v>
      </c>
      <c r="H1682" t="n">
        <v>0</v>
      </c>
      <c r="I1682" t="n">
        <v>0</v>
      </c>
      <c r="J1682" t="n">
        <v>0</v>
      </c>
      <c r="K1682" t="n">
        <v>0</v>
      </c>
      <c r="L1682" t="n">
        <v>0</v>
      </c>
      <c r="M1682" t="n">
        <v>0</v>
      </c>
      <c r="N1682" t="n">
        <v>0</v>
      </c>
      <c r="O1682" t="n">
        <v>0</v>
      </c>
      <c r="P1682" t="n">
        <v>0</v>
      </c>
      <c r="Q1682" t="n">
        <v>0</v>
      </c>
      <c r="R1682" s="2" t="inlineStr"/>
    </row>
    <row r="1683" ht="15" customHeight="1">
      <c r="A1683" t="inlineStr">
        <is>
          <t>A 55789-2019</t>
        </is>
      </c>
      <c r="B1683" s="1" t="n">
        <v>43759</v>
      </c>
      <c r="C1683" s="1" t="n">
        <v>45344</v>
      </c>
      <c r="D1683" t="inlineStr">
        <is>
          <t>GÄVLEBORGS LÄN</t>
        </is>
      </c>
      <c r="E1683" t="inlineStr">
        <is>
          <t>SÖDERHAMN</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55880-2019</t>
        </is>
      </c>
      <c r="B1684" s="1" t="n">
        <v>43759</v>
      </c>
      <c r="C1684" s="1" t="n">
        <v>45344</v>
      </c>
      <c r="D1684" t="inlineStr">
        <is>
          <t>GÄVLEBORGS LÄN</t>
        </is>
      </c>
      <c r="E1684" t="inlineStr">
        <is>
          <t>LJUSDAL</t>
        </is>
      </c>
      <c r="F1684" t="inlineStr">
        <is>
          <t>Kommuner</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55791-2019</t>
        </is>
      </c>
      <c r="B1685" s="1" t="n">
        <v>43759</v>
      </c>
      <c r="C1685" s="1" t="n">
        <v>45344</v>
      </c>
      <c r="D1685" t="inlineStr">
        <is>
          <t>GÄVLEBORGS LÄN</t>
        </is>
      </c>
      <c r="E1685" t="inlineStr">
        <is>
          <t>SANDVIKEN</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55857-2019</t>
        </is>
      </c>
      <c r="B1686" s="1" t="n">
        <v>43759</v>
      </c>
      <c r="C1686" s="1" t="n">
        <v>45344</v>
      </c>
      <c r="D1686" t="inlineStr">
        <is>
          <t>GÄVLEBORGS LÄN</t>
        </is>
      </c>
      <c r="E1686" t="inlineStr">
        <is>
          <t>GÄVLE</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56047-2019</t>
        </is>
      </c>
      <c r="B1687" s="1" t="n">
        <v>43759</v>
      </c>
      <c r="C1687" s="1" t="n">
        <v>45344</v>
      </c>
      <c r="D1687" t="inlineStr">
        <is>
          <t>GÄVLEBORGS LÄN</t>
        </is>
      </c>
      <c r="E1687" t="inlineStr">
        <is>
          <t>BOLLNÄS</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56956-2019</t>
        </is>
      </c>
      <c r="B1688" s="1" t="n">
        <v>43759</v>
      </c>
      <c r="C1688" s="1" t="n">
        <v>45344</v>
      </c>
      <c r="D1688" t="inlineStr">
        <is>
          <t>GÄVLEBORGS LÄN</t>
        </is>
      </c>
      <c r="E1688" t="inlineStr">
        <is>
          <t>BOLLNÄS</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55956-2019</t>
        </is>
      </c>
      <c r="B1689" s="1" t="n">
        <v>43759</v>
      </c>
      <c r="C1689" s="1" t="n">
        <v>45344</v>
      </c>
      <c r="D1689" t="inlineStr">
        <is>
          <t>GÄVLEBORGS LÄN</t>
        </is>
      </c>
      <c r="E1689" t="inlineStr">
        <is>
          <t>LJUSDAL</t>
        </is>
      </c>
      <c r="G1689" t="n">
        <v>14.2</v>
      </c>
      <c r="H1689" t="n">
        <v>0</v>
      </c>
      <c r="I1689" t="n">
        <v>0</v>
      </c>
      <c r="J1689" t="n">
        <v>0</v>
      </c>
      <c r="K1689" t="n">
        <v>0</v>
      </c>
      <c r="L1689" t="n">
        <v>0</v>
      </c>
      <c r="M1689" t="n">
        <v>0</v>
      </c>
      <c r="N1689" t="n">
        <v>0</v>
      </c>
      <c r="O1689" t="n">
        <v>0</v>
      </c>
      <c r="P1689" t="n">
        <v>0</v>
      </c>
      <c r="Q1689" t="n">
        <v>0</v>
      </c>
      <c r="R1689" s="2" t="inlineStr"/>
    </row>
    <row r="1690" ht="15" customHeight="1">
      <c r="A1690" t="inlineStr">
        <is>
          <t>A 55464-2019</t>
        </is>
      </c>
      <c r="B1690" s="1" t="n">
        <v>43760</v>
      </c>
      <c r="C1690" s="1" t="n">
        <v>45344</v>
      </c>
      <c r="D1690" t="inlineStr">
        <is>
          <t>GÄVLEBORGS LÄN</t>
        </is>
      </c>
      <c r="E1690" t="inlineStr">
        <is>
          <t>LJUSDAL</t>
        </is>
      </c>
      <c r="F1690" t="inlineStr">
        <is>
          <t>Sveaskog</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55539-2019</t>
        </is>
      </c>
      <c r="B1691" s="1" t="n">
        <v>43760</v>
      </c>
      <c r="C1691" s="1" t="n">
        <v>45344</v>
      </c>
      <c r="D1691" t="inlineStr">
        <is>
          <t>GÄVLEBORGS LÄN</t>
        </is>
      </c>
      <c r="E1691" t="inlineStr">
        <is>
          <t>BOLLNÄS</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56076-2019</t>
        </is>
      </c>
      <c r="B1692" s="1" t="n">
        <v>43761</v>
      </c>
      <c r="C1692" s="1" t="n">
        <v>45344</v>
      </c>
      <c r="D1692" t="inlineStr">
        <is>
          <t>GÄVLEBORGS LÄN</t>
        </is>
      </c>
      <c r="E1692" t="inlineStr">
        <is>
          <t>BOLLNÄS</t>
        </is>
      </c>
      <c r="F1692" t="inlineStr">
        <is>
          <t>Kommuner</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56142-2019</t>
        </is>
      </c>
      <c r="B1693" s="1" t="n">
        <v>43761</v>
      </c>
      <c r="C1693" s="1" t="n">
        <v>45344</v>
      </c>
      <c r="D1693" t="inlineStr">
        <is>
          <t>GÄVLEBORGS LÄN</t>
        </is>
      </c>
      <c r="E1693" t="inlineStr">
        <is>
          <t>SANDVIKEN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55774-2019</t>
        </is>
      </c>
      <c r="B1694" s="1" t="n">
        <v>43761</v>
      </c>
      <c r="C1694" s="1" t="n">
        <v>45344</v>
      </c>
      <c r="D1694" t="inlineStr">
        <is>
          <t>GÄVLEBORGS LÄN</t>
        </is>
      </c>
      <c r="E1694" t="inlineStr">
        <is>
          <t>GÄVLE</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55933-2019</t>
        </is>
      </c>
      <c r="B1695" s="1" t="n">
        <v>43761</v>
      </c>
      <c r="C1695" s="1" t="n">
        <v>45344</v>
      </c>
      <c r="D1695" t="inlineStr">
        <is>
          <t>GÄVLEBORGS LÄN</t>
        </is>
      </c>
      <c r="E1695" t="inlineStr">
        <is>
          <t>SÖDERHAMN</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55742-2019</t>
        </is>
      </c>
      <c r="B1696" s="1" t="n">
        <v>43761</v>
      </c>
      <c r="C1696" s="1" t="n">
        <v>45344</v>
      </c>
      <c r="D1696" t="inlineStr">
        <is>
          <t>GÄVLEBORGS LÄN</t>
        </is>
      </c>
      <c r="E1696" t="inlineStr">
        <is>
          <t>GÄVLE</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55883-2019</t>
        </is>
      </c>
      <c r="B1697" s="1" t="n">
        <v>43761</v>
      </c>
      <c r="C1697" s="1" t="n">
        <v>45344</v>
      </c>
      <c r="D1697" t="inlineStr">
        <is>
          <t>GÄVLEBORGS LÄN</t>
        </is>
      </c>
      <c r="E1697" t="inlineStr">
        <is>
          <t>SANDVIKEN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56151-2019</t>
        </is>
      </c>
      <c r="B1698" s="1" t="n">
        <v>43761</v>
      </c>
      <c r="C1698" s="1" t="n">
        <v>45344</v>
      </c>
      <c r="D1698" t="inlineStr">
        <is>
          <t>GÄVLEBORGS LÄN</t>
        </is>
      </c>
      <c r="E1698" t="inlineStr">
        <is>
          <t>NORDANSTIG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55949-2019</t>
        </is>
      </c>
      <c r="B1699" s="1" t="n">
        <v>43761</v>
      </c>
      <c r="C1699" s="1" t="n">
        <v>45344</v>
      </c>
      <c r="D1699" t="inlineStr">
        <is>
          <t>GÄVLEBORGS LÄN</t>
        </is>
      </c>
      <c r="E1699" t="inlineStr">
        <is>
          <t>SÖDERHAMN</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55932-2019</t>
        </is>
      </c>
      <c r="B1700" s="1" t="n">
        <v>43761</v>
      </c>
      <c r="C1700" s="1" t="n">
        <v>45344</v>
      </c>
      <c r="D1700" t="inlineStr">
        <is>
          <t>GÄVLEBORGS LÄN</t>
        </is>
      </c>
      <c r="E1700" t="inlineStr">
        <is>
          <t>SÖDERHAMN</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56447-2019</t>
        </is>
      </c>
      <c r="B1701" s="1" t="n">
        <v>43762</v>
      </c>
      <c r="C1701" s="1" t="n">
        <v>45344</v>
      </c>
      <c r="D1701" t="inlineStr">
        <is>
          <t>GÄVLEBORGS LÄN</t>
        </is>
      </c>
      <c r="E1701" t="inlineStr">
        <is>
          <t>OCKELBO</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56541-2019</t>
        </is>
      </c>
      <c r="B1702" s="1" t="n">
        <v>43763</v>
      </c>
      <c r="C1702" s="1" t="n">
        <v>45344</v>
      </c>
      <c r="D1702" t="inlineStr">
        <is>
          <t>GÄVLEBORGS LÄN</t>
        </is>
      </c>
      <c r="E1702" t="inlineStr">
        <is>
          <t>LJUSDAL</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56670-2019</t>
        </is>
      </c>
      <c r="B1703" s="1" t="n">
        <v>43763</v>
      </c>
      <c r="C1703" s="1" t="n">
        <v>45344</v>
      </c>
      <c r="D1703" t="inlineStr">
        <is>
          <t>GÄVLEBORGS LÄN</t>
        </is>
      </c>
      <c r="E1703" t="inlineStr">
        <is>
          <t>GÄVLE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56667-2019</t>
        </is>
      </c>
      <c r="B1704" s="1" t="n">
        <v>43763</v>
      </c>
      <c r="C1704" s="1" t="n">
        <v>45344</v>
      </c>
      <c r="D1704" t="inlineStr">
        <is>
          <t>GÄVLEBORGS LÄN</t>
        </is>
      </c>
      <c r="E1704" t="inlineStr">
        <is>
          <t>OVANÅKER</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56693-2019</t>
        </is>
      </c>
      <c r="B1705" s="1" t="n">
        <v>43763</v>
      </c>
      <c r="C1705" s="1" t="n">
        <v>45344</v>
      </c>
      <c r="D1705" t="inlineStr">
        <is>
          <t>GÄVLEBORGS LÄN</t>
        </is>
      </c>
      <c r="E1705" t="inlineStr">
        <is>
          <t>LJUSDAL</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56728-2019</t>
        </is>
      </c>
      <c r="B1706" s="1" t="n">
        <v>43763</v>
      </c>
      <c r="C1706" s="1" t="n">
        <v>45344</v>
      </c>
      <c r="D1706" t="inlineStr">
        <is>
          <t>GÄVLEBORGS LÄN</t>
        </is>
      </c>
      <c r="E1706" t="inlineStr">
        <is>
          <t>HUDIKSVALL</t>
        </is>
      </c>
      <c r="G1706" t="n">
        <v>14.6</v>
      </c>
      <c r="H1706" t="n">
        <v>0</v>
      </c>
      <c r="I1706" t="n">
        <v>0</v>
      </c>
      <c r="J1706" t="n">
        <v>0</v>
      </c>
      <c r="K1706" t="n">
        <v>0</v>
      </c>
      <c r="L1706" t="n">
        <v>0</v>
      </c>
      <c r="M1706" t="n">
        <v>0</v>
      </c>
      <c r="N1706" t="n">
        <v>0</v>
      </c>
      <c r="O1706" t="n">
        <v>0</v>
      </c>
      <c r="P1706" t="n">
        <v>0</v>
      </c>
      <c r="Q1706" t="n">
        <v>0</v>
      </c>
      <c r="R1706" s="2" t="inlineStr"/>
    </row>
    <row r="1707" ht="15" customHeight="1">
      <c r="A1707" t="inlineStr">
        <is>
          <t>A 57043-2019</t>
        </is>
      </c>
      <c r="B1707" s="1" t="n">
        <v>43766</v>
      </c>
      <c r="C1707" s="1" t="n">
        <v>45344</v>
      </c>
      <c r="D1707" t="inlineStr">
        <is>
          <t>GÄVLEBORGS LÄN</t>
        </is>
      </c>
      <c r="E1707" t="inlineStr">
        <is>
          <t>OCKELBO</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57061-2019</t>
        </is>
      </c>
      <c r="B1708" s="1" t="n">
        <v>43766</v>
      </c>
      <c r="C1708" s="1" t="n">
        <v>45344</v>
      </c>
      <c r="D1708" t="inlineStr">
        <is>
          <t>GÄVLEBORGS LÄN</t>
        </is>
      </c>
      <c r="E1708" t="inlineStr">
        <is>
          <t>OCKELBO</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56974-2019</t>
        </is>
      </c>
      <c r="B1709" s="1" t="n">
        <v>43766</v>
      </c>
      <c r="C1709" s="1" t="n">
        <v>45344</v>
      </c>
      <c r="D1709" t="inlineStr">
        <is>
          <t>GÄVLEBORGS LÄN</t>
        </is>
      </c>
      <c r="E1709" t="inlineStr">
        <is>
          <t>SÖDERHAMN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57002-2019</t>
        </is>
      </c>
      <c r="B1710" s="1" t="n">
        <v>43766</v>
      </c>
      <c r="C1710" s="1" t="n">
        <v>45344</v>
      </c>
      <c r="D1710" t="inlineStr">
        <is>
          <t>GÄVLEBORGS LÄN</t>
        </is>
      </c>
      <c r="E1710" t="inlineStr">
        <is>
          <t>OCKELBO</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57135-2019</t>
        </is>
      </c>
      <c r="B1711" s="1" t="n">
        <v>43766</v>
      </c>
      <c r="C1711" s="1" t="n">
        <v>45344</v>
      </c>
      <c r="D1711" t="inlineStr">
        <is>
          <t>GÄVLEBORGS LÄN</t>
        </is>
      </c>
      <c r="E1711" t="inlineStr">
        <is>
          <t>OVANÅKER</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57348-2019</t>
        </is>
      </c>
      <c r="B1712" s="1" t="n">
        <v>43767</v>
      </c>
      <c r="C1712" s="1" t="n">
        <v>45344</v>
      </c>
      <c r="D1712" t="inlineStr">
        <is>
          <t>GÄVLEBORGS LÄN</t>
        </is>
      </c>
      <c r="E1712" t="inlineStr">
        <is>
          <t>NORDANSTIG</t>
        </is>
      </c>
      <c r="G1712" t="n">
        <v>17.1</v>
      </c>
      <c r="H1712" t="n">
        <v>0</v>
      </c>
      <c r="I1712" t="n">
        <v>0</v>
      </c>
      <c r="J1712" t="n">
        <v>0</v>
      </c>
      <c r="K1712" t="n">
        <v>0</v>
      </c>
      <c r="L1712" t="n">
        <v>0</v>
      </c>
      <c r="M1712" t="n">
        <v>0</v>
      </c>
      <c r="N1712" t="n">
        <v>0</v>
      </c>
      <c r="O1712" t="n">
        <v>0</v>
      </c>
      <c r="P1712" t="n">
        <v>0</v>
      </c>
      <c r="Q1712" t="n">
        <v>0</v>
      </c>
      <c r="R1712" s="2" t="inlineStr"/>
    </row>
    <row r="1713" ht="15" customHeight="1">
      <c r="A1713" t="inlineStr">
        <is>
          <t>A 57410-2019</t>
        </is>
      </c>
      <c r="B1713" s="1" t="n">
        <v>43767</v>
      </c>
      <c r="C1713" s="1" t="n">
        <v>45344</v>
      </c>
      <c r="D1713" t="inlineStr">
        <is>
          <t>GÄVLEBORGS LÄN</t>
        </is>
      </c>
      <c r="E1713" t="inlineStr">
        <is>
          <t>LJUSDAL</t>
        </is>
      </c>
      <c r="F1713" t="inlineStr">
        <is>
          <t>Holmen skog AB</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57522-2019</t>
        </is>
      </c>
      <c r="B1714" s="1" t="n">
        <v>43767</v>
      </c>
      <c r="C1714" s="1" t="n">
        <v>45344</v>
      </c>
      <c r="D1714" t="inlineStr">
        <is>
          <t>GÄVLEBORGS LÄN</t>
        </is>
      </c>
      <c r="E1714" t="inlineStr">
        <is>
          <t>HUDIKSVALL</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57427-2019</t>
        </is>
      </c>
      <c r="B1715" s="1" t="n">
        <v>43767</v>
      </c>
      <c r="C1715" s="1" t="n">
        <v>45344</v>
      </c>
      <c r="D1715" t="inlineStr">
        <is>
          <t>GÄVLEBORGS LÄN</t>
        </is>
      </c>
      <c r="E1715" t="inlineStr">
        <is>
          <t>HUDIKSVALL</t>
        </is>
      </c>
      <c r="F1715" t="inlineStr">
        <is>
          <t>Holmen skog AB</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57520-2019</t>
        </is>
      </c>
      <c r="B1716" s="1" t="n">
        <v>43767</v>
      </c>
      <c r="C1716" s="1" t="n">
        <v>45344</v>
      </c>
      <c r="D1716" t="inlineStr">
        <is>
          <t>GÄVLEBORGS LÄN</t>
        </is>
      </c>
      <c r="E1716" t="inlineStr">
        <is>
          <t>HUDIKSVALL</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57453-2019</t>
        </is>
      </c>
      <c r="B1717" s="1" t="n">
        <v>43767</v>
      </c>
      <c r="C1717" s="1" t="n">
        <v>45344</v>
      </c>
      <c r="D1717" t="inlineStr">
        <is>
          <t>GÄVLEBORGS LÄN</t>
        </is>
      </c>
      <c r="E1717" t="inlineStr">
        <is>
          <t>GÄVLE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57226-2019</t>
        </is>
      </c>
      <c r="B1718" s="1" t="n">
        <v>43767</v>
      </c>
      <c r="C1718" s="1" t="n">
        <v>45344</v>
      </c>
      <c r="D1718" t="inlineStr">
        <is>
          <t>GÄVLEBORGS LÄN</t>
        </is>
      </c>
      <c r="E1718" t="inlineStr">
        <is>
          <t>SANDVIKEN</t>
        </is>
      </c>
      <c r="F1718" t="inlineStr">
        <is>
          <t>Kyrkan</t>
        </is>
      </c>
      <c r="G1718" t="n">
        <v>11.2</v>
      </c>
      <c r="H1718" t="n">
        <v>0</v>
      </c>
      <c r="I1718" t="n">
        <v>0</v>
      </c>
      <c r="J1718" t="n">
        <v>0</v>
      </c>
      <c r="K1718" t="n">
        <v>0</v>
      </c>
      <c r="L1718" t="n">
        <v>0</v>
      </c>
      <c r="M1718" t="n">
        <v>0</v>
      </c>
      <c r="N1718" t="n">
        <v>0</v>
      </c>
      <c r="O1718" t="n">
        <v>0</v>
      </c>
      <c r="P1718" t="n">
        <v>0</v>
      </c>
      <c r="Q1718" t="n">
        <v>0</v>
      </c>
      <c r="R1718" s="2" t="inlineStr"/>
    </row>
    <row r="1719" ht="15" customHeight="1">
      <c r="A1719" t="inlineStr">
        <is>
          <t>A 57626-2019</t>
        </is>
      </c>
      <c r="B1719" s="1" t="n">
        <v>43768</v>
      </c>
      <c r="C1719" s="1" t="n">
        <v>45344</v>
      </c>
      <c r="D1719" t="inlineStr">
        <is>
          <t>GÄVLEBORGS LÄN</t>
        </is>
      </c>
      <c r="E1719" t="inlineStr">
        <is>
          <t>SANDVIKEN</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57966-2019</t>
        </is>
      </c>
      <c r="B1720" s="1" t="n">
        <v>43769</v>
      </c>
      <c r="C1720" s="1" t="n">
        <v>45344</v>
      </c>
      <c r="D1720" t="inlineStr">
        <is>
          <t>GÄVLEBORGS LÄN</t>
        </is>
      </c>
      <c r="E1720" t="inlineStr">
        <is>
          <t>HUDIKSVALL</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58148-2019</t>
        </is>
      </c>
      <c r="B1721" s="1" t="n">
        <v>43769</v>
      </c>
      <c r="C1721" s="1" t="n">
        <v>45344</v>
      </c>
      <c r="D1721" t="inlineStr">
        <is>
          <t>GÄVLEBORGS LÄN</t>
        </is>
      </c>
      <c r="E1721" t="inlineStr">
        <is>
          <t>SANDVIKEN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58041-2019</t>
        </is>
      </c>
      <c r="B1722" s="1" t="n">
        <v>43769</v>
      </c>
      <c r="C1722" s="1" t="n">
        <v>45344</v>
      </c>
      <c r="D1722" t="inlineStr">
        <is>
          <t>GÄVLEBORGS LÄN</t>
        </is>
      </c>
      <c r="E1722" t="inlineStr">
        <is>
          <t>BOLLNÄS</t>
        </is>
      </c>
      <c r="G1722" t="n">
        <v>0.4</v>
      </c>
      <c r="H1722" t="n">
        <v>0</v>
      </c>
      <c r="I1722" t="n">
        <v>0</v>
      </c>
      <c r="J1722" t="n">
        <v>0</v>
      </c>
      <c r="K1722" t="n">
        <v>0</v>
      </c>
      <c r="L1722" t="n">
        <v>0</v>
      </c>
      <c r="M1722" t="n">
        <v>0</v>
      </c>
      <c r="N1722" t="n">
        <v>0</v>
      </c>
      <c r="O1722" t="n">
        <v>0</v>
      </c>
      <c r="P1722" t="n">
        <v>0</v>
      </c>
      <c r="Q1722" t="n">
        <v>0</v>
      </c>
      <c r="R1722" s="2" t="inlineStr"/>
    </row>
    <row r="1723" ht="15" customHeight="1">
      <c r="A1723" t="inlineStr">
        <is>
          <t>A 58183-2019</t>
        </is>
      </c>
      <c r="B1723" s="1" t="n">
        <v>43770</v>
      </c>
      <c r="C1723" s="1" t="n">
        <v>45344</v>
      </c>
      <c r="D1723" t="inlineStr">
        <is>
          <t>GÄVLEBORGS LÄN</t>
        </is>
      </c>
      <c r="E1723" t="inlineStr">
        <is>
          <t>HUDIKSVALL</t>
        </is>
      </c>
      <c r="F1723" t="inlineStr">
        <is>
          <t>Holmen skog AB</t>
        </is>
      </c>
      <c r="G1723" t="n">
        <v>46.6</v>
      </c>
      <c r="H1723" t="n">
        <v>0</v>
      </c>
      <c r="I1723" t="n">
        <v>0</v>
      </c>
      <c r="J1723" t="n">
        <v>0</v>
      </c>
      <c r="K1723" t="n">
        <v>0</v>
      </c>
      <c r="L1723" t="n">
        <v>0</v>
      </c>
      <c r="M1723" t="n">
        <v>0</v>
      </c>
      <c r="N1723" t="n">
        <v>0</v>
      </c>
      <c r="O1723" t="n">
        <v>0</v>
      </c>
      <c r="P1723" t="n">
        <v>0</v>
      </c>
      <c r="Q1723" t="n">
        <v>0</v>
      </c>
      <c r="R1723" s="2" t="inlineStr"/>
    </row>
    <row r="1724" ht="15" customHeight="1">
      <c r="A1724" t="inlineStr">
        <is>
          <t>A 58287-2019</t>
        </is>
      </c>
      <c r="B1724" s="1" t="n">
        <v>43770</v>
      </c>
      <c r="C1724" s="1" t="n">
        <v>45344</v>
      </c>
      <c r="D1724" t="inlineStr">
        <is>
          <t>GÄVLEBORGS LÄN</t>
        </is>
      </c>
      <c r="E1724" t="inlineStr">
        <is>
          <t>GÄVLE</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59269-2019</t>
        </is>
      </c>
      <c r="B1725" s="1" t="n">
        <v>43770</v>
      </c>
      <c r="C1725" s="1" t="n">
        <v>45344</v>
      </c>
      <c r="D1725" t="inlineStr">
        <is>
          <t>GÄVLEBORGS LÄN</t>
        </is>
      </c>
      <c r="E1725" t="inlineStr">
        <is>
          <t>SANDVIKEN</t>
        </is>
      </c>
      <c r="F1725" t="inlineStr">
        <is>
          <t>Bergvik skog väst AB</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58204-2019</t>
        </is>
      </c>
      <c r="B1726" s="1" t="n">
        <v>43770</v>
      </c>
      <c r="C1726" s="1" t="n">
        <v>45344</v>
      </c>
      <c r="D1726" t="inlineStr">
        <is>
          <t>GÄVLEBORGS LÄN</t>
        </is>
      </c>
      <c r="E1726" t="inlineStr">
        <is>
          <t>HUDIKSVALL</t>
        </is>
      </c>
      <c r="F1726" t="inlineStr">
        <is>
          <t>Kommuner</t>
        </is>
      </c>
      <c r="G1726" t="n">
        <v>10</v>
      </c>
      <c r="H1726" t="n">
        <v>0</v>
      </c>
      <c r="I1726" t="n">
        <v>0</v>
      </c>
      <c r="J1726" t="n">
        <v>0</v>
      </c>
      <c r="K1726" t="n">
        <v>0</v>
      </c>
      <c r="L1726" t="n">
        <v>0</v>
      </c>
      <c r="M1726" t="n">
        <v>0</v>
      </c>
      <c r="N1726" t="n">
        <v>0</v>
      </c>
      <c r="O1726" t="n">
        <v>0</v>
      </c>
      <c r="P1726" t="n">
        <v>0</v>
      </c>
      <c r="Q1726" t="n">
        <v>0</v>
      </c>
      <c r="R1726" s="2" t="inlineStr"/>
    </row>
    <row r="1727" ht="15" customHeight="1">
      <c r="A1727" t="inlineStr">
        <is>
          <t>A 58296-2019</t>
        </is>
      </c>
      <c r="B1727" s="1" t="n">
        <v>43770</v>
      </c>
      <c r="C1727" s="1" t="n">
        <v>45344</v>
      </c>
      <c r="D1727" t="inlineStr">
        <is>
          <t>GÄVLEBORGS LÄN</t>
        </is>
      </c>
      <c r="E1727" t="inlineStr">
        <is>
          <t>GÄVLE</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58424-2019</t>
        </is>
      </c>
      <c r="B1728" s="1" t="n">
        <v>43773</v>
      </c>
      <c r="C1728" s="1" t="n">
        <v>45344</v>
      </c>
      <c r="D1728" t="inlineStr">
        <is>
          <t>GÄVLEBORGS LÄN</t>
        </is>
      </c>
      <c r="E1728" t="inlineStr">
        <is>
          <t>NORDANSTIG</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58714-2019</t>
        </is>
      </c>
      <c r="B1729" s="1" t="n">
        <v>43773</v>
      </c>
      <c r="C1729" s="1" t="n">
        <v>45344</v>
      </c>
      <c r="D1729" t="inlineStr">
        <is>
          <t>GÄVLEBORGS LÄN</t>
        </is>
      </c>
      <c r="E1729" t="inlineStr">
        <is>
          <t>SANDVIKEN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58641-2019</t>
        </is>
      </c>
      <c r="B1730" s="1" t="n">
        <v>43773</v>
      </c>
      <c r="C1730" s="1" t="n">
        <v>45344</v>
      </c>
      <c r="D1730" t="inlineStr">
        <is>
          <t>GÄVLEBORGS LÄN</t>
        </is>
      </c>
      <c r="E1730" t="inlineStr">
        <is>
          <t>BOLLNÄS</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58587-2019</t>
        </is>
      </c>
      <c r="B1731" s="1" t="n">
        <v>43773</v>
      </c>
      <c r="C1731" s="1" t="n">
        <v>45344</v>
      </c>
      <c r="D1731" t="inlineStr">
        <is>
          <t>GÄVLEBORGS LÄN</t>
        </is>
      </c>
      <c r="E1731" t="inlineStr">
        <is>
          <t>LJUSDAL</t>
        </is>
      </c>
      <c r="F1731" t="inlineStr">
        <is>
          <t>Allmännings- och besparingsskogar</t>
        </is>
      </c>
      <c r="G1731" t="n">
        <v>21.1</v>
      </c>
      <c r="H1731" t="n">
        <v>0</v>
      </c>
      <c r="I1731" t="n">
        <v>0</v>
      </c>
      <c r="J1731" t="n">
        <v>0</v>
      </c>
      <c r="K1731" t="n">
        <v>0</v>
      </c>
      <c r="L1731" t="n">
        <v>0</v>
      </c>
      <c r="M1731" t="n">
        <v>0</v>
      </c>
      <c r="N1731" t="n">
        <v>0</v>
      </c>
      <c r="O1731" t="n">
        <v>0</v>
      </c>
      <c r="P1731" t="n">
        <v>0</v>
      </c>
      <c r="Q1731" t="n">
        <v>0</v>
      </c>
      <c r="R1731" s="2" t="inlineStr"/>
    </row>
    <row r="1732" ht="15" customHeight="1">
      <c r="A1732" t="inlineStr">
        <is>
          <t>A 58897-2019</t>
        </is>
      </c>
      <c r="B1732" s="1" t="n">
        <v>43774</v>
      </c>
      <c r="C1732" s="1" t="n">
        <v>45344</v>
      </c>
      <c r="D1732" t="inlineStr">
        <is>
          <t>GÄVLEBORGS LÄN</t>
        </is>
      </c>
      <c r="E1732" t="inlineStr">
        <is>
          <t>LJUSDAL</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58808-2019</t>
        </is>
      </c>
      <c r="B1733" s="1" t="n">
        <v>43774</v>
      </c>
      <c r="C1733" s="1" t="n">
        <v>45344</v>
      </c>
      <c r="D1733" t="inlineStr">
        <is>
          <t>GÄVLEBORGS LÄN</t>
        </is>
      </c>
      <c r="E1733" t="inlineStr">
        <is>
          <t>OVANÅKER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58886-2019</t>
        </is>
      </c>
      <c r="B1734" s="1" t="n">
        <v>43774</v>
      </c>
      <c r="C1734" s="1" t="n">
        <v>45344</v>
      </c>
      <c r="D1734" t="inlineStr">
        <is>
          <t>GÄVLEBORGS LÄN</t>
        </is>
      </c>
      <c r="E1734" t="inlineStr">
        <is>
          <t>LJUSDAL</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59090-2019</t>
        </is>
      </c>
      <c r="B1735" s="1" t="n">
        <v>43774</v>
      </c>
      <c r="C1735" s="1" t="n">
        <v>45344</v>
      </c>
      <c r="D1735" t="inlineStr">
        <is>
          <t>GÄVLEBORGS LÄN</t>
        </is>
      </c>
      <c r="E1735" t="inlineStr">
        <is>
          <t>NORDANSTIG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59111-2019</t>
        </is>
      </c>
      <c r="B1736" s="1" t="n">
        <v>43775</v>
      </c>
      <c r="C1736" s="1" t="n">
        <v>45344</v>
      </c>
      <c r="D1736" t="inlineStr">
        <is>
          <t>GÄVLEBORGS LÄN</t>
        </is>
      </c>
      <c r="E1736" t="inlineStr">
        <is>
          <t>HUDIKSVALL</t>
        </is>
      </c>
      <c r="F1736" t="inlineStr">
        <is>
          <t>Sveaskog</t>
        </is>
      </c>
      <c r="G1736" t="n">
        <v>4.9</v>
      </c>
      <c r="H1736" t="n">
        <v>0</v>
      </c>
      <c r="I1736" t="n">
        <v>0</v>
      </c>
      <c r="J1736" t="n">
        <v>0</v>
      </c>
      <c r="K1736" t="n">
        <v>0</v>
      </c>
      <c r="L1736" t="n">
        <v>0</v>
      </c>
      <c r="M1736" t="n">
        <v>0</v>
      </c>
      <c r="N1736" t="n">
        <v>0</v>
      </c>
      <c r="O1736" t="n">
        <v>0</v>
      </c>
      <c r="P1736" t="n">
        <v>0</v>
      </c>
      <c r="Q1736" t="n">
        <v>0</v>
      </c>
      <c r="R1736" s="2" t="inlineStr"/>
    </row>
    <row r="1737" ht="15" customHeight="1">
      <c r="A1737" t="inlineStr">
        <is>
          <t>A 59116-2019</t>
        </is>
      </c>
      <c r="B1737" s="1" t="n">
        <v>43775</v>
      </c>
      <c r="C1737" s="1" t="n">
        <v>45344</v>
      </c>
      <c r="D1737" t="inlineStr">
        <is>
          <t>GÄVLEBORGS LÄN</t>
        </is>
      </c>
      <c r="E1737" t="inlineStr">
        <is>
          <t>HOFORS</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59115-2019</t>
        </is>
      </c>
      <c r="B1738" s="1" t="n">
        <v>43775</v>
      </c>
      <c r="C1738" s="1" t="n">
        <v>45344</v>
      </c>
      <c r="D1738" t="inlineStr">
        <is>
          <t>GÄVLEBORGS LÄN</t>
        </is>
      </c>
      <c r="E1738" t="inlineStr">
        <is>
          <t>HOFORS</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59990-2019</t>
        </is>
      </c>
      <c r="B1739" s="1" t="n">
        <v>43775</v>
      </c>
      <c r="C1739" s="1" t="n">
        <v>45344</v>
      </c>
      <c r="D1739" t="inlineStr">
        <is>
          <t>GÄVLEBORGS LÄN</t>
        </is>
      </c>
      <c r="E1739" t="inlineStr">
        <is>
          <t>LJUSDAL</t>
        </is>
      </c>
      <c r="G1739" t="n">
        <v>4.5</v>
      </c>
      <c r="H1739" t="n">
        <v>0</v>
      </c>
      <c r="I1739" t="n">
        <v>0</v>
      </c>
      <c r="J1739" t="n">
        <v>0</v>
      </c>
      <c r="K1739" t="n">
        <v>0</v>
      </c>
      <c r="L1739" t="n">
        <v>0</v>
      </c>
      <c r="M1739" t="n">
        <v>0</v>
      </c>
      <c r="N1739" t="n">
        <v>0</v>
      </c>
      <c r="O1739" t="n">
        <v>0</v>
      </c>
      <c r="P1739" t="n">
        <v>0</v>
      </c>
      <c r="Q1739" t="n">
        <v>0</v>
      </c>
      <c r="R1739" s="2" t="inlineStr"/>
    </row>
    <row r="1740" ht="15" customHeight="1">
      <c r="A1740" t="inlineStr">
        <is>
          <t>A 59153-2019</t>
        </is>
      </c>
      <c r="B1740" s="1" t="n">
        <v>43775</v>
      </c>
      <c r="C1740" s="1" t="n">
        <v>45344</v>
      </c>
      <c r="D1740" t="inlineStr">
        <is>
          <t>GÄVLEBORGS LÄN</t>
        </is>
      </c>
      <c r="E1740" t="inlineStr">
        <is>
          <t>LJUSDAL</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59808-2019</t>
        </is>
      </c>
      <c r="B1741" s="1" t="n">
        <v>43775</v>
      </c>
      <c r="C1741" s="1" t="n">
        <v>45344</v>
      </c>
      <c r="D1741" t="inlineStr">
        <is>
          <t>GÄVLEBORGS LÄN</t>
        </is>
      </c>
      <c r="E1741" t="inlineStr">
        <is>
          <t>NORDANSTIG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59558-2019</t>
        </is>
      </c>
      <c r="B1742" s="1" t="n">
        <v>43776</v>
      </c>
      <c r="C1742" s="1" t="n">
        <v>45344</v>
      </c>
      <c r="D1742" t="inlineStr">
        <is>
          <t>GÄVLEBORGS LÄN</t>
        </is>
      </c>
      <c r="E1742" t="inlineStr">
        <is>
          <t>HUDIKSVALL</t>
        </is>
      </c>
      <c r="F1742" t="inlineStr">
        <is>
          <t>Holmen skog AB</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59458-2019</t>
        </is>
      </c>
      <c r="B1743" s="1" t="n">
        <v>43776</v>
      </c>
      <c r="C1743" s="1" t="n">
        <v>45344</v>
      </c>
      <c r="D1743" t="inlineStr">
        <is>
          <t>GÄVLEBORGS LÄN</t>
        </is>
      </c>
      <c r="E1743" t="inlineStr">
        <is>
          <t>LJUSDAL</t>
        </is>
      </c>
      <c r="G1743" t="n">
        <v>3.6</v>
      </c>
      <c r="H1743" t="n">
        <v>0</v>
      </c>
      <c r="I1743" t="n">
        <v>0</v>
      </c>
      <c r="J1743" t="n">
        <v>0</v>
      </c>
      <c r="K1743" t="n">
        <v>0</v>
      </c>
      <c r="L1743" t="n">
        <v>0</v>
      </c>
      <c r="M1743" t="n">
        <v>0</v>
      </c>
      <c r="N1743" t="n">
        <v>0</v>
      </c>
      <c r="O1743" t="n">
        <v>0</v>
      </c>
      <c r="P1743" t="n">
        <v>0</v>
      </c>
      <c r="Q1743" t="n">
        <v>0</v>
      </c>
      <c r="R1743" s="2" t="inlineStr"/>
    </row>
    <row r="1744" ht="15" customHeight="1">
      <c r="A1744" t="inlineStr">
        <is>
          <t>A 59734-2019</t>
        </is>
      </c>
      <c r="B1744" s="1" t="n">
        <v>43776</v>
      </c>
      <c r="C1744" s="1" t="n">
        <v>45344</v>
      </c>
      <c r="D1744" t="inlineStr">
        <is>
          <t>GÄVLEBORGS LÄN</t>
        </is>
      </c>
      <c r="E1744" t="inlineStr">
        <is>
          <t>GÄVLE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60423-2019</t>
        </is>
      </c>
      <c r="B1745" s="1" t="n">
        <v>43776</v>
      </c>
      <c r="C1745" s="1" t="n">
        <v>45344</v>
      </c>
      <c r="D1745" t="inlineStr">
        <is>
          <t>GÄVLEBORGS LÄN</t>
        </is>
      </c>
      <c r="E1745" t="inlineStr">
        <is>
          <t>HUDIKSVALL</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60418-2019</t>
        </is>
      </c>
      <c r="B1746" s="1" t="n">
        <v>43776</v>
      </c>
      <c r="C1746" s="1" t="n">
        <v>45344</v>
      </c>
      <c r="D1746" t="inlineStr">
        <is>
          <t>GÄVLEBORGS LÄN</t>
        </is>
      </c>
      <c r="E1746" t="inlineStr">
        <is>
          <t>LJUSDAL</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59699-2019</t>
        </is>
      </c>
      <c r="B1747" s="1" t="n">
        <v>43776</v>
      </c>
      <c r="C1747" s="1" t="n">
        <v>45344</v>
      </c>
      <c r="D1747" t="inlineStr">
        <is>
          <t>GÄVLEBORGS LÄN</t>
        </is>
      </c>
      <c r="E1747" t="inlineStr">
        <is>
          <t>BOLLNÄS</t>
        </is>
      </c>
      <c r="G1747" t="n">
        <v>0</v>
      </c>
      <c r="H1747" t="n">
        <v>0</v>
      </c>
      <c r="I1747" t="n">
        <v>0</v>
      </c>
      <c r="J1747" t="n">
        <v>0</v>
      </c>
      <c r="K1747" t="n">
        <v>0</v>
      </c>
      <c r="L1747" t="n">
        <v>0</v>
      </c>
      <c r="M1747" t="n">
        <v>0</v>
      </c>
      <c r="N1747" t="n">
        <v>0</v>
      </c>
      <c r="O1747" t="n">
        <v>0</v>
      </c>
      <c r="P1747" t="n">
        <v>0</v>
      </c>
      <c r="Q1747" t="n">
        <v>0</v>
      </c>
      <c r="R1747" s="2" t="inlineStr"/>
    </row>
    <row r="1748" ht="15" customHeight="1">
      <c r="A1748" t="inlineStr">
        <is>
          <t>A 59926-2019</t>
        </is>
      </c>
      <c r="B1748" s="1" t="n">
        <v>43777</v>
      </c>
      <c r="C1748" s="1" t="n">
        <v>45344</v>
      </c>
      <c r="D1748" t="inlineStr">
        <is>
          <t>GÄVLEBORGS LÄN</t>
        </is>
      </c>
      <c r="E1748" t="inlineStr">
        <is>
          <t>GÄVLE</t>
        </is>
      </c>
      <c r="F1748" t="inlineStr">
        <is>
          <t>Bergvik skog öst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59956-2019</t>
        </is>
      </c>
      <c r="B1749" s="1" t="n">
        <v>43777</v>
      </c>
      <c r="C1749" s="1" t="n">
        <v>45344</v>
      </c>
      <c r="D1749" t="inlineStr">
        <is>
          <t>GÄVLEBORGS LÄN</t>
        </is>
      </c>
      <c r="E1749" t="inlineStr">
        <is>
          <t>SANDVIKEN</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60049-2019</t>
        </is>
      </c>
      <c r="B1750" s="1" t="n">
        <v>43777</v>
      </c>
      <c r="C1750" s="1" t="n">
        <v>45344</v>
      </c>
      <c r="D1750" t="inlineStr">
        <is>
          <t>GÄVLEBORGS LÄN</t>
        </is>
      </c>
      <c r="E1750" t="inlineStr">
        <is>
          <t>HOFORS</t>
        </is>
      </c>
      <c r="F1750" t="inlineStr">
        <is>
          <t>Sveaskog</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59838-2019</t>
        </is>
      </c>
      <c r="B1751" s="1" t="n">
        <v>43777</v>
      </c>
      <c r="C1751" s="1" t="n">
        <v>45344</v>
      </c>
      <c r="D1751" t="inlineStr">
        <is>
          <t>GÄVLEBORGS LÄN</t>
        </is>
      </c>
      <c r="E1751" t="inlineStr">
        <is>
          <t>SANDVIKEN</t>
        </is>
      </c>
      <c r="G1751" t="n">
        <v>4.6</v>
      </c>
      <c r="H1751" t="n">
        <v>0</v>
      </c>
      <c r="I1751" t="n">
        <v>0</v>
      </c>
      <c r="J1751" t="n">
        <v>0</v>
      </c>
      <c r="K1751" t="n">
        <v>0</v>
      </c>
      <c r="L1751" t="n">
        <v>0</v>
      </c>
      <c r="M1751" t="n">
        <v>0</v>
      </c>
      <c r="N1751" t="n">
        <v>0</v>
      </c>
      <c r="O1751" t="n">
        <v>0</v>
      </c>
      <c r="P1751" t="n">
        <v>0</v>
      </c>
      <c r="Q1751" t="n">
        <v>0</v>
      </c>
      <c r="R1751" s="2" t="inlineStr"/>
    </row>
    <row r="1752" ht="15" customHeight="1">
      <c r="A1752" t="inlineStr">
        <is>
          <t>A 59980-2019</t>
        </is>
      </c>
      <c r="B1752" s="1" t="n">
        <v>43777</v>
      </c>
      <c r="C1752" s="1" t="n">
        <v>45344</v>
      </c>
      <c r="D1752" t="inlineStr">
        <is>
          <t>GÄVLEBORGS LÄN</t>
        </is>
      </c>
      <c r="E1752" t="inlineStr">
        <is>
          <t>BOLLNÄS</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60034-2019</t>
        </is>
      </c>
      <c r="B1753" s="1" t="n">
        <v>43777</v>
      </c>
      <c r="C1753" s="1" t="n">
        <v>45344</v>
      </c>
      <c r="D1753" t="inlineStr">
        <is>
          <t>GÄVLEBORGS LÄN</t>
        </is>
      </c>
      <c r="E1753" t="inlineStr">
        <is>
          <t>LJUSDAL</t>
        </is>
      </c>
      <c r="F1753" t="inlineStr">
        <is>
          <t>Sveaskog</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59907-2019</t>
        </is>
      </c>
      <c r="B1754" s="1" t="n">
        <v>43777</v>
      </c>
      <c r="C1754" s="1" t="n">
        <v>45344</v>
      </c>
      <c r="D1754" t="inlineStr">
        <is>
          <t>GÄVLEBORGS LÄN</t>
        </is>
      </c>
      <c r="E1754" t="inlineStr">
        <is>
          <t>GÄVLE</t>
        </is>
      </c>
      <c r="F1754" t="inlineStr">
        <is>
          <t>Bergvik skog öst AB</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59922-2019</t>
        </is>
      </c>
      <c r="B1755" s="1" t="n">
        <v>43777</v>
      </c>
      <c r="C1755" s="1" t="n">
        <v>45344</v>
      </c>
      <c r="D1755" t="inlineStr">
        <is>
          <t>GÄVLEBORGS LÄN</t>
        </is>
      </c>
      <c r="E1755" t="inlineStr">
        <is>
          <t>LJUSDAL</t>
        </is>
      </c>
      <c r="F1755" t="inlineStr">
        <is>
          <t>Allmännings- och besparingsskogar</t>
        </is>
      </c>
      <c r="G1755" t="n">
        <v>4.7</v>
      </c>
      <c r="H1755" t="n">
        <v>0</v>
      </c>
      <c r="I1755" t="n">
        <v>0</v>
      </c>
      <c r="J1755" t="n">
        <v>0</v>
      </c>
      <c r="K1755" t="n">
        <v>0</v>
      </c>
      <c r="L1755" t="n">
        <v>0</v>
      </c>
      <c r="M1755" t="n">
        <v>0</v>
      </c>
      <c r="N1755" t="n">
        <v>0</v>
      </c>
      <c r="O1755" t="n">
        <v>0</v>
      </c>
      <c r="P1755" t="n">
        <v>0</v>
      </c>
      <c r="Q1755" t="n">
        <v>0</v>
      </c>
      <c r="R1755" s="2" t="inlineStr"/>
    </row>
    <row r="1756" ht="15" customHeight="1">
      <c r="A1756" t="inlineStr">
        <is>
          <t>A 60262-2019</t>
        </is>
      </c>
      <c r="B1756" s="1" t="n">
        <v>43780</v>
      </c>
      <c r="C1756" s="1" t="n">
        <v>45344</v>
      </c>
      <c r="D1756" t="inlineStr">
        <is>
          <t>GÄVLEBORGS LÄN</t>
        </is>
      </c>
      <c r="E1756" t="inlineStr">
        <is>
          <t>HOFORS</t>
        </is>
      </c>
      <c r="F1756" t="inlineStr">
        <is>
          <t>Sveaskog</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60336-2019</t>
        </is>
      </c>
      <c r="B1757" s="1" t="n">
        <v>43780</v>
      </c>
      <c r="C1757" s="1" t="n">
        <v>45344</v>
      </c>
      <c r="D1757" t="inlineStr">
        <is>
          <t>GÄVLEBORGS LÄN</t>
        </is>
      </c>
      <c r="E1757" t="inlineStr">
        <is>
          <t>OVANÅKER</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60344-2019</t>
        </is>
      </c>
      <c r="B1758" s="1" t="n">
        <v>43780</v>
      </c>
      <c r="C1758" s="1" t="n">
        <v>45344</v>
      </c>
      <c r="D1758" t="inlineStr">
        <is>
          <t>GÄVLEBORGS LÄN</t>
        </is>
      </c>
      <c r="E1758" t="inlineStr">
        <is>
          <t>OVANÅKER</t>
        </is>
      </c>
      <c r="G1758" t="n">
        <v>12.2</v>
      </c>
      <c r="H1758" t="n">
        <v>0</v>
      </c>
      <c r="I1758" t="n">
        <v>0</v>
      </c>
      <c r="J1758" t="n">
        <v>0</v>
      </c>
      <c r="K1758" t="n">
        <v>0</v>
      </c>
      <c r="L1758" t="n">
        <v>0</v>
      </c>
      <c r="M1758" t="n">
        <v>0</v>
      </c>
      <c r="N1758" t="n">
        <v>0</v>
      </c>
      <c r="O1758" t="n">
        <v>0</v>
      </c>
      <c r="P1758" t="n">
        <v>0</v>
      </c>
      <c r="Q1758" t="n">
        <v>0</v>
      </c>
      <c r="R1758" s="2" t="inlineStr"/>
    </row>
    <row r="1759" ht="15" customHeight="1">
      <c r="A1759" t="inlineStr">
        <is>
          <t>A 60188-2019</t>
        </is>
      </c>
      <c r="B1759" s="1" t="n">
        <v>43780</v>
      </c>
      <c r="C1759" s="1" t="n">
        <v>45344</v>
      </c>
      <c r="D1759" t="inlineStr">
        <is>
          <t>GÄVLEBORGS LÄN</t>
        </is>
      </c>
      <c r="E1759" t="inlineStr">
        <is>
          <t>HUDIKSVALL</t>
        </is>
      </c>
      <c r="F1759" t="inlineStr">
        <is>
          <t>Holmen skog AB</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60405-2019</t>
        </is>
      </c>
      <c r="B1760" s="1" t="n">
        <v>43780</v>
      </c>
      <c r="C1760" s="1" t="n">
        <v>45344</v>
      </c>
      <c r="D1760" t="inlineStr">
        <is>
          <t>GÄVLEBORGS LÄN</t>
        </is>
      </c>
      <c r="E1760" t="inlineStr">
        <is>
          <t>HUDIKSVALL</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60499-2019</t>
        </is>
      </c>
      <c r="B1761" s="1" t="n">
        <v>43780</v>
      </c>
      <c r="C1761" s="1" t="n">
        <v>45344</v>
      </c>
      <c r="D1761" t="inlineStr">
        <is>
          <t>GÄVLEBORGS LÄN</t>
        </is>
      </c>
      <c r="E1761" t="inlineStr">
        <is>
          <t>NORDANSTIG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60539-2019</t>
        </is>
      </c>
      <c r="B1762" s="1" t="n">
        <v>43781</v>
      </c>
      <c r="C1762" s="1" t="n">
        <v>45344</v>
      </c>
      <c r="D1762" t="inlineStr">
        <is>
          <t>GÄVLEBORGS LÄN</t>
        </is>
      </c>
      <c r="E1762" t="inlineStr">
        <is>
          <t>BOLLNÄS</t>
        </is>
      </c>
      <c r="F1762" t="inlineStr">
        <is>
          <t>Sveaskog</t>
        </is>
      </c>
      <c r="G1762" t="n">
        <v>8.4</v>
      </c>
      <c r="H1762" t="n">
        <v>0</v>
      </c>
      <c r="I1762" t="n">
        <v>0</v>
      </c>
      <c r="J1762" t="n">
        <v>0</v>
      </c>
      <c r="K1762" t="n">
        <v>0</v>
      </c>
      <c r="L1762" t="n">
        <v>0</v>
      </c>
      <c r="M1762" t="n">
        <v>0</v>
      </c>
      <c r="N1762" t="n">
        <v>0</v>
      </c>
      <c r="O1762" t="n">
        <v>0</v>
      </c>
      <c r="P1762" t="n">
        <v>0</v>
      </c>
      <c r="Q1762" t="n">
        <v>0</v>
      </c>
      <c r="R1762" s="2" t="inlineStr"/>
    </row>
    <row r="1763" ht="15" customHeight="1">
      <c r="A1763" t="inlineStr">
        <is>
          <t>A 60574-2019</t>
        </is>
      </c>
      <c r="B1763" s="1" t="n">
        <v>43781</v>
      </c>
      <c r="C1763" s="1" t="n">
        <v>45344</v>
      </c>
      <c r="D1763" t="inlineStr">
        <is>
          <t>GÄVLEBORGS LÄN</t>
        </is>
      </c>
      <c r="E1763" t="inlineStr">
        <is>
          <t>LJUSDAL</t>
        </is>
      </c>
      <c r="F1763" t="inlineStr">
        <is>
          <t>Bergvik skog väst AB</t>
        </is>
      </c>
      <c r="G1763" t="n">
        <v>20.4</v>
      </c>
      <c r="H1763" t="n">
        <v>0</v>
      </c>
      <c r="I1763" t="n">
        <v>0</v>
      </c>
      <c r="J1763" t="n">
        <v>0</v>
      </c>
      <c r="K1763" t="n">
        <v>0</v>
      </c>
      <c r="L1763" t="n">
        <v>0</v>
      </c>
      <c r="M1763" t="n">
        <v>0</v>
      </c>
      <c r="N1763" t="n">
        <v>0</v>
      </c>
      <c r="O1763" t="n">
        <v>0</v>
      </c>
      <c r="P1763" t="n">
        <v>0</v>
      </c>
      <c r="Q1763" t="n">
        <v>0</v>
      </c>
      <c r="R1763" s="2" t="inlineStr"/>
    </row>
    <row r="1764" ht="15" customHeight="1">
      <c r="A1764" t="inlineStr">
        <is>
          <t>A 60651-2019</t>
        </is>
      </c>
      <c r="B1764" s="1" t="n">
        <v>43781</v>
      </c>
      <c r="C1764" s="1" t="n">
        <v>45344</v>
      </c>
      <c r="D1764" t="inlineStr">
        <is>
          <t>GÄVLEBORGS LÄN</t>
        </is>
      </c>
      <c r="E1764" t="inlineStr">
        <is>
          <t>LJUSDAL</t>
        </is>
      </c>
      <c r="F1764" t="inlineStr">
        <is>
          <t>Sveaskog</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60552-2019</t>
        </is>
      </c>
      <c r="B1765" s="1" t="n">
        <v>43781</v>
      </c>
      <c r="C1765" s="1" t="n">
        <v>45344</v>
      </c>
      <c r="D1765" t="inlineStr">
        <is>
          <t>GÄVLEBORGS LÄN</t>
        </is>
      </c>
      <c r="E1765" t="inlineStr">
        <is>
          <t>HOFORS</t>
        </is>
      </c>
      <c r="F1765" t="inlineStr">
        <is>
          <t>Sveaskog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60612-2019</t>
        </is>
      </c>
      <c r="B1766" s="1" t="n">
        <v>43781</v>
      </c>
      <c r="C1766" s="1" t="n">
        <v>45344</v>
      </c>
      <c r="D1766" t="inlineStr">
        <is>
          <t>GÄVLEBORGS LÄN</t>
        </is>
      </c>
      <c r="E1766" t="inlineStr">
        <is>
          <t>BOLLNÄS</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60720-2019</t>
        </is>
      </c>
      <c r="B1767" s="1" t="n">
        <v>43781</v>
      </c>
      <c r="C1767" s="1" t="n">
        <v>45344</v>
      </c>
      <c r="D1767" t="inlineStr">
        <is>
          <t>GÄVLEBORGS LÄN</t>
        </is>
      </c>
      <c r="E1767" t="inlineStr">
        <is>
          <t>LJUSDAL</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61030-2019</t>
        </is>
      </c>
      <c r="B1768" s="1" t="n">
        <v>43782</v>
      </c>
      <c r="C1768" s="1" t="n">
        <v>45344</v>
      </c>
      <c r="D1768" t="inlineStr">
        <is>
          <t>GÄVLEBORGS LÄN</t>
        </is>
      </c>
      <c r="E1768" t="inlineStr">
        <is>
          <t>OCKELBO</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61192-2019</t>
        </is>
      </c>
      <c r="B1769" s="1" t="n">
        <v>43782</v>
      </c>
      <c r="C1769" s="1" t="n">
        <v>45344</v>
      </c>
      <c r="D1769" t="inlineStr">
        <is>
          <t>GÄVLEBORGS LÄN</t>
        </is>
      </c>
      <c r="E1769" t="inlineStr">
        <is>
          <t>LJUSDAL</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60966-2019</t>
        </is>
      </c>
      <c r="B1770" s="1" t="n">
        <v>43782</v>
      </c>
      <c r="C1770" s="1" t="n">
        <v>45344</v>
      </c>
      <c r="D1770" t="inlineStr">
        <is>
          <t>GÄVLEBORGS LÄN</t>
        </is>
      </c>
      <c r="E1770" t="inlineStr">
        <is>
          <t>SÖDERHAMN</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60988-2019</t>
        </is>
      </c>
      <c r="B1771" s="1" t="n">
        <v>43782</v>
      </c>
      <c r="C1771" s="1" t="n">
        <v>45344</v>
      </c>
      <c r="D1771" t="inlineStr">
        <is>
          <t>GÄVLEBORGS LÄN</t>
        </is>
      </c>
      <c r="E1771" t="inlineStr">
        <is>
          <t>HUDIKSVALL</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61070-2019</t>
        </is>
      </c>
      <c r="B1772" s="1" t="n">
        <v>43782</v>
      </c>
      <c r="C1772" s="1" t="n">
        <v>45344</v>
      </c>
      <c r="D1772" t="inlineStr">
        <is>
          <t>GÄVLEBORGS LÄN</t>
        </is>
      </c>
      <c r="E1772" t="inlineStr">
        <is>
          <t>OVANÅKER</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61195-2019</t>
        </is>
      </c>
      <c r="B1773" s="1" t="n">
        <v>43782</v>
      </c>
      <c r="C1773" s="1" t="n">
        <v>45344</v>
      </c>
      <c r="D1773" t="inlineStr">
        <is>
          <t>GÄVLEBORGS LÄN</t>
        </is>
      </c>
      <c r="E1773" t="inlineStr">
        <is>
          <t>LJUSDAL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62091-2019</t>
        </is>
      </c>
      <c r="B1774" s="1" t="n">
        <v>43782</v>
      </c>
      <c r="C1774" s="1" t="n">
        <v>45344</v>
      </c>
      <c r="D1774" t="inlineStr">
        <is>
          <t>GÄVLEBORGS LÄN</t>
        </is>
      </c>
      <c r="E1774" t="inlineStr">
        <is>
          <t>HOFORS</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61194-2019</t>
        </is>
      </c>
      <c r="B1775" s="1" t="n">
        <v>43782</v>
      </c>
      <c r="C1775" s="1" t="n">
        <v>45344</v>
      </c>
      <c r="D1775" t="inlineStr">
        <is>
          <t>GÄVLEBORGS LÄN</t>
        </is>
      </c>
      <c r="E1775" t="inlineStr">
        <is>
          <t>LJUSDAL</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60993-2019</t>
        </is>
      </c>
      <c r="B1776" s="1" t="n">
        <v>43782</v>
      </c>
      <c r="C1776" s="1" t="n">
        <v>45344</v>
      </c>
      <c r="D1776" t="inlineStr">
        <is>
          <t>GÄVLEBORGS LÄN</t>
        </is>
      </c>
      <c r="E1776" t="inlineStr">
        <is>
          <t>OCKELBO</t>
        </is>
      </c>
      <c r="G1776" t="n">
        <v>2.8</v>
      </c>
      <c r="H1776" t="n">
        <v>0</v>
      </c>
      <c r="I1776" t="n">
        <v>0</v>
      </c>
      <c r="J1776" t="n">
        <v>0</v>
      </c>
      <c r="K1776" t="n">
        <v>0</v>
      </c>
      <c r="L1776" t="n">
        <v>0</v>
      </c>
      <c r="M1776" t="n">
        <v>0</v>
      </c>
      <c r="N1776" t="n">
        <v>0</v>
      </c>
      <c r="O1776" t="n">
        <v>0</v>
      </c>
      <c r="P1776" t="n">
        <v>0</v>
      </c>
      <c r="Q1776" t="n">
        <v>0</v>
      </c>
      <c r="R1776" s="2" t="inlineStr"/>
    </row>
    <row r="1777" ht="15" customHeight="1">
      <c r="A1777" t="inlineStr">
        <is>
          <t>A 62085-2019</t>
        </is>
      </c>
      <c r="B1777" s="1" t="n">
        <v>43782</v>
      </c>
      <c r="C1777" s="1" t="n">
        <v>45344</v>
      </c>
      <c r="D1777" t="inlineStr">
        <is>
          <t>GÄVLEBORGS LÄN</t>
        </is>
      </c>
      <c r="E1777" t="inlineStr">
        <is>
          <t>SANDVIKEN</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62088-2019</t>
        </is>
      </c>
      <c r="B1778" s="1" t="n">
        <v>43782</v>
      </c>
      <c r="C1778" s="1" t="n">
        <v>45344</v>
      </c>
      <c r="D1778" t="inlineStr">
        <is>
          <t>GÄVLEBORGS LÄN</t>
        </is>
      </c>
      <c r="E1778" t="inlineStr">
        <is>
          <t>SANDVIKEN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61168-2019</t>
        </is>
      </c>
      <c r="B1779" s="1" t="n">
        <v>43782</v>
      </c>
      <c r="C1779" s="1" t="n">
        <v>45344</v>
      </c>
      <c r="D1779" t="inlineStr">
        <is>
          <t>GÄVLEBORGS LÄN</t>
        </is>
      </c>
      <c r="E1779" t="inlineStr">
        <is>
          <t>HOFORS</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61364-2019</t>
        </is>
      </c>
      <c r="B1780" s="1" t="n">
        <v>43783</v>
      </c>
      <c r="C1780" s="1" t="n">
        <v>45344</v>
      </c>
      <c r="D1780" t="inlineStr">
        <is>
          <t>GÄVLEBORGS LÄN</t>
        </is>
      </c>
      <c r="E1780" t="inlineStr">
        <is>
          <t>OCKELBO</t>
        </is>
      </c>
      <c r="F1780" t="inlineStr">
        <is>
          <t>Bergvik skog väst AB</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61374-2019</t>
        </is>
      </c>
      <c r="B1781" s="1" t="n">
        <v>43783</v>
      </c>
      <c r="C1781" s="1" t="n">
        <v>45344</v>
      </c>
      <c r="D1781" t="inlineStr">
        <is>
          <t>GÄVLEBORGS LÄN</t>
        </is>
      </c>
      <c r="E1781" t="inlineStr">
        <is>
          <t>BOLLNÄS</t>
        </is>
      </c>
      <c r="F1781" t="inlineStr">
        <is>
          <t>Sveaskog</t>
        </is>
      </c>
      <c r="G1781" t="n">
        <v>2.8</v>
      </c>
      <c r="H1781" t="n">
        <v>0</v>
      </c>
      <c r="I1781" t="n">
        <v>0</v>
      </c>
      <c r="J1781" t="n">
        <v>0</v>
      </c>
      <c r="K1781" t="n">
        <v>0</v>
      </c>
      <c r="L1781" t="n">
        <v>0</v>
      </c>
      <c r="M1781" t="n">
        <v>0</v>
      </c>
      <c r="N1781" t="n">
        <v>0</v>
      </c>
      <c r="O1781" t="n">
        <v>0</v>
      </c>
      <c r="P1781" t="n">
        <v>0</v>
      </c>
      <c r="Q1781" t="n">
        <v>0</v>
      </c>
      <c r="R1781" s="2" t="inlineStr"/>
      <c r="U1781">
        <f>HYPERLINK("https://klasma.github.io/Logging_2183/knärot/A 61374-2019 karta knärot.png", "A 61374-2019")</f>
        <v/>
      </c>
      <c r="V1781">
        <f>HYPERLINK("https://klasma.github.io/Logging_2183/klagomål/A 61374-2019 FSC-klagomål.docx", "A 61374-2019")</f>
        <v/>
      </c>
      <c r="W1781">
        <f>HYPERLINK("https://klasma.github.io/Logging_2183/klagomålsmail/A 61374-2019 FSC-klagomål mail.docx", "A 61374-2019")</f>
        <v/>
      </c>
      <c r="X1781">
        <f>HYPERLINK("https://klasma.github.io/Logging_2183/tillsyn/A 61374-2019 tillsynsbegäran.docx", "A 61374-2019")</f>
        <v/>
      </c>
      <c r="Y1781">
        <f>HYPERLINK("https://klasma.github.io/Logging_2183/tillsynsmail/A 61374-2019 tillsynsbegäran mail.docx", "A 61374-2019")</f>
        <v/>
      </c>
    </row>
    <row r="1782" ht="15" customHeight="1">
      <c r="A1782" t="inlineStr">
        <is>
          <t>A 61246-2019</t>
        </is>
      </c>
      <c r="B1782" s="1" t="n">
        <v>43783</v>
      </c>
      <c r="C1782" s="1" t="n">
        <v>45344</v>
      </c>
      <c r="D1782" t="inlineStr">
        <is>
          <t>GÄVLEBORGS LÄN</t>
        </is>
      </c>
      <c r="E1782" t="inlineStr">
        <is>
          <t>BOLLNÄS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61392-2019</t>
        </is>
      </c>
      <c r="B1783" s="1" t="n">
        <v>43783</v>
      </c>
      <c r="C1783" s="1" t="n">
        <v>45344</v>
      </c>
      <c r="D1783" t="inlineStr">
        <is>
          <t>GÄVLEBORGS LÄN</t>
        </is>
      </c>
      <c r="E1783" t="inlineStr">
        <is>
          <t>GÄVLE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61481-2019</t>
        </is>
      </c>
      <c r="B1784" s="1" t="n">
        <v>43783</v>
      </c>
      <c r="C1784" s="1" t="n">
        <v>45344</v>
      </c>
      <c r="D1784" t="inlineStr">
        <is>
          <t>GÄVLEBORGS LÄN</t>
        </is>
      </c>
      <c r="E1784" t="inlineStr">
        <is>
          <t>SANDVIKEN</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62938-2019</t>
        </is>
      </c>
      <c r="B1785" s="1" t="n">
        <v>43783</v>
      </c>
      <c r="C1785" s="1" t="n">
        <v>45344</v>
      </c>
      <c r="D1785" t="inlineStr">
        <is>
          <t>GÄVLEBORGS LÄN</t>
        </is>
      </c>
      <c r="E1785" t="inlineStr">
        <is>
          <t>BOLLNÄS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62448-2019</t>
        </is>
      </c>
      <c r="B1786" s="1" t="n">
        <v>43783</v>
      </c>
      <c r="C1786" s="1" t="n">
        <v>45344</v>
      </c>
      <c r="D1786" t="inlineStr">
        <is>
          <t>GÄVLEBORGS LÄN</t>
        </is>
      </c>
      <c r="E1786" t="inlineStr">
        <is>
          <t>SÖDERHAMN</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61274-2019</t>
        </is>
      </c>
      <c r="B1787" s="1" t="n">
        <v>43783</v>
      </c>
      <c r="C1787" s="1" t="n">
        <v>45344</v>
      </c>
      <c r="D1787" t="inlineStr">
        <is>
          <t>GÄVLEBORGS LÄN</t>
        </is>
      </c>
      <c r="E1787" t="inlineStr">
        <is>
          <t>SÖDERHAMN</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61501-2019</t>
        </is>
      </c>
      <c r="B1788" s="1" t="n">
        <v>43783</v>
      </c>
      <c r="C1788" s="1" t="n">
        <v>45344</v>
      </c>
      <c r="D1788" t="inlineStr">
        <is>
          <t>GÄVLEBORGS LÄN</t>
        </is>
      </c>
      <c r="E1788" t="inlineStr">
        <is>
          <t>HUDIKSVALL</t>
        </is>
      </c>
      <c r="F1788" t="inlineStr">
        <is>
          <t>Holmen skog AB</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61563-2019</t>
        </is>
      </c>
      <c r="B1789" s="1" t="n">
        <v>43784</v>
      </c>
      <c r="C1789" s="1" t="n">
        <v>45344</v>
      </c>
      <c r="D1789" t="inlineStr">
        <is>
          <t>GÄVLEBORGS LÄN</t>
        </is>
      </c>
      <c r="E1789" t="inlineStr">
        <is>
          <t>HUDIKSVALL</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61729-2019</t>
        </is>
      </c>
      <c r="B1790" s="1" t="n">
        <v>43784</v>
      </c>
      <c r="C1790" s="1" t="n">
        <v>45344</v>
      </c>
      <c r="D1790" t="inlineStr">
        <is>
          <t>GÄVLEBORGS LÄN</t>
        </is>
      </c>
      <c r="E1790" t="inlineStr">
        <is>
          <t>LJUSDAL</t>
        </is>
      </c>
      <c r="F1790" t="inlineStr">
        <is>
          <t>Allmännings- och besparingsskogar</t>
        </is>
      </c>
      <c r="G1790" t="n">
        <v>7.5</v>
      </c>
      <c r="H1790" t="n">
        <v>0</v>
      </c>
      <c r="I1790" t="n">
        <v>0</v>
      </c>
      <c r="J1790" t="n">
        <v>0</v>
      </c>
      <c r="K1790" t="n">
        <v>0</v>
      </c>
      <c r="L1790" t="n">
        <v>0</v>
      </c>
      <c r="M1790" t="n">
        <v>0</v>
      </c>
      <c r="N1790" t="n">
        <v>0</v>
      </c>
      <c r="O1790" t="n">
        <v>0</v>
      </c>
      <c r="P1790" t="n">
        <v>0</v>
      </c>
      <c r="Q1790" t="n">
        <v>0</v>
      </c>
      <c r="R1790" s="2" t="inlineStr"/>
    </row>
    <row r="1791" ht="15" customHeight="1">
      <c r="A1791" t="inlineStr">
        <is>
          <t>A 61675-2019</t>
        </is>
      </c>
      <c r="B1791" s="1" t="n">
        <v>43784</v>
      </c>
      <c r="C1791" s="1" t="n">
        <v>45344</v>
      </c>
      <c r="D1791" t="inlineStr">
        <is>
          <t>GÄVLEBORGS LÄN</t>
        </is>
      </c>
      <c r="E1791" t="inlineStr">
        <is>
          <t>SANDVIKEN</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63115-2019</t>
        </is>
      </c>
      <c r="B1792" s="1" t="n">
        <v>43786</v>
      </c>
      <c r="C1792" s="1" t="n">
        <v>45344</v>
      </c>
      <c r="D1792" t="inlineStr">
        <is>
          <t>GÄVLEBORGS LÄN</t>
        </is>
      </c>
      <c r="E1792" t="inlineStr">
        <is>
          <t>HUDIKSVALL</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62044-2019</t>
        </is>
      </c>
      <c r="B1793" s="1" t="n">
        <v>43787</v>
      </c>
      <c r="C1793" s="1" t="n">
        <v>45344</v>
      </c>
      <c r="D1793" t="inlineStr">
        <is>
          <t>GÄVLEBORGS LÄN</t>
        </is>
      </c>
      <c r="E1793" t="inlineStr">
        <is>
          <t>OVANÅKER</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61870-2019</t>
        </is>
      </c>
      <c r="B1794" s="1" t="n">
        <v>43787</v>
      </c>
      <c r="C1794" s="1" t="n">
        <v>45344</v>
      </c>
      <c r="D1794" t="inlineStr">
        <is>
          <t>GÄVLEBORGS LÄN</t>
        </is>
      </c>
      <c r="E1794" t="inlineStr">
        <is>
          <t>LJUSDAL</t>
        </is>
      </c>
      <c r="F1794" t="inlineStr">
        <is>
          <t>Allmännings- och besparingsskogar</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62119-2019</t>
        </is>
      </c>
      <c r="B1795" s="1" t="n">
        <v>43787</v>
      </c>
      <c r="C1795" s="1" t="n">
        <v>45344</v>
      </c>
      <c r="D1795" t="inlineStr">
        <is>
          <t>GÄVLEBORGS LÄN</t>
        </is>
      </c>
      <c r="E1795" t="inlineStr">
        <is>
          <t>BOLLNÄS</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61988-2019</t>
        </is>
      </c>
      <c r="B1796" s="1" t="n">
        <v>43787</v>
      </c>
      <c r="C1796" s="1" t="n">
        <v>45344</v>
      </c>
      <c r="D1796" t="inlineStr">
        <is>
          <t>GÄVLEBORGS LÄN</t>
        </is>
      </c>
      <c r="E1796" t="inlineStr">
        <is>
          <t>LJUSDAL</t>
        </is>
      </c>
      <c r="F1796" t="inlineStr">
        <is>
          <t>Allmännings- och besparingsskogar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62211-2019</t>
        </is>
      </c>
      <c r="B1797" s="1" t="n">
        <v>43788</v>
      </c>
      <c r="C1797" s="1" t="n">
        <v>45344</v>
      </c>
      <c r="D1797" t="inlineStr">
        <is>
          <t>GÄVLEBORGS LÄN</t>
        </is>
      </c>
      <c r="E1797" t="inlineStr">
        <is>
          <t>OVANÅKER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62387-2019</t>
        </is>
      </c>
      <c r="B1798" s="1" t="n">
        <v>43788</v>
      </c>
      <c r="C1798" s="1" t="n">
        <v>45344</v>
      </c>
      <c r="D1798" t="inlineStr">
        <is>
          <t>GÄVLEBORGS LÄN</t>
        </is>
      </c>
      <c r="E1798" t="inlineStr">
        <is>
          <t>HUDIKSVALL</t>
        </is>
      </c>
      <c r="F1798" t="inlineStr">
        <is>
          <t>Holmen skog AB</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62250-2019</t>
        </is>
      </c>
      <c r="B1799" s="1" t="n">
        <v>43788</v>
      </c>
      <c r="C1799" s="1" t="n">
        <v>45344</v>
      </c>
      <c r="D1799" t="inlineStr">
        <is>
          <t>GÄVLEBORGS LÄN</t>
        </is>
      </c>
      <c r="E1799" t="inlineStr">
        <is>
          <t>GÄVLE</t>
        </is>
      </c>
      <c r="G1799" t="n">
        <v>4.3</v>
      </c>
      <c r="H1799" t="n">
        <v>0</v>
      </c>
      <c r="I1799" t="n">
        <v>0</v>
      </c>
      <c r="J1799" t="n">
        <v>0</v>
      </c>
      <c r="K1799" t="n">
        <v>0</v>
      </c>
      <c r="L1799" t="n">
        <v>0</v>
      </c>
      <c r="M1799" t="n">
        <v>0</v>
      </c>
      <c r="N1799" t="n">
        <v>0</v>
      </c>
      <c r="O1799" t="n">
        <v>0</v>
      </c>
      <c r="P1799" t="n">
        <v>0</v>
      </c>
      <c r="Q1799" t="n">
        <v>0</v>
      </c>
      <c r="R1799" s="2" t="inlineStr"/>
    </row>
    <row r="1800" ht="15" customHeight="1">
      <c r="A1800" t="inlineStr">
        <is>
          <t>A 62348-2019</t>
        </is>
      </c>
      <c r="B1800" s="1" t="n">
        <v>43788</v>
      </c>
      <c r="C1800" s="1" t="n">
        <v>45344</v>
      </c>
      <c r="D1800" t="inlineStr">
        <is>
          <t>GÄVLEBORGS LÄN</t>
        </is>
      </c>
      <c r="E1800" t="inlineStr">
        <is>
          <t>OVANÅKER</t>
        </is>
      </c>
      <c r="G1800" t="n">
        <v>12.1</v>
      </c>
      <c r="H1800" t="n">
        <v>0</v>
      </c>
      <c r="I1800" t="n">
        <v>0</v>
      </c>
      <c r="J1800" t="n">
        <v>0</v>
      </c>
      <c r="K1800" t="n">
        <v>0</v>
      </c>
      <c r="L1800" t="n">
        <v>0</v>
      </c>
      <c r="M1800" t="n">
        <v>0</v>
      </c>
      <c r="N1800" t="n">
        <v>0</v>
      </c>
      <c r="O1800" t="n">
        <v>0</v>
      </c>
      <c r="P1800" t="n">
        <v>0</v>
      </c>
      <c r="Q1800" t="n">
        <v>0</v>
      </c>
      <c r="R1800" s="2" t="inlineStr"/>
    </row>
    <row r="1801" ht="15" customHeight="1">
      <c r="A1801" t="inlineStr">
        <is>
          <t>A 62291-2019</t>
        </is>
      </c>
      <c r="B1801" s="1" t="n">
        <v>43788</v>
      </c>
      <c r="C1801" s="1" t="n">
        <v>45344</v>
      </c>
      <c r="D1801" t="inlineStr">
        <is>
          <t>GÄVLEBORGS LÄN</t>
        </is>
      </c>
      <c r="E1801" t="inlineStr">
        <is>
          <t>HUDIKSVALL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62388-2019</t>
        </is>
      </c>
      <c r="B1802" s="1" t="n">
        <v>43788</v>
      </c>
      <c r="C1802" s="1" t="n">
        <v>45344</v>
      </c>
      <c r="D1802" t="inlineStr">
        <is>
          <t>GÄVLEBORGS LÄN</t>
        </is>
      </c>
      <c r="E1802" t="inlineStr">
        <is>
          <t>NORDANSTIG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62439-2019</t>
        </is>
      </c>
      <c r="B1803" s="1" t="n">
        <v>43788</v>
      </c>
      <c r="C1803" s="1" t="n">
        <v>45344</v>
      </c>
      <c r="D1803" t="inlineStr">
        <is>
          <t>GÄVLEBORGS LÄN</t>
        </is>
      </c>
      <c r="E1803" t="inlineStr">
        <is>
          <t>SANDVIKEN</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62615-2019</t>
        </is>
      </c>
      <c r="B1804" s="1" t="n">
        <v>43789</v>
      </c>
      <c r="C1804" s="1" t="n">
        <v>45344</v>
      </c>
      <c r="D1804" t="inlineStr">
        <is>
          <t>GÄVLEBORGS LÄN</t>
        </is>
      </c>
      <c r="E1804" t="inlineStr">
        <is>
          <t>SANDVIKEN</t>
        </is>
      </c>
      <c r="F1804" t="inlineStr">
        <is>
          <t>Naturvårdsverket</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62569-2019</t>
        </is>
      </c>
      <c r="B1805" s="1" t="n">
        <v>43789</v>
      </c>
      <c r="C1805" s="1" t="n">
        <v>45344</v>
      </c>
      <c r="D1805" t="inlineStr">
        <is>
          <t>GÄVLEBORGS LÄN</t>
        </is>
      </c>
      <c r="E1805" t="inlineStr">
        <is>
          <t>HUDIKSVALL</t>
        </is>
      </c>
      <c r="F1805" t="inlineStr">
        <is>
          <t>Holmen skog AB</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62632-2019</t>
        </is>
      </c>
      <c r="B1806" s="1" t="n">
        <v>43789</v>
      </c>
      <c r="C1806" s="1" t="n">
        <v>45344</v>
      </c>
      <c r="D1806" t="inlineStr">
        <is>
          <t>GÄVLEBORGS LÄN</t>
        </is>
      </c>
      <c r="E1806" t="inlineStr">
        <is>
          <t>BOLLNÄS</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62567-2019</t>
        </is>
      </c>
      <c r="B1807" s="1" t="n">
        <v>43789</v>
      </c>
      <c r="C1807" s="1" t="n">
        <v>45344</v>
      </c>
      <c r="D1807" t="inlineStr">
        <is>
          <t>GÄVLEBORGS LÄN</t>
        </is>
      </c>
      <c r="E1807" t="inlineStr">
        <is>
          <t>LJUSDAL</t>
        </is>
      </c>
      <c r="F1807" t="inlineStr">
        <is>
          <t>Allmännings- och besparingsskogar</t>
        </is>
      </c>
      <c r="G1807" t="n">
        <v>7.2</v>
      </c>
      <c r="H1807" t="n">
        <v>0</v>
      </c>
      <c r="I1807" t="n">
        <v>0</v>
      </c>
      <c r="J1807" t="n">
        <v>0</v>
      </c>
      <c r="K1807" t="n">
        <v>0</v>
      </c>
      <c r="L1807" t="n">
        <v>0</v>
      </c>
      <c r="M1807" t="n">
        <v>0</v>
      </c>
      <c r="N1807" t="n">
        <v>0</v>
      </c>
      <c r="O1807" t="n">
        <v>0</v>
      </c>
      <c r="P1807" t="n">
        <v>0</v>
      </c>
      <c r="Q1807" t="n">
        <v>0</v>
      </c>
      <c r="R1807" s="2" t="inlineStr"/>
    </row>
    <row r="1808" ht="15" customHeight="1">
      <c r="A1808" t="inlineStr">
        <is>
          <t>A 62633-2019</t>
        </is>
      </c>
      <c r="B1808" s="1" t="n">
        <v>43789</v>
      </c>
      <c r="C1808" s="1" t="n">
        <v>45344</v>
      </c>
      <c r="D1808" t="inlineStr">
        <is>
          <t>GÄVLEBORGS LÄN</t>
        </is>
      </c>
      <c r="E1808" t="inlineStr">
        <is>
          <t>BOLLNÄS</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62586-2019</t>
        </is>
      </c>
      <c r="B1809" s="1" t="n">
        <v>43789</v>
      </c>
      <c r="C1809" s="1" t="n">
        <v>45344</v>
      </c>
      <c r="D1809" t="inlineStr">
        <is>
          <t>GÄVLEBORGS LÄN</t>
        </is>
      </c>
      <c r="E1809" t="inlineStr">
        <is>
          <t>LJUSDAL</t>
        </is>
      </c>
      <c r="F1809" t="inlineStr">
        <is>
          <t>Allmännings- och besparingsskogar</t>
        </is>
      </c>
      <c r="G1809" t="n">
        <v>7</v>
      </c>
      <c r="H1809" t="n">
        <v>0</v>
      </c>
      <c r="I1809" t="n">
        <v>0</v>
      </c>
      <c r="J1809" t="n">
        <v>0</v>
      </c>
      <c r="K1809" t="n">
        <v>0</v>
      </c>
      <c r="L1809" t="n">
        <v>0</v>
      </c>
      <c r="M1809" t="n">
        <v>0</v>
      </c>
      <c r="N1809" t="n">
        <v>0</v>
      </c>
      <c r="O1809" t="n">
        <v>0</v>
      </c>
      <c r="P1809" t="n">
        <v>0</v>
      </c>
      <c r="Q1809" t="n">
        <v>0</v>
      </c>
      <c r="R1809" s="2" t="inlineStr"/>
    </row>
    <row r="1810" ht="15" customHeight="1">
      <c r="A1810" t="inlineStr">
        <is>
          <t>A 62772-2019</t>
        </is>
      </c>
      <c r="B1810" s="1" t="n">
        <v>43790</v>
      </c>
      <c r="C1810" s="1" t="n">
        <v>45344</v>
      </c>
      <c r="D1810" t="inlineStr">
        <is>
          <t>GÄVLEBORGS LÄN</t>
        </is>
      </c>
      <c r="E1810" t="inlineStr">
        <is>
          <t>OVANÅKER</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62759-2019</t>
        </is>
      </c>
      <c r="B1811" s="1" t="n">
        <v>43790</v>
      </c>
      <c r="C1811" s="1" t="n">
        <v>45344</v>
      </c>
      <c r="D1811" t="inlineStr">
        <is>
          <t>GÄVLEBORGS LÄN</t>
        </is>
      </c>
      <c r="E1811" t="inlineStr">
        <is>
          <t>OVANÅKER</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62767-2019</t>
        </is>
      </c>
      <c r="B1812" s="1" t="n">
        <v>43790</v>
      </c>
      <c r="C1812" s="1" t="n">
        <v>45344</v>
      </c>
      <c r="D1812" t="inlineStr">
        <is>
          <t>GÄVLEBORGS LÄN</t>
        </is>
      </c>
      <c r="E1812" t="inlineStr">
        <is>
          <t>OVANÅKER</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62775-2019</t>
        </is>
      </c>
      <c r="B1813" s="1" t="n">
        <v>43790</v>
      </c>
      <c r="C1813" s="1" t="n">
        <v>45344</v>
      </c>
      <c r="D1813" t="inlineStr">
        <is>
          <t>GÄVLEBORGS LÄN</t>
        </is>
      </c>
      <c r="E1813" t="inlineStr">
        <is>
          <t>BOLLNÄS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62841-2019</t>
        </is>
      </c>
      <c r="B1814" s="1" t="n">
        <v>43790</v>
      </c>
      <c r="C1814" s="1" t="n">
        <v>45344</v>
      </c>
      <c r="D1814" t="inlineStr">
        <is>
          <t>GÄVLEBORGS LÄN</t>
        </is>
      </c>
      <c r="E1814" t="inlineStr">
        <is>
          <t>GÄVLE</t>
        </is>
      </c>
      <c r="F1814" t="inlineStr">
        <is>
          <t>Bergvik skog väst AB</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62760-2019</t>
        </is>
      </c>
      <c r="B1815" s="1" t="n">
        <v>43790</v>
      </c>
      <c r="C1815" s="1" t="n">
        <v>45344</v>
      </c>
      <c r="D1815" t="inlineStr">
        <is>
          <t>GÄVLEBORGS LÄN</t>
        </is>
      </c>
      <c r="E1815" t="inlineStr">
        <is>
          <t>OVANÅKER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62753-2019</t>
        </is>
      </c>
      <c r="B1816" s="1" t="n">
        <v>43790</v>
      </c>
      <c r="C1816" s="1" t="n">
        <v>45344</v>
      </c>
      <c r="D1816" t="inlineStr">
        <is>
          <t>GÄVLEBORGS LÄN</t>
        </is>
      </c>
      <c r="E1816" t="inlineStr">
        <is>
          <t>OVANÅKER</t>
        </is>
      </c>
      <c r="G1816" t="n">
        <v>5.1</v>
      </c>
      <c r="H1816" t="n">
        <v>0</v>
      </c>
      <c r="I1816" t="n">
        <v>0</v>
      </c>
      <c r="J1816" t="n">
        <v>0</v>
      </c>
      <c r="K1816" t="n">
        <v>0</v>
      </c>
      <c r="L1816" t="n">
        <v>0</v>
      </c>
      <c r="M1816" t="n">
        <v>0</v>
      </c>
      <c r="N1816" t="n">
        <v>0</v>
      </c>
      <c r="O1816" t="n">
        <v>0</v>
      </c>
      <c r="P1816" t="n">
        <v>0</v>
      </c>
      <c r="Q1816" t="n">
        <v>0</v>
      </c>
      <c r="R1816" s="2" t="inlineStr"/>
    </row>
    <row r="1817" ht="15" customHeight="1">
      <c r="A1817" t="inlineStr">
        <is>
          <t>A 62934-2019</t>
        </is>
      </c>
      <c r="B1817" s="1" t="n">
        <v>43790</v>
      </c>
      <c r="C1817" s="1" t="n">
        <v>45344</v>
      </c>
      <c r="D1817" t="inlineStr">
        <is>
          <t>GÄVLEBORGS LÄN</t>
        </is>
      </c>
      <c r="E1817" t="inlineStr">
        <is>
          <t>NORDANSTIG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63009-2019</t>
        </is>
      </c>
      <c r="B1818" s="1" t="n">
        <v>43790</v>
      </c>
      <c r="C1818" s="1" t="n">
        <v>45344</v>
      </c>
      <c r="D1818" t="inlineStr">
        <is>
          <t>GÄVLEBORGS LÄN</t>
        </is>
      </c>
      <c r="E1818" t="inlineStr">
        <is>
          <t>NORDANSTIG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62758-2019</t>
        </is>
      </c>
      <c r="B1819" s="1" t="n">
        <v>43790</v>
      </c>
      <c r="C1819" s="1" t="n">
        <v>45344</v>
      </c>
      <c r="D1819" t="inlineStr">
        <is>
          <t>GÄVLEBORGS LÄN</t>
        </is>
      </c>
      <c r="E1819" t="inlineStr">
        <is>
          <t>HUDIKSVALL</t>
        </is>
      </c>
      <c r="G1819" t="n">
        <v>11.8</v>
      </c>
      <c r="H1819" t="n">
        <v>0</v>
      </c>
      <c r="I1819" t="n">
        <v>0</v>
      </c>
      <c r="J1819" t="n">
        <v>0</v>
      </c>
      <c r="K1819" t="n">
        <v>0</v>
      </c>
      <c r="L1819" t="n">
        <v>0</v>
      </c>
      <c r="M1819" t="n">
        <v>0</v>
      </c>
      <c r="N1819" t="n">
        <v>0</v>
      </c>
      <c r="O1819" t="n">
        <v>0</v>
      </c>
      <c r="P1819" t="n">
        <v>0</v>
      </c>
      <c r="Q1819" t="n">
        <v>0</v>
      </c>
      <c r="R1819" s="2" t="inlineStr"/>
    </row>
    <row r="1820" ht="15" customHeight="1">
      <c r="A1820" t="inlineStr">
        <is>
          <t>A 63037-2019</t>
        </is>
      </c>
      <c r="B1820" s="1" t="n">
        <v>43791</v>
      </c>
      <c r="C1820" s="1" t="n">
        <v>45344</v>
      </c>
      <c r="D1820" t="inlineStr">
        <is>
          <t>GÄVLEBORGS LÄN</t>
        </is>
      </c>
      <c r="E1820" t="inlineStr">
        <is>
          <t>LJUSDAL</t>
        </is>
      </c>
      <c r="F1820" t="inlineStr">
        <is>
          <t>Sveaskog</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63068-2019</t>
        </is>
      </c>
      <c r="B1821" s="1" t="n">
        <v>43791</v>
      </c>
      <c r="C1821" s="1" t="n">
        <v>45344</v>
      </c>
      <c r="D1821" t="inlineStr">
        <is>
          <t>GÄVLEBORGS LÄN</t>
        </is>
      </c>
      <c r="E1821" t="inlineStr">
        <is>
          <t>OCKELBO</t>
        </is>
      </c>
      <c r="F1821" t="inlineStr">
        <is>
          <t>Bergvik skog väst AB</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63078-2019</t>
        </is>
      </c>
      <c r="B1822" s="1" t="n">
        <v>43791</v>
      </c>
      <c r="C1822" s="1" t="n">
        <v>45344</v>
      </c>
      <c r="D1822" t="inlineStr">
        <is>
          <t>GÄVLEBORGS LÄN</t>
        </is>
      </c>
      <c r="E1822" t="inlineStr">
        <is>
          <t>LJUSDAL</t>
        </is>
      </c>
      <c r="F1822" t="inlineStr">
        <is>
          <t>Allmännings- och besparingsskogar</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63013-2019</t>
        </is>
      </c>
      <c r="B1823" s="1" t="n">
        <v>43791</v>
      </c>
      <c r="C1823" s="1" t="n">
        <v>45344</v>
      </c>
      <c r="D1823" t="inlineStr">
        <is>
          <t>GÄVLEBORGS LÄN</t>
        </is>
      </c>
      <c r="E1823" t="inlineStr">
        <is>
          <t>HUDIKSVALL</t>
        </is>
      </c>
      <c r="F1823" t="inlineStr">
        <is>
          <t>Holmen skog AB</t>
        </is>
      </c>
      <c r="G1823" t="n">
        <v>33.3</v>
      </c>
      <c r="H1823" t="n">
        <v>0</v>
      </c>
      <c r="I1823" t="n">
        <v>0</v>
      </c>
      <c r="J1823" t="n">
        <v>0</v>
      </c>
      <c r="K1823" t="n">
        <v>0</v>
      </c>
      <c r="L1823" t="n">
        <v>0</v>
      </c>
      <c r="M1823" t="n">
        <v>0</v>
      </c>
      <c r="N1823" t="n">
        <v>0</v>
      </c>
      <c r="O1823" t="n">
        <v>0</v>
      </c>
      <c r="P1823" t="n">
        <v>0</v>
      </c>
      <c r="Q1823" t="n">
        <v>0</v>
      </c>
      <c r="R1823" s="2" t="inlineStr"/>
    </row>
    <row r="1824" ht="15" customHeight="1">
      <c r="A1824" t="inlineStr">
        <is>
          <t>A 63108-2019</t>
        </is>
      </c>
      <c r="B1824" s="1" t="n">
        <v>43791</v>
      </c>
      <c r="C1824" s="1" t="n">
        <v>45344</v>
      </c>
      <c r="D1824" t="inlineStr">
        <is>
          <t>GÄVLEBORGS LÄN</t>
        </is>
      </c>
      <c r="E1824" t="inlineStr">
        <is>
          <t>LJUSDAL</t>
        </is>
      </c>
      <c r="F1824" t="inlineStr">
        <is>
          <t>Allmännings- och besparingsskogar</t>
        </is>
      </c>
      <c r="G1824" t="n">
        <v>6.9</v>
      </c>
      <c r="H1824" t="n">
        <v>0</v>
      </c>
      <c r="I1824" t="n">
        <v>0</v>
      </c>
      <c r="J1824" t="n">
        <v>0</v>
      </c>
      <c r="K1824" t="n">
        <v>0</v>
      </c>
      <c r="L1824" t="n">
        <v>0</v>
      </c>
      <c r="M1824" t="n">
        <v>0</v>
      </c>
      <c r="N1824" t="n">
        <v>0</v>
      </c>
      <c r="O1824" t="n">
        <v>0</v>
      </c>
      <c r="P1824" t="n">
        <v>0</v>
      </c>
      <c r="Q1824" t="n">
        <v>0</v>
      </c>
      <c r="R1824" s="2" t="inlineStr"/>
    </row>
    <row r="1825" ht="15" customHeight="1">
      <c r="A1825" t="inlineStr">
        <is>
          <t>A 63269-2019</t>
        </is>
      </c>
      <c r="B1825" s="1" t="n">
        <v>43793</v>
      </c>
      <c r="C1825" s="1" t="n">
        <v>45344</v>
      </c>
      <c r="D1825" t="inlineStr">
        <is>
          <t>GÄVLEBORGS LÄN</t>
        </is>
      </c>
      <c r="E1825" t="inlineStr">
        <is>
          <t>NORDANSTIG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63409-2019</t>
        </is>
      </c>
      <c r="B1826" s="1" t="n">
        <v>43794</v>
      </c>
      <c r="C1826" s="1" t="n">
        <v>45344</v>
      </c>
      <c r="D1826" t="inlineStr">
        <is>
          <t>GÄVLEBORGS LÄN</t>
        </is>
      </c>
      <c r="E1826" t="inlineStr">
        <is>
          <t>HUDIKSVALL</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63469-2019</t>
        </is>
      </c>
      <c r="B1827" s="1" t="n">
        <v>43794</v>
      </c>
      <c r="C1827" s="1" t="n">
        <v>45344</v>
      </c>
      <c r="D1827" t="inlineStr">
        <is>
          <t>GÄVLEBORGS LÄN</t>
        </is>
      </c>
      <c r="E1827" t="inlineStr">
        <is>
          <t>GÄVLE</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63540-2019</t>
        </is>
      </c>
      <c r="B1828" s="1" t="n">
        <v>43794</v>
      </c>
      <c r="C1828" s="1" t="n">
        <v>45344</v>
      </c>
      <c r="D1828" t="inlineStr">
        <is>
          <t>GÄVLEBORGS LÄN</t>
        </is>
      </c>
      <c r="E1828" t="inlineStr">
        <is>
          <t>BOLLNÄS</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64390-2019</t>
        </is>
      </c>
      <c r="B1829" s="1" t="n">
        <v>43794</v>
      </c>
      <c r="C1829" s="1" t="n">
        <v>45344</v>
      </c>
      <c r="D1829" t="inlineStr">
        <is>
          <t>GÄVLEBORGS LÄN</t>
        </is>
      </c>
      <c r="E1829" t="inlineStr">
        <is>
          <t>LJUSDAL</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64373-2019</t>
        </is>
      </c>
      <c r="B1830" s="1" t="n">
        <v>43794</v>
      </c>
      <c r="C1830" s="1" t="n">
        <v>45344</v>
      </c>
      <c r="D1830" t="inlineStr">
        <is>
          <t>GÄVLEBORGS LÄN</t>
        </is>
      </c>
      <c r="E1830" t="inlineStr">
        <is>
          <t>LJUSDAL</t>
        </is>
      </c>
      <c r="G1830" t="n">
        <v>25.3</v>
      </c>
      <c r="H1830" t="n">
        <v>0</v>
      </c>
      <c r="I1830" t="n">
        <v>0</v>
      </c>
      <c r="J1830" t="n">
        <v>0</v>
      </c>
      <c r="K1830" t="n">
        <v>0</v>
      </c>
      <c r="L1830" t="n">
        <v>0</v>
      </c>
      <c r="M1830" t="n">
        <v>0</v>
      </c>
      <c r="N1830" t="n">
        <v>0</v>
      </c>
      <c r="O1830" t="n">
        <v>0</v>
      </c>
      <c r="P1830" t="n">
        <v>0</v>
      </c>
      <c r="Q1830" t="n">
        <v>0</v>
      </c>
      <c r="R1830" s="2" t="inlineStr"/>
    </row>
    <row r="1831" ht="15" customHeight="1">
      <c r="A1831" t="inlineStr">
        <is>
          <t>A 63588-2019</t>
        </is>
      </c>
      <c r="B1831" s="1" t="n">
        <v>43795</v>
      </c>
      <c r="C1831" s="1" t="n">
        <v>45344</v>
      </c>
      <c r="D1831" t="inlineStr">
        <is>
          <t>GÄVLEBORGS LÄN</t>
        </is>
      </c>
      <c r="E1831" t="inlineStr">
        <is>
          <t>HOFORS</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63614-2019</t>
        </is>
      </c>
      <c r="B1832" s="1" t="n">
        <v>43795</v>
      </c>
      <c r="C1832" s="1" t="n">
        <v>45344</v>
      </c>
      <c r="D1832" t="inlineStr">
        <is>
          <t>GÄVLEBORGS LÄN</t>
        </is>
      </c>
      <c r="E1832" t="inlineStr">
        <is>
          <t>BOLLNÄS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63568-2019</t>
        </is>
      </c>
      <c r="B1833" s="1" t="n">
        <v>43795</v>
      </c>
      <c r="C1833" s="1" t="n">
        <v>45344</v>
      </c>
      <c r="D1833" t="inlineStr">
        <is>
          <t>GÄVLEBORGS LÄN</t>
        </is>
      </c>
      <c r="E1833" t="inlineStr">
        <is>
          <t>HUDIKSVALL</t>
        </is>
      </c>
      <c r="F1833" t="inlineStr">
        <is>
          <t>Holmen skog AB</t>
        </is>
      </c>
      <c r="G1833" t="n">
        <v>5.4</v>
      </c>
      <c r="H1833" t="n">
        <v>0</v>
      </c>
      <c r="I1833" t="n">
        <v>0</v>
      </c>
      <c r="J1833" t="n">
        <v>0</v>
      </c>
      <c r="K1833" t="n">
        <v>0</v>
      </c>
      <c r="L1833" t="n">
        <v>0</v>
      </c>
      <c r="M1833" t="n">
        <v>0</v>
      </c>
      <c r="N1833" t="n">
        <v>0</v>
      </c>
      <c r="O1833" t="n">
        <v>0</v>
      </c>
      <c r="P1833" t="n">
        <v>0</v>
      </c>
      <c r="Q1833" t="n">
        <v>0</v>
      </c>
      <c r="R1833" s="2" t="inlineStr"/>
    </row>
    <row r="1834" ht="15" customHeight="1">
      <c r="A1834" t="inlineStr">
        <is>
          <t>A 63585-2019</t>
        </is>
      </c>
      <c r="B1834" s="1" t="n">
        <v>43795</v>
      </c>
      <c r="C1834" s="1" t="n">
        <v>45344</v>
      </c>
      <c r="D1834" t="inlineStr">
        <is>
          <t>GÄVLEBORGS LÄN</t>
        </is>
      </c>
      <c r="E1834" t="inlineStr">
        <is>
          <t>HOFORS</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63894-2019</t>
        </is>
      </c>
      <c r="B1835" s="1" t="n">
        <v>43796</v>
      </c>
      <c r="C1835" s="1" t="n">
        <v>45344</v>
      </c>
      <c r="D1835" t="inlineStr">
        <is>
          <t>GÄVLEBORGS LÄN</t>
        </is>
      </c>
      <c r="E1835" t="inlineStr">
        <is>
          <t>OCKELBO</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63948-2019</t>
        </is>
      </c>
      <c r="B1836" s="1" t="n">
        <v>43796</v>
      </c>
      <c r="C1836" s="1" t="n">
        <v>45344</v>
      </c>
      <c r="D1836" t="inlineStr">
        <is>
          <t>GÄVLEBORGS LÄN</t>
        </is>
      </c>
      <c r="E1836" t="inlineStr">
        <is>
          <t>OCKELBO</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63917-2019</t>
        </is>
      </c>
      <c r="B1837" s="1" t="n">
        <v>43796</v>
      </c>
      <c r="C1837" s="1" t="n">
        <v>45344</v>
      </c>
      <c r="D1837" t="inlineStr">
        <is>
          <t>GÄVLEBORGS LÄN</t>
        </is>
      </c>
      <c r="E1837" t="inlineStr">
        <is>
          <t>OVANÅKER</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64035-2019</t>
        </is>
      </c>
      <c r="B1838" s="1" t="n">
        <v>43796</v>
      </c>
      <c r="C1838" s="1" t="n">
        <v>45344</v>
      </c>
      <c r="D1838" t="inlineStr">
        <is>
          <t>GÄVLEBORGS LÄN</t>
        </is>
      </c>
      <c r="E1838" t="inlineStr">
        <is>
          <t>OCKELBO</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63996-2019</t>
        </is>
      </c>
      <c r="B1839" s="1" t="n">
        <v>43796</v>
      </c>
      <c r="C1839" s="1" t="n">
        <v>45344</v>
      </c>
      <c r="D1839" t="inlineStr">
        <is>
          <t>GÄVLEBORGS LÄN</t>
        </is>
      </c>
      <c r="E1839" t="inlineStr">
        <is>
          <t>OCKELBO</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64000-2019</t>
        </is>
      </c>
      <c r="B1840" s="1" t="n">
        <v>43796</v>
      </c>
      <c r="C1840" s="1" t="n">
        <v>45344</v>
      </c>
      <c r="D1840" t="inlineStr">
        <is>
          <t>GÄVLEBORGS LÄN</t>
        </is>
      </c>
      <c r="E1840" t="inlineStr">
        <is>
          <t>OCKELBO</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64023-2019</t>
        </is>
      </c>
      <c r="B1841" s="1" t="n">
        <v>43796</v>
      </c>
      <c r="C1841" s="1" t="n">
        <v>45344</v>
      </c>
      <c r="D1841" t="inlineStr">
        <is>
          <t>GÄVLEBORGS LÄN</t>
        </is>
      </c>
      <c r="E1841" t="inlineStr">
        <is>
          <t>HUDIKSVALL</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64176-2019</t>
        </is>
      </c>
      <c r="B1842" s="1" t="n">
        <v>43797</v>
      </c>
      <c r="C1842" s="1" t="n">
        <v>45344</v>
      </c>
      <c r="D1842" t="inlineStr">
        <is>
          <t>GÄVLEBORGS LÄN</t>
        </is>
      </c>
      <c r="E1842" t="inlineStr">
        <is>
          <t>OVANÅKER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64179-2019</t>
        </is>
      </c>
      <c r="B1843" s="1" t="n">
        <v>43797</v>
      </c>
      <c r="C1843" s="1" t="n">
        <v>45344</v>
      </c>
      <c r="D1843" t="inlineStr">
        <is>
          <t>GÄVLEBORGS LÄN</t>
        </is>
      </c>
      <c r="E1843" t="inlineStr">
        <is>
          <t>OCKELBO</t>
        </is>
      </c>
      <c r="G1843" t="n">
        <v>6.4</v>
      </c>
      <c r="H1843" t="n">
        <v>0</v>
      </c>
      <c r="I1843" t="n">
        <v>0</v>
      </c>
      <c r="J1843" t="n">
        <v>0</v>
      </c>
      <c r="K1843" t="n">
        <v>0</v>
      </c>
      <c r="L1843" t="n">
        <v>0</v>
      </c>
      <c r="M1843" t="n">
        <v>0</v>
      </c>
      <c r="N1843" t="n">
        <v>0</v>
      </c>
      <c r="O1843" t="n">
        <v>0</v>
      </c>
      <c r="P1843" t="n">
        <v>0</v>
      </c>
      <c r="Q1843" t="n">
        <v>0</v>
      </c>
      <c r="R1843" s="2" t="inlineStr"/>
    </row>
    <row r="1844" ht="15" customHeight="1">
      <c r="A1844" t="inlineStr">
        <is>
          <t>A 64264-2019</t>
        </is>
      </c>
      <c r="B1844" s="1" t="n">
        <v>43797</v>
      </c>
      <c r="C1844" s="1" t="n">
        <v>45344</v>
      </c>
      <c r="D1844" t="inlineStr">
        <is>
          <t>GÄVLEBORGS LÄN</t>
        </is>
      </c>
      <c r="E1844" t="inlineStr">
        <is>
          <t>SANDVIKEN</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64362-2019</t>
        </is>
      </c>
      <c r="B1845" s="1" t="n">
        <v>43797</v>
      </c>
      <c r="C1845" s="1" t="n">
        <v>45344</v>
      </c>
      <c r="D1845" t="inlineStr">
        <is>
          <t>GÄVLEBORGS LÄN</t>
        </is>
      </c>
      <c r="E1845" t="inlineStr">
        <is>
          <t>HUDIKSVALL</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64192-2019</t>
        </is>
      </c>
      <c r="B1846" s="1" t="n">
        <v>43797</v>
      </c>
      <c r="C1846" s="1" t="n">
        <v>45344</v>
      </c>
      <c r="D1846" t="inlineStr">
        <is>
          <t>GÄVLEBORGS LÄN</t>
        </is>
      </c>
      <c r="E1846" t="inlineStr">
        <is>
          <t>LJUSDAL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64200-2019</t>
        </is>
      </c>
      <c r="B1847" s="1" t="n">
        <v>43797</v>
      </c>
      <c r="C1847" s="1" t="n">
        <v>45344</v>
      </c>
      <c r="D1847" t="inlineStr">
        <is>
          <t>GÄVLEBORGS LÄN</t>
        </is>
      </c>
      <c r="E1847" t="inlineStr">
        <is>
          <t>LJUSDAL</t>
        </is>
      </c>
      <c r="F1847" t="inlineStr">
        <is>
          <t>Bergvik skog väst AB</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64673-2019</t>
        </is>
      </c>
      <c r="B1848" s="1" t="n">
        <v>43798</v>
      </c>
      <c r="C1848" s="1" t="n">
        <v>45344</v>
      </c>
      <c r="D1848" t="inlineStr">
        <is>
          <t>GÄVLEBORGS LÄN</t>
        </is>
      </c>
      <c r="E1848" t="inlineStr">
        <is>
          <t>BOLLNÄS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65428-2019</t>
        </is>
      </c>
      <c r="B1849" s="1" t="n">
        <v>43798</v>
      </c>
      <c r="C1849" s="1" t="n">
        <v>45344</v>
      </c>
      <c r="D1849" t="inlineStr">
        <is>
          <t>GÄVLEBORGS LÄN</t>
        </is>
      </c>
      <c r="E1849" t="inlineStr">
        <is>
          <t>NORDANSTIG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64747-2019</t>
        </is>
      </c>
      <c r="B1850" s="1" t="n">
        <v>43800</v>
      </c>
      <c r="C1850" s="1" t="n">
        <v>45344</v>
      </c>
      <c r="D1850" t="inlineStr">
        <is>
          <t>GÄVLEBORGS LÄN</t>
        </is>
      </c>
      <c r="E1850" t="inlineStr">
        <is>
          <t>BOLLNÄS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64750-2019</t>
        </is>
      </c>
      <c r="B1851" s="1" t="n">
        <v>43801</v>
      </c>
      <c r="C1851" s="1" t="n">
        <v>45344</v>
      </c>
      <c r="D1851" t="inlineStr">
        <is>
          <t>GÄVLEBORGS LÄN</t>
        </is>
      </c>
      <c r="E1851" t="inlineStr">
        <is>
          <t>SÖDERHAMN</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64822-2019</t>
        </is>
      </c>
      <c r="B1852" s="1" t="n">
        <v>43801</v>
      </c>
      <c r="C1852" s="1" t="n">
        <v>45344</v>
      </c>
      <c r="D1852" t="inlineStr">
        <is>
          <t>GÄVLEBORGS LÄN</t>
        </is>
      </c>
      <c r="E1852" t="inlineStr">
        <is>
          <t>NORDANSTIG</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64944-2019</t>
        </is>
      </c>
      <c r="B1853" s="1" t="n">
        <v>43801</v>
      </c>
      <c r="C1853" s="1" t="n">
        <v>45344</v>
      </c>
      <c r="D1853" t="inlineStr">
        <is>
          <t>GÄVLEBORGS LÄN</t>
        </is>
      </c>
      <c r="E1853" t="inlineStr">
        <is>
          <t>LJUSDAL</t>
        </is>
      </c>
      <c r="F1853" t="inlineStr">
        <is>
          <t>Holmen skog AB</t>
        </is>
      </c>
      <c r="G1853" t="n">
        <v>4.2</v>
      </c>
      <c r="H1853" t="n">
        <v>0</v>
      </c>
      <c r="I1853" t="n">
        <v>0</v>
      </c>
      <c r="J1853" t="n">
        <v>0</v>
      </c>
      <c r="K1853" t="n">
        <v>0</v>
      </c>
      <c r="L1853" t="n">
        <v>0</v>
      </c>
      <c r="M1853" t="n">
        <v>0</v>
      </c>
      <c r="N1853" t="n">
        <v>0</v>
      </c>
      <c r="O1853" t="n">
        <v>0</v>
      </c>
      <c r="P1853" t="n">
        <v>0</v>
      </c>
      <c r="Q1853" t="n">
        <v>0</v>
      </c>
      <c r="R1853" s="2" t="inlineStr"/>
    </row>
    <row r="1854" ht="15" customHeight="1">
      <c r="A1854" t="inlineStr">
        <is>
          <t>A 65177-2019</t>
        </is>
      </c>
      <c r="B1854" s="1" t="n">
        <v>43802</v>
      </c>
      <c r="C1854" s="1" t="n">
        <v>45344</v>
      </c>
      <c r="D1854" t="inlineStr">
        <is>
          <t>GÄVLEBORGS LÄN</t>
        </is>
      </c>
      <c r="E1854" t="inlineStr">
        <is>
          <t>BOLLNÄS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65192-2019</t>
        </is>
      </c>
      <c r="B1855" s="1" t="n">
        <v>43802</v>
      </c>
      <c r="C1855" s="1" t="n">
        <v>45344</v>
      </c>
      <c r="D1855" t="inlineStr">
        <is>
          <t>GÄVLEBORGS LÄN</t>
        </is>
      </c>
      <c r="E1855" t="inlineStr">
        <is>
          <t>SÖDERHAMN</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65262-2019</t>
        </is>
      </c>
      <c r="B1856" s="1" t="n">
        <v>43802</v>
      </c>
      <c r="C1856" s="1" t="n">
        <v>45344</v>
      </c>
      <c r="D1856" t="inlineStr">
        <is>
          <t>GÄVLEBORGS LÄN</t>
        </is>
      </c>
      <c r="E1856" t="inlineStr">
        <is>
          <t>LJUSDAL</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65166-2019</t>
        </is>
      </c>
      <c r="B1857" s="1" t="n">
        <v>43802</v>
      </c>
      <c r="C1857" s="1" t="n">
        <v>45344</v>
      </c>
      <c r="D1857" t="inlineStr">
        <is>
          <t>GÄVLEBORGS LÄN</t>
        </is>
      </c>
      <c r="E1857" t="inlineStr">
        <is>
          <t>OVANÅKER</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65320-2019</t>
        </is>
      </c>
      <c r="B1858" s="1" t="n">
        <v>43802</v>
      </c>
      <c r="C1858" s="1" t="n">
        <v>45344</v>
      </c>
      <c r="D1858" t="inlineStr">
        <is>
          <t>GÄVLEBORGS LÄN</t>
        </is>
      </c>
      <c r="E1858" t="inlineStr">
        <is>
          <t>HUDIKSVALL</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65291-2019</t>
        </is>
      </c>
      <c r="B1859" s="1" t="n">
        <v>43802</v>
      </c>
      <c r="C1859" s="1" t="n">
        <v>45344</v>
      </c>
      <c r="D1859" t="inlineStr">
        <is>
          <t>GÄVLEBORGS LÄN</t>
        </is>
      </c>
      <c r="E1859" t="inlineStr">
        <is>
          <t>LJUSDAL</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65462-2019</t>
        </is>
      </c>
      <c r="B1860" s="1" t="n">
        <v>43803</v>
      </c>
      <c r="C1860" s="1" t="n">
        <v>45344</v>
      </c>
      <c r="D1860" t="inlineStr">
        <is>
          <t>GÄVLEBORGS LÄN</t>
        </is>
      </c>
      <c r="E1860" t="inlineStr">
        <is>
          <t>HUDIKSVALL</t>
        </is>
      </c>
      <c r="F1860" t="inlineStr">
        <is>
          <t>Holmen skog AB</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65614-2019</t>
        </is>
      </c>
      <c r="B1861" s="1" t="n">
        <v>43804</v>
      </c>
      <c r="C1861" s="1" t="n">
        <v>45344</v>
      </c>
      <c r="D1861" t="inlineStr">
        <is>
          <t>GÄVLEBORGS LÄN</t>
        </is>
      </c>
      <c r="E1861" t="inlineStr">
        <is>
          <t>SÖDERHAMN</t>
        </is>
      </c>
      <c r="G1861" t="n">
        <v>6.6</v>
      </c>
      <c r="H1861" t="n">
        <v>0</v>
      </c>
      <c r="I1861" t="n">
        <v>0</v>
      </c>
      <c r="J1861" t="n">
        <v>0</v>
      </c>
      <c r="K1861" t="n">
        <v>0</v>
      </c>
      <c r="L1861" t="n">
        <v>0</v>
      </c>
      <c r="M1861" t="n">
        <v>0</v>
      </c>
      <c r="N1861" t="n">
        <v>0</v>
      </c>
      <c r="O1861" t="n">
        <v>0</v>
      </c>
      <c r="P1861" t="n">
        <v>0</v>
      </c>
      <c r="Q1861" t="n">
        <v>0</v>
      </c>
      <c r="R1861" s="2" t="inlineStr"/>
    </row>
    <row r="1862" ht="15" customHeight="1">
      <c r="A1862" t="inlineStr">
        <is>
          <t>A 65648-2019</t>
        </is>
      </c>
      <c r="B1862" s="1" t="n">
        <v>43804</v>
      </c>
      <c r="C1862" s="1" t="n">
        <v>45344</v>
      </c>
      <c r="D1862" t="inlineStr">
        <is>
          <t>GÄVLEBORGS LÄN</t>
        </is>
      </c>
      <c r="E1862" t="inlineStr">
        <is>
          <t>OCKELBO</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65714-2019</t>
        </is>
      </c>
      <c r="B1863" s="1" t="n">
        <v>43804</v>
      </c>
      <c r="C1863" s="1" t="n">
        <v>45344</v>
      </c>
      <c r="D1863" t="inlineStr">
        <is>
          <t>GÄVLEBORGS LÄN</t>
        </is>
      </c>
      <c r="E1863" t="inlineStr">
        <is>
          <t>SÖDERHAMN</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66096-2019</t>
        </is>
      </c>
      <c r="B1864" s="1" t="n">
        <v>43807</v>
      </c>
      <c r="C1864" s="1" t="n">
        <v>45344</v>
      </c>
      <c r="D1864" t="inlineStr">
        <is>
          <t>GÄVLEBORGS LÄN</t>
        </is>
      </c>
      <c r="E1864" t="inlineStr">
        <is>
          <t>HUDIKSVALL</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66196-2019</t>
        </is>
      </c>
      <c r="B1865" s="1" t="n">
        <v>43808</v>
      </c>
      <c r="C1865" s="1" t="n">
        <v>45344</v>
      </c>
      <c r="D1865" t="inlineStr">
        <is>
          <t>GÄVLEBORGS LÄN</t>
        </is>
      </c>
      <c r="E1865" t="inlineStr">
        <is>
          <t>BOLLNÄS</t>
        </is>
      </c>
      <c r="F1865" t="inlineStr">
        <is>
          <t>Bergvik skog väst AB</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66265-2019</t>
        </is>
      </c>
      <c r="B1866" s="1" t="n">
        <v>43808</v>
      </c>
      <c r="C1866" s="1" t="n">
        <v>45344</v>
      </c>
      <c r="D1866" t="inlineStr">
        <is>
          <t>GÄVLEBORGS LÄN</t>
        </is>
      </c>
      <c r="E1866" t="inlineStr">
        <is>
          <t>OCKELBO</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66206-2019</t>
        </is>
      </c>
      <c r="B1867" s="1" t="n">
        <v>43808</v>
      </c>
      <c r="C1867" s="1" t="n">
        <v>45344</v>
      </c>
      <c r="D1867" t="inlineStr">
        <is>
          <t>GÄVLEBORGS LÄN</t>
        </is>
      </c>
      <c r="E1867" t="inlineStr">
        <is>
          <t>GÄVLE</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66212-2019</t>
        </is>
      </c>
      <c r="B1868" s="1" t="n">
        <v>43808</v>
      </c>
      <c r="C1868" s="1" t="n">
        <v>45344</v>
      </c>
      <c r="D1868" t="inlineStr">
        <is>
          <t>GÄVLEBORGS LÄN</t>
        </is>
      </c>
      <c r="E1868" t="inlineStr">
        <is>
          <t>LJUSDAL</t>
        </is>
      </c>
      <c r="G1868" t="n">
        <v>6.6</v>
      </c>
      <c r="H1868" t="n">
        <v>0</v>
      </c>
      <c r="I1868" t="n">
        <v>0</v>
      </c>
      <c r="J1868" t="n">
        <v>0</v>
      </c>
      <c r="K1868" t="n">
        <v>0</v>
      </c>
      <c r="L1868" t="n">
        <v>0</v>
      </c>
      <c r="M1868" t="n">
        <v>0</v>
      </c>
      <c r="N1868" t="n">
        <v>0</v>
      </c>
      <c r="O1868" t="n">
        <v>0</v>
      </c>
      <c r="P1868" t="n">
        <v>0</v>
      </c>
      <c r="Q1868" t="n">
        <v>0</v>
      </c>
      <c r="R1868" s="2" t="inlineStr"/>
    </row>
    <row r="1869" ht="15" customHeight="1">
      <c r="A1869" t="inlineStr">
        <is>
          <t>A 66211-2019</t>
        </is>
      </c>
      <c r="B1869" s="1" t="n">
        <v>43808</v>
      </c>
      <c r="C1869" s="1" t="n">
        <v>45344</v>
      </c>
      <c r="D1869" t="inlineStr">
        <is>
          <t>GÄVLEBORGS LÄN</t>
        </is>
      </c>
      <c r="E1869" t="inlineStr">
        <is>
          <t>OCKELBO</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66399-2019</t>
        </is>
      </c>
      <c r="B1870" s="1" t="n">
        <v>43809</v>
      </c>
      <c r="C1870" s="1" t="n">
        <v>45344</v>
      </c>
      <c r="D1870" t="inlineStr">
        <is>
          <t>GÄVLEBORGS LÄN</t>
        </is>
      </c>
      <c r="E1870" t="inlineStr">
        <is>
          <t>BOLLNÄS</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66479-2019</t>
        </is>
      </c>
      <c r="B1871" s="1" t="n">
        <v>43809</v>
      </c>
      <c r="C1871" s="1" t="n">
        <v>45344</v>
      </c>
      <c r="D1871" t="inlineStr">
        <is>
          <t>GÄVLEBORGS LÄN</t>
        </is>
      </c>
      <c r="E1871" t="inlineStr">
        <is>
          <t>BOLLNÄS</t>
        </is>
      </c>
      <c r="F1871" t="inlineStr">
        <is>
          <t>Bergvik skog väst AB</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66590-2019</t>
        </is>
      </c>
      <c r="B1872" s="1" t="n">
        <v>43809</v>
      </c>
      <c r="C1872" s="1" t="n">
        <v>45344</v>
      </c>
      <c r="D1872" t="inlineStr">
        <is>
          <t>GÄVLEBORGS LÄN</t>
        </is>
      </c>
      <c r="E1872" t="inlineStr">
        <is>
          <t>OVANÅKER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66477-2019</t>
        </is>
      </c>
      <c r="B1873" s="1" t="n">
        <v>43809</v>
      </c>
      <c r="C1873" s="1" t="n">
        <v>45344</v>
      </c>
      <c r="D1873" t="inlineStr">
        <is>
          <t>GÄVLEBORGS LÄN</t>
        </is>
      </c>
      <c r="E1873" t="inlineStr">
        <is>
          <t>BOLLNÄS</t>
        </is>
      </c>
      <c r="F1873" t="inlineStr">
        <is>
          <t>Bergvik skog väst AB</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66410-2019</t>
        </is>
      </c>
      <c r="B1874" s="1" t="n">
        <v>43809</v>
      </c>
      <c r="C1874" s="1" t="n">
        <v>45344</v>
      </c>
      <c r="D1874" t="inlineStr">
        <is>
          <t>GÄVLEBORGS LÄN</t>
        </is>
      </c>
      <c r="E1874" t="inlineStr">
        <is>
          <t>GÄVLE</t>
        </is>
      </c>
      <c r="G1874" t="n">
        <v>2.4</v>
      </c>
      <c r="H1874" t="n">
        <v>0</v>
      </c>
      <c r="I1874" t="n">
        <v>0</v>
      </c>
      <c r="J1874" t="n">
        <v>0</v>
      </c>
      <c r="K1874" t="n">
        <v>0</v>
      </c>
      <c r="L1874" t="n">
        <v>0</v>
      </c>
      <c r="M1874" t="n">
        <v>0</v>
      </c>
      <c r="N1874" t="n">
        <v>0</v>
      </c>
      <c r="O1874" t="n">
        <v>0</v>
      </c>
      <c r="P1874" t="n">
        <v>0</v>
      </c>
      <c r="Q1874" t="n">
        <v>0</v>
      </c>
      <c r="R1874" s="2" t="inlineStr"/>
    </row>
    <row r="1875" ht="15" customHeight="1">
      <c r="A1875" t="inlineStr">
        <is>
          <t>A 66784-2019</t>
        </is>
      </c>
      <c r="B1875" s="1" t="n">
        <v>43810</v>
      </c>
      <c r="C1875" s="1" t="n">
        <v>45344</v>
      </c>
      <c r="D1875" t="inlineStr">
        <is>
          <t>GÄVLEBORGS LÄN</t>
        </is>
      </c>
      <c r="E1875" t="inlineStr">
        <is>
          <t>LJUSDAL</t>
        </is>
      </c>
      <c r="F1875" t="inlineStr">
        <is>
          <t>Bergvik skog väst AB</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66756-2019</t>
        </is>
      </c>
      <c r="B1876" s="1" t="n">
        <v>43810</v>
      </c>
      <c r="C1876" s="1" t="n">
        <v>45344</v>
      </c>
      <c r="D1876" t="inlineStr">
        <is>
          <t>GÄVLEBORGS LÄN</t>
        </is>
      </c>
      <c r="E1876" t="inlineStr">
        <is>
          <t>LJUSDAL</t>
        </is>
      </c>
      <c r="F1876" t="inlineStr">
        <is>
          <t>Bergvik skog väst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66920-2019</t>
        </is>
      </c>
      <c r="B1877" s="1" t="n">
        <v>43810</v>
      </c>
      <c r="C1877" s="1" t="n">
        <v>45344</v>
      </c>
      <c r="D1877" t="inlineStr">
        <is>
          <t>GÄVLEBORGS LÄN</t>
        </is>
      </c>
      <c r="E1877" t="inlineStr">
        <is>
          <t>LJUSDAL</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66938-2019</t>
        </is>
      </c>
      <c r="B1878" s="1" t="n">
        <v>43810</v>
      </c>
      <c r="C1878" s="1" t="n">
        <v>45344</v>
      </c>
      <c r="D1878" t="inlineStr">
        <is>
          <t>GÄVLEBORGS LÄN</t>
        </is>
      </c>
      <c r="E1878" t="inlineStr">
        <is>
          <t>LJUSDAL</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67039-2019</t>
        </is>
      </c>
      <c r="B1879" s="1" t="n">
        <v>43811</v>
      </c>
      <c r="C1879" s="1" t="n">
        <v>45344</v>
      </c>
      <c r="D1879" t="inlineStr">
        <is>
          <t>GÄVLEBORGS LÄN</t>
        </is>
      </c>
      <c r="E1879" t="inlineStr">
        <is>
          <t>HUDIKSVALL</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67138-2019</t>
        </is>
      </c>
      <c r="B1880" s="1" t="n">
        <v>43811</v>
      </c>
      <c r="C1880" s="1" t="n">
        <v>45344</v>
      </c>
      <c r="D1880" t="inlineStr">
        <is>
          <t>GÄVLEBORGS LÄN</t>
        </is>
      </c>
      <c r="E1880" t="inlineStr">
        <is>
          <t>GÄVLE</t>
        </is>
      </c>
      <c r="G1880" t="n">
        <v>10.5</v>
      </c>
      <c r="H1880" t="n">
        <v>0</v>
      </c>
      <c r="I1880" t="n">
        <v>0</v>
      </c>
      <c r="J1880" t="n">
        <v>0</v>
      </c>
      <c r="K1880" t="n">
        <v>0</v>
      </c>
      <c r="L1880" t="n">
        <v>0</v>
      </c>
      <c r="M1880" t="n">
        <v>0</v>
      </c>
      <c r="N1880" t="n">
        <v>0</v>
      </c>
      <c r="O1880" t="n">
        <v>0</v>
      </c>
      <c r="P1880" t="n">
        <v>0</v>
      </c>
      <c r="Q1880" t="n">
        <v>0</v>
      </c>
      <c r="R1880" s="2" t="inlineStr"/>
    </row>
    <row r="1881" ht="15" customHeight="1">
      <c r="A1881" t="inlineStr">
        <is>
          <t>A 67304-2019</t>
        </is>
      </c>
      <c r="B1881" s="1" t="n">
        <v>43812</v>
      </c>
      <c r="C1881" s="1" t="n">
        <v>45344</v>
      </c>
      <c r="D1881" t="inlineStr">
        <is>
          <t>GÄVLEBORGS LÄN</t>
        </is>
      </c>
      <c r="E1881" t="inlineStr">
        <is>
          <t>OVANÅKER</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67440-2019</t>
        </is>
      </c>
      <c r="B1882" s="1" t="n">
        <v>43812</v>
      </c>
      <c r="C1882" s="1" t="n">
        <v>45344</v>
      </c>
      <c r="D1882" t="inlineStr">
        <is>
          <t>GÄVLEBORGS LÄN</t>
        </is>
      </c>
      <c r="E1882" t="inlineStr">
        <is>
          <t>HUDIKSVALL</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67302-2019</t>
        </is>
      </c>
      <c r="B1883" s="1" t="n">
        <v>43812</v>
      </c>
      <c r="C1883" s="1" t="n">
        <v>45344</v>
      </c>
      <c r="D1883" t="inlineStr">
        <is>
          <t>GÄVLEBORGS LÄN</t>
        </is>
      </c>
      <c r="E1883" t="inlineStr">
        <is>
          <t>NORDANSTIG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67417-2019</t>
        </is>
      </c>
      <c r="B1884" s="1" t="n">
        <v>43812</v>
      </c>
      <c r="C1884" s="1" t="n">
        <v>45344</v>
      </c>
      <c r="D1884" t="inlineStr">
        <is>
          <t>GÄVLEBORGS LÄN</t>
        </is>
      </c>
      <c r="E1884" t="inlineStr">
        <is>
          <t>GÄVLE</t>
        </is>
      </c>
      <c r="F1884" t="inlineStr">
        <is>
          <t>Kommuner</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68532-2019</t>
        </is>
      </c>
      <c r="B1885" s="1" t="n">
        <v>43812</v>
      </c>
      <c r="C1885" s="1" t="n">
        <v>45344</v>
      </c>
      <c r="D1885" t="inlineStr">
        <is>
          <t>GÄVLEBORGS LÄN</t>
        </is>
      </c>
      <c r="E1885" t="inlineStr">
        <is>
          <t>BOLLNÄS</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67418-2019</t>
        </is>
      </c>
      <c r="B1886" s="1" t="n">
        <v>43812</v>
      </c>
      <c r="C1886" s="1" t="n">
        <v>45344</v>
      </c>
      <c r="D1886" t="inlineStr">
        <is>
          <t>GÄVLEBORGS LÄN</t>
        </is>
      </c>
      <c r="E1886" t="inlineStr">
        <is>
          <t>GÄVLE</t>
        </is>
      </c>
      <c r="F1886" t="inlineStr">
        <is>
          <t>Kommuner</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67438-2019</t>
        </is>
      </c>
      <c r="B1887" s="1" t="n">
        <v>43812</v>
      </c>
      <c r="C1887" s="1" t="n">
        <v>45344</v>
      </c>
      <c r="D1887" t="inlineStr">
        <is>
          <t>GÄVLEBORGS LÄN</t>
        </is>
      </c>
      <c r="E1887" t="inlineStr">
        <is>
          <t>HUDIKSVALL</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67415-2019</t>
        </is>
      </c>
      <c r="B1888" s="1" t="n">
        <v>43812</v>
      </c>
      <c r="C1888" s="1" t="n">
        <v>45344</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67651-2019</t>
        </is>
      </c>
      <c r="B1889" s="1" t="n">
        <v>43815</v>
      </c>
      <c r="C1889" s="1" t="n">
        <v>45344</v>
      </c>
      <c r="D1889" t="inlineStr">
        <is>
          <t>GÄVLEBORGS LÄN</t>
        </is>
      </c>
      <c r="E1889" t="inlineStr">
        <is>
          <t>LJUSDAL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67776-2019</t>
        </is>
      </c>
      <c r="B1890" s="1" t="n">
        <v>43815</v>
      </c>
      <c r="C1890" s="1" t="n">
        <v>45344</v>
      </c>
      <c r="D1890" t="inlineStr">
        <is>
          <t>GÄVLEBORGS LÄN</t>
        </is>
      </c>
      <c r="E1890" t="inlineStr">
        <is>
          <t>SÖDERHAMN</t>
        </is>
      </c>
      <c r="F1890" t="inlineStr">
        <is>
          <t>Kommuner</t>
        </is>
      </c>
      <c r="G1890" t="n">
        <v>5.1</v>
      </c>
      <c r="H1890" t="n">
        <v>0</v>
      </c>
      <c r="I1890" t="n">
        <v>0</v>
      </c>
      <c r="J1890" t="n">
        <v>0</v>
      </c>
      <c r="K1890" t="n">
        <v>0</v>
      </c>
      <c r="L1890" t="n">
        <v>0</v>
      </c>
      <c r="M1890" t="n">
        <v>0</v>
      </c>
      <c r="N1890" t="n">
        <v>0</v>
      </c>
      <c r="O1890" t="n">
        <v>0</v>
      </c>
      <c r="P1890" t="n">
        <v>0</v>
      </c>
      <c r="Q1890" t="n">
        <v>0</v>
      </c>
      <c r="R1890" s="2" t="inlineStr"/>
    </row>
    <row r="1891" ht="15" customHeight="1">
      <c r="A1891" t="inlineStr">
        <is>
          <t>A 67596-2019</t>
        </is>
      </c>
      <c r="B1891" s="1" t="n">
        <v>43815</v>
      </c>
      <c r="C1891" s="1" t="n">
        <v>45344</v>
      </c>
      <c r="D1891" t="inlineStr">
        <is>
          <t>GÄVLEBORGS LÄN</t>
        </is>
      </c>
      <c r="E1891" t="inlineStr">
        <is>
          <t>BOLLNÄS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67730-2019</t>
        </is>
      </c>
      <c r="B1892" s="1" t="n">
        <v>43815</v>
      </c>
      <c r="C1892" s="1" t="n">
        <v>45344</v>
      </c>
      <c r="D1892" t="inlineStr">
        <is>
          <t>GÄVLEBORGS LÄN</t>
        </is>
      </c>
      <c r="E1892" t="inlineStr">
        <is>
          <t>LJUSDAL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67812-2019</t>
        </is>
      </c>
      <c r="B1893" s="1" t="n">
        <v>43815</v>
      </c>
      <c r="C1893" s="1" t="n">
        <v>45344</v>
      </c>
      <c r="D1893" t="inlineStr">
        <is>
          <t>GÄVLEBORGS LÄN</t>
        </is>
      </c>
      <c r="E1893" t="inlineStr">
        <is>
          <t>SÖDERHAMN</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67816-2019</t>
        </is>
      </c>
      <c r="B1894" s="1" t="n">
        <v>43815</v>
      </c>
      <c r="C1894" s="1" t="n">
        <v>45344</v>
      </c>
      <c r="D1894" t="inlineStr">
        <is>
          <t>GÄVLEBORGS LÄN</t>
        </is>
      </c>
      <c r="E1894" t="inlineStr">
        <is>
          <t>NORDANSTIG</t>
        </is>
      </c>
      <c r="F1894" t="inlineStr">
        <is>
          <t>SCA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67775-2019</t>
        </is>
      </c>
      <c r="B1895" s="1" t="n">
        <v>43815</v>
      </c>
      <c r="C1895" s="1" t="n">
        <v>45344</v>
      </c>
      <c r="D1895" t="inlineStr">
        <is>
          <t>GÄVLEBORGS LÄN</t>
        </is>
      </c>
      <c r="E1895" t="inlineStr">
        <is>
          <t>SÖDERHAMN</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67725-2019</t>
        </is>
      </c>
      <c r="B1896" s="1" t="n">
        <v>43815</v>
      </c>
      <c r="C1896" s="1" t="n">
        <v>45344</v>
      </c>
      <c r="D1896" t="inlineStr">
        <is>
          <t>GÄVLEBORGS LÄN</t>
        </is>
      </c>
      <c r="E1896" t="inlineStr">
        <is>
          <t>HUDIKSVALL</t>
        </is>
      </c>
      <c r="F1896" t="inlineStr">
        <is>
          <t>Holmen skog AB</t>
        </is>
      </c>
      <c r="G1896" t="n">
        <v>15.6</v>
      </c>
      <c r="H1896" t="n">
        <v>0</v>
      </c>
      <c r="I1896" t="n">
        <v>0</v>
      </c>
      <c r="J1896" t="n">
        <v>0</v>
      </c>
      <c r="K1896" t="n">
        <v>0</v>
      </c>
      <c r="L1896" t="n">
        <v>0</v>
      </c>
      <c r="M1896" t="n">
        <v>0</v>
      </c>
      <c r="N1896" t="n">
        <v>0</v>
      </c>
      <c r="O1896" t="n">
        <v>0</v>
      </c>
      <c r="P1896" t="n">
        <v>0</v>
      </c>
      <c r="Q1896" t="n">
        <v>0</v>
      </c>
      <c r="R1896" s="2" t="inlineStr"/>
    </row>
    <row r="1897" ht="15" customHeight="1">
      <c r="A1897" t="inlineStr">
        <is>
          <t>A 68010-2019</t>
        </is>
      </c>
      <c r="B1897" s="1" t="n">
        <v>43816</v>
      </c>
      <c r="C1897" s="1" t="n">
        <v>45344</v>
      </c>
      <c r="D1897" t="inlineStr">
        <is>
          <t>GÄVLEBORGS LÄN</t>
        </is>
      </c>
      <c r="E1897" t="inlineStr">
        <is>
          <t>SANDVIKEN</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67866-2019</t>
        </is>
      </c>
      <c r="B1898" s="1" t="n">
        <v>43816</v>
      </c>
      <c r="C1898" s="1" t="n">
        <v>45344</v>
      </c>
      <c r="D1898" t="inlineStr">
        <is>
          <t>GÄVLEBORGS LÄN</t>
        </is>
      </c>
      <c r="E1898" t="inlineStr">
        <is>
          <t>LJUSDAL</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67916-2019</t>
        </is>
      </c>
      <c r="B1899" s="1" t="n">
        <v>43816</v>
      </c>
      <c r="C1899" s="1" t="n">
        <v>45344</v>
      </c>
      <c r="D1899" t="inlineStr">
        <is>
          <t>GÄVLEBORGS LÄN</t>
        </is>
      </c>
      <c r="E1899" t="inlineStr">
        <is>
          <t>NORDANSTIG</t>
        </is>
      </c>
      <c r="F1899" t="inlineStr">
        <is>
          <t>Holmen skog AB</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67871-2019</t>
        </is>
      </c>
      <c r="B1900" s="1" t="n">
        <v>43816</v>
      </c>
      <c r="C1900" s="1" t="n">
        <v>45344</v>
      </c>
      <c r="D1900" t="inlineStr">
        <is>
          <t>GÄVLEBORGS LÄN</t>
        </is>
      </c>
      <c r="E1900" t="inlineStr">
        <is>
          <t>NORDANSTIG</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67941-2019</t>
        </is>
      </c>
      <c r="B1901" s="1" t="n">
        <v>43816</v>
      </c>
      <c r="C1901" s="1" t="n">
        <v>45344</v>
      </c>
      <c r="D1901" t="inlineStr">
        <is>
          <t>GÄVLEBORGS LÄN</t>
        </is>
      </c>
      <c r="E1901" t="inlineStr">
        <is>
          <t>HUDIKSVALL</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408-2020</t>
        </is>
      </c>
      <c r="B1902" s="1" t="n">
        <v>43816</v>
      </c>
      <c r="C1902" s="1" t="n">
        <v>45344</v>
      </c>
      <c r="D1902" t="inlineStr">
        <is>
          <t>GÄVLEBORGS LÄN</t>
        </is>
      </c>
      <c r="E1902" t="inlineStr">
        <is>
          <t>LJUSDAL</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68015-2019</t>
        </is>
      </c>
      <c r="B1903" s="1" t="n">
        <v>43816</v>
      </c>
      <c r="C1903" s="1" t="n">
        <v>45344</v>
      </c>
      <c r="D1903" t="inlineStr">
        <is>
          <t>GÄVLEBORGS LÄN</t>
        </is>
      </c>
      <c r="E1903" t="inlineStr">
        <is>
          <t>SANDVIKEN</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68116-2019</t>
        </is>
      </c>
      <c r="B1904" s="1" t="n">
        <v>43817</v>
      </c>
      <c r="C1904" s="1" t="n">
        <v>45344</v>
      </c>
      <c r="D1904" t="inlineStr">
        <is>
          <t>GÄVLEBORGS LÄN</t>
        </is>
      </c>
      <c r="E1904" t="inlineStr">
        <is>
          <t>OVANÅKER</t>
        </is>
      </c>
      <c r="G1904" t="n">
        <v>8</v>
      </c>
      <c r="H1904" t="n">
        <v>0</v>
      </c>
      <c r="I1904" t="n">
        <v>0</v>
      </c>
      <c r="J1904" t="n">
        <v>0</v>
      </c>
      <c r="K1904" t="n">
        <v>0</v>
      </c>
      <c r="L1904" t="n">
        <v>0</v>
      </c>
      <c r="M1904" t="n">
        <v>0</v>
      </c>
      <c r="N1904" t="n">
        <v>0</v>
      </c>
      <c r="O1904" t="n">
        <v>0</v>
      </c>
      <c r="P1904" t="n">
        <v>0</v>
      </c>
      <c r="Q1904" t="n">
        <v>0</v>
      </c>
      <c r="R1904" s="2" t="inlineStr"/>
    </row>
    <row r="1905" ht="15" customHeight="1">
      <c r="A1905" t="inlineStr">
        <is>
          <t>A 68252-2019</t>
        </is>
      </c>
      <c r="B1905" s="1" t="n">
        <v>43817</v>
      </c>
      <c r="C1905" s="1" t="n">
        <v>45344</v>
      </c>
      <c r="D1905" t="inlineStr">
        <is>
          <t>GÄVLEBORGS LÄN</t>
        </is>
      </c>
      <c r="E1905" t="inlineStr">
        <is>
          <t>HUDIKSVALL</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68348-2019</t>
        </is>
      </c>
      <c r="B1906" s="1" t="n">
        <v>43818</v>
      </c>
      <c r="C1906" s="1" t="n">
        <v>45344</v>
      </c>
      <c r="D1906" t="inlineStr">
        <is>
          <t>GÄVLEBORGS LÄN</t>
        </is>
      </c>
      <c r="E1906" t="inlineStr">
        <is>
          <t>SÖDERHAMN</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68436-2019</t>
        </is>
      </c>
      <c r="B1907" s="1" t="n">
        <v>43818</v>
      </c>
      <c r="C1907" s="1" t="n">
        <v>45344</v>
      </c>
      <c r="D1907" t="inlineStr">
        <is>
          <t>GÄVLEBORGS LÄN</t>
        </is>
      </c>
      <c r="E1907" t="inlineStr">
        <is>
          <t>GÄVLE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68455-2019</t>
        </is>
      </c>
      <c r="B1908" s="1" t="n">
        <v>43818</v>
      </c>
      <c r="C1908" s="1" t="n">
        <v>45344</v>
      </c>
      <c r="D1908" t="inlineStr">
        <is>
          <t>GÄVLEBORGS LÄN</t>
        </is>
      </c>
      <c r="E1908" t="inlineStr">
        <is>
          <t>OVANÅKER</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68555-2019</t>
        </is>
      </c>
      <c r="B1909" s="1" t="n">
        <v>43818</v>
      </c>
      <c r="C1909" s="1" t="n">
        <v>45344</v>
      </c>
      <c r="D1909" t="inlineStr">
        <is>
          <t>GÄVLEBORGS LÄN</t>
        </is>
      </c>
      <c r="E1909" t="inlineStr">
        <is>
          <t>GÄVLE</t>
        </is>
      </c>
      <c r="F1909" t="inlineStr">
        <is>
          <t>Övriga statliga verk och myndigheter</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68633-2019</t>
        </is>
      </c>
      <c r="B1910" s="1" t="n">
        <v>43819</v>
      </c>
      <c r="C1910" s="1" t="n">
        <v>45344</v>
      </c>
      <c r="D1910" t="inlineStr">
        <is>
          <t>GÄVLEBORGS LÄN</t>
        </is>
      </c>
      <c r="E1910" t="inlineStr">
        <is>
          <t>BOLLNÄS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68800-2019</t>
        </is>
      </c>
      <c r="B1911" s="1" t="n">
        <v>43819</v>
      </c>
      <c r="C1911" s="1" t="n">
        <v>45344</v>
      </c>
      <c r="D1911" t="inlineStr">
        <is>
          <t>GÄVLEBORGS LÄN</t>
        </is>
      </c>
      <c r="E1911" t="inlineStr">
        <is>
          <t>BOLLNÄS</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68915-2019</t>
        </is>
      </c>
      <c r="B1912" s="1" t="n">
        <v>43822</v>
      </c>
      <c r="C1912" s="1" t="n">
        <v>45344</v>
      </c>
      <c r="D1912" t="inlineStr">
        <is>
          <t>GÄVLEBORGS LÄN</t>
        </is>
      </c>
      <c r="E1912" t="inlineStr">
        <is>
          <t>NORDANSTIG</t>
        </is>
      </c>
      <c r="F1912" t="inlineStr">
        <is>
          <t>Holmen skog AB</t>
        </is>
      </c>
      <c r="G1912" t="n">
        <v>21.2</v>
      </c>
      <c r="H1912" t="n">
        <v>0</v>
      </c>
      <c r="I1912" t="n">
        <v>0</v>
      </c>
      <c r="J1912" t="n">
        <v>0</v>
      </c>
      <c r="K1912" t="n">
        <v>0</v>
      </c>
      <c r="L1912" t="n">
        <v>0</v>
      </c>
      <c r="M1912" t="n">
        <v>0</v>
      </c>
      <c r="N1912" t="n">
        <v>0</v>
      </c>
      <c r="O1912" t="n">
        <v>0</v>
      </c>
      <c r="P1912" t="n">
        <v>0</v>
      </c>
      <c r="Q1912" t="n">
        <v>0</v>
      </c>
      <c r="R1912" s="2" t="inlineStr"/>
    </row>
    <row r="1913" ht="15" customHeight="1">
      <c r="A1913" t="inlineStr">
        <is>
          <t>A 68961-2019</t>
        </is>
      </c>
      <c r="B1913" s="1" t="n">
        <v>43822</v>
      </c>
      <c r="C1913" s="1" t="n">
        <v>45344</v>
      </c>
      <c r="D1913" t="inlineStr">
        <is>
          <t>GÄVLEBORGS LÄN</t>
        </is>
      </c>
      <c r="E1913" t="inlineStr">
        <is>
          <t>SANDVIKEN</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69096-2019</t>
        </is>
      </c>
      <c r="B1914" s="1" t="n">
        <v>43829</v>
      </c>
      <c r="C1914" s="1" t="n">
        <v>45344</v>
      </c>
      <c r="D1914" t="inlineStr">
        <is>
          <t>GÄVLEBORGS LÄN</t>
        </is>
      </c>
      <c r="E1914" t="inlineStr">
        <is>
          <t>SANDVIKEN</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121-2020</t>
        </is>
      </c>
      <c r="B1915" s="1" t="n">
        <v>43832</v>
      </c>
      <c r="C1915" s="1" t="n">
        <v>45344</v>
      </c>
      <c r="D1915" t="inlineStr">
        <is>
          <t>GÄVLEBORGS LÄN</t>
        </is>
      </c>
      <c r="E1915" t="inlineStr">
        <is>
          <t>HUDIKSVALL</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115-2020</t>
        </is>
      </c>
      <c r="B1916" s="1" t="n">
        <v>43832</v>
      </c>
      <c r="C1916" s="1" t="n">
        <v>45344</v>
      </c>
      <c r="D1916" t="inlineStr">
        <is>
          <t>GÄVLEBORGS LÄN</t>
        </is>
      </c>
      <c r="E1916" t="inlineStr">
        <is>
          <t>HUDIKSVALL</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223-2020</t>
        </is>
      </c>
      <c r="B1917" s="1" t="n">
        <v>43833</v>
      </c>
      <c r="C1917" s="1" t="n">
        <v>45344</v>
      </c>
      <c r="D1917" t="inlineStr">
        <is>
          <t>GÄVLEBORGS LÄN</t>
        </is>
      </c>
      <c r="E1917" t="inlineStr">
        <is>
          <t>NORDANSTIG</t>
        </is>
      </c>
      <c r="F1917" t="inlineStr">
        <is>
          <t>Naturvårdsverket</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329-2020</t>
        </is>
      </c>
      <c r="B1918" s="1" t="n">
        <v>43837</v>
      </c>
      <c r="C1918" s="1" t="n">
        <v>45344</v>
      </c>
      <c r="D1918" t="inlineStr">
        <is>
          <t>GÄVLEBORGS LÄN</t>
        </is>
      </c>
      <c r="E1918" t="inlineStr">
        <is>
          <t>LJUSDAL</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305-2020</t>
        </is>
      </c>
      <c r="B1919" s="1" t="n">
        <v>43837</v>
      </c>
      <c r="C1919" s="1" t="n">
        <v>45344</v>
      </c>
      <c r="D1919" t="inlineStr">
        <is>
          <t>GÄVLEBORGS LÄN</t>
        </is>
      </c>
      <c r="E1919" t="inlineStr">
        <is>
          <t>BOLLNÄS</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360-2020</t>
        </is>
      </c>
      <c r="B1920" s="1" t="n">
        <v>43837</v>
      </c>
      <c r="C1920" s="1" t="n">
        <v>45344</v>
      </c>
      <c r="D1920" t="inlineStr">
        <is>
          <t>GÄVLEBORGS LÄN</t>
        </is>
      </c>
      <c r="E1920" t="inlineStr">
        <is>
          <t>OCKELBO</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498-2020</t>
        </is>
      </c>
      <c r="B1921" s="1" t="n">
        <v>43837</v>
      </c>
      <c r="C1921" s="1" t="n">
        <v>45344</v>
      </c>
      <c r="D1921" t="inlineStr">
        <is>
          <t>GÄVLEBORGS LÄN</t>
        </is>
      </c>
      <c r="E1921" t="inlineStr">
        <is>
          <t>HUDIKSVALL</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412-2020</t>
        </is>
      </c>
      <c r="B1922" s="1" t="n">
        <v>43837</v>
      </c>
      <c r="C1922" s="1" t="n">
        <v>45344</v>
      </c>
      <c r="D1922" t="inlineStr">
        <is>
          <t>GÄVLEBORGS LÄN</t>
        </is>
      </c>
      <c r="E1922" t="inlineStr">
        <is>
          <t>BOLLNÄS</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528-2020</t>
        </is>
      </c>
      <c r="B1923" s="1" t="n">
        <v>43837</v>
      </c>
      <c r="C1923" s="1" t="n">
        <v>45344</v>
      </c>
      <c r="D1923" t="inlineStr">
        <is>
          <t>GÄVLEBORGS LÄN</t>
        </is>
      </c>
      <c r="E1923" t="inlineStr">
        <is>
          <t>HUDIKSVALL</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533-2020</t>
        </is>
      </c>
      <c r="B1924" s="1" t="n">
        <v>43837</v>
      </c>
      <c r="C1924" s="1" t="n">
        <v>45344</v>
      </c>
      <c r="D1924" t="inlineStr">
        <is>
          <t>GÄVLEBORGS LÄN</t>
        </is>
      </c>
      <c r="E1924" t="inlineStr">
        <is>
          <t>NORDANSTIG</t>
        </is>
      </c>
      <c r="F1924" t="inlineStr">
        <is>
          <t>Naturvårdsverket</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302-2020</t>
        </is>
      </c>
      <c r="B1925" s="1" t="n">
        <v>43837</v>
      </c>
      <c r="C1925" s="1" t="n">
        <v>45344</v>
      </c>
      <c r="D1925" t="inlineStr">
        <is>
          <t>GÄVLEBORGS LÄN</t>
        </is>
      </c>
      <c r="E1925" t="inlineStr">
        <is>
          <t>BOLLNÄS</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548-2020</t>
        </is>
      </c>
      <c r="B1926" s="1" t="n">
        <v>43837</v>
      </c>
      <c r="C1926" s="1" t="n">
        <v>45344</v>
      </c>
      <c r="D1926" t="inlineStr">
        <is>
          <t>GÄVLEBORGS LÄN</t>
        </is>
      </c>
      <c r="E1926" t="inlineStr">
        <is>
          <t>HUDIKSVALL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562-2020</t>
        </is>
      </c>
      <c r="B1927" s="1" t="n">
        <v>43838</v>
      </c>
      <c r="C1927" s="1" t="n">
        <v>45344</v>
      </c>
      <c r="D1927" t="inlineStr">
        <is>
          <t>GÄVLEBORGS LÄN</t>
        </is>
      </c>
      <c r="E1927" t="inlineStr">
        <is>
          <t>LJUSDAL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743-2020</t>
        </is>
      </c>
      <c r="B1928" s="1" t="n">
        <v>43838</v>
      </c>
      <c r="C1928" s="1" t="n">
        <v>45344</v>
      </c>
      <c r="D1928" t="inlineStr">
        <is>
          <t>GÄVLEBORGS LÄN</t>
        </is>
      </c>
      <c r="E1928" t="inlineStr">
        <is>
          <t>GÄVLE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977-2020</t>
        </is>
      </c>
      <c r="B1929" s="1" t="n">
        <v>43839</v>
      </c>
      <c r="C1929" s="1" t="n">
        <v>45344</v>
      </c>
      <c r="D1929" t="inlineStr">
        <is>
          <t>GÄVLEBORGS LÄN</t>
        </is>
      </c>
      <c r="E1929" t="inlineStr">
        <is>
          <t>SANDVIKEN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1008-2020</t>
        </is>
      </c>
      <c r="B1930" s="1" t="n">
        <v>43839</v>
      </c>
      <c r="C1930" s="1" t="n">
        <v>45344</v>
      </c>
      <c r="D1930" t="inlineStr">
        <is>
          <t>GÄVLEBORGS LÄN</t>
        </is>
      </c>
      <c r="E1930" t="inlineStr">
        <is>
          <t>OVANÅKER</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1122-2020</t>
        </is>
      </c>
      <c r="B1931" s="1" t="n">
        <v>43840</v>
      </c>
      <c r="C1931" s="1" t="n">
        <v>45344</v>
      </c>
      <c r="D1931" t="inlineStr">
        <is>
          <t>GÄVLEBORGS LÄN</t>
        </is>
      </c>
      <c r="E1931" t="inlineStr">
        <is>
          <t>NORDANSTIG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1118-2020</t>
        </is>
      </c>
      <c r="B1932" s="1" t="n">
        <v>43840</v>
      </c>
      <c r="C1932" s="1" t="n">
        <v>45344</v>
      </c>
      <c r="D1932" t="inlineStr">
        <is>
          <t>GÄVLEBORGS LÄN</t>
        </is>
      </c>
      <c r="E1932" t="inlineStr">
        <is>
          <t>OCKELBO</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1231-2020</t>
        </is>
      </c>
      <c r="B1933" s="1" t="n">
        <v>43840</v>
      </c>
      <c r="C1933" s="1" t="n">
        <v>45344</v>
      </c>
      <c r="D1933" t="inlineStr">
        <is>
          <t>GÄVLEBORGS LÄN</t>
        </is>
      </c>
      <c r="E1933" t="inlineStr">
        <is>
          <t>LJUSDAL</t>
        </is>
      </c>
      <c r="F1933" t="inlineStr">
        <is>
          <t>Kommuner</t>
        </is>
      </c>
      <c r="G1933" t="n">
        <v>4.5</v>
      </c>
      <c r="H1933" t="n">
        <v>0</v>
      </c>
      <c r="I1933" t="n">
        <v>0</v>
      </c>
      <c r="J1933" t="n">
        <v>0</v>
      </c>
      <c r="K1933" t="n">
        <v>0</v>
      </c>
      <c r="L1933" t="n">
        <v>0</v>
      </c>
      <c r="M1933" t="n">
        <v>0</v>
      </c>
      <c r="N1933" t="n">
        <v>0</v>
      </c>
      <c r="O1933" t="n">
        <v>0</v>
      </c>
      <c r="P1933" t="n">
        <v>0</v>
      </c>
      <c r="Q1933" t="n">
        <v>0</v>
      </c>
      <c r="R1933" s="2" t="inlineStr"/>
    </row>
    <row r="1934" ht="15" customHeight="1">
      <c r="A1934" t="inlineStr">
        <is>
          <t>A 1265-2020</t>
        </is>
      </c>
      <c r="B1934" s="1" t="n">
        <v>43840</v>
      </c>
      <c r="C1934" s="1" t="n">
        <v>45344</v>
      </c>
      <c r="D1934" t="inlineStr">
        <is>
          <t>GÄVLEBORGS LÄN</t>
        </is>
      </c>
      <c r="E1934" t="inlineStr">
        <is>
          <t>HUDIKSVALL</t>
        </is>
      </c>
      <c r="G1934" t="n">
        <v>9.300000000000001</v>
      </c>
      <c r="H1934" t="n">
        <v>0</v>
      </c>
      <c r="I1934" t="n">
        <v>0</v>
      </c>
      <c r="J1934" t="n">
        <v>0</v>
      </c>
      <c r="K1934" t="n">
        <v>0</v>
      </c>
      <c r="L1934" t="n">
        <v>0</v>
      </c>
      <c r="M1934" t="n">
        <v>0</v>
      </c>
      <c r="N1934" t="n">
        <v>0</v>
      </c>
      <c r="O1934" t="n">
        <v>0</v>
      </c>
      <c r="P1934" t="n">
        <v>0</v>
      </c>
      <c r="Q1934" t="n">
        <v>0</v>
      </c>
      <c r="R1934" s="2" t="inlineStr"/>
    </row>
    <row r="1935" ht="15" customHeight="1">
      <c r="A1935" t="inlineStr">
        <is>
          <t>A 2398-2020</t>
        </is>
      </c>
      <c r="B1935" s="1" t="n">
        <v>43840</v>
      </c>
      <c r="C1935" s="1" t="n">
        <v>45344</v>
      </c>
      <c r="D1935" t="inlineStr">
        <is>
          <t>GÄVLEBORGS LÄN</t>
        </is>
      </c>
      <c r="E1935" t="inlineStr">
        <is>
          <t>BOLLNÄS</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1163-2020</t>
        </is>
      </c>
      <c r="B1936" s="1" t="n">
        <v>43840</v>
      </c>
      <c r="C1936" s="1" t="n">
        <v>45344</v>
      </c>
      <c r="D1936" t="inlineStr">
        <is>
          <t>GÄVLEBORGS LÄN</t>
        </is>
      </c>
      <c r="E1936" t="inlineStr">
        <is>
          <t>OCKELBO</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2395-2020</t>
        </is>
      </c>
      <c r="B1937" s="1" t="n">
        <v>43840</v>
      </c>
      <c r="C1937" s="1" t="n">
        <v>45344</v>
      </c>
      <c r="D1937" t="inlineStr">
        <is>
          <t>GÄVLEBORGS LÄN</t>
        </is>
      </c>
      <c r="E1937" t="inlineStr">
        <is>
          <t>BOLLNÄS</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1451-2020</t>
        </is>
      </c>
      <c r="B1938" s="1" t="n">
        <v>43843</v>
      </c>
      <c r="C1938" s="1" t="n">
        <v>45344</v>
      </c>
      <c r="D1938" t="inlineStr">
        <is>
          <t>GÄVLEBORGS LÄN</t>
        </is>
      </c>
      <c r="E1938" t="inlineStr">
        <is>
          <t>OCKELBO</t>
        </is>
      </c>
      <c r="F1938" t="inlineStr">
        <is>
          <t>Bergvik skog väst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1477-2020</t>
        </is>
      </c>
      <c r="B1939" s="1" t="n">
        <v>43843</v>
      </c>
      <c r="C1939" s="1" t="n">
        <v>45344</v>
      </c>
      <c r="D1939" t="inlineStr">
        <is>
          <t>GÄVLEBORGS LÄN</t>
        </is>
      </c>
      <c r="E1939" t="inlineStr">
        <is>
          <t>BOLLNÄS</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4864-2020</t>
        </is>
      </c>
      <c r="B1940" s="1" t="n">
        <v>43843</v>
      </c>
      <c r="C1940" s="1" t="n">
        <v>45344</v>
      </c>
      <c r="D1940" t="inlineStr">
        <is>
          <t>GÄVLEBORGS LÄN</t>
        </is>
      </c>
      <c r="E1940" t="inlineStr">
        <is>
          <t>HUDIKSVALL</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1916-2020</t>
        </is>
      </c>
      <c r="B1941" s="1" t="n">
        <v>43845</v>
      </c>
      <c r="C1941" s="1" t="n">
        <v>45344</v>
      </c>
      <c r="D1941" t="inlineStr">
        <is>
          <t>GÄVLEBORGS LÄN</t>
        </is>
      </c>
      <c r="E1941" t="inlineStr">
        <is>
          <t>SANDVIKEN</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1926-2020</t>
        </is>
      </c>
      <c r="B1942" s="1" t="n">
        <v>43845</v>
      </c>
      <c r="C1942" s="1" t="n">
        <v>45344</v>
      </c>
      <c r="D1942" t="inlineStr">
        <is>
          <t>GÄVLEBORGS LÄN</t>
        </is>
      </c>
      <c r="E1942" t="inlineStr">
        <is>
          <t>SÖDERHAMN</t>
        </is>
      </c>
      <c r="F1942" t="inlineStr">
        <is>
          <t>Bergvik skog väst AB</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2033-2020</t>
        </is>
      </c>
      <c r="B1943" s="1" t="n">
        <v>43845</v>
      </c>
      <c r="C1943" s="1" t="n">
        <v>45344</v>
      </c>
      <c r="D1943" t="inlineStr">
        <is>
          <t>GÄVLEBORGS LÄN</t>
        </is>
      </c>
      <c r="E1943" t="inlineStr">
        <is>
          <t>HUDIKSVALL</t>
        </is>
      </c>
      <c r="F1943" t="inlineStr">
        <is>
          <t>Naturvårdsverket</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2282-2020</t>
        </is>
      </c>
      <c r="B1944" s="1" t="n">
        <v>43846</v>
      </c>
      <c r="C1944" s="1" t="n">
        <v>45344</v>
      </c>
      <c r="D1944" t="inlineStr">
        <is>
          <t>GÄVLEBORGS LÄN</t>
        </is>
      </c>
      <c r="E1944" t="inlineStr">
        <is>
          <t>OVANÅKER</t>
        </is>
      </c>
      <c r="F1944" t="inlineStr">
        <is>
          <t>Bergvik skog väst AB</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2270-2020</t>
        </is>
      </c>
      <c r="B1945" s="1" t="n">
        <v>43846</v>
      </c>
      <c r="C1945" s="1" t="n">
        <v>45344</v>
      </c>
      <c r="D1945" t="inlineStr">
        <is>
          <t>GÄVLEBORGS LÄN</t>
        </is>
      </c>
      <c r="E1945" t="inlineStr">
        <is>
          <t>OVANÅKER</t>
        </is>
      </c>
      <c r="F1945" t="inlineStr">
        <is>
          <t>Bergvik skog väst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2281-2020</t>
        </is>
      </c>
      <c r="B1946" s="1" t="n">
        <v>43846</v>
      </c>
      <c r="C1946" s="1" t="n">
        <v>45344</v>
      </c>
      <c r="D1946" t="inlineStr">
        <is>
          <t>GÄVLEBORGS LÄN</t>
        </is>
      </c>
      <c r="E1946" t="inlineStr">
        <is>
          <t>BOLLNÄS</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2286-2020</t>
        </is>
      </c>
      <c r="B1947" s="1" t="n">
        <v>43846</v>
      </c>
      <c r="C1947" s="1" t="n">
        <v>45344</v>
      </c>
      <c r="D1947" t="inlineStr">
        <is>
          <t>GÄVLEBORGS LÄN</t>
        </is>
      </c>
      <c r="E1947" t="inlineStr">
        <is>
          <t>OVANÅKER</t>
        </is>
      </c>
      <c r="F1947" t="inlineStr">
        <is>
          <t>Bergvik skog väst AB</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2274-2020</t>
        </is>
      </c>
      <c r="B1948" s="1" t="n">
        <v>43846</v>
      </c>
      <c r="C1948" s="1" t="n">
        <v>45344</v>
      </c>
      <c r="D1948" t="inlineStr">
        <is>
          <t>GÄVLEBORGS LÄN</t>
        </is>
      </c>
      <c r="E1948" t="inlineStr">
        <is>
          <t>OVANÅKER</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2273-2020</t>
        </is>
      </c>
      <c r="B1949" s="1" t="n">
        <v>43846</v>
      </c>
      <c r="C1949" s="1" t="n">
        <v>45344</v>
      </c>
      <c r="D1949" t="inlineStr">
        <is>
          <t>GÄVLEBORGS LÄN</t>
        </is>
      </c>
      <c r="E1949" t="inlineStr">
        <is>
          <t>OVANÅKER</t>
        </is>
      </c>
      <c r="F1949" t="inlineStr">
        <is>
          <t>Bergvik skog väst AB</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2607-2020</t>
        </is>
      </c>
      <c r="B1950" s="1" t="n">
        <v>43847</v>
      </c>
      <c r="C1950" s="1" t="n">
        <v>45344</v>
      </c>
      <c r="D1950" t="inlineStr">
        <is>
          <t>GÄVLEBORGS LÄN</t>
        </is>
      </c>
      <c r="E1950" t="inlineStr">
        <is>
          <t>OVANÅKER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2540-2020</t>
        </is>
      </c>
      <c r="B1951" s="1" t="n">
        <v>43847</v>
      </c>
      <c r="C1951" s="1" t="n">
        <v>45344</v>
      </c>
      <c r="D1951" t="inlineStr">
        <is>
          <t>GÄVLEBORGS LÄN</t>
        </is>
      </c>
      <c r="E1951" t="inlineStr">
        <is>
          <t>HUDIKSVALL</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2567-2020</t>
        </is>
      </c>
      <c r="B1952" s="1" t="n">
        <v>43847</v>
      </c>
      <c r="C1952" s="1" t="n">
        <v>45344</v>
      </c>
      <c r="D1952" t="inlineStr">
        <is>
          <t>GÄVLEBORGS LÄN</t>
        </is>
      </c>
      <c r="E1952" t="inlineStr">
        <is>
          <t>HUDIKSVALL</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2645-2020</t>
        </is>
      </c>
      <c r="B1953" s="1" t="n">
        <v>43847</v>
      </c>
      <c r="C1953" s="1" t="n">
        <v>45344</v>
      </c>
      <c r="D1953" t="inlineStr">
        <is>
          <t>GÄVLEBORGS LÄN</t>
        </is>
      </c>
      <c r="E1953" t="inlineStr">
        <is>
          <t>NORDANSTIG</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2615-2020</t>
        </is>
      </c>
      <c r="B1954" s="1" t="n">
        <v>43847</v>
      </c>
      <c r="C1954" s="1" t="n">
        <v>45344</v>
      </c>
      <c r="D1954" t="inlineStr">
        <is>
          <t>GÄVLEBORGS LÄN</t>
        </is>
      </c>
      <c r="E1954" t="inlineStr">
        <is>
          <t>NORDANSTIG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2689-2020</t>
        </is>
      </c>
      <c r="B1955" s="1" t="n">
        <v>43850</v>
      </c>
      <c r="C1955" s="1" t="n">
        <v>45344</v>
      </c>
      <c r="D1955" t="inlineStr">
        <is>
          <t>GÄVLEBORGS LÄN</t>
        </is>
      </c>
      <c r="E1955" t="inlineStr">
        <is>
          <t>NORDANSTIG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2870-2020</t>
        </is>
      </c>
      <c r="B1956" s="1" t="n">
        <v>43850</v>
      </c>
      <c r="C1956" s="1" t="n">
        <v>45344</v>
      </c>
      <c r="D1956" t="inlineStr">
        <is>
          <t>GÄVLEBORGS LÄN</t>
        </is>
      </c>
      <c r="E1956" t="inlineStr">
        <is>
          <t>OVANÅKER</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2973-2020</t>
        </is>
      </c>
      <c r="B1957" s="1" t="n">
        <v>43850</v>
      </c>
      <c r="C1957" s="1" t="n">
        <v>45344</v>
      </c>
      <c r="D1957" t="inlineStr">
        <is>
          <t>GÄVLEBORGS LÄN</t>
        </is>
      </c>
      <c r="E1957" t="inlineStr">
        <is>
          <t>LJUSDAL</t>
        </is>
      </c>
      <c r="G1957" t="n">
        <v>4.7</v>
      </c>
      <c r="H1957" t="n">
        <v>0</v>
      </c>
      <c r="I1957" t="n">
        <v>0</v>
      </c>
      <c r="J1957" t="n">
        <v>0</v>
      </c>
      <c r="K1957" t="n">
        <v>0</v>
      </c>
      <c r="L1957" t="n">
        <v>0</v>
      </c>
      <c r="M1957" t="n">
        <v>0</v>
      </c>
      <c r="N1957" t="n">
        <v>0</v>
      </c>
      <c r="O1957" t="n">
        <v>0</v>
      </c>
      <c r="P1957" t="n">
        <v>0</v>
      </c>
      <c r="Q1957" t="n">
        <v>0</v>
      </c>
      <c r="R1957" s="2" t="inlineStr"/>
    </row>
    <row r="1958" ht="15" customHeight="1">
      <c r="A1958" t="inlineStr">
        <is>
          <t>A 2786-2020</t>
        </is>
      </c>
      <c r="B1958" s="1" t="n">
        <v>43850</v>
      </c>
      <c r="C1958" s="1" t="n">
        <v>45344</v>
      </c>
      <c r="D1958" t="inlineStr">
        <is>
          <t>GÄVLEBORGS LÄN</t>
        </is>
      </c>
      <c r="E1958" t="inlineStr">
        <is>
          <t>GÄVLE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2775-2020</t>
        </is>
      </c>
      <c r="B1959" s="1" t="n">
        <v>43850</v>
      </c>
      <c r="C1959" s="1" t="n">
        <v>45344</v>
      </c>
      <c r="D1959" t="inlineStr">
        <is>
          <t>GÄVLEBORGS LÄN</t>
        </is>
      </c>
      <c r="E1959" t="inlineStr">
        <is>
          <t>LJUSDAL</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2972-2020</t>
        </is>
      </c>
      <c r="B1960" s="1" t="n">
        <v>43850</v>
      </c>
      <c r="C1960" s="1" t="n">
        <v>45344</v>
      </c>
      <c r="D1960" t="inlineStr">
        <is>
          <t>GÄVLEBORGS LÄN</t>
        </is>
      </c>
      <c r="E1960" t="inlineStr">
        <is>
          <t>LJUSDAL</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2979-2020</t>
        </is>
      </c>
      <c r="B1961" s="1" t="n">
        <v>43850</v>
      </c>
      <c r="C1961" s="1" t="n">
        <v>45344</v>
      </c>
      <c r="D1961" t="inlineStr">
        <is>
          <t>GÄVLEBORGS LÄN</t>
        </is>
      </c>
      <c r="E1961" t="inlineStr">
        <is>
          <t>SÖDERHAMN</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2680-2020</t>
        </is>
      </c>
      <c r="B1962" s="1" t="n">
        <v>43850</v>
      </c>
      <c r="C1962" s="1" t="n">
        <v>45344</v>
      </c>
      <c r="D1962" t="inlineStr">
        <is>
          <t>GÄVLEBORGS LÄN</t>
        </is>
      </c>
      <c r="E1962" t="inlineStr">
        <is>
          <t>BOLLNÄS</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2953-2020</t>
        </is>
      </c>
      <c r="B1963" s="1" t="n">
        <v>43850</v>
      </c>
      <c r="C1963" s="1" t="n">
        <v>45344</v>
      </c>
      <c r="D1963" t="inlineStr">
        <is>
          <t>GÄVLEBORGS LÄN</t>
        </is>
      </c>
      <c r="E1963" t="inlineStr">
        <is>
          <t>LJUSDAL</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3110-2020</t>
        </is>
      </c>
      <c r="B1964" s="1" t="n">
        <v>43851</v>
      </c>
      <c r="C1964" s="1" t="n">
        <v>45344</v>
      </c>
      <c r="D1964" t="inlineStr">
        <is>
          <t>GÄVLEBORGS LÄN</t>
        </is>
      </c>
      <c r="E1964" t="inlineStr">
        <is>
          <t>LJUSDAL</t>
        </is>
      </c>
      <c r="G1964" t="n">
        <v>0.1</v>
      </c>
      <c r="H1964" t="n">
        <v>0</v>
      </c>
      <c r="I1964" t="n">
        <v>0</v>
      </c>
      <c r="J1964" t="n">
        <v>0</v>
      </c>
      <c r="K1964" t="n">
        <v>0</v>
      </c>
      <c r="L1964" t="n">
        <v>0</v>
      </c>
      <c r="M1964" t="n">
        <v>0</v>
      </c>
      <c r="N1964" t="n">
        <v>0</v>
      </c>
      <c r="O1964" t="n">
        <v>0</v>
      </c>
      <c r="P1964" t="n">
        <v>0</v>
      </c>
      <c r="Q1964" t="n">
        <v>0</v>
      </c>
      <c r="R1964" s="2" t="inlineStr"/>
    </row>
    <row r="1965" ht="15" customHeight="1">
      <c r="A1965" t="inlineStr">
        <is>
          <t>A 3136-2020</t>
        </is>
      </c>
      <c r="B1965" s="1" t="n">
        <v>43851</v>
      </c>
      <c r="C1965" s="1" t="n">
        <v>45344</v>
      </c>
      <c r="D1965" t="inlineStr">
        <is>
          <t>GÄVLEBORGS LÄN</t>
        </is>
      </c>
      <c r="E1965" t="inlineStr">
        <is>
          <t>LJUSDAL</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3210-2020</t>
        </is>
      </c>
      <c r="B1966" s="1" t="n">
        <v>43851</v>
      </c>
      <c r="C1966" s="1" t="n">
        <v>45344</v>
      </c>
      <c r="D1966" t="inlineStr">
        <is>
          <t>GÄVLEBORGS LÄN</t>
        </is>
      </c>
      <c r="E1966" t="inlineStr">
        <is>
          <t>SANDVIKEN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3319-2020</t>
        </is>
      </c>
      <c r="B1967" s="1" t="n">
        <v>43852</v>
      </c>
      <c r="C1967" s="1" t="n">
        <v>45344</v>
      </c>
      <c r="D1967" t="inlineStr">
        <is>
          <t>GÄVLEBORGS LÄN</t>
        </is>
      </c>
      <c r="E1967" t="inlineStr">
        <is>
          <t>OVANÅKER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3282-2020</t>
        </is>
      </c>
      <c r="B1968" s="1" t="n">
        <v>43852</v>
      </c>
      <c r="C1968" s="1" t="n">
        <v>45344</v>
      </c>
      <c r="D1968" t="inlineStr">
        <is>
          <t>GÄVLEBORGS LÄN</t>
        </is>
      </c>
      <c r="E1968" t="inlineStr">
        <is>
          <t>HUDIKSVALL</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3289-2020</t>
        </is>
      </c>
      <c r="B1969" s="1" t="n">
        <v>43852</v>
      </c>
      <c r="C1969" s="1" t="n">
        <v>45344</v>
      </c>
      <c r="D1969" t="inlineStr">
        <is>
          <t>GÄVLEBORGS LÄN</t>
        </is>
      </c>
      <c r="E1969" t="inlineStr">
        <is>
          <t>BOLLNÄS</t>
        </is>
      </c>
      <c r="F1969" t="inlineStr">
        <is>
          <t>Sveaskog</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3383-2020</t>
        </is>
      </c>
      <c r="B1970" s="1" t="n">
        <v>43852</v>
      </c>
      <c r="C1970" s="1" t="n">
        <v>45344</v>
      </c>
      <c r="D1970" t="inlineStr">
        <is>
          <t>GÄVLEBORGS LÄN</t>
        </is>
      </c>
      <c r="E1970" t="inlineStr">
        <is>
          <t>GÄVLE</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3445-2020</t>
        </is>
      </c>
      <c r="B1971" s="1" t="n">
        <v>43852</v>
      </c>
      <c r="C1971" s="1" t="n">
        <v>45344</v>
      </c>
      <c r="D1971" t="inlineStr">
        <is>
          <t>GÄVLEBORGS LÄN</t>
        </is>
      </c>
      <c r="E1971" t="inlineStr">
        <is>
          <t>HUDIKSVALL</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3395-2020</t>
        </is>
      </c>
      <c r="B1972" s="1" t="n">
        <v>43852</v>
      </c>
      <c r="C1972" s="1" t="n">
        <v>45344</v>
      </c>
      <c r="D1972" t="inlineStr">
        <is>
          <t>GÄVLEBORGS LÄN</t>
        </is>
      </c>
      <c r="E1972" t="inlineStr">
        <is>
          <t>OVANÅKER</t>
        </is>
      </c>
      <c r="F1972" t="inlineStr">
        <is>
          <t>Bergvik skog väst AB</t>
        </is>
      </c>
      <c r="G1972" t="n">
        <v>11.4</v>
      </c>
      <c r="H1972" t="n">
        <v>0</v>
      </c>
      <c r="I1972" t="n">
        <v>0</v>
      </c>
      <c r="J1972" t="n">
        <v>0</v>
      </c>
      <c r="K1972" t="n">
        <v>0</v>
      </c>
      <c r="L1972" t="n">
        <v>0</v>
      </c>
      <c r="M1972" t="n">
        <v>0</v>
      </c>
      <c r="N1972" t="n">
        <v>0</v>
      </c>
      <c r="O1972" t="n">
        <v>0</v>
      </c>
      <c r="P1972" t="n">
        <v>0</v>
      </c>
      <c r="Q1972" t="n">
        <v>0</v>
      </c>
      <c r="R1972" s="2" t="inlineStr"/>
    </row>
    <row r="1973" ht="15" customHeight="1">
      <c r="A1973" t="inlineStr">
        <is>
          <t>A 3854-2020</t>
        </is>
      </c>
      <c r="B1973" s="1" t="n">
        <v>43854</v>
      </c>
      <c r="C1973" s="1" t="n">
        <v>45344</v>
      </c>
      <c r="D1973" t="inlineStr">
        <is>
          <t>GÄVLEBORGS LÄN</t>
        </is>
      </c>
      <c r="E1973" t="inlineStr">
        <is>
          <t>GÄVLE</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3893-2020</t>
        </is>
      </c>
      <c r="B1974" s="1" t="n">
        <v>43854</v>
      </c>
      <c r="C1974" s="1" t="n">
        <v>45344</v>
      </c>
      <c r="D1974" t="inlineStr">
        <is>
          <t>GÄVLEBORGS LÄN</t>
        </is>
      </c>
      <c r="E1974" t="inlineStr">
        <is>
          <t>OVANÅKER</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3818-2020</t>
        </is>
      </c>
      <c r="B1975" s="1" t="n">
        <v>43854</v>
      </c>
      <c r="C1975" s="1" t="n">
        <v>45344</v>
      </c>
      <c r="D1975" t="inlineStr">
        <is>
          <t>GÄVLEBORGS LÄN</t>
        </is>
      </c>
      <c r="E1975" t="inlineStr">
        <is>
          <t>OVANÅKER</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3975-2020</t>
        </is>
      </c>
      <c r="B1976" s="1" t="n">
        <v>43854</v>
      </c>
      <c r="C1976" s="1" t="n">
        <v>45344</v>
      </c>
      <c r="D1976" t="inlineStr">
        <is>
          <t>GÄVLEBORGS LÄN</t>
        </is>
      </c>
      <c r="E1976" t="inlineStr">
        <is>
          <t>GÄVLE</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5346-2020</t>
        </is>
      </c>
      <c r="B1977" s="1" t="n">
        <v>43854</v>
      </c>
      <c r="C1977" s="1" t="n">
        <v>45344</v>
      </c>
      <c r="D1977" t="inlineStr">
        <is>
          <t>GÄVLEBORGS LÄN</t>
        </is>
      </c>
      <c r="E1977" t="inlineStr">
        <is>
          <t>OVANÅKER</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5344-2020</t>
        </is>
      </c>
      <c r="B1978" s="1" t="n">
        <v>43854</v>
      </c>
      <c r="C1978" s="1" t="n">
        <v>45344</v>
      </c>
      <c r="D1978" t="inlineStr">
        <is>
          <t>GÄVLEBORGS LÄN</t>
        </is>
      </c>
      <c r="E1978" t="inlineStr">
        <is>
          <t>OVANÅKER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3974-2020</t>
        </is>
      </c>
      <c r="B1979" s="1" t="n">
        <v>43854</v>
      </c>
      <c r="C1979" s="1" t="n">
        <v>45344</v>
      </c>
      <c r="D1979" t="inlineStr">
        <is>
          <t>GÄVLEBORGS LÄN</t>
        </is>
      </c>
      <c r="E1979" t="inlineStr">
        <is>
          <t>GÄVLE</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5340-2020</t>
        </is>
      </c>
      <c r="B1980" s="1" t="n">
        <v>43854</v>
      </c>
      <c r="C1980" s="1" t="n">
        <v>45344</v>
      </c>
      <c r="D1980" t="inlineStr">
        <is>
          <t>GÄVLEBORGS LÄN</t>
        </is>
      </c>
      <c r="E1980" t="inlineStr">
        <is>
          <t>OVANÅKER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5351-2020</t>
        </is>
      </c>
      <c r="B1981" s="1" t="n">
        <v>43854</v>
      </c>
      <c r="C1981" s="1" t="n">
        <v>45344</v>
      </c>
      <c r="D1981" t="inlineStr">
        <is>
          <t>GÄVLEBORGS LÄN</t>
        </is>
      </c>
      <c r="E1981" t="inlineStr">
        <is>
          <t>OVANÅKER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3976-2020</t>
        </is>
      </c>
      <c r="B1982" s="1" t="n">
        <v>43855</v>
      </c>
      <c r="C1982" s="1" t="n">
        <v>45344</v>
      </c>
      <c r="D1982" t="inlineStr">
        <is>
          <t>GÄVLEBORGS LÄN</t>
        </is>
      </c>
      <c r="E1982" t="inlineStr">
        <is>
          <t>GÄVLE</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4220-2020</t>
        </is>
      </c>
      <c r="B1983" s="1" t="n">
        <v>43857</v>
      </c>
      <c r="C1983" s="1" t="n">
        <v>45344</v>
      </c>
      <c r="D1983" t="inlineStr">
        <is>
          <t>GÄVLEBORGS LÄN</t>
        </is>
      </c>
      <c r="E1983" t="inlineStr">
        <is>
          <t>OCKELBO</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4225-2020</t>
        </is>
      </c>
      <c r="B1984" s="1" t="n">
        <v>43857</v>
      </c>
      <c r="C1984" s="1" t="n">
        <v>45344</v>
      </c>
      <c r="D1984" t="inlineStr">
        <is>
          <t>GÄVLEBORGS LÄN</t>
        </is>
      </c>
      <c r="E1984" t="inlineStr">
        <is>
          <t>NORDANSTIG</t>
        </is>
      </c>
      <c r="G1984" t="n">
        <v>5.4</v>
      </c>
      <c r="H1984" t="n">
        <v>0</v>
      </c>
      <c r="I1984" t="n">
        <v>0</v>
      </c>
      <c r="J1984" t="n">
        <v>0</v>
      </c>
      <c r="K1984" t="n">
        <v>0</v>
      </c>
      <c r="L1984" t="n">
        <v>0</v>
      </c>
      <c r="M1984" t="n">
        <v>0</v>
      </c>
      <c r="N1984" t="n">
        <v>0</v>
      </c>
      <c r="O1984" t="n">
        <v>0</v>
      </c>
      <c r="P1984" t="n">
        <v>0</v>
      </c>
      <c r="Q1984" t="n">
        <v>0</v>
      </c>
      <c r="R1984" s="2" t="inlineStr"/>
    </row>
    <row r="1985" ht="15" customHeight="1">
      <c r="A1985" t="inlineStr">
        <is>
          <t>A 4185-2020</t>
        </is>
      </c>
      <c r="B1985" s="1" t="n">
        <v>43857</v>
      </c>
      <c r="C1985" s="1" t="n">
        <v>45344</v>
      </c>
      <c r="D1985" t="inlineStr">
        <is>
          <t>GÄVLEBORGS LÄN</t>
        </is>
      </c>
      <c r="E1985" t="inlineStr">
        <is>
          <t>SÖDERHAMN</t>
        </is>
      </c>
      <c r="F1985" t="inlineStr">
        <is>
          <t>Bergvik skog väst AB</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4451-2020</t>
        </is>
      </c>
      <c r="B1986" s="1" t="n">
        <v>43858</v>
      </c>
      <c r="C1986" s="1" t="n">
        <v>45344</v>
      </c>
      <c r="D1986" t="inlineStr">
        <is>
          <t>GÄVLEBORGS LÄN</t>
        </is>
      </c>
      <c r="E1986" t="inlineStr">
        <is>
          <t>LJUSDAL</t>
        </is>
      </c>
      <c r="G1986" t="n">
        <v>6.4</v>
      </c>
      <c r="H1986" t="n">
        <v>0</v>
      </c>
      <c r="I1986" t="n">
        <v>0</v>
      </c>
      <c r="J1986" t="n">
        <v>0</v>
      </c>
      <c r="K1986" t="n">
        <v>0</v>
      </c>
      <c r="L1986" t="n">
        <v>0</v>
      </c>
      <c r="M1986" t="n">
        <v>0</v>
      </c>
      <c r="N1986" t="n">
        <v>0</v>
      </c>
      <c r="O1986" t="n">
        <v>0</v>
      </c>
      <c r="P1986" t="n">
        <v>0</v>
      </c>
      <c r="Q1986" t="n">
        <v>0</v>
      </c>
      <c r="R1986" s="2" t="inlineStr"/>
    </row>
    <row r="1987" ht="15" customHeight="1">
      <c r="A1987" t="inlineStr">
        <is>
          <t>A 4625-2020</t>
        </is>
      </c>
      <c r="B1987" s="1" t="n">
        <v>43858</v>
      </c>
      <c r="C1987" s="1" t="n">
        <v>45344</v>
      </c>
      <c r="D1987" t="inlineStr">
        <is>
          <t>GÄVLEBORGS LÄN</t>
        </is>
      </c>
      <c r="E1987" t="inlineStr">
        <is>
          <t>OCKELBO</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4554-2020</t>
        </is>
      </c>
      <c r="B1988" s="1" t="n">
        <v>43858</v>
      </c>
      <c r="C1988" s="1" t="n">
        <v>45344</v>
      </c>
      <c r="D1988" t="inlineStr">
        <is>
          <t>GÄVLEBORGS LÄN</t>
        </is>
      </c>
      <c r="E1988" t="inlineStr">
        <is>
          <t>HUDIKSVALL</t>
        </is>
      </c>
      <c r="G1988" t="n">
        <v>6.2</v>
      </c>
      <c r="H1988" t="n">
        <v>0</v>
      </c>
      <c r="I1988" t="n">
        <v>0</v>
      </c>
      <c r="J1988" t="n">
        <v>0</v>
      </c>
      <c r="K1988" t="n">
        <v>0</v>
      </c>
      <c r="L1988" t="n">
        <v>0</v>
      </c>
      <c r="M1988" t="n">
        <v>0</v>
      </c>
      <c r="N1988" t="n">
        <v>0</v>
      </c>
      <c r="O1988" t="n">
        <v>0</v>
      </c>
      <c r="P1988" t="n">
        <v>0</v>
      </c>
      <c r="Q1988" t="n">
        <v>0</v>
      </c>
      <c r="R1988" s="2" t="inlineStr"/>
    </row>
    <row r="1989" ht="15" customHeight="1">
      <c r="A1989" t="inlineStr">
        <is>
          <t>A 4697-2020</t>
        </is>
      </c>
      <c r="B1989" s="1" t="n">
        <v>43858</v>
      </c>
      <c r="C1989" s="1" t="n">
        <v>45344</v>
      </c>
      <c r="D1989" t="inlineStr">
        <is>
          <t>GÄVLEBORGS LÄN</t>
        </is>
      </c>
      <c r="E1989" t="inlineStr">
        <is>
          <t>SANDVIKEN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4696-2020</t>
        </is>
      </c>
      <c r="B1990" s="1" t="n">
        <v>43858</v>
      </c>
      <c r="C1990" s="1" t="n">
        <v>45344</v>
      </c>
      <c r="D1990" t="inlineStr">
        <is>
          <t>GÄVLEBORGS LÄN</t>
        </is>
      </c>
      <c r="E1990" t="inlineStr">
        <is>
          <t>SANDVIKEN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4374-2020</t>
        </is>
      </c>
      <c r="B1991" s="1" t="n">
        <v>43858</v>
      </c>
      <c r="C1991" s="1" t="n">
        <v>45344</v>
      </c>
      <c r="D1991" t="inlineStr">
        <is>
          <t>GÄVLEBORGS LÄN</t>
        </is>
      </c>
      <c r="E1991" t="inlineStr">
        <is>
          <t>BOLLNÄS</t>
        </is>
      </c>
      <c r="F1991" t="inlineStr">
        <is>
          <t>Bergvik skog väst AB</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4816-2020</t>
        </is>
      </c>
      <c r="B1992" s="1" t="n">
        <v>43859</v>
      </c>
      <c r="C1992" s="1" t="n">
        <v>45344</v>
      </c>
      <c r="D1992" t="inlineStr">
        <is>
          <t>GÄVLEBORGS LÄN</t>
        </is>
      </c>
      <c r="E1992" t="inlineStr">
        <is>
          <t>OVANÅKER</t>
        </is>
      </c>
      <c r="F1992" t="inlineStr">
        <is>
          <t>Sveaskog</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4972-2020</t>
        </is>
      </c>
      <c r="B1993" s="1" t="n">
        <v>43859</v>
      </c>
      <c r="C1993" s="1" t="n">
        <v>45344</v>
      </c>
      <c r="D1993" t="inlineStr">
        <is>
          <t>GÄVLEBORGS LÄN</t>
        </is>
      </c>
      <c r="E1993" t="inlineStr">
        <is>
          <t>HUDIKSVALL</t>
        </is>
      </c>
      <c r="G1993" t="n">
        <v>26.2</v>
      </c>
      <c r="H1993" t="n">
        <v>0</v>
      </c>
      <c r="I1993" t="n">
        <v>0</v>
      </c>
      <c r="J1993" t="n">
        <v>0</v>
      </c>
      <c r="K1993" t="n">
        <v>0</v>
      </c>
      <c r="L1993" t="n">
        <v>0</v>
      </c>
      <c r="M1993" t="n">
        <v>0</v>
      </c>
      <c r="N1993" t="n">
        <v>0</v>
      </c>
      <c r="O1993" t="n">
        <v>0</v>
      </c>
      <c r="P1993" t="n">
        <v>0</v>
      </c>
      <c r="Q1993" t="n">
        <v>0</v>
      </c>
      <c r="R1993" s="2" t="inlineStr"/>
    </row>
    <row r="1994" ht="15" customHeight="1">
      <c r="A1994" t="inlineStr">
        <is>
          <t>A 5289-2020</t>
        </is>
      </c>
      <c r="B1994" s="1" t="n">
        <v>43860</v>
      </c>
      <c r="C1994" s="1" t="n">
        <v>45344</v>
      </c>
      <c r="D1994" t="inlineStr">
        <is>
          <t>GÄVLEBORGS LÄN</t>
        </is>
      </c>
      <c r="E1994" t="inlineStr">
        <is>
          <t>SÖDERHAMN</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5183-2020</t>
        </is>
      </c>
      <c r="B1995" s="1" t="n">
        <v>43860</v>
      </c>
      <c r="C1995" s="1" t="n">
        <v>45344</v>
      </c>
      <c r="D1995" t="inlineStr">
        <is>
          <t>GÄVLEBORGS LÄN</t>
        </is>
      </c>
      <c r="E1995" t="inlineStr">
        <is>
          <t>LJUSDAL</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5379-2020</t>
        </is>
      </c>
      <c r="B1996" s="1" t="n">
        <v>43860</v>
      </c>
      <c r="C1996" s="1" t="n">
        <v>45344</v>
      </c>
      <c r="D1996" t="inlineStr">
        <is>
          <t>GÄVLEBORGS LÄN</t>
        </is>
      </c>
      <c r="E1996" t="inlineStr">
        <is>
          <t>HUDIKSVALL</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5562-2020</t>
        </is>
      </c>
      <c r="B1997" s="1" t="n">
        <v>43861</v>
      </c>
      <c r="C1997" s="1" t="n">
        <v>45344</v>
      </c>
      <c r="D1997" t="inlineStr">
        <is>
          <t>GÄVLEBORGS LÄN</t>
        </is>
      </c>
      <c r="E1997" t="inlineStr">
        <is>
          <t>LJUSDAL</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5809-2020</t>
        </is>
      </c>
      <c r="B1998" s="1" t="n">
        <v>43864</v>
      </c>
      <c r="C1998" s="1" t="n">
        <v>45344</v>
      </c>
      <c r="D1998" t="inlineStr">
        <is>
          <t>GÄVLEBORGS LÄN</t>
        </is>
      </c>
      <c r="E1998" t="inlineStr">
        <is>
          <t>SANDVIKEN</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6117-2020</t>
        </is>
      </c>
      <c r="B1999" s="1" t="n">
        <v>43865</v>
      </c>
      <c r="C1999" s="1" t="n">
        <v>45344</v>
      </c>
      <c r="D1999" t="inlineStr">
        <is>
          <t>GÄVLEBORGS LÄN</t>
        </is>
      </c>
      <c r="E1999" t="inlineStr">
        <is>
          <t>LJUSDAL</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6190-2020</t>
        </is>
      </c>
      <c r="B2000" s="1" t="n">
        <v>43865</v>
      </c>
      <c r="C2000" s="1" t="n">
        <v>45344</v>
      </c>
      <c r="D2000" t="inlineStr">
        <is>
          <t>GÄVLEBORGS LÄN</t>
        </is>
      </c>
      <c r="E2000" t="inlineStr">
        <is>
          <t>SANDVIKEN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6041-2020</t>
        </is>
      </c>
      <c r="B2001" s="1" t="n">
        <v>43865</v>
      </c>
      <c r="C2001" s="1" t="n">
        <v>45344</v>
      </c>
      <c r="D2001" t="inlineStr">
        <is>
          <t>GÄVLEBORGS LÄN</t>
        </is>
      </c>
      <c r="E2001" t="inlineStr">
        <is>
          <t>BOLLNÄS</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6046-2020</t>
        </is>
      </c>
      <c r="B2002" s="1" t="n">
        <v>43865</v>
      </c>
      <c r="C2002" s="1" t="n">
        <v>45344</v>
      </c>
      <c r="D2002" t="inlineStr">
        <is>
          <t>GÄVLEBORGS LÄN</t>
        </is>
      </c>
      <c r="E2002" t="inlineStr">
        <is>
          <t>GÄVLE</t>
        </is>
      </c>
      <c r="F2002" t="inlineStr">
        <is>
          <t>Bergvik skog väst AB</t>
        </is>
      </c>
      <c r="G2002" t="n">
        <v>8.199999999999999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6389-2020</t>
        </is>
      </c>
      <c r="B2003" s="1" t="n">
        <v>43866</v>
      </c>
      <c r="C2003" s="1" t="n">
        <v>45344</v>
      </c>
      <c r="D2003" t="inlineStr">
        <is>
          <t>GÄVLEBORGS LÄN</t>
        </is>
      </c>
      <c r="E2003" t="inlineStr">
        <is>
          <t>LJUSDAL</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6638-2020</t>
        </is>
      </c>
      <c r="B2004" s="1" t="n">
        <v>43867</v>
      </c>
      <c r="C2004" s="1" t="n">
        <v>45344</v>
      </c>
      <c r="D2004" t="inlineStr">
        <is>
          <t>GÄVLEBORGS LÄN</t>
        </is>
      </c>
      <c r="E2004" t="inlineStr">
        <is>
          <t>BOLLNÄS</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6603-2020</t>
        </is>
      </c>
      <c r="B2005" s="1" t="n">
        <v>43867</v>
      </c>
      <c r="C2005" s="1" t="n">
        <v>45344</v>
      </c>
      <c r="D2005" t="inlineStr">
        <is>
          <t>GÄVLEBORGS LÄN</t>
        </is>
      </c>
      <c r="E2005" t="inlineStr">
        <is>
          <t>HUDIKSVALL</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6626-2020</t>
        </is>
      </c>
      <c r="B2006" s="1" t="n">
        <v>43867</v>
      </c>
      <c r="C2006" s="1" t="n">
        <v>45344</v>
      </c>
      <c r="D2006" t="inlineStr">
        <is>
          <t>GÄVLEBORGS LÄN</t>
        </is>
      </c>
      <c r="E2006" t="inlineStr">
        <is>
          <t>SANDVIKEN</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6645-2020</t>
        </is>
      </c>
      <c r="B2007" s="1" t="n">
        <v>43867</v>
      </c>
      <c r="C2007" s="1" t="n">
        <v>45344</v>
      </c>
      <c r="D2007" t="inlineStr">
        <is>
          <t>GÄVLEBORGS LÄN</t>
        </is>
      </c>
      <c r="E2007" t="inlineStr">
        <is>
          <t>HOFORS</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6678-2020</t>
        </is>
      </c>
      <c r="B2008" s="1" t="n">
        <v>43867</v>
      </c>
      <c r="C2008" s="1" t="n">
        <v>45344</v>
      </c>
      <c r="D2008" t="inlineStr">
        <is>
          <t>GÄVLEBORGS LÄN</t>
        </is>
      </c>
      <c r="E2008" t="inlineStr">
        <is>
          <t>HOFORS</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7101-2020</t>
        </is>
      </c>
      <c r="B2009" s="1" t="n">
        <v>43868</v>
      </c>
      <c r="C2009" s="1" t="n">
        <v>45344</v>
      </c>
      <c r="D2009" t="inlineStr">
        <is>
          <t>GÄVLEBORGS LÄN</t>
        </is>
      </c>
      <c r="E2009" t="inlineStr">
        <is>
          <t>HUDIKSVALL</t>
        </is>
      </c>
      <c r="F2009" t="inlineStr">
        <is>
          <t>Holmen skog AB</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6995-2020</t>
        </is>
      </c>
      <c r="B2010" s="1" t="n">
        <v>43868</v>
      </c>
      <c r="C2010" s="1" t="n">
        <v>45344</v>
      </c>
      <c r="D2010" t="inlineStr">
        <is>
          <t>GÄVLEBORGS LÄN</t>
        </is>
      </c>
      <c r="E2010" t="inlineStr">
        <is>
          <t>HUDIKSVALL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7240-2020</t>
        </is>
      </c>
      <c r="B2011" s="1" t="n">
        <v>43871</v>
      </c>
      <c r="C2011" s="1" t="n">
        <v>45344</v>
      </c>
      <c r="D2011" t="inlineStr">
        <is>
          <t>GÄVLEBORGS LÄN</t>
        </is>
      </c>
      <c r="E2011" t="inlineStr">
        <is>
          <t>GÄVLE</t>
        </is>
      </c>
      <c r="F2011" t="inlineStr">
        <is>
          <t>Bergvik skog väst AB</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7205-2020</t>
        </is>
      </c>
      <c r="B2012" s="1" t="n">
        <v>43871</v>
      </c>
      <c r="C2012" s="1" t="n">
        <v>45344</v>
      </c>
      <c r="D2012" t="inlineStr">
        <is>
          <t>GÄVLEBORGS LÄN</t>
        </is>
      </c>
      <c r="E2012" t="inlineStr">
        <is>
          <t>SANDVIKEN</t>
        </is>
      </c>
      <c r="F2012" t="inlineStr">
        <is>
          <t>Sveaskog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7237-2020</t>
        </is>
      </c>
      <c r="B2013" s="1" t="n">
        <v>43871</v>
      </c>
      <c r="C2013" s="1" t="n">
        <v>45344</v>
      </c>
      <c r="D2013" t="inlineStr">
        <is>
          <t>GÄVLEBORGS LÄN</t>
        </is>
      </c>
      <c r="E2013" t="inlineStr">
        <is>
          <t>BOLLNÄS</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7348-2020</t>
        </is>
      </c>
      <c r="B2014" s="1" t="n">
        <v>43871</v>
      </c>
      <c r="C2014" s="1" t="n">
        <v>45344</v>
      </c>
      <c r="D2014" t="inlineStr">
        <is>
          <t>GÄVLEBORGS LÄN</t>
        </is>
      </c>
      <c r="E2014" t="inlineStr">
        <is>
          <t>SANDVIKEN</t>
        </is>
      </c>
      <c r="G2014" t="n">
        <v>6.4</v>
      </c>
      <c r="H2014" t="n">
        <v>0</v>
      </c>
      <c r="I2014" t="n">
        <v>0</v>
      </c>
      <c r="J2014" t="n">
        <v>0</v>
      </c>
      <c r="K2014" t="n">
        <v>0</v>
      </c>
      <c r="L2014" t="n">
        <v>0</v>
      </c>
      <c r="M2014" t="n">
        <v>0</v>
      </c>
      <c r="N2014" t="n">
        <v>0</v>
      </c>
      <c r="O2014" t="n">
        <v>0</v>
      </c>
      <c r="P2014" t="n">
        <v>0</v>
      </c>
      <c r="Q2014" t="n">
        <v>0</v>
      </c>
      <c r="R2014" s="2" t="inlineStr"/>
    </row>
    <row r="2015" ht="15" customHeight="1">
      <c r="A2015" t="inlineStr">
        <is>
          <t>A 7208-2020</t>
        </is>
      </c>
      <c r="B2015" s="1" t="n">
        <v>43871</v>
      </c>
      <c r="C2015" s="1" t="n">
        <v>45344</v>
      </c>
      <c r="D2015" t="inlineStr">
        <is>
          <t>GÄVLEBORGS LÄN</t>
        </is>
      </c>
      <c r="E2015" t="inlineStr">
        <is>
          <t>SANDVIKEN</t>
        </is>
      </c>
      <c r="F2015" t="inlineStr">
        <is>
          <t>Sveaskog</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7387-2020</t>
        </is>
      </c>
      <c r="B2016" s="1" t="n">
        <v>43871</v>
      </c>
      <c r="C2016" s="1" t="n">
        <v>45344</v>
      </c>
      <c r="D2016" t="inlineStr">
        <is>
          <t>GÄVLEBORGS LÄN</t>
        </is>
      </c>
      <c r="E2016" t="inlineStr">
        <is>
          <t>SÖDERHAMN</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7282-2020</t>
        </is>
      </c>
      <c r="B2017" s="1" t="n">
        <v>43871</v>
      </c>
      <c r="C2017" s="1" t="n">
        <v>45344</v>
      </c>
      <c r="D2017" t="inlineStr">
        <is>
          <t>GÄVLEBORGS LÄN</t>
        </is>
      </c>
      <c r="E2017" t="inlineStr">
        <is>
          <t>BOLLNÄS</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7483-2020</t>
        </is>
      </c>
      <c r="B2018" s="1" t="n">
        <v>43871</v>
      </c>
      <c r="C2018" s="1" t="n">
        <v>45344</v>
      </c>
      <c r="D2018" t="inlineStr">
        <is>
          <t>GÄVLEBORGS LÄN</t>
        </is>
      </c>
      <c r="E2018" t="inlineStr">
        <is>
          <t>BOLLNÄS</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7389-2020</t>
        </is>
      </c>
      <c r="B2019" s="1" t="n">
        <v>43871</v>
      </c>
      <c r="C2019" s="1" t="n">
        <v>45344</v>
      </c>
      <c r="D2019" t="inlineStr">
        <is>
          <t>GÄVLEBORGS LÄN</t>
        </is>
      </c>
      <c r="E2019" t="inlineStr">
        <is>
          <t>SÖDERHAMN</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7202-2020</t>
        </is>
      </c>
      <c r="B2020" s="1" t="n">
        <v>43871</v>
      </c>
      <c r="C2020" s="1" t="n">
        <v>45344</v>
      </c>
      <c r="D2020" t="inlineStr">
        <is>
          <t>GÄVLEBORGS LÄN</t>
        </is>
      </c>
      <c r="E2020" t="inlineStr">
        <is>
          <t>SANDVIKEN</t>
        </is>
      </c>
      <c r="F2020" t="inlineStr">
        <is>
          <t>Sveaskog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7521-2020</t>
        </is>
      </c>
      <c r="B2021" s="1" t="n">
        <v>43872</v>
      </c>
      <c r="C2021" s="1" t="n">
        <v>45344</v>
      </c>
      <c r="D2021" t="inlineStr">
        <is>
          <t>GÄVLEBORGS LÄN</t>
        </is>
      </c>
      <c r="E2021" t="inlineStr">
        <is>
          <t>HUDIKSVALL</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7636-2020</t>
        </is>
      </c>
      <c r="B2022" s="1" t="n">
        <v>43872</v>
      </c>
      <c r="C2022" s="1" t="n">
        <v>45344</v>
      </c>
      <c r="D2022" t="inlineStr">
        <is>
          <t>GÄVLEBORGS LÄN</t>
        </is>
      </c>
      <c r="E2022" t="inlineStr">
        <is>
          <t>SÖDERHAMN</t>
        </is>
      </c>
      <c r="G2022" t="n">
        <v>3</v>
      </c>
      <c r="H2022" t="n">
        <v>0</v>
      </c>
      <c r="I2022" t="n">
        <v>0</v>
      </c>
      <c r="J2022" t="n">
        <v>0</v>
      </c>
      <c r="K2022" t="n">
        <v>0</v>
      </c>
      <c r="L2022" t="n">
        <v>0</v>
      </c>
      <c r="M2022" t="n">
        <v>0</v>
      </c>
      <c r="N2022" t="n">
        <v>0</v>
      </c>
      <c r="O2022" t="n">
        <v>0</v>
      </c>
      <c r="P2022" t="n">
        <v>0</v>
      </c>
      <c r="Q2022" t="n">
        <v>0</v>
      </c>
      <c r="R2022" s="2" t="inlineStr"/>
    </row>
    <row r="2023" ht="15" customHeight="1">
      <c r="A2023" t="inlineStr">
        <is>
          <t>A 7725-2020</t>
        </is>
      </c>
      <c r="B2023" s="1" t="n">
        <v>43872</v>
      </c>
      <c r="C2023" s="1" t="n">
        <v>45344</v>
      </c>
      <c r="D2023" t="inlineStr">
        <is>
          <t>GÄVLEBORGS LÄN</t>
        </is>
      </c>
      <c r="E2023" t="inlineStr">
        <is>
          <t>GÄVLE</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7871-2020</t>
        </is>
      </c>
      <c r="B2024" s="1" t="n">
        <v>43873</v>
      </c>
      <c r="C2024" s="1" t="n">
        <v>45344</v>
      </c>
      <c r="D2024" t="inlineStr">
        <is>
          <t>GÄVLEBORGS LÄN</t>
        </is>
      </c>
      <c r="E2024" t="inlineStr">
        <is>
          <t>HUDIKSVALL</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7942-2020</t>
        </is>
      </c>
      <c r="B2025" s="1" t="n">
        <v>43873</v>
      </c>
      <c r="C2025" s="1" t="n">
        <v>45344</v>
      </c>
      <c r="D2025" t="inlineStr">
        <is>
          <t>GÄVLEBORGS LÄN</t>
        </is>
      </c>
      <c r="E2025" t="inlineStr">
        <is>
          <t>HUDIKSVALL</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7982-2020</t>
        </is>
      </c>
      <c r="B2026" s="1" t="n">
        <v>43873</v>
      </c>
      <c r="C2026" s="1" t="n">
        <v>45344</v>
      </c>
      <c r="D2026" t="inlineStr">
        <is>
          <t>GÄVLEBORGS LÄN</t>
        </is>
      </c>
      <c r="E2026" t="inlineStr">
        <is>
          <t>GÄVLE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7989-2020</t>
        </is>
      </c>
      <c r="B2027" s="1" t="n">
        <v>43873</v>
      </c>
      <c r="C2027" s="1" t="n">
        <v>45344</v>
      </c>
      <c r="D2027" t="inlineStr">
        <is>
          <t>GÄVLEBORGS LÄN</t>
        </is>
      </c>
      <c r="E2027" t="inlineStr">
        <is>
          <t>GÄVLE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7973-2020</t>
        </is>
      </c>
      <c r="B2028" s="1" t="n">
        <v>43873</v>
      </c>
      <c r="C2028" s="1" t="n">
        <v>45344</v>
      </c>
      <c r="D2028" t="inlineStr">
        <is>
          <t>GÄVLEBORGS LÄN</t>
        </is>
      </c>
      <c r="E2028" t="inlineStr">
        <is>
          <t>HUDIKSVALL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7841-2020</t>
        </is>
      </c>
      <c r="B2029" s="1" t="n">
        <v>43873</v>
      </c>
      <c r="C2029" s="1" t="n">
        <v>45344</v>
      </c>
      <c r="D2029" t="inlineStr">
        <is>
          <t>GÄVLEBORGS LÄN</t>
        </is>
      </c>
      <c r="E2029" t="inlineStr">
        <is>
          <t>GÄVLE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8170-2020</t>
        </is>
      </c>
      <c r="B2030" s="1" t="n">
        <v>43874</v>
      </c>
      <c r="C2030" s="1" t="n">
        <v>45344</v>
      </c>
      <c r="D2030" t="inlineStr">
        <is>
          <t>GÄVLEBORGS LÄN</t>
        </is>
      </c>
      <c r="E2030" t="inlineStr">
        <is>
          <t>OVANÅKER</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8183-2020</t>
        </is>
      </c>
      <c r="B2031" s="1" t="n">
        <v>43874</v>
      </c>
      <c r="C2031" s="1" t="n">
        <v>45344</v>
      </c>
      <c r="D2031" t="inlineStr">
        <is>
          <t>GÄVLEBORGS LÄN</t>
        </is>
      </c>
      <c r="E2031" t="inlineStr">
        <is>
          <t>BOLLNÄS</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8273-2020</t>
        </is>
      </c>
      <c r="B2032" s="1" t="n">
        <v>43874</v>
      </c>
      <c r="C2032" s="1" t="n">
        <v>45344</v>
      </c>
      <c r="D2032" t="inlineStr">
        <is>
          <t>GÄVLEBORGS LÄN</t>
        </is>
      </c>
      <c r="E2032" t="inlineStr">
        <is>
          <t>OVANÅKER</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8173-2020</t>
        </is>
      </c>
      <c r="B2033" s="1" t="n">
        <v>43874</v>
      </c>
      <c r="C2033" s="1" t="n">
        <v>45344</v>
      </c>
      <c r="D2033" t="inlineStr">
        <is>
          <t>GÄVLEBORGS LÄN</t>
        </is>
      </c>
      <c r="E2033" t="inlineStr">
        <is>
          <t>OVANÅKER</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8237-2020</t>
        </is>
      </c>
      <c r="B2034" s="1" t="n">
        <v>43874</v>
      </c>
      <c r="C2034" s="1" t="n">
        <v>45344</v>
      </c>
      <c r="D2034" t="inlineStr">
        <is>
          <t>GÄVLEBORGS LÄN</t>
        </is>
      </c>
      <c r="E2034" t="inlineStr">
        <is>
          <t>SANDVIKEN</t>
        </is>
      </c>
      <c r="F2034" t="inlineStr">
        <is>
          <t>Sveaskog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8143-2020</t>
        </is>
      </c>
      <c r="B2035" s="1" t="n">
        <v>43874</v>
      </c>
      <c r="C2035" s="1" t="n">
        <v>45344</v>
      </c>
      <c r="D2035" t="inlineStr">
        <is>
          <t>GÄVLEBORGS LÄN</t>
        </is>
      </c>
      <c r="E2035" t="inlineStr">
        <is>
          <t>SANDVIKEN</t>
        </is>
      </c>
      <c r="G2035" t="n">
        <v>3.7</v>
      </c>
      <c r="H2035" t="n">
        <v>0</v>
      </c>
      <c r="I2035" t="n">
        <v>0</v>
      </c>
      <c r="J2035" t="n">
        <v>0</v>
      </c>
      <c r="K2035" t="n">
        <v>0</v>
      </c>
      <c r="L2035" t="n">
        <v>0</v>
      </c>
      <c r="M2035" t="n">
        <v>0</v>
      </c>
      <c r="N2035" t="n">
        <v>0</v>
      </c>
      <c r="O2035" t="n">
        <v>0</v>
      </c>
      <c r="P2035" t="n">
        <v>0</v>
      </c>
      <c r="Q2035" t="n">
        <v>0</v>
      </c>
      <c r="R2035" s="2" t="inlineStr"/>
    </row>
    <row r="2036" ht="15" customHeight="1">
      <c r="A2036" t="inlineStr">
        <is>
          <t>A 8357-2020</t>
        </is>
      </c>
      <c r="B2036" s="1" t="n">
        <v>43875</v>
      </c>
      <c r="C2036" s="1" t="n">
        <v>45344</v>
      </c>
      <c r="D2036" t="inlineStr">
        <is>
          <t>GÄVLEBORGS LÄN</t>
        </is>
      </c>
      <c r="E2036" t="inlineStr">
        <is>
          <t>HUDIKSVALL</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8381-2020</t>
        </is>
      </c>
      <c r="B2037" s="1" t="n">
        <v>43875</v>
      </c>
      <c r="C2037" s="1" t="n">
        <v>45344</v>
      </c>
      <c r="D2037" t="inlineStr">
        <is>
          <t>GÄVLEBORGS LÄN</t>
        </is>
      </c>
      <c r="E2037" t="inlineStr">
        <is>
          <t>HUDIKSVALL</t>
        </is>
      </c>
      <c r="F2037" t="inlineStr">
        <is>
          <t>Holmen skog AB</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8450-2020</t>
        </is>
      </c>
      <c r="B2038" s="1" t="n">
        <v>43875</v>
      </c>
      <c r="C2038" s="1" t="n">
        <v>45344</v>
      </c>
      <c r="D2038" t="inlineStr">
        <is>
          <t>GÄVLEBORGS LÄN</t>
        </is>
      </c>
      <c r="E2038" t="inlineStr">
        <is>
          <t>HUDIKSVALL</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8449-2020</t>
        </is>
      </c>
      <c r="B2039" s="1" t="n">
        <v>43875</v>
      </c>
      <c r="C2039" s="1" t="n">
        <v>45344</v>
      </c>
      <c r="D2039" t="inlineStr">
        <is>
          <t>GÄVLEBORGS LÄN</t>
        </is>
      </c>
      <c r="E2039" t="inlineStr">
        <is>
          <t>OVANÅKER</t>
        </is>
      </c>
      <c r="G2039" t="n">
        <v>4.8</v>
      </c>
      <c r="H2039" t="n">
        <v>0</v>
      </c>
      <c r="I2039" t="n">
        <v>0</v>
      </c>
      <c r="J2039" t="n">
        <v>0</v>
      </c>
      <c r="K2039" t="n">
        <v>0</v>
      </c>
      <c r="L2039" t="n">
        <v>0</v>
      </c>
      <c r="M2039" t="n">
        <v>0</v>
      </c>
      <c r="N2039" t="n">
        <v>0</v>
      </c>
      <c r="O2039" t="n">
        <v>0</v>
      </c>
      <c r="P2039" t="n">
        <v>0</v>
      </c>
      <c r="Q2039" t="n">
        <v>0</v>
      </c>
      <c r="R2039" s="2" t="inlineStr"/>
    </row>
    <row r="2040" ht="15" customHeight="1">
      <c r="A2040" t="inlineStr">
        <is>
          <t>A 8659-2020</t>
        </is>
      </c>
      <c r="B2040" s="1" t="n">
        <v>43878</v>
      </c>
      <c r="C2040" s="1" t="n">
        <v>45344</v>
      </c>
      <c r="D2040" t="inlineStr">
        <is>
          <t>GÄVLEBORGS LÄN</t>
        </is>
      </c>
      <c r="E2040" t="inlineStr">
        <is>
          <t>BOLLNÄS</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8581-2020</t>
        </is>
      </c>
      <c r="B2041" s="1" t="n">
        <v>43878</v>
      </c>
      <c r="C2041" s="1" t="n">
        <v>45344</v>
      </c>
      <c r="D2041" t="inlineStr">
        <is>
          <t>GÄVLEBORGS LÄN</t>
        </is>
      </c>
      <c r="E2041" t="inlineStr">
        <is>
          <t>OCKELBO</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8633-2020</t>
        </is>
      </c>
      <c r="B2042" s="1" t="n">
        <v>43878</v>
      </c>
      <c r="C2042" s="1" t="n">
        <v>45344</v>
      </c>
      <c r="D2042" t="inlineStr">
        <is>
          <t>GÄVLEBORGS LÄN</t>
        </is>
      </c>
      <c r="E2042" t="inlineStr">
        <is>
          <t>BOLLNÄS</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8623-2020</t>
        </is>
      </c>
      <c r="B2043" s="1" t="n">
        <v>43878</v>
      </c>
      <c r="C2043" s="1" t="n">
        <v>45344</v>
      </c>
      <c r="D2043" t="inlineStr">
        <is>
          <t>GÄVLEBORGS LÄN</t>
        </is>
      </c>
      <c r="E2043" t="inlineStr">
        <is>
          <t>OCKELBO</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9003-2020</t>
        </is>
      </c>
      <c r="B2044" s="1" t="n">
        <v>43879</v>
      </c>
      <c r="C2044" s="1" t="n">
        <v>45344</v>
      </c>
      <c r="D2044" t="inlineStr">
        <is>
          <t>GÄVLEBORGS LÄN</t>
        </is>
      </c>
      <c r="E2044" t="inlineStr">
        <is>
          <t>HUDIKSVALL</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9095-2020</t>
        </is>
      </c>
      <c r="B2045" s="1" t="n">
        <v>43879</v>
      </c>
      <c r="C2045" s="1" t="n">
        <v>45344</v>
      </c>
      <c r="D2045" t="inlineStr">
        <is>
          <t>GÄVLEBORGS LÄN</t>
        </is>
      </c>
      <c r="E2045" t="inlineStr">
        <is>
          <t>SANDVIKEN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9081-2020</t>
        </is>
      </c>
      <c r="B2046" s="1" t="n">
        <v>43879</v>
      </c>
      <c r="C2046" s="1" t="n">
        <v>45344</v>
      </c>
      <c r="D2046" t="inlineStr">
        <is>
          <t>GÄVLEBORGS LÄN</t>
        </is>
      </c>
      <c r="E2046" t="inlineStr">
        <is>
          <t>NORDANSTIG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9098-2020</t>
        </is>
      </c>
      <c r="B2047" s="1" t="n">
        <v>43879</v>
      </c>
      <c r="C2047" s="1" t="n">
        <v>45344</v>
      </c>
      <c r="D2047" t="inlineStr">
        <is>
          <t>GÄVLEBORGS LÄN</t>
        </is>
      </c>
      <c r="E2047" t="inlineStr">
        <is>
          <t>SANDVIKEN</t>
        </is>
      </c>
      <c r="G2047" t="n">
        <v>7.8</v>
      </c>
      <c r="H2047" t="n">
        <v>0</v>
      </c>
      <c r="I2047" t="n">
        <v>0</v>
      </c>
      <c r="J2047" t="n">
        <v>0</v>
      </c>
      <c r="K2047" t="n">
        <v>0</v>
      </c>
      <c r="L2047" t="n">
        <v>0</v>
      </c>
      <c r="M2047" t="n">
        <v>0</v>
      </c>
      <c r="N2047" t="n">
        <v>0</v>
      </c>
      <c r="O2047" t="n">
        <v>0</v>
      </c>
      <c r="P2047" t="n">
        <v>0</v>
      </c>
      <c r="Q2047" t="n">
        <v>0</v>
      </c>
      <c r="R2047" s="2" t="inlineStr"/>
    </row>
    <row r="2048" ht="15" customHeight="1">
      <c r="A2048" t="inlineStr">
        <is>
          <t>A 9206-2020</t>
        </is>
      </c>
      <c r="B2048" s="1" t="n">
        <v>43879</v>
      </c>
      <c r="C2048" s="1" t="n">
        <v>45344</v>
      </c>
      <c r="D2048" t="inlineStr">
        <is>
          <t>GÄVLEBORGS LÄN</t>
        </is>
      </c>
      <c r="E2048" t="inlineStr">
        <is>
          <t>LJUSDAL</t>
        </is>
      </c>
      <c r="G2048" t="n">
        <v>5.3</v>
      </c>
      <c r="H2048" t="n">
        <v>0</v>
      </c>
      <c r="I2048" t="n">
        <v>0</v>
      </c>
      <c r="J2048" t="n">
        <v>0</v>
      </c>
      <c r="K2048" t="n">
        <v>0</v>
      </c>
      <c r="L2048" t="n">
        <v>0</v>
      </c>
      <c r="M2048" t="n">
        <v>0</v>
      </c>
      <c r="N2048" t="n">
        <v>0</v>
      </c>
      <c r="O2048" t="n">
        <v>0</v>
      </c>
      <c r="P2048" t="n">
        <v>0</v>
      </c>
      <c r="Q2048" t="n">
        <v>0</v>
      </c>
      <c r="R2048" s="2" t="inlineStr"/>
    </row>
    <row r="2049" ht="15" customHeight="1">
      <c r="A2049" t="inlineStr">
        <is>
          <t>A 9218-2020</t>
        </is>
      </c>
      <c r="B2049" s="1" t="n">
        <v>43879</v>
      </c>
      <c r="C2049" s="1" t="n">
        <v>45344</v>
      </c>
      <c r="D2049" t="inlineStr">
        <is>
          <t>GÄVLEBORGS LÄN</t>
        </is>
      </c>
      <c r="E2049" t="inlineStr">
        <is>
          <t>GÄVLE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9138-2020</t>
        </is>
      </c>
      <c r="B2050" s="1" t="n">
        <v>43879</v>
      </c>
      <c r="C2050" s="1" t="n">
        <v>45344</v>
      </c>
      <c r="D2050" t="inlineStr">
        <is>
          <t>GÄVLEBORGS LÄN</t>
        </is>
      </c>
      <c r="E2050" t="inlineStr">
        <is>
          <t>GÄVLE</t>
        </is>
      </c>
      <c r="F2050" t="inlineStr">
        <is>
          <t>Bergvik skog väst AB</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9293-2020</t>
        </is>
      </c>
      <c r="B2051" s="1" t="n">
        <v>43880</v>
      </c>
      <c r="C2051" s="1" t="n">
        <v>45344</v>
      </c>
      <c r="D2051" t="inlineStr">
        <is>
          <t>GÄVLEBORGS LÄN</t>
        </is>
      </c>
      <c r="E2051" t="inlineStr">
        <is>
          <t>OCKELBO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9531-2020</t>
        </is>
      </c>
      <c r="B2052" s="1" t="n">
        <v>43881</v>
      </c>
      <c r="C2052" s="1" t="n">
        <v>45344</v>
      </c>
      <c r="D2052" t="inlineStr">
        <is>
          <t>GÄVLEBORGS LÄN</t>
        </is>
      </c>
      <c r="E2052" t="inlineStr">
        <is>
          <t>HUDIKSVALL</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9588-2020</t>
        </is>
      </c>
      <c r="B2053" s="1" t="n">
        <v>43881</v>
      </c>
      <c r="C2053" s="1" t="n">
        <v>45344</v>
      </c>
      <c r="D2053" t="inlineStr">
        <is>
          <t>GÄVLEBORGS LÄN</t>
        </is>
      </c>
      <c r="E2053" t="inlineStr">
        <is>
          <t>HUDIKSVALL</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9590-2020</t>
        </is>
      </c>
      <c r="B2054" s="1" t="n">
        <v>43881</v>
      </c>
      <c r="C2054" s="1" t="n">
        <v>45344</v>
      </c>
      <c r="D2054" t="inlineStr">
        <is>
          <t>GÄVLEBORGS LÄN</t>
        </is>
      </c>
      <c r="E2054" t="inlineStr">
        <is>
          <t>OVANÅKER</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9593-2020</t>
        </is>
      </c>
      <c r="B2055" s="1" t="n">
        <v>43881</v>
      </c>
      <c r="C2055" s="1" t="n">
        <v>45344</v>
      </c>
      <c r="D2055" t="inlineStr">
        <is>
          <t>GÄVLEBORGS LÄN</t>
        </is>
      </c>
      <c r="E2055" t="inlineStr">
        <is>
          <t>BOLLNÄS</t>
        </is>
      </c>
      <c r="F2055" t="inlineStr">
        <is>
          <t>Bergvik skog väst AB</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9872-2020</t>
        </is>
      </c>
      <c r="B2056" s="1" t="n">
        <v>43882</v>
      </c>
      <c r="C2056" s="1" t="n">
        <v>45344</v>
      </c>
      <c r="D2056" t="inlineStr">
        <is>
          <t>GÄVLEBORGS LÄN</t>
        </is>
      </c>
      <c r="E2056" t="inlineStr">
        <is>
          <t>LJUSDAL</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10050-2020</t>
        </is>
      </c>
      <c r="B2057" s="1" t="n">
        <v>43882</v>
      </c>
      <c r="C2057" s="1" t="n">
        <v>45344</v>
      </c>
      <c r="D2057" t="inlineStr">
        <is>
          <t>GÄVLEBORGS LÄN</t>
        </is>
      </c>
      <c r="E2057" t="inlineStr">
        <is>
          <t>BOLLNÄS</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10052-2020</t>
        </is>
      </c>
      <c r="B2058" s="1" t="n">
        <v>43882</v>
      </c>
      <c r="C2058" s="1" t="n">
        <v>45344</v>
      </c>
      <c r="D2058" t="inlineStr">
        <is>
          <t>GÄVLEBORGS LÄN</t>
        </is>
      </c>
      <c r="E2058" t="inlineStr">
        <is>
          <t>SANDVIKEN</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10295-2020</t>
        </is>
      </c>
      <c r="B2059" s="1" t="n">
        <v>43885</v>
      </c>
      <c r="C2059" s="1" t="n">
        <v>45344</v>
      </c>
      <c r="D2059" t="inlineStr">
        <is>
          <t>GÄVLEBORGS LÄN</t>
        </is>
      </c>
      <c r="E2059" t="inlineStr">
        <is>
          <t>LJUSDAL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10952-2020</t>
        </is>
      </c>
      <c r="B2060" s="1" t="n">
        <v>43885</v>
      </c>
      <c r="C2060" s="1" t="n">
        <v>45344</v>
      </c>
      <c r="D2060" t="inlineStr">
        <is>
          <t>GÄVLEBORGS LÄN</t>
        </is>
      </c>
      <c r="E2060" t="inlineStr">
        <is>
          <t>SÖDERHAMN</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10509-2020</t>
        </is>
      </c>
      <c r="B2061" s="1" t="n">
        <v>43886</v>
      </c>
      <c r="C2061" s="1" t="n">
        <v>45344</v>
      </c>
      <c r="D2061" t="inlineStr">
        <is>
          <t>GÄVLEBORGS LÄN</t>
        </is>
      </c>
      <c r="E2061" t="inlineStr">
        <is>
          <t>BOLLNÄS</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10440-2020</t>
        </is>
      </c>
      <c r="B2062" s="1" t="n">
        <v>43886</v>
      </c>
      <c r="C2062" s="1" t="n">
        <v>45344</v>
      </c>
      <c r="D2062" t="inlineStr">
        <is>
          <t>GÄVLEBORGS LÄN</t>
        </is>
      </c>
      <c r="E2062" t="inlineStr">
        <is>
          <t>SANDVIKEN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10536-2020</t>
        </is>
      </c>
      <c r="B2063" s="1" t="n">
        <v>43886</v>
      </c>
      <c r="C2063" s="1" t="n">
        <v>45344</v>
      </c>
      <c r="D2063" t="inlineStr">
        <is>
          <t>GÄVLEBORGS LÄN</t>
        </is>
      </c>
      <c r="E2063" t="inlineStr">
        <is>
          <t>LJUSDAL</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10426-2020</t>
        </is>
      </c>
      <c r="B2064" s="1" t="n">
        <v>43886</v>
      </c>
      <c r="C2064" s="1" t="n">
        <v>45344</v>
      </c>
      <c r="D2064" t="inlineStr">
        <is>
          <t>GÄVLEBORGS LÄN</t>
        </is>
      </c>
      <c r="E2064" t="inlineStr">
        <is>
          <t>BOLLNÄS</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10521-2020</t>
        </is>
      </c>
      <c r="B2065" s="1" t="n">
        <v>43886</v>
      </c>
      <c r="C2065" s="1" t="n">
        <v>45344</v>
      </c>
      <c r="D2065" t="inlineStr">
        <is>
          <t>GÄVLEBORGS LÄN</t>
        </is>
      </c>
      <c r="E2065" t="inlineStr">
        <is>
          <t>LJUSDAL</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10534-2020</t>
        </is>
      </c>
      <c r="B2066" s="1" t="n">
        <v>43886</v>
      </c>
      <c r="C2066" s="1" t="n">
        <v>45344</v>
      </c>
      <c r="D2066" t="inlineStr">
        <is>
          <t>GÄVLEBORGS LÄN</t>
        </is>
      </c>
      <c r="E2066" t="inlineStr">
        <is>
          <t>HUDIKSVALL</t>
        </is>
      </c>
      <c r="F2066" t="inlineStr">
        <is>
          <t>Holmen skog AB</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10502-2020</t>
        </is>
      </c>
      <c r="B2067" s="1" t="n">
        <v>43886</v>
      </c>
      <c r="C2067" s="1" t="n">
        <v>45344</v>
      </c>
      <c r="D2067" t="inlineStr">
        <is>
          <t>GÄVLEBORGS LÄN</t>
        </is>
      </c>
      <c r="E2067" t="inlineStr">
        <is>
          <t>OVANÅKER</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10604-2020</t>
        </is>
      </c>
      <c r="B2068" s="1" t="n">
        <v>43887</v>
      </c>
      <c r="C2068" s="1" t="n">
        <v>45344</v>
      </c>
      <c r="D2068" t="inlineStr">
        <is>
          <t>GÄVLEBORGS LÄN</t>
        </is>
      </c>
      <c r="E2068" t="inlineStr">
        <is>
          <t>NORDANSTIG</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10334-2020</t>
        </is>
      </c>
      <c r="B2069" s="1" t="n">
        <v>43887</v>
      </c>
      <c r="C2069" s="1" t="n">
        <v>45344</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10607-2020</t>
        </is>
      </c>
      <c r="B2070" s="1" t="n">
        <v>43887</v>
      </c>
      <c r="C2070" s="1" t="n">
        <v>45344</v>
      </c>
      <c r="D2070" t="inlineStr">
        <is>
          <t>GÄVLEBORGS LÄN</t>
        </is>
      </c>
      <c r="E2070" t="inlineStr">
        <is>
          <t>HUDIKSVALL</t>
        </is>
      </c>
      <c r="F2070" t="inlineStr">
        <is>
          <t>Holmen skog AB</t>
        </is>
      </c>
      <c r="G2070" t="n">
        <v>24.9</v>
      </c>
      <c r="H2070" t="n">
        <v>0</v>
      </c>
      <c r="I2070" t="n">
        <v>0</v>
      </c>
      <c r="J2070" t="n">
        <v>0</v>
      </c>
      <c r="K2070" t="n">
        <v>0</v>
      </c>
      <c r="L2070" t="n">
        <v>0</v>
      </c>
      <c r="M2070" t="n">
        <v>0</v>
      </c>
      <c r="N2070" t="n">
        <v>0</v>
      </c>
      <c r="O2070" t="n">
        <v>0</v>
      </c>
      <c r="P2070" t="n">
        <v>0</v>
      </c>
      <c r="Q2070" t="n">
        <v>0</v>
      </c>
      <c r="R2070" s="2" t="inlineStr"/>
    </row>
    <row r="2071" ht="15" customHeight="1">
      <c r="A2071" t="inlineStr">
        <is>
          <t>A 10755-2020</t>
        </is>
      </c>
      <c r="B2071" s="1" t="n">
        <v>43888</v>
      </c>
      <c r="C2071" s="1" t="n">
        <v>45344</v>
      </c>
      <c r="D2071" t="inlineStr">
        <is>
          <t>GÄVLEBORGS LÄN</t>
        </is>
      </c>
      <c r="E2071" t="inlineStr">
        <is>
          <t>OVANÅKER</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10665-2020</t>
        </is>
      </c>
      <c r="B2072" s="1" t="n">
        <v>43888</v>
      </c>
      <c r="C2072" s="1" t="n">
        <v>45344</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10833-2020</t>
        </is>
      </c>
      <c r="B2073" s="1" t="n">
        <v>43888</v>
      </c>
      <c r="C2073" s="1" t="n">
        <v>45344</v>
      </c>
      <c r="D2073" t="inlineStr">
        <is>
          <t>GÄVLEBORGS LÄN</t>
        </is>
      </c>
      <c r="E2073" t="inlineStr">
        <is>
          <t>GÄVLE</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11126-2020</t>
        </is>
      </c>
      <c r="B2074" s="1" t="n">
        <v>43889</v>
      </c>
      <c r="C2074" s="1" t="n">
        <v>45344</v>
      </c>
      <c r="D2074" t="inlineStr">
        <is>
          <t>GÄVLEBORGS LÄN</t>
        </is>
      </c>
      <c r="E2074" t="inlineStr">
        <is>
          <t>HUDIKSVALL</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11121-2020</t>
        </is>
      </c>
      <c r="B2075" s="1" t="n">
        <v>43889</v>
      </c>
      <c r="C2075" s="1" t="n">
        <v>45344</v>
      </c>
      <c r="D2075" t="inlineStr">
        <is>
          <t>GÄVLEBORGS LÄN</t>
        </is>
      </c>
      <c r="E2075" t="inlineStr">
        <is>
          <t>GÄVLE</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11036-2020</t>
        </is>
      </c>
      <c r="B2076" s="1" t="n">
        <v>43889</v>
      </c>
      <c r="C2076" s="1" t="n">
        <v>45344</v>
      </c>
      <c r="D2076" t="inlineStr">
        <is>
          <t>GÄVLEBORGS LÄN</t>
        </is>
      </c>
      <c r="E2076" t="inlineStr">
        <is>
          <t>SÖDERHAMN</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11130-2020</t>
        </is>
      </c>
      <c r="B2077" s="1" t="n">
        <v>43889</v>
      </c>
      <c r="C2077" s="1" t="n">
        <v>45344</v>
      </c>
      <c r="D2077" t="inlineStr">
        <is>
          <t>GÄVLEBORGS LÄN</t>
        </is>
      </c>
      <c r="E2077" t="inlineStr">
        <is>
          <t>HOFORS</t>
        </is>
      </c>
      <c r="F2077" t="inlineStr">
        <is>
          <t>Sveaskog</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11131-2020</t>
        </is>
      </c>
      <c r="B2078" s="1" t="n">
        <v>43889</v>
      </c>
      <c r="C2078" s="1" t="n">
        <v>45344</v>
      </c>
      <c r="D2078" t="inlineStr">
        <is>
          <t>GÄVLEBORGS LÄN</t>
        </is>
      </c>
      <c r="E2078" t="inlineStr">
        <is>
          <t>HOFORS</t>
        </is>
      </c>
      <c r="F2078" t="inlineStr">
        <is>
          <t>Sveaskog</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11133-2020</t>
        </is>
      </c>
      <c r="B2079" s="1" t="n">
        <v>43889</v>
      </c>
      <c r="C2079" s="1" t="n">
        <v>45344</v>
      </c>
      <c r="D2079" t="inlineStr">
        <is>
          <t>GÄVLEBORGS LÄN</t>
        </is>
      </c>
      <c r="E2079" t="inlineStr">
        <is>
          <t>HOFORS</t>
        </is>
      </c>
      <c r="F2079" t="inlineStr">
        <is>
          <t>Sveaskog</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11240-2020</t>
        </is>
      </c>
      <c r="B2080" s="1" t="n">
        <v>43892</v>
      </c>
      <c r="C2080" s="1" t="n">
        <v>45344</v>
      </c>
      <c r="D2080" t="inlineStr">
        <is>
          <t>GÄVLEBORGS LÄN</t>
        </is>
      </c>
      <c r="E2080" t="inlineStr">
        <is>
          <t>BOLLNÄS</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11342-2020</t>
        </is>
      </c>
      <c r="B2081" s="1" t="n">
        <v>43892</v>
      </c>
      <c r="C2081" s="1" t="n">
        <v>45344</v>
      </c>
      <c r="D2081" t="inlineStr">
        <is>
          <t>GÄVLEBORGS LÄN</t>
        </is>
      </c>
      <c r="E2081" t="inlineStr">
        <is>
          <t>LJUSDAL</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11386-2020</t>
        </is>
      </c>
      <c r="B2082" s="1" t="n">
        <v>43892</v>
      </c>
      <c r="C2082" s="1" t="n">
        <v>45344</v>
      </c>
      <c r="D2082" t="inlineStr">
        <is>
          <t>GÄVLEBORGS LÄN</t>
        </is>
      </c>
      <c r="E2082" t="inlineStr">
        <is>
          <t>OVANÅKER</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11346-2020</t>
        </is>
      </c>
      <c r="B2083" s="1" t="n">
        <v>43892</v>
      </c>
      <c r="C2083" s="1" t="n">
        <v>45344</v>
      </c>
      <c r="D2083" t="inlineStr">
        <is>
          <t>GÄVLEBORGS LÄN</t>
        </is>
      </c>
      <c r="E2083" t="inlineStr">
        <is>
          <t>LJUSDAL</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11338-2020</t>
        </is>
      </c>
      <c r="B2084" s="1" t="n">
        <v>43892</v>
      </c>
      <c r="C2084" s="1" t="n">
        <v>45344</v>
      </c>
      <c r="D2084" t="inlineStr">
        <is>
          <t>GÄVLEBORGS LÄN</t>
        </is>
      </c>
      <c r="E2084" t="inlineStr">
        <is>
          <t>SANDVIKEN</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11494-2020</t>
        </is>
      </c>
      <c r="B2085" s="1" t="n">
        <v>43893</v>
      </c>
      <c r="C2085" s="1" t="n">
        <v>45344</v>
      </c>
      <c r="D2085" t="inlineStr">
        <is>
          <t>GÄVLEBORGS LÄN</t>
        </is>
      </c>
      <c r="E2085" t="inlineStr">
        <is>
          <t>HUDIKSVALL</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11501-2020</t>
        </is>
      </c>
      <c r="B2086" s="1" t="n">
        <v>43893</v>
      </c>
      <c r="C2086" s="1" t="n">
        <v>45344</v>
      </c>
      <c r="D2086" t="inlineStr">
        <is>
          <t>GÄVLEBORGS LÄN</t>
        </is>
      </c>
      <c r="E2086" t="inlineStr">
        <is>
          <t>OVANÅKER</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12664-2020</t>
        </is>
      </c>
      <c r="B2087" s="1" t="n">
        <v>43893</v>
      </c>
      <c r="C2087" s="1" t="n">
        <v>45344</v>
      </c>
      <c r="D2087" t="inlineStr">
        <is>
          <t>GÄVLEBORGS LÄN</t>
        </is>
      </c>
      <c r="E2087" t="inlineStr">
        <is>
          <t>HUDIKSVALL</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11508-2020</t>
        </is>
      </c>
      <c r="B2088" s="1" t="n">
        <v>43893</v>
      </c>
      <c r="C2088" s="1" t="n">
        <v>45344</v>
      </c>
      <c r="D2088" t="inlineStr">
        <is>
          <t>GÄVLEBORGS LÄN</t>
        </is>
      </c>
      <c r="E2088" t="inlineStr">
        <is>
          <t>HUDIKSVALL</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11751-2020</t>
        </is>
      </c>
      <c r="B2089" s="1" t="n">
        <v>43894</v>
      </c>
      <c r="C2089" s="1" t="n">
        <v>45344</v>
      </c>
      <c r="D2089" t="inlineStr">
        <is>
          <t>GÄVLEBORGS LÄN</t>
        </is>
      </c>
      <c r="E2089" t="inlineStr">
        <is>
          <t>HUDIKSVALL</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11749-2020</t>
        </is>
      </c>
      <c r="B2090" s="1" t="n">
        <v>43894</v>
      </c>
      <c r="C2090" s="1" t="n">
        <v>45344</v>
      </c>
      <c r="D2090" t="inlineStr">
        <is>
          <t>GÄVLEBORGS LÄN</t>
        </is>
      </c>
      <c r="E2090" t="inlineStr">
        <is>
          <t>BOLLNÄS</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11838-2020</t>
        </is>
      </c>
      <c r="B2091" s="1" t="n">
        <v>43894</v>
      </c>
      <c r="C2091" s="1" t="n">
        <v>45344</v>
      </c>
      <c r="D2091" t="inlineStr">
        <is>
          <t>GÄVLEBORGS LÄN</t>
        </is>
      </c>
      <c r="E2091" t="inlineStr">
        <is>
          <t>BOLLNÄS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11898-2020</t>
        </is>
      </c>
      <c r="B2092" s="1" t="n">
        <v>43894</v>
      </c>
      <c r="C2092" s="1" t="n">
        <v>45344</v>
      </c>
      <c r="D2092" t="inlineStr">
        <is>
          <t>GÄVLEBORGS LÄN</t>
        </is>
      </c>
      <c r="E2092" t="inlineStr">
        <is>
          <t>LJUSDAL</t>
        </is>
      </c>
      <c r="F2092" t="inlineStr">
        <is>
          <t>Bergvik skog väst AB</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11841-2020</t>
        </is>
      </c>
      <c r="B2093" s="1" t="n">
        <v>43894</v>
      </c>
      <c r="C2093" s="1" t="n">
        <v>45344</v>
      </c>
      <c r="D2093" t="inlineStr">
        <is>
          <t>GÄVLEBORGS LÄN</t>
        </is>
      </c>
      <c r="E2093" t="inlineStr">
        <is>
          <t>BOLLNÄS</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11763-2020</t>
        </is>
      </c>
      <c r="B2094" s="1" t="n">
        <v>43894</v>
      </c>
      <c r="C2094" s="1" t="n">
        <v>45344</v>
      </c>
      <c r="D2094" t="inlineStr">
        <is>
          <t>GÄVLEBORGS LÄN</t>
        </is>
      </c>
      <c r="E2094" t="inlineStr">
        <is>
          <t>SANDVIKEN</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13422-2020</t>
        </is>
      </c>
      <c r="B2095" s="1" t="n">
        <v>43894</v>
      </c>
      <c r="C2095" s="1" t="n">
        <v>45344</v>
      </c>
      <c r="D2095" t="inlineStr">
        <is>
          <t>GÄVLEBORGS LÄN</t>
        </is>
      </c>
      <c r="E2095" t="inlineStr">
        <is>
          <t>SÖDERHAMN</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12217-2020</t>
        </is>
      </c>
      <c r="B2096" s="1" t="n">
        <v>43895</v>
      </c>
      <c r="C2096" s="1" t="n">
        <v>45344</v>
      </c>
      <c r="D2096" t="inlineStr">
        <is>
          <t>GÄVLEBORGS LÄN</t>
        </is>
      </c>
      <c r="E2096" t="inlineStr">
        <is>
          <t>SÖDERHAMN</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12224-2020</t>
        </is>
      </c>
      <c r="B2097" s="1" t="n">
        <v>43895</v>
      </c>
      <c r="C2097" s="1" t="n">
        <v>45344</v>
      </c>
      <c r="D2097" t="inlineStr">
        <is>
          <t>GÄVLEBORGS LÄN</t>
        </is>
      </c>
      <c r="E2097" t="inlineStr">
        <is>
          <t>SÖDERHAMN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12268-2020</t>
        </is>
      </c>
      <c r="B2098" s="1" t="n">
        <v>43895</v>
      </c>
      <c r="C2098" s="1" t="n">
        <v>45344</v>
      </c>
      <c r="D2098" t="inlineStr">
        <is>
          <t>GÄVLEBORGS LÄN</t>
        </is>
      </c>
      <c r="E2098" t="inlineStr">
        <is>
          <t>GÄVLE</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12406-2020</t>
        </is>
      </c>
      <c r="B2099" s="1" t="n">
        <v>43896</v>
      </c>
      <c r="C2099" s="1" t="n">
        <v>45344</v>
      </c>
      <c r="D2099" t="inlineStr">
        <is>
          <t>GÄVLEBORGS LÄN</t>
        </is>
      </c>
      <c r="E2099" t="inlineStr">
        <is>
          <t>HOFORS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12513-2020</t>
        </is>
      </c>
      <c r="B2100" s="1" t="n">
        <v>43896</v>
      </c>
      <c r="C2100" s="1" t="n">
        <v>45344</v>
      </c>
      <c r="D2100" t="inlineStr">
        <is>
          <t>GÄVLEBORGS LÄN</t>
        </is>
      </c>
      <c r="E2100" t="inlineStr">
        <is>
          <t>GÄVLE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12793-2020</t>
        </is>
      </c>
      <c r="B2101" s="1" t="n">
        <v>43899</v>
      </c>
      <c r="C2101" s="1" t="n">
        <v>45344</v>
      </c>
      <c r="D2101" t="inlineStr">
        <is>
          <t>GÄVLEBORGS LÄN</t>
        </is>
      </c>
      <c r="E2101" t="inlineStr">
        <is>
          <t>NORDANSTIG</t>
        </is>
      </c>
      <c r="F2101" t="inlineStr">
        <is>
          <t>Holmen skog AB</t>
        </is>
      </c>
      <c r="G2101" t="n">
        <v>19.4</v>
      </c>
      <c r="H2101" t="n">
        <v>0</v>
      </c>
      <c r="I2101" t="n">
        <v>0</v>
      </c>
      <c r="J2101" t="n">
        <v>0</v>
      </c>
      <c r="K2101" t="n">
        <v>0</v>
      </c>
      <c r="L2101" t="n">
        <v>0</v>
      </c>
      <c r="M2101" t="n">
        <v>0</v>
      </c>
      <c r="N2101" t="n">
        <v>0</v>
      </c>
      <c r="O2101" t="n">
        <v>0</v>
      </c>
      <c r="P2101" t="n">
        <v>0</v>
      </c>
      <c r="Q2101" t="n">
        <v>0</v>
      </c>
      <c r="R2101" s="2" t="inlineStr"/>
    </row>
    <row r="2102" ht="15" customHeight="1">
      <c r="A2102" t="inlineStr">
        <is>
          <t>A 13034-2020</t>
        </is>
      </c>
      <c r="B2102" s="1" t="n">
        <v>43900</v>
      </c>
      <c r="C2102" s="1" t="n">
        <v>45344</v>
      </c>
      <c r="D2102" t="inlineStr">
        <is>
          <t>GÄVLEBORGS LÄN</t>
        </is>
      </c>
      <c r="E2102" t="inlineStr">
        <is>
          <t>SÖDERHAMN</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13032-2020</t>
        </is>
      </c>
      <c r="B2103" s="1" t="n">
        <v>43900</v>
      </c>
      <c r="C2103" s="1" t="n">
        <v>45344</v>
      </c>
      <c r="D2103" t="inlineStr">
        <is>
          <t>GÄVLEBORGS LÄN</t>
        </is>
      </c>
      <c r="E2103" t="inlineStr">
        <is>
          <t>SÖDERHAMN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13062-2020</t>
        </is>
      </c>
      <c r="B2104" s="1" t="n">
        <v>43900</v>
      </c>
      <c r="C2104" s="1" t="n">
        <v>45344</v>
      </c>
      <c r="D2104" t="inlineStr">
        <is>
          <t>GÄVLEBORGS LÄN</t>
        </is>
      </c>
      <c r="E2104" t="inlineStr">
        <is>
          <t>SANDVIKEN</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12996-2020</t>
        </is>
      </c>
      <c r="B2105" s="1" t="n">
        <v>43900</v>
      </c>
      <c r="C2105" s="1" t="n">
        <v>45344</v>
      </c>
      <c r="D2105" t="inlineStr">
        <is>
          <t>GÄVLEBORGS LÄN</t>
        </is>
      </c>
      <c r="E2105" t="inlineStr">
        <is>
          <t>OVANÅKER</t>
        </is>
      </c>
      <c r="F2105" t="inlineStr">
        <is>
          <t>Bergvik skog väst AB</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13216-2020</t>
        </is>
      </c>
      <c r="B2106" s="1" t="n">
        <v>43901</v>
      </c>
      <c r="C2106" s="1" t="n">
        <v>45344</v>
      </c>
      <c r="D2106" t="inlineStr">
        <is>
          <t>GÄVLEBORGS LÄN</t>
        </is>
      </c>
      <c r="E2106" t="inlineStr">
        <is>
          <t>HUDIKSVALL</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13190-2020</t>
        </is>
      </c>
      <c r="B2107" s="1" t="n">
        <v>43901</v>
      </c>
      <c r="C2107" s="1" t="n">
        <v>45344</v>
      </c>
      <c r="D2107" t="inlineStr">
        <is>
          <t>GÄVLEBORGS LÄN</t>
        </is>
      </c>
      <c r="E2107" t="inlineStr">
        <is>
          <t>HUDIKSVALL</t>
        </is>
      </c>
      <c r="G2107" t="n">
        <v>4.4</v>
      </c>
      <c r="H2107" t="n">
        <v>0</v>
      </c>
      <c r="I2107" t="n">
        <v>0</v>
      </c>
      <c r="J2107" t="n">
        <v>0</v>
      </c>
      <c r="K2107" t="n">
        <v>0</v>
      </c>
      <c r="L2107" t="n">
        <v>0</v>
      </c>
      <c r="M2107" t="n">
        <v>0</v>
      </c>
      <c r="N2107" t="n">
        <v>0</v>
      </c>
      <c r="O2107" t="n">
        <v>0</v>
      </c>
      <c r="P2107" t="n">
        <v>0</v>
      </c>
      <c r="Q2107" t="n">
        <v>0</v>
      </c>
      <c r="R2107" s="2" t="inlineStr"/>
    </row>
    <row r="2108" ht="15" customHeight="1">
      <c r="A2108" t="inlineStr">
        <is>
          <t>A 14242-2020</t>
        </is>
      </c>
      <c r="B2108" s="1" t="n">
        <v>43901</v>
      </c>
      <c r="C2108" s="1" t="n">
        <v>45344</v>
      </c>
      <c r="D2108" t="inlineStr">
        <is>
          <t>GÄVLEBORGS LÄN</t>
        </is>
      </c>
      <c r="E2108" t="inlineStr">
        <is>
          <t>GÄVLE</t>
        </is>
      </c>
      <c r="F2108" t="inlineStr">
        <is>
          <t>Bergvik skog väst AB</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13200-2020</t>
        </is>
      </c>
      <c r="B2109" s="1" t="n">
        <v>43901</v>
      </c>
      <c r="C2109" s="1" t="n">
        <v>45344</v>
      </c>
      <c r="D2109" t="inlineStr">
        <is>
          <t>GÄVLEBORGS LÄN</t>
        </is>
      </c>
      <c r="E2109" t="inlineStr">
        <is>
          <t>BOLLNÄS</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13208-2020</t>
        </is>
      </c>
      <c r="B2110" s="1" t="n">
        <v>43901</v>
      </c>
      <c r="C2110" s="1" t="n">
        <v>45344</v>
      </c>
      <c r="D2110" t="inlineStr">
        <is>
          <t>GÄVLEBORGS LÄN</t>
        </is>
      </c>
      <c r="E2110" t="inlineStr">
        <is>
          <t>HUDIKSVALL</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13329-2020</t>
        </is>
      </c>
      <c r="B2111" s="1" t="n">
        <v>43902</v>
      </c>
      <c r="C2111" s="1" t="n">
        <v>45344</v>
      </c>
      <c r="D2111" t="inlineStr">
        <is>
          <t>GÄVLEBORGS LÄN</t>
        </is>
      </c>
      <c r="E2111" t="inlineStr">
        <is>
          <t>LJUSDAL</t>
        </is>
      </c>
      <c r="F2111" t="inlineStr">
        <is>
          <t>Bergvik skog väst AB</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13507-2020</t>
        </is>
      </c>
      <c r="B2112" s="1" t="n">
        <v>43902</v>
      </c>
      <c r="C2112" s="1" t="n">
        <v>45344</v>
      </c>
      <c r="D2112" t="inlineStr">
        <is>
          <t>GÄVLEBORGS LÄN</t>
        </is>
      </c>
      <c r="E2112" t="inlineStr">
        <is>
          <t>HUDIKSVALL</t>
        </is>
      </c>
      <c r="G2112" t="n">
        <v>4.4</v>
      </c>
      <c r="H2112" t="n">
        <v>0</v>
      </c>
      <c r="I2112" t="n">
        <v>0</v>
      </c>
      <c r="J2112" t="n">
        <v>0</v>
      </c>
      <c r="K2112" t="n">
        <v>0</v>
      </c>
      <c r="L2112" t="n">
        <v>0</v>
      </c>
      <c r="M2112" t="n">
        <v>0</v>
      </c>
      <c r="N2112" t="n">
        <v>0</v>
      </c>
      <c r="O2112" t="n">
        <v>0</v>
      </c>
      <c r="P2112" t="n">
        <v>0</v>
      </c>
      <c r="Q2112" t="n">
        <v>0</v>
      </c>
      <c r="R2112" s="2" t="inlineStr"/>
    </row>
    <row r="2113" ht="15" customHeight="1">
      <c r="A2113" t="inlineStr">
        <is>
          <t>A 13489-2020</t>
        </is>
      </c>
      <c r="B2113" s="1" t="n">
        <v>43902</v>
      </c>
      <c r="C2113" s="1" t="n">
        <v>45344</v>
      </c>
      <c r="D2113" t="inlineStr">
        <is>
          <t>GÄVLEBORGS LÄN</t>
        </is>
      </c>
      <c r="E2113" t="inlineStr">
        <is>
          <t>BOLLNÄS</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13617-2020</t>
        </is>
      </c>
      <c r="B2114" s="1" t="n">
        <v>43903</v>
      </c>
      <c r="C2114" s="1" t="n">
        <v>45344</v>
      </c>
      <c r="D2114" t="inlineStr">
        <is>
          <t>GÄVLEBORGS LÄN</t>
        </is>
      </c>
      <c r="E2114" t="inlineStr">
        <is>
          <t>LJUSDAL</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13715-2020</t>
        </is>
      </c>
      <c r="B2115" s="1" t="n">
        <v>43903</v>
      </c>
      <c r="C2115" s="1" t="n">
        <v>45344</v>
      </c>
      <c r="D2115" t="inlineStr">
        <is>
          <t>GÄVLEBORGS LÄN</t>
        </is>
      </c>
      <c r="E2115" t="inlineStr">
        <is>
          <t>OVANÅKER</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13836-2020</t>
        </is>
      </c>
      <c r="B2116" s="1" t="n">
        <v>43906</v>
      </c>
      <c r="C2116" s="1" t="n">
        <v>45344</v>
      </c>
      <c r="D2116" t="inlineStr">
        <is>
          <t>GÄVLEBORGS LÄN</t>
        </is>
      </c>
      <c r="E2116" t="inlineStr">
        <is>
          <t>OCKELBO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13978-2020</t>
        </is>
      </c>
      <c r="B2117" s="1" t="n">
        <v>43906</v>
      </c>
      <c r="C2117" s="1" t="n">
        <v>45344</v>
      </c>
      <c r="D2117" t="inlineStr">
        <is>
          <t>GÄVLEBORGS LÄN</t>
        </is>
      </c>
      <c r="E2117" t="inlineStr">
        <is>
          <t>GÄVLE</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14884-2020</t>
        </is>
      </c>
      <c r="B2118" s="1" t="n">
        <v>43906</v>
      </c>
      <c r="C2118" s="1" t="n">
        <v>45344</v>
      </c>
      <c r="D2118" t="inlineStr">
        <is>
          <t>GÄVLEBORGS LÄN</t>
        </is>
      </c>
      <c r="E2118" t="inlineStr">
        <is>
          <t>OVANÅKER</t>
        </is>
      </c>
      <c r="G2118" t="n">
        <v>6.6</v>
      </c>
      <c r="H2118" t="n">
        <v>0</v>
      </c>
      <c r="I2118" t="n">
        <v>0</v>
      </c>
      <c r="J2118" t="n">
        <v>0</v>
      </c>
      <c r="K2118" t="n">
        <v>0</v>
      </c>
      <c r="L2118" t="n">
        <v>0</v>
      </c>
      <c r="M2118" t="n">
        <v>0</v>
      </c>
      <c r="N2118" t="n">
        <v>0</v>
      </c>
      <c r="O2118" t="n">
        <v>0</v>
      </c>
      <c r="P2118" t="n">
        <v>0</v>
      </c>
      <c r="Q2118" t="n">
        <v>0</v>
      </c>
      <c r="R2118" s="2" t="inlineStr"/>
    </row>
    <row r="2119" ht="15" customHeight="1">
      <c r="A2119" t="inlineStr">
        <is>
          <t>A 14035-2020</t>
        </is>
      </c>
      <c r="B2119" s="1" t="n">
        <v>43906</v>
      </c>
      <c r="C2119" s="1" t="n">
        <v>45344</v>
      </c>
      <c r="D2119" t="inlineStr">
        <is>
          <t>GÄVLEBORGS LÄN</t>
        </is>
      </c>
      <c r="E2119" t="inlineStr">
        <is>
          <t>HUDIKSVALL</t>
        </is>
      </c>
      <c r="F2119" t="inlineStr">
        <is>
          <t>Holmen skog AB</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14169-2020</t>
        </is>
      </c>
      <c r="B2120" s="1" t="n">
        <v>43907</v>
      </c>
      <c r="C2120" s="1" t="n">
        <v>45344</v>
      </c>
      <c r="D2120" t="inlineStr">
        <is>
          <t>GÄVLEBORGS LÄN</t>
        </is>
      </c>
      <c r="E2120" t="inlineStr">
        <is>
          <t>OVANÅKER</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14096-2020</t>
        </is>
      </c>
      <c r="B2121" s="1" t="n">
        <v>43907</v>
      </c>
      <c r="C2121" s="1" t="n">
        <v>45344</v>
      </c>
      <c r="D2121" t="inlineStr">
        <is>
          <t>GÄVLEBORGS LÄN</t>
        </is>
      </c>
      <c r="E2121" t="inlineStr">
        <is>
          <t>OCKELBO</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14321-2020</t>
        </is>
      </c>
      <c r="B2122" s="1" t="n">
        <v>43907</v>
      </c>
      <c r="C2122" s="1" t="n">
        <v>45344</v>
      </c>
      <c r="D2122" t="inlineStr">
        <is>
          <t>GÄVLEBORGS LÄN</t>
        </is>
      </c>
      <c r="E2122" t="inlineStr">
        <is>
          <t>SÖDERHAMN</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14449-2020</t>
        </is>
      </c>
      <c r="B2123" s="1" t="n">
        <v>43908</v>
      </c>
      <c r="C2123" s="1" t="n">
        <v>45344</v>
      </c>
      <c r="D2123" t="inlineStr">
        <is>
          <t>GÄVLEBORGS LÄN</t>
        </is>
      </c>
      <c r="E2123" t="inlineStr">
        <is>
          <t>SÖDERHAMN</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14444-2020</t>
        </is>
      </c>
      <c r="B2124" s="1" t="n">
        <v>43908</v>
      </c>
      <c r="C2124" s="1" t="n">
        <v>45344</v>
      </c>
      <c r="D2124" t="inlineStr">
        <is>
          <t>GÄVLEBORGS LÄN</t>
        </is>
      </c>
      <c r="E2124" t="inlineStr">
        <is>
          <t>LJUSDAL</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14612-2020</t>
        </is>
      </c>
      <c r="B2125" s="1" t="n">
        <v>43909</v>
      </c>
      <c r="C2125" s="1" t="n">
        <v>45344</v>
      </c>
      <c r="D2125" t="inlineStr">
        <is>
          <t>GÄVLEBORGS LÄN</t>
        </is>
      </c>
      <c r="E2125" t="inlineStr">
        <is>
          <t>OVANÅKER</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14688-2020</t>
        </is>
      </c>
      <c r="B2126" s="1" t="n">
        <v>43909</v>
      </c>
      <c r="C2126" s="1" t="n">
        <v>45344</v>
      </c>
      <c r="D2126" t="inlineStr">
        <is>
          <t>GÄVLEBORGS LÄN</t>
        </is>
      </c>
      <c r="E2126" t="inlineStr">
        <is>
          <t>HUDIKSVALL</t>
        </is>
      </c>
      <c r="F2126" t="inlineStr">
        <is>
          <t>Holmen skog AB</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14974-2020</t>
        </is>
      </c>
      <c r="B2127" s="1" t="n">
        <v>43910</v>
      </c>
      <c r="C2127" s="1" t="n">
        <v>45344</v>
      </c>
      <c r="D2127" t="inlineStr">
        <is>
          <t>GÄVLEBORGS LÄN</t>
        </is>
      </c>
      <c r="E2127" t="inlineStr">
        <is>
          <t>OVANÅKER</t>
        </is>
      </c>
      <c r="F2127" t="inlineStr">
        <is>
          <t>Bergvik skog väst AB</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14992-2020</t>
        </is>
      </c>
      <c r="B2128" s="1" t="n">
        <v>43910</v>
      </c>
      <c r="C2128" s="1" t="n">
        <v>45344</v>
      </c>
      <c r="D2128" t="inlineStr">
        <is>
          <t>GÄVLEBORGS LÄN</t>
        </is>
      </c>
      <c r="E2128" t="inlineStr">
        <is>
          <t>SÖDERHAMN</t>
        </is>
      </c>
      <c r="F2128" t="inlineStr">
        <is>
          <t>Bergvik skog väst AB</t>
        </is>
      </c>
      <c r="G2128" t="n">
        <v>11.5</v>
      </c>
      <c r="H2128" t="n">
        <v>0</v>
      </c>
      <c r="I2128" t="n">
        <v>0</v>
      </c>
      <c r="J2128" t="n">
        <v>0</v>
      </c>
      <c r="K2128" t="n">
        <v>0</v>
      </c>
      <c r="L2128" t="n">
        <v>0</v>
      </c>
      <c r="M2128" t="n">
        <v>0</v>
      </c>
      <c r="N2128" t="n">
        <v>0</v>
      </c>
      <c r="O2128" t="n">
        <v>0</v>
      </c>
      <c r="P2128" t="n">
        <v>0</v>
      </c>
      <c r="Q2128" t="n">
        <v>0</v>
      </c>
      <c r="R2128" s="2" t="inlineStr"/>
    </row>
    <row r="2129" ht="15" customHeight="1">
      <c r="A2129" t="inlineStr">
        <is>
          <t>A 15070-2020</t>
        </is>
      </c>
      <c r="B2129" s="1" t="n">
        <v>43910</v>
      </c>
      <c r="C2129" s="1" t="n">
        <v>45344</v>
      </c>
      <c r="D2129" t="inlineStr">
        <is>
          <t>GÄVLEBORGS LÄN</t>
        </is>
      </c>
      <c r="E2129" t="inlineStr">
        <is>
          <t>HUDIKSVALL</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15074-2020</t>
        </is>
      </c>
      <c r="B2130" s="1" t="n">
        <v>43910</v>
      </c>
      <c r="C2130" s="1" t="n">
        <v>45344</v>
      </c>
      <c r="D2130" t="inlineStr">
        <is>
          <t>GÄVLEBORGS LÄN</t>
        </is>
      </c>
      <c r="E2130" t="inlineStr">
        <is>
          <t>HUDIKSVALL</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15016-2020</t>
        </is>
      </c>
      <c r="B2131" s="1" t="n">
        <v>43910</v>
      </c>
      <c r="C2131" s="1" t="n">
        <v>45344</v>
      </c>
      <c r="D2131" t="inlineStr">
        <is>
          <t>GÄVLEBORGS LÄN</t>
        </is>
      </c>
      <c r="E2131" t="inlineStr">
        <is>
          <t>HUDIKSVALL</t>
        </is>
      </c>
      <c r="F2131" t="inlineStr">
        <is>
          <t>Holmen skog AB</t>
        </is>
      </c>
      <c r="G2131" t="n">
        <v>7</v>
      </c>
      <c r="H2131" t="n">
        <v>0</v>
      </c>
      <c r="I2131" t="n">
        <v>0</v>
      </c>
      <c r="J2131" t="n">
        <v>0</v>
      </c>
      <c r="K2131" t="n">
        <v>0</v>
      </c>
      <c r="L2131" t="n">
        <v>0</v>
      </c>
      <c r="M2131" t="n">
        <v>0</v>
      </c>
      <c r="N2131" t="n">
        <v>0</v>
      </c>
      <c r="O2131" t="n">
        <v>0</v>
      </c>
      <c r="P2131" t="n">
        <v>0</v>
      </c>
      <c r="Q2131" t="n">
        <v>0</v>
      </c>
      <c r="R2131" s="2" t="inlineStr"/>
    </row>
    <row r="2132" ht="15" customHeight="1">
      <c r="A2132" t="inlineStr">
        <is>
          <t>A 15159-2020</t>
        </is>
      </c>
      <c r="B2132" s="1" t="n">
        <v>43912</v>
      </c>
      <c r="C2132" s="1" t="n">
        <v>45344</v>
      </c>
      <c r="D2132" t="inlineStr">
        <is>
          <t>GÄVLEBORGS LÄN</t>
        </is>
      </c>
      <c r="E2132" t="inlineStr">
        <is>
          <t>OCKELBO</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15198-2020</t>
        </is>
      </c>
      <c r="B2133" s="1" t="n">
        <v>43913</v>
      </c>
      <c r="C2133" s="1" t="n">
        <v>45344</v>
      </c>
      <c r="D2133" t="inlineStr">
        <is>
          <t>GÄVLEBORGS LÄN</t>
        </is>
      </c>
      <c r="E2133" t="inlineStr">
        <is>
          <t>LJUSDAL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15211-2020</t>
        </is>
      </c>
      <c r="B2134" s="1" t="n">
        <v>43913</v>
      </c>
      <c r="C2134" s="1" t="n">
        <v>45344</v>
      </c>
      <c r="D2134" t="inlineStr">
        <is>
          <t>GÄVLEBORGS LÄN</t>
        </is>
      </c>
      <c r="E2134" t="inlineStr">
        <is>
          <t>BOLLNÄS</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15317-2020</t>
        </is>
      </c>
      <c r="B2135" s="1" t="n">
        <v>43913</v>
      </c>
      <c r="C2135" s="1" t="n">
        <v>45344</v>
      </c>
      <c r="D2135" t="inlineStr">
        <is>
          <t>GÄVLEBORGS LÄN</t>
        </is>
      </c>
      <c r="E2135" t="inlineStr">
        <is>
          <t>BOLLNÄS</t>
        </is>
      </c>
      <c r="F2135" t="inlineStr">
        <is>
          <t>Holmen skog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15183-2020</t>
        </is>
      </c>
      <c r="B2136" s="1" t="n">
        <v>43913</v>
      </c>
      <c r="C2136" s="1" t="n">
        <v>45344</v>
      </c>
      <c r="D2136" t="inlineStr">
        <is>
          <t>GÄVLEBORGS LÄN</t>
        </is>
      </c>
      <c r="E2136" t="inlineStr">
        <is>
          <t>BOLLNÄS</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15343-2020</t>
        </is>
      </c>
      <c r="B2137" s="1" t="n">
        <v>43913</v>
      </c>
      <c r="C2137" s="1" t="n">
        <v>45344</v>
      </c>
      <c r="D2137" t="inlineStr">
        <is>
          <t>GÄVLEBORGS LÄN</t>
        </is>
      </c>
      <c r="E2137" t="inlineStr">
        <is>
          <t>LJUSDAL</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15543-2020</t>
        </is>
      </c>
      <c r="B2138" s="1" t="n">
        <v>43914</v>
      </c>
      <c r="C2138" s="1" t="n">
        <v>45344</v>
      </c>
      <c r="D2138" t="inlineStr">
        <is>
          <t>GÄVLEBORGS LÄN</t>
        </is>
      </c>
      <c r="E2138" t="inlineStr">
        <is>
          <t>OVANÅKER</t>
        </is>
      </c>
      <c r="F2138" t="inlineStr">
        <is>
          <t>Bergvik skog väst AB</t>
        </is>
      </c>
      <c r="G2138" t="n">
        <v>12.9</v>
      </c>
      <c r="H2138" t="n">
        <v>0</v>
      </c>
      <c r="I2138" t="n">
        <v>0</v>
      </c>
      <c r="J2138" t="n">
        <v>0</v>
      </c>
      <c r="K2138" t="n">
        <v>0</v>
      </c>
      <c r="L2138" t="n">
        <v>0</v>
      </c>
      <c r="M2138" t="n">
        <v>0</v>
      </c>
      <c r="N2138" t="n">
        <v>0</v>
      </c>
      <c r="O2138" t="n">
        <v>0</v>
      </c>
      <c r="P2138" t="n">
        <v>0</v>
      </c>
      <c r="Q2138" t="n">
        <v>0</v>
      </c>
      <c r="R2138" s="2" t="inlineStr"/>
    </row>
    <row r="2139" ht="15" customHeight="1">
      <c r="A2139" t="inlineStr">
        <is>
          <t>A 15438-2020</t>
        </is>
      </c>
      <c r="B2139" s="1" t="n">
        <v>43914</v>
      </c>
      <c r="C2139" s="1" t="n">
        <v>45344</v>
      </c>
      <c r="D2139" t="inlineStr">
        <is>
          <t>GÄVLEBORGS LÄN</t>
        </is>
      </c>
      <c r="E2139" t="inlineStr">
        <is>
          <t>SANDVIKEN</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15531-2020</t>
        </is>
      </c>
      <c r="B2140" s="1" t="n">
        <v>43914</v>
      </c>
      <c r="C2140" s="1" t="n">
        <v>45344</v>
      </c>
      <c r="D2140" t="inlineStr">
        <is>
          <t>GÄVLEBORGS LÄN</t>
        </is>
      </c>
      <c r="E2140" t="inlineStr">
        <is>
          <t>OVANÅKER</t>
        </is>
      </c>
      <c r="F2140" t="inlineStr">
        <is>
          <t>Bergvik skog väst AB</t>
        </is>
      </c>
      <c r="G2140" t="n">
        <v>12.9</v>
      </c>
      <c r="H2140" t="n">
        <v>0</v>
      </c>
      <c r="I2140" t="n">
        <v>0</v>
      </c>
      <c r="J2140" t="n">
        <v>0</v>
      </c>
      <c r="K2140" t="n">
        <v>0</v>
      </c>
      <c r="L2140" t="n">
        <v>0</v>
      </c>
      <c r="M2140" t="n">
        <v>0</v>
      </c>
      <c r="N2140" t="n">
        <v>0</v>
      </c>
      <c r="O2140" t="n">
        <v>0</v>
      </c>
      <c r="P2140" t="n">
        <v>0</v>
      </c>
      <c r="Q2140" t="n">
        <v>0</v>
      </c>
      <c r="R2140" s="2" t="inlineStr"/>
    </row>
    <row r="2141" ht="15" customHeight="1">
      <c r="A2141" t="inlineStr">
        <is>
          <t>A 15416-2020</t>
        </is>
      </c>
      <c r="B2141" s="1" t="n">
        <v>43914</v>
      </c>
      <c r="C2141" s="1" t="n">
        <v>45344</v>
      </c>
      <c r="D2141" t="inlineStr">
        <is>
          <t>GÄVLEBORGS LÄN</t>
        </is>
      </c>
      <c r="E2141" t="inlineStr">
        <is>
          <t>HUDIKSVALL</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15656-2020</t>
        </is>
      </c>
      <c r="B2142" s="1" t="n">
        <v>43915</v>
      </c>
      <c r="C2142" s="1" t="n">
        <v>45344</v>
      </c>
      <c r="D2142" t="inlineStr">
        <is>
          <t>GÄVLEBORGS LÄN</t>
        </is>
      </c>
      <c r="E2142" t="inlineStr">
        <is>
          <t>OCKELBO</t>
        </is>
      </c>
      <c r="F2142" t="inlineStr">
        <is>
          <t>Kyrkan</t>
        </is>
      </c>
      <c r="G2142" t="n">
        <v>3.9</v>
      </c>
      <c r="H2142" t="n">
        <v>0</v>
      </c>
      <c r="I2142" t="n">
        <v>0</v>
      </c>
      <c r="J2142" t="n">
        <v>0</v>
      </c>
      <c r="K2142" t="n">
        <v>0</v>
      </c>
      <c r="L2142" t="n">
        <v>0</v>
      </c>
      <c r="M2142" t="n">
        <v>0</v>
      </c>
      <c r="N2142" t="n">
        <v>0</v>
      </c>
      <c r="O2142" t="n">
        <v>0</v>
      </c>
      <c r="P2142" t="n">
        <v>0</v>
      </c>
      <c r="Q2142" t="n">
        <v>0</v>
      </c>
      <c r="R2142" s="2" t="inlineStr"/>
    </row>
    <row r="2143" ht="15" customHeight="1">
      <c r="A2143" t="inlineStr">
        <is>
          <t>A 15820-2020</t>
        </is>
      </c>
      <c r="B2143" s="1" t="n">
        <v>43915</v>
      </c>
      <c r="C2143" s="1" t="n">
        <v>45344</v>
      </c>
      <c r="D2143" t="inlineStr">
        <is>
          <t>GÄVLEBORGS LÄN</t>
        </is>
      </c>
      <c r="E2143" t="inlineStr">
        <is>
          <t>OVANÅKER</t>
        </is>
      </c>
      <c r="F2143" t="inlineStr">
        <is>
          <t>Bergvik skog väst AB</t>
        </is>
      </c>
      <c r="G2143" t="n">
        <v>27.8</v>
      </c>
      <c r="H2143" t="n">
        <v>0</v>
      </c>
      <c r="I2143" t="n">
        <v>0</v>
      </c>
      <c r="J2143" t="n">
        <v>0</v>
      </c>
      <c r="K2143" t="n">
        <v>0</v>
      </c>
      <c r="L2143" t="n">
        <v>0</v>
      </c>
      <c r="M2143" t="n">
        <v>0</v>
      </c>
      <c r="N2143" t="n">
        <v>0</v>
      </c>
      <c r="O2143" t="n">
        <v>0</v>
      </c>
      <c r="P2143" t="n">
        <v>0</v>
      </c>
      <c r="Q2143" t="n">
        <v>0</v>
      </c>
      <c r="R2143" s="2" t="inlineStr"/>
    </row>
    <row r="2144" ht="15" customHeight="1">
      <c r="A2144" t="inlineStr">
        <is>
          <t>A 15691-2020</t>
        </is>
      </c>
      <c r="B2144" s="1" t="n">
        <v>43915</v>
      </c>
      <c r="C2144" s="1" t="n">
        <v>45344</v>
      </c>
      <c r="D2144" t="inlineStr">
        <is>
          <t>GÄVLEBORGS LÄN</t>
        </is>
      </c>
      <c r="E2144" t="inlineStr">
        <is>
          <t>OVANÅKER</t>
        </is>
      </c>
      <c r="F2144" t="inlineStr">
        <is>
          <t>Bergvik skog väst AB</t>
        </is>
      </c>
      <c r="G2144" t="n">
        <v>4.8</v>
      </c>
      <c r="H2144" t="n">
        <v>0</v>
      </c>
      <c r="I2144" t="n">
        <v>0</v>
      </c>
      <c r="J2144" t="n">
        <v>0</v>
      </c>
      <c r="K2144" t="n">
        <v>0</v>
      </c>
      <c r="L2144" t="n">
        <v>0</v>
      </c>
      <c r="M2144" t="n">
        <v>0</v>
      </c>
      <c r="N2144" t="n">
        <v>0</v>
      </c>
      <c r="O2144" t="n">
        <v>0</v>
      </c>
      <c r="P2144" t="n">
        <v>0</v>
      </c>
      <c r="Q2144" t="n">
        <v>0</v>
      </c>
      <c r="R2144" s="2" t="inlineStr"/>
    </row>
    <row r="2145" ht="15" customHeight="1">
      <c r="A2145" t="inlineStr">
        <is>
          <t>A 15930-2020</t>
        </is>
      </c>
      <c r="B2145" s="1" t="n">
        <v>43916</v>
      </c>
      <c r="C2145" s="1" t="n">
        <v>45344</v>
      </c>
      <c r="D2145" t="inlineStr">
        <is>
          <t>GÄVLEBORGS LÄN</t>
        </is>
      </c>
      <c r="E2145" t="inlineStr">
        <is>
          <t>BOLLNÄS</t>
        </is>
      </c>
      <c r="G2145" t="n">
        <v>0.1</v>
      </c>
      <c r="H2145" t="n">
        <v>0</v>
      </c>
      <c r="I2145" t="n">
        <v>0</v>
      </c>
      <c r="J2145" t="n">
        <v>0</v>
      </c>
      <c r="K2145" t="n">
        <v>0</v>
      </c>
      <c r="L2145" t="n">
        <v>0</v>
      </c>
      <c r="M2145" t="n">
        <v>0</v>
      </c>
      <c r="N2145" t="n">
        <v>0</v>
      </c>
      <c r="O2145" t="n">
        <v>0</v>
      </c>
      <c r="P2145" t="n">
        <v>0</v>
      </c>
      <c r="Q2145" t="n">
        <v>0</v>
      </c>
      <c r="R2145" s="2" t="inlineStr"/>
    </row>
    <row r="2146" ht="15" customHeight="1">
      <c r="A2146" t="inlineStr">
        <is>
          <t>A 16107-2020</t>
        </is>
      </c>
      <c r="B2146" s="1" t="n">
        <v>43916</v>
      </c>
      <c r="C2146" s="1" t="n">
        <v>45344</v>
      </c>
      <c r="D2146" t="inlineStr">
        <is>
          <t>GÄVLEBORGS LÄN</t>
        </is>
      </c>
      <c r="E2146" t="inlineStr">
        <is>
          <t>OVANÅKER</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16113-2020</t>
        </is>
      </c>
      <c r="B2147" s="1" t="n">
        <v>43916</v>
      </c>
      <c r="C2147" s="1" t="n">
        <v>45344</v>
      </c>
      <c r="D2147" t="inlineStr">
        <is>
          <t>GÄVLEBORGS LÄN</t>
        </is>
      </c>
      <c r="E2147" t="inlineStr">
        <is>
          <t>OVANÅKER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15948-2020</t>
        </is>
      </c>
      <c r="B2148" s="1" t="n">
        <v>43916</v>
      </c>
      <c r="C2148" s="1" t="n">
        <v>45344</v>
      </c>
      <c r="D2148" t="inlineStr">
        <is>
          <t>GÄVLEBORGS LÄN</t>
        </is>
      </c>
      <c r="E2148" t="inlineStr">
        <is>
          <t>OVANÅKER</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16108-2020</t>
        </is>
      </c>
      <c r="B2149" s="1" t="n">
        <v>43916</v>
      </c>
      <c r="C2149" s="1" t="n">
        <v>45344</v>
      </c>
      <c r="D2149" t="inlineStr">
        <is>
          <t>GÄVLEBORGS LÄN</t>
        </is>
      </c>
      <c r="E2149" t="inlineStr">
        <is>
          <t>SANDVIKEN</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16088-2020</t>
        </is>
      </c>
      <c r="B2150" s="1" t="n">
        <v>43916</v>
      </c>
      <c r="C2150" s="1" t="n">
        <v>45344</v>
      </c>
      <c r="D2150" t="inlineStr">
        <is>
          <t>GÄVLEBORGS LÄN</t>
        </is>
      </c>
      <c r="E2150" t="inlineStr">
        <is>
          <t>BOLLNÄS</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16176-2020</t>
        </is>
      </c>
      <c r="B2151" s="1" t="n">
        <v>43917</v>
      </c>
      <c r="C2151" s="1" t="n">
        <v>45344</v>
      </c>
      <c r="D2151" t="inlineStr">
        <is>
          <t>GÄVLEBORGS LÄN</t>
        </is>
      </c>
      <c r="E2151" t="inlineStr">
        <is>
          <t>OVANÅKER</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16259-2020</t>
        </is>
      </c>
      <c r="B2152" s="1" t="n">
        <v>43917</v>
      </c>
      <c r="C2152" s="1" t="n">
        <v>45344</v>
      </c>
      <c r="D2152" t="inlineStr">
        <is>
          <t>GÄVLEBORGS LÄN</t>
        </is>
      </c>
      <c r="E2152" t="inlineStr">
        <is>
          <t>OVANÅKER</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16225-2020</t>
        </is>
      </c>
      <c r="B2153" s="1" t="n">
        <v>43917</v>
      </c>
      <c r="C2153" s="1" t="n">
        <v>45344</v>
      </c>
      <c r="D2153" t="inlineStr">
        <is>
          <t>GÄVLEBORGS LÄN</t>
        </is>
      </c>
      <c r="E2153" t="inlineStr">
        <is>
          <t>OVANÅKER</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16251-2020</t>
        </is>
      </c>
      <c r="B2154" s="1" t="n">
        <v>43917</v>
      </c>
      <c r="C2154" s="1" t="n">
        <v>45344</v>
      </c>
      <c r="D2154" t="inlineStr">
        <is>
          <t>GÄVLEBORGS LÄN</t>
        </is>
      </c>
      <c r="E2154" t="inlineStr">
        <is>
          <t>OVANÅKER</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16292-2020</t>
        </is>
      </c>
      <c r="B2155" s="1" t="n">
        <v>43917</v>
      </c>
      <c r="C2155" s="1" t="n">
        <v>45344</v>
      </c>
      <c r="D2155" t="inlineStr">
        <is>
          <t>GÄVLEBORGS LÄN</t>
        </is>
      </c>
      <c r="E2155" t="inlineStr">
        <is>
          <t>OVANÅKER</t>
        </is>
      </c>
      <c r="F2155" t="inlineStr">
        <is>
          <t>Sveaskog</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16274-2020</t>
        </is>
      </c>
      <c r="B2156" s="1" t="n">
        <v>43917</v>
      </c>
      <c r="C2156" s="1" t="n">
        <v>45344</v>
      </c>
      <c r="D2156" t="inlineStr">
        <is>
          <t>GÄVLEBORGS LÄN</t>
        </is>
      </c>
      <c r="E2156" t="inlineStr">
        <is>
          <t>SANDVIKEN</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16372-2020</t>
        </is>
      </c>
      <c r="B2157" s="1" t="n">
        <v>43917</v>
      </c>
      <c r="C2157" s="1" t="n">
        <v>45344</v>
      </c>
      <c r="D2157" t="inlineStr">
        <is>
          <t>GÄVLEBORGS LÄN</t>
        </is>
      </c>
      <c r="E2157" t="inlineStr">
        <is>
          <t>SÖDERHAMN</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16611-2020</t>
        </is>
      </c>
      <c r="B2158" s="1" t="n">
        <v>43920</v>
      </c>
      <c r="C2158" s="1" t="n">
        <v>45344</v>
      </c>
      <c r="D2158" t="inlineStr">
        <is>
          <t>GÄVLEBORGS LÄN</t>
        </is>
      </c>
      <c r="E2158" t="inlineStr">
        <is>
          <t>SANDVIKEN</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16559-2020</t>
        </is>
      </c>
      <c r="B2159" s="1" t="n">
        <v>43920</v>
      </c>
      <c r="C2159" s="1" t="n">
        <v>45344</v>
      </c>
      <c r="D2159" t="inlineStr">
        <is>
          <t>GÄVLEBORGS LÄN</t>
        </is>
      </c>
      <c r="E2159" t="inlineStr">
        <is>
          <t>SANDVIKEN</t>
        </is>
      </c>
      <c r="G2159" t="n">
        <v>4.3</v>
      </c>
      <c r="H2159" t="n">
        <v>0</v>
      </c>
      <c r="I2159" t="n">
        <v>0</v>
      </c>
      <c r="J2159" t="n">
        <v>0</v>
      </c>
      <c r="K2159" t="n">
        <v>0</v>
      </c>
      <c r="L2159" t="n">
        <v>0</v>
      </c>
      <c r="M2159" t="n">
        <v>0</v>
      </c>
      <c r="N2159" t="n">
        <v>0</v>
      </c>
      <c r="O2159" t="n">
        <v>0</v>
      </c>
      <c r="P2159" t="n">
        <v>0</v>
      </c>
      <c r="Q2159" t="n">
        <v>0</v>
      </c>
      <c r="R2159" s="2" t="inlineStr"/>
    </row>
    <row r="2160" ht="15" customHeight="1">
      <c r="A2160" t="inlineStr">
        <is>
          <t>A 17004-2020</t>
        </is>
      </c>
      <c r="B2160" s="1" t="n">
        <v>43921</v>
      </c>
      <c r="C2160" s="1" t="n">
        <v>45344</v>
      </c>
      <c r="D2160" t="inlineStr">
        <is>
          <t>GÄVLEBORGS LÄN</t>
        </is>
      </c>
      <c r="E2160" t="inlineStr">
        <is>
          <t>OVANÅKER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16975-2020</t>
        </is>
      </c>
      <c r="B2161" s="1" t="n">
        <v>43921</v>
      </c>
      <c r="C2161" s="1" t="n">
        <v>45344</v>
      </c>
      <c r="D2161" t="inlineStr">
        <is>
          <t>GÄVLEBORGS LÄN</t>
        </is>
      </c>
      <c r="E2161" t="inlineStr">
        <is>
          <t>HUDIKSVALL</t>
        </is>
      </c>
      <c r="F2161" t="inlineStr">
        <is>
          <t>Holmen skog AB</t>
        </is>
      </c>
      <c r="G2161" t="n">
        <v>5.4</v>
      </c>
      <c r="H2161" t="n">
        <v>0</v>
      </c>
      <c r="I2161" t="n">
        <v>0</v>
      </c>
      <c r="J2161" t="n">
        <v>0</v>
      </c>
      <c r="K2161" t="n">
        <v>0</v>
      </c>
      <c r="L2161" t="n">
        <v>0</v>
      </c>
      <c r="M2161" t="n">
        <v>0</v>
      </c>
      <c r="N2161" t="n">
        <v>0</v>
      </c>
      <c r="O2161" t="n">
        <v>0</v>
      </c>
      <c r="P2161" t="n">
        <v>0</v>
      </c>
      <c r="Q2161" t="n">
        <v>0</v>
      </c>
      <c r="R2161" s="2" t="inlineStr"/>
    </row>
    <row r="2162" ht="15" customHeight="1">
      <c r="A2162" t="inlineStr">
        <is>
          <t>A 16863-2020</t>
        </is>
      </c>
      <c r="B2162" s="1" t="n">
        <v>43921</v>
      </c>
      <c r="C2162" s="1" t="n">
        <v>45344</v>
      </c>
      <c r="D2162" t="inlineStr">
        <is>
          <t>GÄVLEBORGS LÄN</t>
        </is>
      </c>
      <c r="E2162" t="inlineStr">
        <is>
          <t>OCKELBO</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16996-2020</t>
        </is>
      </c>
      <c r="B2163" s="1" t="n">
        <v>43921</v>
      </c>
      <c r="C2163" s="1" t="n">
        <v>45344</v>
      </c>
      <c r="D2163" t="inlineStr">
        <is>
          <t>GÄVLEBORGS LÄN</t>
        </is>
      </c>
      <c r="E2163" t="inlineStr">
        <is>
          <t>OVANÅKER</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17128-2020</t>
        </is>
      </c>
      <c r="B2164" s="1" t="n">
        <v>43922</v>
      </c>
      <c r="C2164" s="1" t="n">
        <v>45344</v>
      </c>
      <c r="D2164" t="inlineStr">
        <is>
          <t>GÄVLEBORGS LÄN</t>
        </is>
      </c>
      <c r="E2164" t="inlineStr">
        <is>
          <t>NORDANSTIG</t>
        </is>
      </c>
      <c r="F2164" t="inlineStr">
        <is>
          <t>Holmen skog AB</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17319-2020</t>
        </is>
      </c>
      <c r="B2165" s="1" t="n">
        <v>43922</v>
      </c>
      <c r="C2165" s="1" t="n">
        <v>45344</v>
      </c>
      <c r="D2165" t="inlineStr">
        <is>
          <t>GÄVLEBORGS LÄN</t>
        </is>
      </c>
      <c r="E2165" t="inlineStr">
        <is>
          <t>NORDANSTIG</t>
        </is>
      </c>
      <c r="G2165" t="n">
        <v>11.4</v>
      </c>
      <c r="H2165" t="n">
        <v>0</v>
      </c>
      <c r="I2165" t="n">
        <v>0</v>
      </c>
      <c r="J2165" t="n">
        <v>0</v>
      </c>
      <c r="K2165" t="n">
        <v>0</v>
      </c>
      <c r="L2165" t="n">
        <v>0</v>
      </c>
      <c r="M2165" t="n">
        <v>0</v>
      </c>
      <c r="N2165" t="n">
        <v>0</v>
      </c>
      <c r="O2165" t="n">
        <v>0</v>
      </c>
      <c r="P2165" t="n">
        <v>0</v>
      </c>
      <c r="Q2165" t="n">
        <v>0</v>
      </c>
      <c r="R2165" s="2" t="inlineStr"/>
    </row>
    <row r="2166" ht="15" customHeight="1">
      <c r="A2166" t="inlineStr">
        <is>
          <t>A 17326-2020</t>
        </is>
      </c>
      <c r="B2166" s="1" t="n">
        <v>43922</v>
      </c>
      <c r="C2166" s="1" t="n">
        <v>45344</v>
      </c>
      <c r="D2166" t="inlineStr">
        <is>
          <t>GÄVLEBORGS LÄN</t>
        </is>
      </c>
      <c r="E2166" t="inlineStr">
        <is>
          <t>LJUSDAL</t>
        </is>
      </c>
      <c r="F2166" t="inlineStr">
        <is>
          <t>Sveaskog</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17198-2020</t>
        </is>
      </c>
      <c r="B2167" s="1" t="n">
        <v>43922</v>
      </c>
      <c r="C2167" s="1" t="n">
        <v>45344</v>
      </c>
      <c r="D2167" t="inlineStr">
        <is>
          <t>GÄVLEBORGS LÄN</t>
        </is>
      </c>
      <c r="E2167" t="inlineStr">
        <is>
          <t>OVANÅKER</t>
        </is>
      </c>
      <c r="F2167" t="inlineStr">
        <is>
          <t>Sveaskog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17312-2020</t>
        </is>
      </c>
      <c r="B2168" s="1" t="n">
        <v>43922</v>
      </c>
      <c r="C2168" s="1" t="n">
        <v>45344</v>
      </c>
      <c r="D2168" t="inlineStr">
        <is>
          <t>GÄVLEBORGS LÄN</t>
        </is>
      </c>
      <c r="E2168" t="inlineStr">
        <is>
          <t>HUDIKSVALL</t>
        </is>
      </c>
      <c r="F2168" t="inlineStr">
        <is>
          <t>Holmen skog AB</t>
        </is>
      </c>
      <c r="G2168" t="n">
        <v>14.8</v>
      </c>
      <c r="H2168" t="n">
        <v>0</v>
      </c>
      <c r="I2168" t="n">
        <v>0</v>
      </c>
      <c r="J2168" t="n">
        <v>0</v>
      </c>
      <c r="K2168" t="n">
        <v>0</v>
      </c>
      <c r="L2168" t="n">
        <v>0</v>
      </c>
      <c r="M2168" t="n">
        <v>0</v>
      </c>
      <c r="N2168" t="n">
        <v>0</v>
      </c>
      <c r="O2168" t="n">
        <v>0</v>
      </c>
      <c r="P2168" t="n">
        <v>0</v>
      </c>
      <c r="Q2168" t="n">
        <v>0</v>
      </c>
      <c r="R2168" s="2" t="inlineStr"/>
    </row>
    <row r="2169" ht="15" customHeight="1">
      <c r="A2169" t="inlineStr">
        <is>
          <t>A 17505-2020</t>
        </is>
      </c>
      <c r="B2169" s="1" t="n">
        <v>43923</v>
      </c>
      <c r="C2169" s="1" t="n">
        <v>45344</v>
      </c>
      <c r="D2169" t="inlineStr">
        <is>
          <t>GÄVLEBORGS LÄN</t>
        </is>
      </c>
      <c r="E2169" t="inlineStr">
        <is>
          <t>HUDIKSVALL</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17423-2020</t>
        </is>
      </c>
      <c r="B2170" s="1" t="n">
        <v>43923</v>
      </c>
      <c r="C2170" s="1" t="n">
        <v>45344</v>
      </c>
      <c r="D2170" t="inlineStr">
        <is>
          <t>GÄVLEBORGS LÄN</t>
        </is>
      </c>
      <c r="E2170" t="inlineStr">
        <is>
          <t>OCKELBO</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17642-2020</t>
        </is>
      </c>
      <c r="B2171" s="1" t="n">
        <v>43923</v>
      </c>
      <c r="C2171" s="1" t="n">
        <v>45344</v>
      </c>
      <c r="D2171" t="inlineStr">
        <is>
          <t>GÄVLEBORGS LÄN</t>
        </is>
      </c>
      <c r="E2171" t="inlineStr">
        <is>
          <t>SANDVIKEN</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17648-2020</t>
        </is>
      </c>
      <c r="B2172" s="1" t="n">
        <v>43923</v>
      </c>
      <c r="C2172" s="1" t="n">
        <v>45344</v>
      </c>
      <c r="D2172" t="inlineStr">
        <is>
          <t>GÄVLEBORGS LÄN</t>
        </is>
      </c>
      <c r="E2172" t="inlineStr">
        <is>
          <t>SANDVIKEN</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17650-2020</t>
        </is>
      </c>
      <c r="B2173" s="1" t="n">
        <v>43923</v>
      </c>
      <c r="C2173" s="1" t="n">
        <v>45344</v>
      </c>
      <c r="D2173" t="inlineStr">
        <is>
          <t>GÄVLEBORGS LÄN</t>
        </is>
      </c>
      <c r="E2173" t="inlineStr">
        <is>
          <t>SANDVIKEN</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17645-2020</t>
        </is>
      </c>
      <c r="B2174" s="1" t="n">
        <v>43923</v>
      </c>
      <c r="C2174" s="1" t="n">
        <v>45344</v>
      </c>
      <c r="D2174" t="inlineStr">
        <is>
          <t>GÄVLEBORGS LÄN</t>
        </is>
      </c>
      <c r="E2174" t="inlineStr">
        <is>
          <t>SANDVIKEN</t>
        </is>
      </c>
      <c r="G2174" t="n">
        <v>10</v>
      </c>
      <c r="H2174" t="n">
        <v>0</v>
      </c>
      <c r="I2174" t="n">
        <v>0</v>
      </c>
      <c r="J2174" t="n">
        <v>0</v>
      </c>
      <c r="K2174" t="n">
        <v>0</v>
      </c>
      <c r="L2174" t="n">
        <v>0</v>
      </c>
      <c r="M2174" t="n">
        <v>0</v>
      </c>
      <c r="N2174" t="n">
        <v>0</v>
      </c>
      <c r="O2174" t="n">
        <v>0</v>
      </c>
      <c r="P2174" t="n">
        <v>0</v>
      </c>
      <c r="Q2174" t="n">
        <v>0</v>
      </c>
      <c r="R2174" s="2" t="inlineStr"/>
    </row>
    <row r="2175" ht="15" customHeight="1">
      <c r="A2175" t="inlineStr">
        <is>
          <t>A 17643-2020</t>
        </is>
      </c>
      <c r="B2175" s="1" t="n">
        <v>43923</v>
      </c>
      <c r="C2175" s="1" t="n">
        <v>45344</v>
      </c>
      <c r="D2175" t="inlineStr">
        <is>
          <t>GÄVLEBORGS LÄN</t>
        </is>
      </c>
      <c r="E2175" t="inlineStr">
        <is>
          <t>SANDVIKEN</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17745-2020</t>
        </is>
      </c>
      <c r="B2176" s="1" t="n">
        <v>43924</v>
      </c>
      <c r="C2176" s="1" t="n">
        <v>45344</v>
      </c>
      <c r="D2176" t="inlineStr">
        <is>
          <t>GÄVLEBORGS LÄN</t>
        </is>
      </c>
      <c r="E2176" t="inlineStr">
        <is>
          <t>LJUSDAL</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17880-2020</t>
        </is>
      </c>
      <c r="B2177" s="1" t="n">
        <v>43924</v>
      </c>
      <c r="C2177" s="1" t="n">
        <v>45344</v>
      </c>
      <c r="D2177" t="inlineStr">
        <is>
          <t>GÄVLEBORGS LÄN</t>
        </is>
      </c>
      <c r="E2177" t="inlineStr">
        <is>
          <t>BOLLNÄS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17707-2020</t>
        </is>
      </c>
      <c r="B2178" s="1" t="n">
        <v>43924</v>
      </c>
      <c r="C2178" s="1" t="n">
        <v>45344</v>
      </c>
      <c r="D2178" t="inlineStr">
        <is>
          <t>GÄVLEBORGS LÄN</t>
        </is>
      </c>
      <c r="E2178" t="inlineStr">
        <is>
          <t>LJUSDAL</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17899-2020</t>
        </is>
      </c>
      <c r="B2179" s="1" t="n">
        <v>43924</v>
      </c>
      <c r="C2179" s="1" t="n">
        <v>45344</v>
      </c>
      <c r="D2179" t="inlineStr">
        <is>
          <t>GÄVLEBORGS LÄN</t>
        </is>
      </c>
      <c r="E2179" t="inlineStr">
        <is>
          <t>OVANÅKER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17905-2020</t>
        </is>
      </c>
      <c r="B2180" s="1" t="n">
        <v>43924</v>
      </c>
      <c r="C2180" s="1" t="n">
        <v>45344</v>
      </c>
      <c r="D2180" t="inlineStr">
        <is>
          <t>GÄVLEBORGS LÄN</t>
        </is>
      </c>
      <c r="E2180" t="inlineStr">
        <is>
          <t>OVANÅKER</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17996-2020</t>
        </is>
      </c>
      <c r="B2181" s="1" t="n">
        <v>43926</v>
      </c>
      <c r="C2181" s="1" t="n">
        <v>45344</v>
      </c>
      <c r="D2181" t="inlineStr">
        <is>
          <t>GÄVLEBORGS LÄN</t>
        </is>
      </c>
      <c r="E2181" t="inlineStr">
        <is>
          <t>NORDANSTIG</t>
        </is>
      </c>
      <c r="G2181" t="n">
        <v>3.7</v>
      </c>
      <c r="H2181" t="n">
        <v>0</v>
      </c>
      <c r="I2181" t="n">
        <v>0</v>
      </c>
      <c r="J2181" t="n">
        <v>0</v>
      </c>
      <c r="K2181" t="n">
        <v>0</v>
      </c>
      <c r="L2181" t="n">
        <v>0</v>
      </c>
      <c r="M2181" t="n">
        <v>0</v>
      </c>
      <c r="N2181" t="n">
        <v>0</v>
      </c>
      <c r="O2181" t="n">
        <v>0</v>
      </c>
      <c r="P2181" t="n">
        <v>0</v>
      </c>
      <c r="Q2181" t="n">
        <v>0</v>
      </c>
      <c r="R2181" s="2" t="inlineStr"/>
    </row>
    <row r="2182" ht="15" customHeight="1">
      <c r="A2182" t="inlineStr">
        <is>
          <t>A 17994-2020</t>
        </is>
      </c>
      <c r="B2182" s="1" t="n">
        <v>43926</v>
      </c>
      <c r="C2182" s="1" t="n">
        <v>45344</v>
      </c>
      <c r="D2182" t="inlineStr">
        <is>
          <t>GÄVLEBORGS LÄN</t>
        </is>
      </c>
      <c r="E2182" t="inlineStr">
        <is>
          <t>NORDANSTIG</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17993-2020</t>
        </is>
      </c>
      <c r="B2183" s="1" t="n">
        <v>43926</v>
      </c>
      <c r="C2183" s="1" t="n">
        <v>45344</v>
      </c>
      <c r="D2183" t="inlineStr">
        <is>
          <t>GÄVLEBORGS LÄN</t>
        </is>
      </c>
      <c r="E2183" t="inlineStr">
        <is>
          <t>NORDANSTIG</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17995-2020</t>
        </is>
      </c>
      <c r="B2184" s="1" t="n">
        <v>43926</v>
      </c>
      <c r="C2184" s="1" t="n">
        <v>45344</v>
      </c>
      <c r="D2184" t="inlineStr">
        <is>
          <t>GÄVLEBORGS LÄN</t>
        </is>
      </c>
      <c r="E2184" t="inlineStr">
        <is>
          <t>NORDANSTIG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18117-2020</t>
        </is>
      </c>
      <c r="B2185" s="1" t="n">
        <v>43927</v>
      </c>
      <c r="C2185" s="1" t="n">
        <v>45344</v>
      </c>
      <c r="D2185" t="inlineStr">
        <is>
          <t>GÄVLEBORGS LÄN</t>
        </is>
      </c>
      <c r="E2185" t="inlineStr">
        <is>
          <t>NORDANSTIG</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18020-2020</t>
        </is>
      </c>
      <c r="B2186" s="1" t="n">
        <v>43927</v>
      </c>
      <c r="C2186" s="1" t="n">
        <v>45344</v>
      </c>
      <c r="D2186" t="inlineStr">
        <is>
          <t>GÄVLEBORGS LÄN</t>
        </is>
      </c>
      <c r="E2186" t="inlineStr">
        <is>
          <t>BOLLNÄS</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18035-2020</t>
        </is>
      </c>
      <c r="B2187" s="1" t="n">
        <v>43927</v>
      </c>
      <c r="C2187" s="1" t="n">
        <v>45344</v>
      </c>
      <c r="D2187" t="inlineStr">
        <is>
          <t>GÄVLEBORGS LÄN</t>
        </is>
      </c>
      <c r="E2187" t="inlineStr">
        <is>
          <t>GÄVLE</t>
        </is>
      </c>
      <c r="F2187" t="inlineStr">
        <is>
          <t>Bergvik skog öst AB</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18301-2020</t>
        </is>
      </c>
      <c r="B2188" s="1" t="n">
        <v>43928</v>
      </c>
      <c r="C2188" s="1" t="n">
        <v>45344</v>
      </c>
      <c r="D2188" t="inlineStr">
        <is>
          <t>GÄVLEBORGS LÄN</t>
        </is>
      </c>
      <c r="E2188" t="inlineStr">
        <is>
          <t>NORDANSTIG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18491-2020</t>
        </is>
      </c>
      <c r="B2189" s="1" t="n">
        <v>43929</v>
      </c>
      <c r="C2189" s="1" t="n">
        <v>45344</v>
      </c>
      <c r="D2189" t="inlineStr">
        <is>
          <t>GÄVLEBORGS LÄN</t>
        </is>
      </c>
      <c r="E2189" t="inlineStr">
        <is>
          <t>HUDIKSVALL</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18535-2020</t>
        </is>
      </c>
      <c r="B2190" s="1" t="n">
        <v>43929</v>
      </c>
      <c r="C2190" s="1" t="n">
        <v>45344</v>
      </c>
      <c r="D2190" t="inlineStr">
        <is>
          <t>GÄVLEBORGS LÄN</t>
        </is>
      </c>
      <c r="E2190" t="inlineStr">
        <is>
          <t>SANDVIKEN</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18699-2020</t>
        </is>
      </c>
      <c r="B2191" s="1" t="n">
        <v>43930</v>
      </c>
      <c r="C2191" s="1" t="n">
        <v>45344</v>
      </c>
      <c r="D2191" t="inlineStr">
        <is>
          <t>GÄVLEBORGS LÄN</t>
        </is>
      </c>
      <c r="E2191" t="inlineStr">
        <is>
          <t>LJUSDAL</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18637-2020</t>
        </is>
      </c>
      <c r="B2192" s="1" t="n">
        <v>43930</v>
      </c>
      <c r="C2192" s="1" t="n">
        <v>45344</v>
      </c>
      <c r="D2192" t="inlineStr">
        <is>
          <t>GÄVLEBORGS LÄN</t>
        </is>
      </c>
      <c r="E2192" t="inlineStr">
        <is>
          <t>BOLLNÄS</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18762-2020</t>
        </is>
      </c>
      <c r="B2193" s="1" t="n">
        <v>43930</v>
      </c>
      <c r="C2193" s="1" t="n">
        <v>45344</v>
      </c>
      <c r="D2193" t="inlineStr">
        <is>
          <t>GÄVLEBORGS LÄN</t>
        </is>
      </c>
      <c r="E2193" t="inlineStr">
        <is>
          <t>NORDANSTIG</t>
        </is>
      </c>
      <c r="F2193" t="inlineStr">
        <is>
          <t>Holmen skog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18712-2020</t>
        </is>
      </c>
      <c r="B2194" s="1" t="n">
        <v>43930</v>
      </c>
      <c r="C2194" s="1" t="n">
        <v>45344</v>
      </c>
      <c r="D2194" t="inlineStr">
        <is>
          <t>GÄVLEBORGS LÄN</t>
        </is>
      </c>
      <c r="E2194" t="inlineStr">
        <is>
          <t>NORDANSTIG</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18766-2020</t>
        </is>
      </c>
      <c r="B2195" s="1" t="n">
        <v>43930</v>
      </c>
      <c r="C2195" s="1" t="n">
        <v>45344</v>
      </c>
      <c r="D2195" t="inlineStr">
        <is>
          <t>GÄVLEBORGS LÄN</t>
        </is>
      </c>
      <c r="E2195" t="inlineStr">
        <is>
          <t>NORDANSTIG</t>
        </is>
      </c>
      <c r="F2195" t="inlineStr">
        <is>
          <t>Holmen skog AB</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18913-2020</t>
        </is>
      </c>
      <c r="B2196" s="1" t="n">
        <v>43935</v>
      </c>
      <c r="C2196" s="1" t="n">
        <v>45344</v>
      </c>
      <c r="D2196" t="inlineStr">
        <is>
          <t>GÄVLEBORGS LÄN</t>
        </is>
      </c>
      <c r="E2196" t="inlineStr">
        <is>
          <t>LJUSDAL</t>
        </is>
      </c>
      <c r="F2196" t="inlineStr">
        <is>
          <t>Sveaskog</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18935-2020</t>
        </is>
      </c>
      <c r="B2197" s="1" t="n">
        <v>43935</v>
      </c>
      <c r="C2197" s="1" t="n">
        <v>45344</v>
      </c>
      <c r="D2197" t="inlineStr">
        <is>
          <t>GÄVLEBORGS LÄN</t>
        </is>
      </c>
      <c r="E2197" t="inlineStr">
        <is>
          <t>OVANÅKER</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18914-2020</t>
        </is>
      </c>
      <c r="B2198" s="1" t="n">
        <v>43935</v>
      </c>
      <c r="C2198" s="1" t="n">
        <v>45344</v>
      </c>
      <c r="D2198" t="inlineStr">
        <is>
          <t>GÄVLEBORGS LÄN</t>
        </is>
      </c>
      <c r="E2198" t="inlineStr">
        <is>
          <t>SÖDERHAMN</t>
        </is>
      </c>
      <c r="G2198" t="n">
        <v>5.6</v>
      </c>
      <c r="H2198" t="n">
        <v>0</v>
      </c>
      <c r="I2198" t="n">
        <v>0</v>
      </c>
      <c r="J2198" t="n">
        <v>0</v>
      </c>
      <c r="K2198" t="n">
        <v>0</v>
      </c>
      <c r="L2198" t="n">
        <v>0</v>
      </c>
      <c r="M2198" t="n">
        <v>0</v>
      </c>
      <c r="N2198" t="n">
        <v>0</v>
      </c>
      <c r="O2198" t="n">
        <v>0</v>
      </c>
      <c r="P2198" t="n">
        <v>0</v>
      </c>
      <c r="Q2198" t="n">
        <v>0</v>
      </c>
      <c r="R2198" s="2" t="inlineStr"/>
    </row>
    <row r="2199" ht="15" customHeight="1">
      <c r="A2199" t="inlineStr">
        <is>
          <t>A 18924-2020</t>
        </is>
      </c>
      <c r="B2199" s="1" t="n">
        <v>43935</v>
      </c>
      <c r="C2199" s="1" t="n">
        <v>45344</v>
      </c>
      <c r="D2199" t="inlineStr">
        <is>
          <t>GÄVLEBORGS LÄN</t>
        </is>
      </c>
      <c r="E2199" t="inlineStr">
        <is>
          <t>HUDIKSVALL</t>
        </is>
      </c>
      <c r="G2199" t="n">
        <v>8.4</v>
      </c>
      <c r="H2199" t="n">
        <v>0</v>
      </c>
      <c r="I2199" t="n">
        <v>0</v>
      </c>
      <c r="J2199" t="n">
        <v>0</v>
      </c>
      <c r="K2199" t="n">
        <v>0</v>
      </c>
      <c r="L2199" t="n">
        <v>0</v>
      </c>
      <c r="M2199" t="n">
        <v>0</v>
      </c>
      <c r="N2199" t="n">
        <v>0</v>
      </c>
      <c r="O2199" t="n">
        <v>0</v>
      </c>
      <c r="P2199" t="n">
        <v>0</v>
      </c>
      <c r="Q2199" t="n">
        <v>0</v>
      </c>
      <c r="R2199" s="2" t="inlineStr"/>
    </row>
    <row r="2200" ht="15" customHeight="1">
      <c r="A2200" t="inlineStr">
        <is>
          <t>A 18929-2020</t>
        </is>
      </c>
      <c r="B2200" s="1" t="n">
        <v>43935</v>
      </c>
      <c r="C2200" s="1" t="n">
        <v>45344</v>
      </c>
      <c r="D2200" t="inlineStr">
        <is>
          <t>GÄVLEBORGS LÄN</t>
        </is>
      </c>
      <c r="E2200" t="inlineStr">
        <is>
          <t>OVANÅKER</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19131-2020</t>
        </is>
      </c>
      <c r="B2201" s="1" t="n">
        <v>43936</v>
      </c>
      <c r="C2201" s="1" t="n">
        <v>45344</v>
      </c>
      <c r="D2201" t="inlineStr">
        <is>
          <t>GÄVLEBORGS LÄN</t>
        </is>
      </c>
      <c r="E2201" t="inlineStr">
        <is>
          <t>OVANÅKER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19054-2020</t>
        </is>
      </c>
      <c r="B2202" s="1" t="n">
        <v>43936</v>
      </c>
      <c r="C2202" s="1" t="n">
        <v>45344</v>
      </c>
      <c r="D2202" t="inlineStr">
        <is>
          <t>GÄVLEBORGS LÄN</t>
        </is>
      </c>
      <c r="E2202" t="inlineStr">
        <is>
          <t>GÄVLE</t>
        </is>
      </c>
      <c r="G2202" t="n">
        <v>13.1</v>
      </c>
      <c r="H2202" t="n">
        <v>0</v>
      </c>
      <c r="I2202" t="n">
        <v>0</v>
      </c>
      <c r="J2202" t="n">
        <v>0</v>
      </c>
      <c r="K2202" t="n">
        <v>0</v>
      </c>
      <c r="L2202" t="n">
        <v>0</v>
      </c>
      <c r="M2202" t="n">
        <v>0</v>
      </c>
      <c r="N2202" t="n">
        <v>0</v>
      </c>
      <c r="O2202" t="n">
        <v>0</v>
      </c>
      <c r="P2202" t="n">
        <v>0</v>
      </c>
      <c r="Q2202" t="n">
        <v>0</v>
      </c>
      <c r="R2202" s="2" t="inlineStr"/>
    </row>
    <row r="2203" ht="15" customHeight="1">
      <c r="A2203" t="inlineStr">
        <is>
          <t>A 19170-2020</t>
        </is>
      </c>
      <c r="B2203" s="1" t="n">
        <v>43937</v>
      </c>
      <c r="C2203" s="1" t="n">
        <v>45344</v>
      </c>
      <c r="D2203" t="inlineStr">
        <is>
          <t>GÄVLEBORGS LÄN</t>
        </is>
      </c>
      <c r="E2203" t="inlineStr">
        <is>
          <t>HUDIKSVALL</t>
        </is>
      </c>
      <c r="F2203" t="inlineStr">
        <is>
          <t>Holmen skog AB</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19262-2020</t>
        </is>
      </c>
      <c r="B2204" s="1" t="n">
        <v>43937</v>
      </c>
      <c r="C2204" s="1" t="n">
        <v>45344</v>
      </c>
      <c r="D2204" t="inlineStr">
        <is>
          <t>GÄVLEBORGS LÄN</t>
        </is>
      </c>
      <c r="E2204" t="inlineStr">
        <is>
          <t>OVANÅKER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19293-2020</t>
        </is>
      </c>
      <c r="B2205" s="1" t="n">
        <v>43937</v>
      </c>
      <c r="C2205" s="1" t="n">
        <v>45344</v>
      </c>
      <c r="D2205" t="inlineStr">
        <is>
          <t>GÄVLEBORGS LÄN</t>
        </is>
      </c>
      <c r="E2205" t="inlineStr">
        <is>
          <t>SANDVIKEN</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19269-2020</t>
        </is>
      </c>
      <c r="B2206" s="1" t="n">
        <v>43937</v>
      </c>
      <c r="C2206" s="1" t="n">
        <v>45344</v>
      </c>
      <c r="D2206" t="inlineStr">
        <is>
          <t>GÄVLEBORGS LÄN</t>
        </is>
      </c>
      <c r="E2206" t="inlineStr">
        <is>
          <t>OVANÅKER</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19417-2020</t>
        </is>
      </c>
      <c r="B2207" s="1" t="n">
        <v>43938</v>
      </c>
      <c r="C2207" s="1" t="n">
        <v>45344</v>
      </c>
      <c r="D2207" t="inlineStr">
        <is>
          <t>GÄVLEBORGS LÄN</t>
        </is>
      </c>
      <c r="E2207" t="inlineStr">
        <is>
          <t>SÖDERHAMN</t>
        </is>
      </c>
      <c r="F2207" t="inlineStr">
        <is>
          <t>Bergvik skog väst AB</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19403-2020</t>
        </is>
      </c>
      <c r="B2208" s="1" t="n">
        <v>43938</v>
      </c>
      <c r="C2208" s="1" t="n">
        <v>45344</v>
      </c>
      <c r="D2208" t="inlineStr">
        <is>
          <t>GÄVLEBORGS LÄN</t>
        </is>
      </c>
      <c r="E2208" t="inlineStr">
        <is>
          <t>SÖDERHAMN</t>
        </is>
      </c>
      <c r="F2208" t="inlineStr">
        <is>
          <t>Bergvik skog väst AB</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19788-2020</t>
        </is>
      </c>
      <c r="B2209" s="1" t="n">
        <v>43942</v>
      </c>
      <c r="C2209" s="1" t="n">
        <v>45344</v>
      </c>
      <c r="D2209" t="inlineStr">
        <is>
          <t>GÄVLEBORGS LÄN</t>
        </is>
      </c>
      <c r="E2209" t="inlineStr">
        <is>
          <t>OVANÅKER</t>
        </is>
      </c>
      <c r="F2209" t="inlineStr">
        <is>
          <t>Bergvik skog väst AB</t>
        </is>
      </c>
      <c r="G2209" t="n">
        <v>5.3</v>
      </c>
      <c r="H2209" t="n">
        <v>0</v>
      </c>
      <c r="I2209" t="n">
        <v>0</v>
      </c>
      <c r="J2209" t="n">
        <v>0</v>
      </c>
      <c r="K2209" t="n">
        <v>0</v>
      </c>
      <c r="L2209" t="n">
        <v>0</v>
      </c>
      <c r="M2209" t="n">
        <v>0</v>
      </c>
      <c r="N2209" t="n">
        <v>0</v>
      </c>
      <c r="O2209" t="n">
        <v>0</v>
      </c>
      <c r="P2209" t="n">
        <v>0</v>
      </c>
      <c r="Q2209" t="n">
        <v>0</v>
      </c>
      <c r="R2209" s="2" t="inlineStr"/>
    </row>
    <row r="2210" ht="15" customHeight="1">
      <c r="A2210" t="inlineStr">
        <is>
          <t>A 19847-2020</t>
        </is>
      </c>
      <c r="B2210" s="1" t="n">
        <v>43942</v>
      </c>
      <c r="C2210" s="1" t="n">
        <v>45344</v>
      </c>
      <c r="D2210" t="inlineStr">
        <is>
          <t>GÄVLEBORGS LÄN</t>
        </is>
      </c>
      <c r="E2210" t="inlineStr">
        <is>
          <t>NORDANSTIG</t>
        </is>
      </c>
      <c r="F2210" t="inlineStr">
        <is>
          <t>Holmen skog AB</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19813-2020</t>
        </is>
      </c>
      <c r="B2211" s="1" t="n">
        <v>43942</v>
      </c>
      <c r="C2211" s="1" t="n">
        <v>45344</v>
      </c>
      <c r="D2211" t="inlineStr">
        <is>
          <t>GÄVLEBORGS LÄN</t>
        </is>
      </c>
      <c r="E2211" t="inlineStr">
        <is>
          <t>HUDIKSVALL</t>
        </is>
      </c>
      <c r="F2211" t="inlineStr">
        <is>
          <t>Holmen skog AB</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19873-2020</t>
        </is>
      </c>
      <c r="B2212" s="1" t="n">
        <v>43942</v>
      </c>
      <c r="C2212" s="1" t="n">
        <v>45344</v>
      </c>
      <c r="D2212" t="inlineStr">
        <is>
          <t>GÄVLEBORGS LÄN</t>
        </is>
      </c>
      <c r="E2212" t="inlineStr">
        <is>
          <t>GÄVLE</t>
        </is>
      </c>
      <c r="G2212" t="n">
        <v>3.4</v>
      </c>
      <c r="H2212" t="n">
        <v>0</v>
      </c>
      <c r="I2212" t="n">
        <v>0</v>
      </c>
      <c r="J2212" t="n">
        <v>0</v>
      </c>
      <c r="K2212" t="n">
        <v>0</v>
      </c>
      <c r="L2212" t="n">
        <v>0</v>
      </c>
      <c r="M2212" t="n">
        <v>0</v>
      </c>
      <c r="N2212" t="n">
        <v>0</v>
      </c>
      <c r="O2212" t="n">
        <v>0</v>
      </c>
      <c r="P2212" t="n">
        <v>0</v>
      </c>
      <c r="Q2212" t="n">
        <v>0</v>
      </c>
      <c r="R2212" s="2" t="inlineStr"/>
    </row>
    <row r="2213" ht="15" customHeight="1">
      <c r="A2213" t="inlineStr">
        <is>
          <t>A 19797-2020</t>
        </is>
      </c>
      <c r="B2213" s="1" t="n">
        <v>43942</v>
      </c>
      <c r="C2213" s="1" t="n">
        <v>45344</v>
      </c>
      <c r="D2213" t="inlineStr">
        <is>
          <t>GÄVLEBORGS LÄN</t>
        </is>
      </c>
      <c r="E2213" t="inlineStr">
        <is>
          <t>OVANÅKER</t>
        </is>
      </c>
      <c r="F2213" t="inlineStr">
        <is>
          <t>Bergvik skog väst AB</t>
        </is>
      </c>
      <c r="G2213" t="n">
        <v>10.9</v>
      </c>
      <c r="H2213" t="n">
        <v>0</v>
      </c>
      <c r="I2213" t="n">
        <v>0</v>
      </c>
      <c r="J2213" t="n">
        <v>0</v>
      </c>
      <c r="K2213" t="n">
        <v>0</v>
      </c>
      <c r="L2213" t="n">
        <v>0</v>
      </c>
      <c r="M2213" t="n">
        <v>0</v>
      </c>
      <c r="N2213" t="n">
        <v>0</v>
      </c>
      <c r="O2213" t="n">
        <v>0</v>
      </c>
      <c r="P2213" t="n">
        <v>0</v>
      </c>
      <c r="Q2213" t="n">
        <v>0</v>
      </c>
      <c r="R2213" s="2" t="inlineStr"/>
    </row>
    <row r="2214" ht="15" customHeight="1">
      <c r="A2214" t="inlineStr">
        <is>
          <t>A 20043-2020</t>
        </is>
      </c>
      <c r="B2214" s="1" t="n">
        <v>43943</v>
      </c>
      <c r="C2214" s="1" t="n">
        <v>45344</v>
      </c>
      <c r="D2214" t="inlineStr">
        <is>
          <t>GÄVLEBORGS LÄN</t>
        </is>
      </c>
      <c r="E2214" t="inlineStr">
        <is>
          <t>NORDANSTIG</t>
        </is>
      </c>
      <c r="F2214" t="inlineStr">
        <is>
          <t>Holmen skog AB</t>
        </is>
      </c>
      <c r="G2214" t="n">
        <v>4.3</v>
      </c>
      <c r="H2214" t="n">
        <v>0</v>
      </c>
      <c r="I2214" t="n">
        <v>0</v>
      </c>
      <c r="J2214" t="n">
        <v>0</v>
      </c>
      <c r="K2214" t="n">
        <v>0</v>
      </c>
      <c r="L2214" t="n">
        <v>0</v>
      </c>
      <c r="M2214" t="n">
        <v>0</v>
      </c>
      <c r="N2214" t="n">
        <v>0</v>
      </c>
      <c r="O2214" t="n">
        <v>0</v>
      </c>
      <c r="P2214" t="n">
        <v>0</v>
      </c>
      <c r="Q2214" t="n">
        <v>0</v>
      </c>
      <c r="R2214" s="2" t="inlineStr"/>
    </row>
    <row r="2215" ht="15" customHeight="1">
      <c r="A2215" t="inlineStr">
        <is>
          <t>A 20065-2020</t>
        </is>
      </c>
      <c r="B2215" s="1" t="n">
        <v>43943</v>
      </c>
      <c r="C2215" s="1" t="n">
        <v>45344</v>
      </c>
      <c r="D2215" t="inlineStr">
        <is>
          <t>GÄVLEBORGS LÄN</t>
        </is>
      </c>
      <c r="E2215" t="inlineStr">
        <is>
          <t>NORDANSTIG</t>
        </is>
      </c>
      <c r="F2215" t="inlineStr">
        <is>
          <t>Holmen skog AB</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19919-2020</t>
        </is>
      </c>
      <c r="B2216" s="1" t="n">
        <v>43943</v>
      </c>
      <c r="C2216" s="1" t="n">
        <v>45344</v>
      </c>
      <c r="D2216" t="inlineStr">
        <is>
          <t>GÄVLEBORGS LÄN</t>
        </is>
      </c>
      <c r="E2216" t="inlineStr">
        <is>
          <t>HUDIKSVALL</t>
        </is>
      </c>
      <c r="F2216" t="inlineStr">
        <is>
          <t>Holmen skog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20048-2020</t>
        </is>
      </c>
      <c r="B2217" s="1" t="n">
        <v>43943</v>
      </c>
      <c r="C2217" s="1" t="n">
        <v>45344</v>
      </c>
      <c r="D2217" t="inlineStr">
        <is>
          <t>GÄVLEBORGS LÄN</t>
        </is>
      </c>
      <c r="E2217" t="inlineStr">
        <is>
          <t>HUDIKSVALL</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20055-2020</t>
        </is>
      </c>
      <c r="B2218" s="1" t="n">
        <v>43943</v>
      </c>
      <c r="C2218" s="1" t="n">
        <v>45344</v>
      </c>
      <c r="D2218" t="inlineStr">
        <is>
          <t>GÄVLEBORGS LÄN</t>
        </is>
      </c>
      <c r="E2218" t="inlineStr">
        <is>
          <t>HUDIKSVALL</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20078-2020</t>
        </is>
      </c>
      <c r="B2219" s="1" t="n">
        <v>43943</v>
      </c>
      <c r="C2219" s="1" t="n">
        <v>45344</v>
      </c>
      <c r="D2219" t="inlineStr">
        <is>
          <t>GÄVLEBORGS LÄN</t>
        </is>
      </c>
      <c r="E2219" t="inlineStr">
        <is>
          <t>LJUSDAL</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20093-2020</t>
        </is>
      </c>
      <c r="B2220" s="1" t="n">
        <v>43943</v>
      </c>
      <c r="C2220" s="1" t="n">
        <v>45344</v>
      </c>
      <c r="D2220" t="inlineStr">
        <is>
          <t>GÄVLEBORGS LÄN</t>
        </is>
      </c>
      <c r="E2220" t="inlineStr">
        <is>
          <t>LJUSDAL</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19920-2020</t>
        </is>
      </c>
      <c r="B2221" s="1" t="n">
        <v>43943</v>
      </c>
      <c r="C2221" s="1" t="n">
        <v>45344</v>
      </c>
      <c r="D2221" t="inlineStr">
        <is>
          <t>GÄVLEBORGS LÄN</t>
        </is>
      </c>
      <c r="E2221" t="inlineStr">
        <is>
          <t>SÖDERHAMN</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20076-2020</t>
        </is>
      </c>
      <c r="B2222" s="1" t="n">
        <v>43943</v>
      </c>
      <c r="C2222" s="1" t="n">
        <v>45344</v>
      </c>
      <c r="D2222" t="inlineStr">
        <is>
          <t>GÄVLEBORGS LÄN</t>
        </is>
      </c>
      <c r="E2222" t="inlineStr">
        <is>
          <t>LJUSDAL</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20132-2020</t>
        </is>
      </c>
      <c r="B2223" s="1" t="n">
        <v>43944</v>
      </c>
      <c r="C2223" s="1" t="n">
        <v>45344</v>
      </c>
      <c r="D2223" t="inlineStr">
        <is>
          <t>GÄVLEBORGS LÄN</t>
        </is>
      </c>
      <c r="E2223" t="inlineStr">
        <is>
          <t>HUDIKSVALL</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20215-2020</t>
        </is>
      </c>
      <c r="B2224" s="1" t="n">
        <v>43944</v>
      </c>
      <c r="C2224" s="1" t="n">
        <v>45344</v>
      </c>
      <c r="D2224" t="inlineStr">
        <is>
          <t>GÄVLEBORGS LÄN</t>
        </is>
      </c>
      <c r="E2224" t="inlineStr">
        <is>
          <t>LJUSDAL</t>
        </is>
      </c>
      <c r="G2224" t="n">
        <v>4.3</v>
      </c>
      <c r="H2224" t="n">
        <v>0</v>
      </c>
      <c r="I2224" t="n">
        <v>0</v>
      </c>
      <c r="J2224" t="n">
        <v>0</v>
      </c>
      <c r="K2224" t="n">
        <v>0</v>
      </c>
      <c r="L2224" t="n">
        <v>0</v>
      </c>
      <c r="M2224" t="n">
        <v>0</v>
      </c>
      <c r="N2224" t="n">
        <v>0</v>
      </c>
      <c r="O2224" t="n">
        <v>0</v>
      </c>
      <c r="P2224" t="n">
        <v>0</v>
      </c>
      <c r="Q2224" t="n">
        <v>0</v>
      </c>
      <c r="R2224" s="2" t="inlineStr"/>
    </row>
    <row r="2225" ht="15" customHeight="1">
      <c r="A2225" t="inlineStr">
        <is>
          <t>A 20224-2020</t>
        </is>
      </c>
      <c r="B2225" s="1" t="n">
        <v>43944</v>
      </c>
      <c r="C2225" s="1" t="n">
        <v>45344</v>
      </c>
      <c r="D2225" t="inlineStr">
        <is>
          <t>GÄVLEBORGS LÄN</t>
        </is>
      </c>
      <c r="E2225" t="inlineStr">
        <is>
          <t>LJUSDAL</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20104-2020</t>
        </is>
      </c>
      <c r="B2226" s="1" t="n">
        <v>43944</v>
      </c>
      <c r="C2226" s="1" t="n">
        <v>45344</v>
      </c>
      <c r="D2226" t="inlineStr">
        <is>
          <t>GÄVLEBORGS LÄN</t>
        </is>
      </c>
      <c r="E2226" t="inlineStr">
        <is>
          <t>HUDIKSVALL</t>
        </is>
      </c>
      <c r="F2226" t="inlineStr">
        <is>
          <t>Holmen skog AB</t>
        </is>
      </c>
      <c r="G2226" t="n">
        <v>6.2</v>
      </c>
      <c r="H2226" t="n">
        <v>0</v>
      </c>
      <c r="I2226" t="n">
        <v>0</v>
      </c>
      <c r="J2226" t="n">
        <v>0</v>
      </c>
      <c r="K2226" t="n">
        <v>0</v>
      </c>
      <c r="L2226" t="n">
        <v>0</v>
      </c>
      <c r="M2226" t="n">
        <v>0</v>
      </c>
      <c r="N2226" t="n">
        <v>0</v>
      </c>
      <c r="O2226" t="n">
        <v>0</v>
      </c>
      <c r="P2226" t="n">
        <v>0</v>
      </c>
      <c r="Q2226" t="n">
        <v>0</v>
      </c>
      <c r="R2226" s="2" t="inlineStr"/>
    </row>
    <row r="2227" ht="15" customHeight="1">
      <c r="A2227" t="inlineStr">
        <is>
          <t>A 20308-2020</t>
        </is>
      </c>
      <c r="B2227" s="1" t="n">
        <v>43945</v>
      </c>
      <c r="C2227" s="1" t="n">
        <v>45344</v>
      </c>
      <c r="D2227" t="inlineStr">
        <is>
          <t>GÄVLEBORGS LÄN</t>
        </is>
      </c>
      <c r="E2227" t="inlineStr">
        <is>
          <t>BOLLNÄS</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20315-2020</t>
        </is>
      </c>
      <c r="B2228" s="1" t="n">
        <v>43945</v>
      </c>
      <c r="C2228" s="1" t="n">
        <v>45344</v>
      </c>
      <c r="D2228" t="inlineStr">
        <is>
          <t>GÄVLEBORGS LÄN</t>
        </is>
      </c>
      <c r="E2228" t="inlineStr">
        <is>
          <t>OVANÅKER</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20346-2020</t>
        </is>
      </c>
      <c r="B2229" s="1" t="n">
        <v>43945</v>
      </c>
      <c r="C2229" s="1" t="n">
        <v>45344</v>
      </c>
      <c r="D2229" t="inlineStr">
        <is>
          <t>GÄVLEBORGS LÄN</t>
        </is>
      </c>
      <c r="E2229" t="inlineStr">
        <is>
          <t>HUDIKSVALL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20365-2020</t>
        </is>
      </c>
      <c r="B2230" s="1" t="n">
        <v>43945</v>
      </c>
      <c r="C2230" s="1" t="n">
        <v>45344</v>
      </c>
      <c r="D2230" t="inlineStr">
        <is>
          <t>GÄVLEBORGS LÄN</t>
        </is>
      </c>
      <c r="E2230" t="inlineStr">
        <is>
          <t>LJUSDAL</t>
        </is>
      </c>
      <c r="F2230" t="inlineStr">
        <is>
          <t>Allmännings- och besparingsskogar</t>
        </is>
      </c>
      <c r="G2230" t="n">
        <v>17.5</v>
      </c>
      <c r="H2230" t="n">
        <v>0</v>
      </c>
      <c r="I2230" t="n">
        <v>0</v>
      </c>
      <c r="J2230" t="n">
        <v>0</v>
      </c>
      <c r="K2230" t="n">
        <v>0</v>
      </c>
      <c r="L2230" t="n">
        <v>0</v>
      </c>
      <c r="M2230" t="n">
        <v>0</v>
      </c>
      <c r="N2230" t="n">
        <v>0</v>
      </c>
      <c r="O2230" t="n">
        <v>0</v>
      </c>
      <c r="P2230" t="n">
        <v>0</v>
      </c>
      <c r="Q2230" t="n">
        <v>0</v>
      </c>
      <c r="R2230" s="2" t="inlineStr"/>
    </row>
    <row r="2231" ht="15" customHeight="1">
      <c r="A2231" t="inlineStr">
        <is>
          <t>A 20347-2020</t>
        </is>
      </c>
      <c r="B2231" s="1" t="n">
        <v>43945</v>
      </c>
      <c r="C2231" s="1" t="n">
        <v>45344</v>
      </c>
      <c r="D2231" t="inlineStr">
        <is>
          <t>GÄVLEBORGS LÄN</t>
        </is>
      </c>
      <c r="E2231" t="inlineStr">
        <is>
          <t>LJUSDAL</t>
        </is>
      </c>
      <c r="F2231" t="inlineStr">
        <is>
          <t>Sveaskog</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20409-2020</t>
        </is>
      </c>
      <c r="B2232" s="1" t="n">
        <v>43945</v>
      </c>
      <c r="C2232" s="1" t="n">
        <v>45344</v>
      </c>
      <c r="D2232" t="inlineStr">
        <is>
          <t>GÄVLEBORGS LÄN</t>
        </is>
      </c>
      <c r="E2232" t="inlineStr">
        <is>
          <t>SANDVIKEN</t>
        </is>
      </c>
      <c r="G2232" t="n">
        <v>9.699999999999999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20244-2020</t>
        </is>
      </c>
      <c r="B2233" s="1" t="n">
        <v>43945</v>
      </c>
      <c r="C2233" s="1" t="n">
        <v>45344</v>
      </c>
      <c r="D2233" t="inlineStr">
        <is>
          <t>GÄVLEBORGS LÄN</t>
        </is>
      </c>
      <c r="E2233" t="inlineStr">
        <is>
          <t>HUDIKSVALL</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20364-2020</t>
        </is>
      </c>
      <c r="B2234" s="1" t="n">
        <v>43945</v>
      </c>
      <c r="C2234" s="1" t="n">
        <v>45344</v>
      </c>
      <c r="D2234" t="inlineStr">
        <is>
          <t>GÄVLEBORGS LÄN</t>
        </is>
      </c>
      <c r="E2234" t="inlineStr">
        <is>
          <t>NORDANSTIG</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20385-2020</t>
        </is>
      </c>
      <c r="B2235" s="1" t="n">
        <v>43945</v>
      </c>
      <c r="C2235" s="1" t="n">
        <v>45344</v>
      </c>
      <c r="D2235" t="inlineStr">
        <is>
          <t>GÄVLEBORGS LÄN</t>
        </is>
      </c>
      <c r="E2235" t="inlineStr">
        <is>
          <t>NORDANSTIG</t>
        </is>
      </c>
      <c r="F2235" t="inlineStr">
        <is>
          <t>Holmen skog AB</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20256-2020</t>
        </is>
      </c>
      <c r="B2236" s="1" t="n">
        <v>43945</v>
      </c>
      <c r="C2236" s="1" t="n">
        <v>45344</v>
      </c>
      <c r="D2236" t="inlineStr">
        <is>
          <t>GÄVLEBORGS LÄN</t>
        </is>
      </c>
      <c r="E2236" t="inlineStr">
        <is>
          <t>LJUSDAL</t>
        </is>
      </c>
      <c r="G2236" t="n">
        <v>7</v>
      </c>
      <c r="H2236" t="n">
        <v>0</v>
      </c>
      <c r="I2236" t="n">
        <v>0</v>
      </c>
      <c r="J2236" t="n">
        <v>0</v>
      </c>
      <c r="K2236" t="n">
        <v>0</v>
      </c>
      <c r="L2236" t="n">
        <v>0</v>
      </c>
      <c r="M2236" t="n">
        <v>0</v>
      </c>
      <c r="N2236" t="n">
        <v>0</v>
      </c>
      <c r="O2236" t="n">
        <v>0</v>
      </c>
      <c r="P2236" t="n">
        <v>0</v>
      </c>
      <c r="Q2236" t="n">
        <v>0</v>
      </c>
      <c r="R2236" s="2" t="inlineStr"/>
    </row>
    <row r="2237" ht="15" customHeight="1">
      <c r="A2237" t="inlineStr">
        <is>
          <t>A 20259-2020</t>
        </is>
      </c>
      <c r="B2237" s="1" t="n">
        <v>43945</v>
      </c>
      <c r="C2237" s="1" t="n">
        <v>45344</v>
      </c>
      <c r="D2237" t="inlineStr">
        <is>
          <t>GÄVLEBORGS LÄN</t>
        </is>
      </c>
      <c r="E2237" t="inlineStr">
        <is>
          <t>LJUSDAL</t>
        </is>
      </c>
      <c r="G2237" t="n">
        <v>14.3</v>
      </c>
      <c r="H2237" t="n">
        <v>0</v>
      </c>
      <c r="I2237" t="n">
        <v>0</v>
      </c>
      <c r="J2237" t="n">
        <v>0</v>
      </c>
      <c r="K2237" t="n">
        <v>0</v>
      </c>
      <c r="L2237" t="n">
        <v>0</v>
      </c>
      <c r="M2237" t="n">
        <v>0</v>
      </c>
      <c r="N2237" t="n">
        <v>0</v>
      </c>
      <c r="O2237" t="n">
        <v>0</v>
      </c>
      <c r="P2237" t="n">
        <v>0</v>
      </c>
      <c r="Q2237" t="n">
        <v>0</v>
      </c>
      <c r="R2237" s="2" t="inlineStr"/>
    </row>
    <row r="2238" ht="15" customHeight="1">
      <c r="A2238" t="inlineStr">
        <is>
          <t>A 20499-2020</t>
        </is>
      </c>
      <c r="B2238" s="1" t="n">
        <v>43948</v>
      </c>
      <c r="C2238" s="1" t="n">
        <v>45344</v>
      </c>
      <c r="D2238" t="inlineStr">
        <is>
          <t>GÄVLEBORGS LÄN</t>
        </is>
      </c>
      <c r="E2238" t="inlineStr">
        <is>
          <t>OVANÅKER</t>
        </is>
      </c>
      <c r="F2238" t="inlineStr">
        <is>
          <t>Bergvik skog väst AB</t>
        </is>
      </c>
      <c r="G2238" t="n">
        <v>43.9</v>
      </c>
      <c r="H2238" t="n">
        <v>0</v>
      </c>
      <c r="I2238" t="n">
        <v>0</v>
      </c>
      <c r="J2238" t="n">
        <v>0</v>
      </c>
      <c r="K2238" t="n">
        <v>0</v>
      </c>
      <c r="L2238" t="n">
        <v>0</v>
      </c>
      <c r="M2238" t="n">
        <v>0</v>
      </c>
      <c r="N2238" t="n">
        <v>0</v>
      </c>
      <c r="O2238" t="n">
        <v>0</v>
      </c>
      <c r="P2238" t="n">
        <v>0</v>
      </c>
      <c r="Q2238" t="n">
        <v>0</v>
      </c>
      <c r="R2238" s="2" t="inlineStr"/>
    </row>
    <row r="2239" ht="15" customHeight="1">
      <c r="A2239" t="inlineStr">
        <is>
          <t>A 20475-2020</t>
        </is>
      </c>
      <c r="B2239" s="1" t="n">
        <v>43948</v>
      </c>
      <c r="C2239" s="1" t="n">
        <v>45344</v>
      </c>
      <c r="D2239" t="inlineStr">
        <is>
          <t>GÄVLEBORGS LÄN</t>
        </is>
      </c>
      <c r="E2239" t="inlineStr">
        <is>
          <t>OCKELBO</t>
        </is>
      </c>
      <c r="F2239" t="inlineStr">
        <is>
          <t>Bergvik skog väst AB</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20570-2020</t>
        </is>
      </c>
      <c r="B2240" s="1" t="n">
        <v>43948</v>
      </c>
      <c r="C2240" s="1" t="n">
        <v>45344</v>
      </c>
      <c r="D2240" t="inlineStr">
        <is>
          <t>GÄVLEBORGS LÄN</t>
        </is>
      </c>
      <c r="E2240" t="inlineStr">
        <is>
          <t>HUDIKSVALL</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20785-2020</t>
        </is>
      </c>
      <c r="B2241" s="1" t="n">
        <v>43949</v>
      </c>
      <c r="C2241" s="1" t="n">
        <v>45344</v>
      </c>
      <c r="D2241" t="inlineStr">
        <is>
          <t>GÄVLEBORGS LÄN</t>
        </is>
      </c>
      <c r="E2241" t="inlineStr">
        <is>
          <t>LJUSDAL</t>
        </is>
      </c>
      <c r="F2241" t="inlineStr">
        <is>
          <t>Sveaskog</t>
        </is>
      </c>
      <c r="G2241" t="n">
        <v>12.5</v>
      </c>
      <c r="H2241" t="n">
        <v>0</v>
      </c>
      <c r="I2241" t="n">
        <v>0</v>
      </c>
      <c r="J2241" t="n">
        <v>0</v>
      </c>
      <c r="K2241" t="n">
        <v>0</v>
      </c>
      <c r="L2241" t="n">
        <v>0</v>
      </c>
      <c r="M2241" t="n">
        <v>0</v>
      </c>
      <c r="N2241" t="n">
        <v>0</v>
      </c>
      <c r="O2241" t="n">
        <v>0</v>
      </c>
      <c r="P2241" t="n">
        <v>0</v>
      </c>
      <c r="Q2241" t="n">
        <v>0</v>
      </c>
      <c r="R2241" s="2" t="inlineStr"/>
    </row>
    <row r="2242" ht="15" customHeight="1">
      <c r="A2242" t="inlineStr">
        <is>
          <t>A 20697-2020</t>
        </is>
      </c>
      <c r="B2242" s="1" t="n">
        <v>43949</v>
      </c>
      <c r="C2242" s="1" t="n">
        <v>45344</v>
      </c>
      <c r="D2242" t="inlineStr">
        <is>
          <t>GÄVLEBORGS LÄN</t>
        </is>
      </c>
      <c r="E2242" t="inlineStr">
        <is>
          <t>BOLLNÄS</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20692-2020</t>
        </is>
      </c>
      <c r="B2243" s="1" t="n">
        <v>43949</v>
      </c>
      <c r="C2243" s="1" t="n">
        <v>45344</v>
      </c>
      <c r="D2243" t="inlineStr">
        <is>
          <t>GÄVLEBORGS LÄN</t>
        </is>
      </c>
      <c r="E2243" t="inlineStr">
        <is>
          <t>BOLLNÄS</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20737-2020</t>
        </is>
      </c>
      <c r="B2244" s="1" t="n">
        <v>43949</v>
      </c>
      <c r="C2244" s="1" t="n">
        <v>45344</v>
      </c>
      <c r="D2244" t="inlineStr">
        <is>
          <t>GÄVLEBORGS LÄN</t>
        </is>
      </c>
      <c r="E2244" t="inlineStr">
        <is>
          <t>HUDIKSVALL</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20631-2020</t>
        </is>
      </c>
      <c r="B2245" s="1" t="n">
        <v>43949</v>
      </c>
      <c r="C2245" s="1" t="n">
        <v>45344</v>
      </c>
      <c r="D2245" t="inlineStr">
        <is>
          <t>GÄVLEBORGS LÄN</t>
        </is>
      </c>
      <c r="E2245" t="inlineStr">
        <is>
          <t>OVANÅKER</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20850-2020</t>
        </is>
      </c>
      <c r="B2246" s="1" t="n">
        <v>43950</v>
      </c>
      <c r="C2246" s="1" t="n">
        <v>45344</v>
      </c>
      <c r="D2246" t="inlineStr">
        <is>
          <t>GÄVLEBORGS LÄN</t>
        </is>
      </c>
      <c r="E2246" t="inlineStr">
        <is>
          <t>OVANÅKER</t>
        </is>
      </c>
      <c r="G2246" t="n">
        <v>9</v>
      </c>
      <c r="H2246" t="n">
        <v>0</v>
      </c>
      <c r="I2246" t="n">
        <v>0</v>
      </c>
      <c r="J2246" t="n">
        <v>0</v>
      </c>
      <c r="K2246" t="n">
        <v>0</v>
      </c>
      <c r="L2246" t="n">
        <v>0</v>
      </c>
      <c r="M2246" t="n">
        <v>0</v>
      </c>
      <c r="N2246" t="n">
        <v>0</v>
      </c>
      <c r="O2246" t="n">
        <v>0</v>
      </c>
      <c r="P2246" t="n">
        <v>0</v>
      </c>
      <c r="Q2246" t="n">
        <v>0</v>
      </c>
      <c r="R2246" s="2" t="inlineStr"/>
    </row>
    <row r="2247" ht="15" customHeight="1">
      <c r="A2247" t="inlineStr">
        <is>
          <t>A 20941-2020</t>
        </is>
      </c>
      <c r="B2247" s="1" t="n">
        <v>43950</v>
      </c>
      <c r="C2247" s="1" t="n">
        <v>45344</v>
      </c>
      <c r="D2247" t="inlineStr">
        <is>
          <t>GÄVLEBORGS LÄN</t>
        </is>
      </c>
      <c r="E2247" t="inlineStr">
        <is>
          <t>HUDIKSVALL</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21039-2020</t>
        </is>
      </c>
      <c r="B2248" s="1" t="n">
        <v>43951</v>
      </c>
      <c r="C2248" s="1" t="n">
        <v>45344</v>
      </c>
      <c r="D2248" t="inlineStr">
        <is>
          <t>GÄVLEBORGS LÄN</t>
        </is>
      </c>
      <c r="E2248" t="inlineStr">
        <is>
          <t>HUDIKSVALL</t>
        </is>
      </c>
      <c r="F2248" t="inlineStr">
        <is>
          <t>Holmen skog AB</t>
        </is>
      </c>
      <c r="G2248" t="n">
        <v>11.4</v>
      </c>
      <c r="H2248" t="n">
        <v>0</v>
      </c>
      <c r="I2248" t="n">
        <v>0</v>
      </c>
      <c r="J2248" t="n">
        <v>0</v>
      </c>
      <c r="K2248" t="n">
        <v>0</v>
      </c>
      <c r="L2248" t="n">
        <v>0</v>
      </c>
      <c r="M2248" t="n">
        <v>0</v>
      </c>
      <c r="N2248" t="n">
        <v>0</v>
      </c>
      <c r="O2248" t="n">
        <v>0</v>
      </c>
      <c r="P2248" t="n">
        <v>0</v>
      </c>
      <c r="Q2248" t="n">
        <v>0</v>
      </c>
      <c r="R2248" s="2" t="inlineStr"/>
    </row>
    <row r="2249" ht="15" customHeight="1">
      <c r="A2249" t="inlineStr">
        <is>
          <t>A 21132-2020</t>
        </is>
      </c>
      <c r="B2249" s="1" t="n">
        <v>43951</v>
      </c>
      <c r="C2249" s="1" t="n">
        <v>45344</v>
      </c>
      <c r="D2249" t="inlineStr">
        <is>
          <t>GÄVLEBORGS LÄN</t>
        </is>
      </c>
      <c r="E2249" t="inlineStr">
        <is>
          <t>LJUSDAL</t>
        </is>
      </c>
      <c r="F2249" t="inlineStr">
        <is>
          <t>Bergvik skog väst AB</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21198-2020</t>
        </is>
      </c>
      <c r="B2250" s="1" t="n">
        <v>43951</v>
      </c>
      <c r="C2250" s="1" t="n">
        <v>45344</v>
      </c>
      <c r="D2250" t="inlineStr">
        <is>
          <t>GÄVLEBORGS LÄN</t>
        </is>
      </c>
      <c r="E2250" t="inlineStr">
        <is>
          <t>LJUSDAL</t>
        </is>
      </c>
      <c r="F2250" t="inlineStr">
        <is>
          <t>Sveaskog</t>
        </is>
      </c>
      <c r="G2250" t="n">
        <v>38.7</v>
      </c>
      <c r="H2250" t="n">
        <v>0</v>
      </c>
      <c r="I2250" t="n">
        <v>0</v>
      </c>
      <c r="J2250" t="n">
        <v>0</v>
      </c>
      <c r="K2250" t="n">
        <v>0</v>
      </c>
      <c r="L2250" t="n">
        <v>0</v>
      </c>
      <c r="M2250" t="n">
        <v>0</v>
      </c>
      <c r="N2250" t="n">
        <v>0</v>
      </c>
      <c r="O2250" t="n">
        <v>0</v>
      </c>
      <c r="P2250" t="n">
        <v>0</v>
      </c>
      <c r="Q2250" t="n">
        <v>0</v>
      </c>
      <c r="R2250" s="2" t="inlineStr"/>
    </row>
    <row r="2251" ht="15" customHeight="1">
      <c r="A2251" t="inlineStr">
        <is>
          <t>A 21080-2020</t>
        </is>
      </c>
      <c r="B2251" s="1" t="n">
        <v>43951</v>
      </c>
      <c r="C2251" s="1" t="n">
        <v>45344</v>
      </c>
      <c r="D2251" t="inlineStr">
        <is>
          <t>GÄVLEBORGS LÄN</t>
        </is>
      </c>
      <c r="E2251" t="inlineStr">
        <is>
          <t>GÄVLE</t>
        </is>
      </c>
      <c r="F2251" t="inlineStr">
        <is>
          <t>Kommuner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21145-2020</t>
        </is>
      </c>
      <c r="B2252" s="1" t="n">
        <v>43951</v>
      </c>
      <c r="C2252" s="1" t="n">
        <v>45344</v>
      </c>
      <c r="D2252" t="inlineStr">
        <is>
          <t>GÄVLEBORGS LÄN</t>
        </is>
      </c>
      <c r="E2252" t="inlineStr">
        <is>
          <t>LJUSDAL</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21129-2020</t>
        </is>
      </c>
      <c r="B2253" s="1" t="n">
        <v>43951</v>
      </c>
      <c r="C2253" s="1" t="n">
        <v>45344</v>
      </c>
      <c r="D2253" t="inlineStr">
        <is>
          <t>GÄVLEBORGS LÄN</t>
        </is>
      </c>
      <c r="E2253" t="inlineStr">
        <is>
          <t>HUDIKSVALL</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21193-2020</t>
        </is>
      </c>
      <c r="B2254" s="1" t="n">
        <v>43951</v>
      </c>
      <c r="C2254" s="1" t="n">
        <v>45344</v>
      </c>
      <c r="D2254" t="inlineStr">
        <is>
          <t>GÄVLEBORGS LÄN</t>
        </is>
      </c>
      <c r="E2254" t="inlineStr">
        <is>
          <t>HUDIKSVALL</t>
        </is>
      </c>
      <c r="G2254" t="n">
        <v>20.5</v>
      </c>
      <c r="H2254" t="n">
        <v>0</v>
      </c>
      <c r="I2254" t="n">
        <v>0</v>
      </c>
      <c r="J2254" t="n">
        <v>0</v>
      </c>
      <c r="K2254" t="n">
        <v>0</v>
      </c>
      <c r="L2254" t="n">
        <v>0</v>
      </c>
      <c r="M2254" t="n">
        <v>0</v>
      </c>
      <c r="N2254" t="n">
        <v>0</v>
      </c>
      <c r="O2254" t="n">
        <v>0</v>
      </c>
      <c r="P2254" t="n">
        <v>0</v>
      </c>
      <c r="Q2254" t="n">
        <v>0</v>
      </c>
      <c r="R2254" s="2" t="inlineStr"/>
    </row>
    <row r="2255" ht="15" customHeight="1">
      <c r="A2255" t="inlineStr">
        <is>
          <t>A 21060-2020</t>
        </is>
      </c>
      <c r="B2255" s="1" t="n">
        <v>43951</v>
      </c>
      <c r="C2255" s="1" t="n">
        <v>45344</v>
      </c>
      <c r="D2255" t="inlineStr">
        <is>
          <t>GÄVLEBORGS LÄN</t>
        </is>
      </c>
      <c r="E2255" t="inlineStr">
        <is>
          <t>LJUSDAL</t>
        </is>
      </c>
      <c r="F2255" t="inlineStr">
        <is>
          <t>Holmen skog AB</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21078-2020</t>
        </is>
      </c>
      <c r="B2256" s="1" t="n">
        <v>43951</v>
      </c>
      <c r="C2256" s="1" t="n">
        <v>45344</v>
      </c>
      <c r="D2256" t="inlineStr">
        <is>
          <t>GÄVLEBORGS LÄN</t>
        </is>
      </c>
      <c r="E2256" t="inlineStr">
        <is>
          <t>LJUSDAL</t>
        </is>
      </c>
      <c r="F2256" t="inlineStr">
        <is>
          <t>Sveaskog</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21188-2020</t>
        </is>
      </c>
      <c r="B2257" s="1" t="n">
        <v>43951</v>
      </c>
      <c r="C2257" s="1" t="n">
        <v>45344</v>
      </c>
      <c r="D2257" t="inlineStr">
        <is>
          <t>GÄVLEBORGS LÄN</t>
        </is>
      </c>
      <c r="E2257" t="inlineStr">
        <is>
          <t>NORDANSTIG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21182-2020</t>
        </is>
      </c>
      <c r="B2258" s="1" t="n">
        <v>43951</v>
      </c>
      <c r="C2258" s="1" t="n">
        <v>45344</v>
      </c>
      <c r="D2258" t="inlineStr">
        <is>
          <t>GÄVLEBORGS LÄN</t>
        </is>
      </c>
      <c r="E2258" t="inlineStr">
        <is>
          <t>OVANÅKER</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21137-2020</t>
        </is>
      </c>
      <c r="B2259" s="1" t="n">
        <v>43951</v>
      </c>
      <c r="C2259" s="1" t="n">
        <v>45344</v>
      </c>
      <c r="D2259" t="inlineStr">
        <is>
          <t>GÄVLEBORGS LÄN</t>
        </is>
      </c>
      <c r="E2259" t="inlineStr">
        <is>
          <t>NORDANSTIG</t>
        </is>
      </c>
      <c r="F2259" t="inlineStr">
        <is>
          <t>Holmen skog AB</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21255-2020</t>
        </is>
      </c>
      <c r="B2260" s="1" t="n">
        <v>43955</v>
      </c>
      <c r="C2260" s="1" t="n">
        <v>45344</v>
      </c>
      <c r="D2260" t="inlineStr">
        <is>
          <t>GÄVLEBORGS LÄN</t>
        </is>
      </c>
      <c r="E2260" t="inlineStr">
        <is>
          <t>OCKELBO</t>
        </is>
      </c>
      <c r="F2260" t="inlineStr">
        <is>
          <t>Bergvik skog väst AB</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21349-2020</t>
        </is>
      </c>
      <c r="B2261" s="1" t="n">
        <v>43955</v>
      </c>
      <c r="C2261" s="1" t="n">
        <v>45344</v>
      </c>
      <c r="D2261" t="inlineStr">
        <is>
          <t>GÄVLEBORGS LÄN</t>
        </is>
      </c>
      <c r="E2261" t="inlineStr">
        <is>
          <t>SÖDERHAMN</t>
        </is>
      </c>
      <c r="F2261" t="inlineStr">
        <is>
          <t>Kommuner</t>
        </is>
      </c>
      <c r="G2261" t="n">
        <v>16.2</v>
      </c>
      <c r="H2261" t="n">
        <v>0</v>
      </c>
      <c r="I2261" t="n">
        <v>0</v>
      </c>
      <c r="J2261" t="n">
        <v>0</v>
      </c>
      <c r="K2261" t="n">
        <v>0</v>
      </c>
      <c r="L2261" t="n">
        <v>0</v>
      </c>
      <c r="M2261" t="n">
        <v>0</v>
      </c>
      <c r="N2261" t="n">
        <v>0</v>
      </c>
      <c r="O2261" t="n">
        <v>0</v>
      </c>
      <c r="P2261" t="n">
        <v>0</v>
      </c>
      <c r="Q2261" t="n">
        <v>0</v>
      </c>
      <c r="R2261" s="2" t="inlineStr"/>
    </row>
    <row r="2262" ht="15" customHeight="1">
      <c r="A2262" t="inlineStr">
        <is>
          <t>A 21316-2020</t>
        </is>
      </c>
      <c r="B2262" s="1" t="n">
        <v>43955</v>
      </c>
      <c r="C2262" s="1" t="n">
        <v>45344</v>
      </c>
      <c r="D2262" t="inlineStr">
        <is>
          <t>GÄVLEBORGS LÄN</t>
        </is>
      </c>
      <c r="E2262" t="inlineStr">
        <is>
          <t>HUDIKSVALL</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21313-2020</t>
        </is>
      </c>
      <c r="B2263" s="1" t="n">
        <v>43955</v>
      </c>
      <c r="C2263" s="1" t="n">
        <v>45344</v>
      </c>
      <c r="D2263" t="inlineStr">
        <is>
          <t>GÄVLEBORGS LÄN</t>
        </is>
      </c>
      <c r="E2263" t="inlineStr">
        <is>
          <t>HUDIKSVALL</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21424-2020</t>
        </is>
      </c>
      <c r="B2264" s="1" t="n">
        <v>43955</v>
      </c>
      <c r="C2264" s="1" t="n">
        <v>45344</v>
      </c>
      <c r="D2264" t="inlineStr">
        <is>
          <t>GÄVLEBORGS LÄN</t>
        </is>
      </c>
      <c r="E2264" t="inlineStr">
        <is>
          <t>NORDANSTIG</t>
        </is>
      </c>
      <c r="G2264" t="n">
        <v>34.4</v>
      </c>
      <c r="H2264" t="n">
        <v>0</v>
      </c>
      <c r="I2264" t="n">
        <v>0</v>
      </c>
      <c r="J2264" t="n">
        <v>0</v>
      </c>
      <c r="K2264" t="n">
        <v>0</v>
      </c>
      <c r="L2264" t="n">
        <v>0</v>
      </c>
      <c r="M2264" t="n">
        <v>0</v>
      </c>
      <c r="N2264" t="n">
        <v>0</v>
      </c>
      <c r="O2264" t="n">
        <v>0</v>
      </c>
      <c r="P2264" t="n">
        <v>0</v>
      </c>
      <c r="Q2264" t="n">
        <v>0</v>
      </c>
      <c r="R2264" s="2" t="inlineStr"/>
    </row>
    <row r="2265" ht="15" customHeight="1">
      <c r="A2265" t="inlineStr">
        <is>
          <t>A 21379-2020</t>
        </is>
      </c>
      <c r="B2265" s="1" t="n">
        <v>43955</v>
      </c>
      <c r="C2265" s="1" t="n">
        <v>45344</v>
      </c>
      <c r="D2265" t="inlineStr">
        <is>
          <t>GÄVLEBORGS LÄN</t>
        </is>
      </c>
      <c r="E2265" t="inlineStr">
        <is>
          <t>GÄVLE</t>
        </is>
      </c>
      <c r="F2265" t="inlineStr">
        <is>
          <t>Bergvik skog öst AB</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21422-2020</t>
        </is>
      </c>
      <c r="B2266" s="1" t="n">
        <v>43955</v>
      </c>
      <c r="C2266" s="1" t="n">
        <v>45344</v>
      </c>
      <c r="D2266" t="inlineStr">
        <is>
          <t>GÄVLEBORGS LÄN</t>
        </is>
      </c>
      <c r="E2266" t="inlineStr">
        <is>
          <t>NORDANSTIG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21431-2020</t>
        </is>
      </c>
      <c r="B2267" s="1" t="n">
        <v>43956</v>
      </c>
      <c r="C2267" s="1" t="n">
        <v>45344</v>
      </c>
      <c r="D2267" t="inlineStr">
        <is>
          <t>GÄVLEBORGS LÄN</t>
        </is>
      </c>
      <c r="E2267" t="inlineStr">
        <is>
          <t>BOLLNÄS</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21556-2020</t>
        </is>
      </c>
      <c r="B2268" s="1" t="n">
        <v>43956</v>
      </c>
      <c r="C2268" s="1" t="n">
        <v>45344</v>
      </c>
      <c r="D2268" t="inlineStr">
        <is>
          <t>GÄVLEBORGS LÄN</t>
        </is>
      </c>
      <c r="E2268" t="inlineStr">
        <is>
          <t>NORDANSTIG</t>
        </is>
      </c>
      <c r="F2268" t="inlineStr">
        <is>
          <t>Holmen skog AB</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21549-2020</t>
        </is>
      </c>
      <c r="B2269" s="1" t="n">
        <v>43956</v>
      </c>
      <c r="C2269" s="1" t="n">
        <v>45344</v>
      </c>
      <c r="D2269" t="inlineStr">
        <is>
          <t>GÄVLEBORGS LÄN</t>
        </is>
      </c>
      <c r="E2269" t="inlineStr">
        <is>
          <t>NORDANSTIG</t>
        </is>
      </c>
      <c r="F2269" t="inlineStr">
        <is>
          <t>Holmen skog AB</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21647-2020</t>
        </is>
      </c>
      <c r="B2270" s="1" t="n">
        <v>43957</v>
      </c>
      <c r="C2270" s="1" t="n">
        <v>45344</v>
      </c>
      <c r="D2270" t="inlineStr">
        <is>
          <t>GÄVLEBORGS LÄN</t>
        </is>
      </c>
      <c r="E2270" t="inlineStr">
        <is>
          <t>OVANÅKER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21639-2020</t>
        </is>
      </c>
      <c r="B2271" s="1" t="n">
        <v>43957</v>
      </c>
      <c r="C2271" s="1" t="n">
        <v>45344</v>
      </c>
      <c r="D2271" t="inlineStr">
        <is>
          <t>GÄVLEBORGS LÄN</t>
        </is>
      </c>
      <c r="E2271" t="inlineStr">
        <is>
          <t>OVANÅKER</t>
        </is>
      </c>
      <c r="G2271" t="n">
        <v>10.3</v>
      </c>
      <c r="H2271" t="n">
        <v>0</v>
      </c>
      <c r="I2271" t="n">
        <v>0</v>
      </c>
      <c r="J2271" t="n">
        <v>0</v>
      </c>
      <c r="K2271" t="n">
        <v>0</v>
      </c>
      <c r="L2271" t="n">
        <v>0</v>
      </c>
      <c r="M2271" t="n">
        <v>0</v>
      </c>
      <c r="N2271" t="n">
        <v>0</v>
      </c>
      <c r="O2271" t="n">
        <v>0</v>
      </c>
      <c r="P2271" t="n">
        <v>0</v>
      </c>
      <c r="Q2271" t="n">
        <v>0</v>
      </c>
      <c r="R2271" s="2" t="inlineStr"/>
    </row>
    <row r="2272" ht="15" customHeight="1">
      <c r="A2272" t="inlineStr">
        <is>
          <t>A 21803-2020</t>
        </is>
      </c>
      <c r="B2272" s="1" t="n">
        <v>43958</v>
      </c>
      <c r="C2272" s="1" t="n">
        <v>45344</v>
      </c>
      <c r="D2272" t="inlineStr">
        <is>
          <t>GÄVLEBORGS LÄN</t>
        </is>
      </c>
      <c r="E2272" t="inlineStr">
        <is>
          <t>HUDIKSVALL</t>
        </is>
      </c>
      <c r="F2272" t="inlineStr">
        <is>
          <t>Holmen skog AB</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21898-2020</t>
        </is>
      </c>
      <c r="B2273" s="1" t="n">
        <v>43958</v>
      </c>
      <c r="C2273" s="1" t="n">
        <v>45344</v>
      </c>
      <c r="D2273" t="inlineStr">
        <is>
          <t>GÄVLEBORGS LÄN</t>
        </is>
      </c>
      <c r="E2273" t="inlineStr">
        <is>
          <t>SANDVIKEN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21899-2020</t>
        </is>
      </c>
      <c r="B2274" s="1" t="n">
        <v>43958</v>
      </c>
      <c r="C2274" s="1" t="n">
        <v>45344</v>
      </c>
      <c r="D2274" t="inlineStr">
        <is>
          <t>GÄVLEBORGS LÄN</t>
        </is>
      </c>
      <c r="E2274" t="inlineStr">
        <is>
          <t>NORDANSTIG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21926-2020</t>
        </is>
      </c>
      <c r="B2275" s="1" t="n">
        <v>43958</v>
      </c>
      <c r="C2275" s="1" t="n">
        <v>45344</v>
      </c>
      <c r="D2275" t="inlineStr">
        <is>
          <t>GÄVLEBORGS LÄN</t>
        </is>
      </c>
      <c r="E2275" t="inlineStr">
        <is>
          <t>HUDIKSVALL</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21961-2020</t>
        </is>
      </c>
      <c r="B2276" s="1" t="n">
        <v>43958</v>
      </c>
      <c r="C2276" s="1" t="n">
        <v>45344</v>
      </c>
      <c r="D2276" t="inlineStr">
        <is>
          <t>GÄVLEBORGS LÄN</t>
        </is>
      </c>
      <c r="E2276" t="inlineStr">
        <is>
          <t>HUDIKSVALL</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22004-2020</t>
        </is>
      </c>
      <c r="B2277" s="1" t="n">
        <v>43959</v>
      </c>
      <c r="C2277" s="1" t="n">
        <v>45344</v>
      </c>
      <c r="D2277" t="inlineStr">
        <is>
          <t>GÄVLEBORGS LÄN</t>
        </is>
      </c>
      <c r="E2277" t="inlineStr">
        <is>
          <t>LJUSDAL</t>
        </is>
      </c>
      <c r="F2277" t="inlineStr">
        <is>
          <t>Sveaskog</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21981-2020</t>
        </is>
      </c>
      <c r="B2278" s="1" t="n">
        <v>43959</v>
      </c>
      <c r="C2278" s="1" t="n">
        <v>45344</v>
      </c>
      <c r="D2278" t="inlineStr">
        <is>
          <t>GÄVLEBORGS LÄN</t>
        </is>
      </c>
      <c r="E2278" t="inlineStr">
        <is>
          <t>GÄVLE</t>
        </is>
      </c>
      <c r="F2278" t="inlineStr">
        <is>
          <t>Bergvik skog öst AB</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22018-2020</t>
        </is>
      </c>
      <c r="B2279" s="1" t="n">
        <v>43959</v>
      </c>
      <c r="C2279" s="1" t="n">
        <v>45344</v>
      </c>
      <c r="D2279" t="inlineStr">
        <is>
          <t>GÄVLEBORGS LÄN</t>
        </is>
      </c>
      <c r="E2279" t="inlineStr">
        <is>
          <t>LJUSDAL</t>
        </is>
      </c>
      <c r="F2279" t="inlineStr">
        <is>
          <t>Sveaskog</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22002-2020</t>
        </is>
      </c>
      <c r="B2280" s="1" t="n">
        <v>43959</v>
      </c>
      <c r="C2280" s="1" t="n">
        <v>45344</v>
      </c>
      <c r="D2280" t="inlineStr">
        <is>
          <t>GÄVLEBORGS LÄN</t>
        </is>
      </c>
      <c r="E2280" t="inlineStr">
        <is>
          <t>LJUSDAL</t>
        </is>
      </c>
      <c r="F2280" t="inlineStr">
        <is>
          <t>Sveaskog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22000-2020</t>
        </is>
      </c>
      <c r="B2281" s="1" t="n">
        <v>43959</v>
      </c>
      <c r="C2281" s="1" t="n">
        <v>45344</v>
      </c>
      <c r="D2281" t="inlineStr">
        <is>
          <t>GÄVLEBORGS LÄN</t>
        </is>
      </c>
      <c r="E2281" t="inlineStr">
        <is>
          <t>SANDVIKEN</t>
        </is>
      </c>
      <c r="G2281" t="n">
        <v>4.9</v>
      </c>
      <c r="H2281" t="n">
        <v>0</v>
      </c>
      <c r="I2281" t="n">
        <v>0</v>
      </c>
      <c r="J2281" t="n">
        <v>0</v>
      </c>
      <c r="K2281" t="n">
        <v>0</v>
      </c>
      <c r="L2281" t="n">
        <v>0</v>
      </c>
      <c r="M2281" t="n">
        <v>0</v>
      </c>
      <c r="N2281" t="n">
        <v>0</v>
      </c>
      <c r="O2281" t="n">
        <v>0</v>
      </c>
      <c r="P2281" t="n">
        <v>0</v>
      </c>
      <c r="Q2281" t="n">
        <v>0</v>
      </c>
      <c r="R2281" s="2" t="inlineStr"/>
    </row>
    <row r="2282" ht="15" customHeight="1">
      <c r="A2282" t="inlineStr">
        <is>
          <t>A 22074-2020</t>
        </is>
      </c>
      <c r="B2282" s="1" t="n">
        <v>43959</v>
      </c>
      <c r="C2282" s="1" t="n">
        <v>45344</v>
      </c>
      <c r="D2282" t="inlineStr">
        <is>
          <t>GÄVLEBORGS LÄN</t>
        </is>
      </c>
      <c r="E2282" t="inlineStr">
        <is>
          <t>NORDANSTIG</t>
        </is>
      </c>
      <c r="F2282" t="inlineStr">
        <is>
          <t>Holmen skog AB</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22006-2020</t>
        </is>
      </c>
      <c r="B2283" s="1" t="n">
        <v>43959</v>
      </c>
      <c r="C2283" s="1" t="n">
        <v>45344</v>
      </c>
      <c r="D2283" t="inlineStr">
        <is>
          <t>GÄVLEBORGS LÄN</t>
        </is>
      </c>
      <c r="E2283" t="inlineStr">
        <is>
          <t>LJUSDAL</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22160-2020</t>
        </is>
      </c>
      <c r="B2284" s="1" t="n">
        <v>43962</v>
      </c>
      <c r="C2284" s="1" t="n">
        <v>45344</v>
      </c>
      <c r="D2284" t="inlineStr">
        <is>
          <t>GÄVLEBORGS LÄN</t>
        </is>
      </c>
      <c r="E2284" t="inlineStr">
        <is>
          <t>LJUSDAL</t>
        </is>
      </c>
      <c r="F2284" t="inlineStr">
        <is>
          <t>Holmen skog AB</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22187-2020</t>
        </is>
      </c>
      <c r="B2285" s="1" t="n">
        <v>43962</v>
      </c>
      <c r="C2285" s="1" t="n">
        <v>45344</v>
      </c>
      <c r="D2285" t="inlineStr">
        <is>
          <t>GÄVLEBORGS LÄN</t>
        </is>
      </c>
      <c r="E2285" t="inlineStr">
        <is>
          <t>OVANÅKER</t>
        </is>
      </c>
      <c r="F2285" t="inlineStr">
        <is>
          <t>Kyrkan</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22403-2020</t>
        </is>
      </c>
      <c r="B2286" s="1" t="n">
        <v>43962</v>
      </c>
      <c r="C2286" s="1" t="n">
        <v>45344</v>
      </c>
      <c r="D2286" t="inlineStr">
        <is>
          <t>GÄVLEBORGS LÄN</t>
        </is>
      </c>
      <c r="E2286" t="inlineStr">
        <is>
          <t>NORDANSTIG</t>
        </is>
      </c>
      <c r="G2286" t="n">
        <v>12.1</v>
      </c>
      <c r="H2286" t="n">
        <v>0</v>
      </c>
      <c r="I2286" t="n">
        <v>0</v>
      </c>
      <c r="J2286" t="n">
        <v>0</v>
      </c>
      <c r="K2286" t="n">
        <v>0</v>
      </c>
      <c r="L2286" t="n">
        <v>0</v>
      </c>
      <c r="M2286" t="n">
        <v>0</v>
      </c>
      <c r="N2286" t="n">
        <v>0</v>
      </c>
      <c r="O2286" t="n">
        <v>0</v>
      </c>
      <c r="P2286" t="n">
        <v>0</v>
      </c>
      <c r="Q2286" t="n">
        <v>0</v>
      </c>
      <c r="R2286" s="2" t="inlineStr"/>
    </row>
    <row r="2287" ht="15" customHeight="1">
      <c r="A2287" t="inlineStr">
        <is>
          <t>A 22268-2020</t>
        </is>
      </c>
      <c r="B2287" s="1" t="n">
        <v>43962</v>
      </c>
      <c r="C2287" s="1" t="n">
        <v>45344</v>
      </c>
      <c r="D2287" t="inlineStr">
        <is>
          <t>GÄVLEBORGS LÄN</t>
        </is>
      </c>
      <c r="E2287" t="inlineStr">
        <is>
          <t>LJUSDAL</t>
        </is>
      </c>
      <c r="F2287" t="inlineStr">
        <is>
          <t>Sveaskog</t>
        </is>
      </c>
      <c r="G2287" t="n">
        <v>7.5</v>
      </c>
      <c r="H2287" t="n">
        <v>0</v>
      </c>
      <c r="I2287" t="n">
        <v>0</v>
      </c>
      <c r="J2287" t="n">
        <v>0</v>
      </c>
      <c r="K2287" t="n">
        <v>0</v>
      </c>
      <c r="L2287" t="n">
        <v>0</v>
      </c>
      <c r="M2287" t="n">
        <v>0</v>
      </c>
      <c r="N2287" t="n">
        <v>0</v>
      </c>
      <c r="O2287" t="n">
        <v>0</v>
      </c>
      <c r="P2287" t="n">
        <v>0</v>
      </c>
      <c r="Q2287" t="n">
        <v>0</v>
      </c>
      <c r="R2287" s="2" t="inlineStr"/>
    </row>
    <row r="2288" ht="15" customHeight="1">
      <c r="A2288" t="inlineStr">
        <is>
          <t>A 22361-2020</t>
        </is>
      </c>
      <c r="B2288" s="1" t="n">
        <v>43962</v>
      </c>
      <c r="C2288" s="1" t="n">
        <v>45344</v>
      </c>
      <c r="D2288" t="inlineStr">
        <is>
          <t>GÄVLEBORGS LÄN</t>
        </is>
      </c>
      <c r="E2288" t="inlineStr">
        <is>
          <t>LJUSDAL</t>
        </is>
      </c>
      <c r="F2288" t="inlineStr">
        <is>
          <t>Bergvik skog väst AB</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22348-2020</t>
        </is>
      </c>
      <c r="B2289" s="1" t="n">
        <v>43962</v>
      </c>
      <c r="C2289" s="1" t="n">
        <v>45344</v>
      </c>
      <c r="D2289" t="inlineStr">
        <is>
          <t>GÄVLEBORGS LÄN</t>
        </is>
      </c>
      <c r="E2289" t="inlineStr">
        <is>
          <t>HUDIKSVALL</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22385-2020</t>
        </is>
      </c>
      <c r="B2290" s="1" t="n">
        <v>43962</v>
      </c>
      <c r="C2290" s="1" t="n">
        <v>45344</v>
      </c>
      <c r="D2290" t="inlineStr">
        <is>
          <t>GÄVLEBORGS LÄN</t>
        </is>
      </c>
      <c r="E2290" t="inlineStr">
        <is>
          <t>GÄVLE</t>
        </is>
      </c>
      <c r="F2290" t="inlineStr">
        <is>
          <t>Bergvik skog öst AB</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22378-2020</t>
        </is>
      </c>
      <c r="B2291" s="1" t="n">
        <v>43962</v>
      </c>
      <c r="C2291" s="1" t="n">
        <v>45344</v>
      </c>
      <c r="D2291" t="inlineStr">
        <is>
          <t>GÄVLEBORGS LÄN</t>
        </is>
      </c>
      <c r="E2291" t="inlineStr">
        <is>
          <t>LJUSDAL</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22432-2020</t>
        </is>
      </c>
      <c r="B2292" s="1" t="n">
        <v>43963</v>
      </c>
      <c r="C2292" s="1" t="n">
        <v>45344</v>
      </c>
      <c r="D2292" t="inlineStr">
        <is>
          <t>GÄVLEBORGS LÄN</t>
        </is>
      </c>
      <c r="E2292" t="inlineStr">
        <is>
          <t>BOLLNÄS</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22440-2020</t>
        </is>
      </c>
      <c r="B2293" s="1" t="n">
        <v>43963</v>
      </c>
      <c r="C2293" s="1" t="n">
        <v>45344</v>
      </c>
      <c r="D2293" t="inlineStr">
        <is>
          <t>GÄVLEBORGS LÄN</t>
        </is>
      </c>
      <c r="E2293" t="inlineStr">
        <is>
          <t>SANDVIKEN</t>
        </is>
      </c>
      <c r="G2293" t="n">
        <v>3.4</v>
      </c>
      <c r="H2293" t="n">
        <v>0</v>
      </c>
      <c r="I2293" t="n">
        <v>0</v>
      </c>
      <c r="J2293" t="n">
        <v>0</v>
      </c>
      <c r="K2293" t="n">
        <v>0</v>
      </c>
      <c r="L2293" t="n">
        <v>0</v>
      </c>
      <c r="M2293" t="n">
        <v>0</v>
      </c>
      <c r="N2293" t="n">
        <v>0</v>
      </c>
      <c r="O2293" t="n">
        <v>0</v>
      </c>
      <c r="P2293" t="n">
        <v>0</v>
      </c>
      <c r="Q2293" t="n">
        <v>0</v>
      </c>
      <c r="R2293" s="2" t="inlineStr"/>
    </row>
    <row r="2294" ht="15" customHeight="1">
      <c r="A2294" t="inlineStr">
        <is>
          <t>A 22430-2020</t>
        </is>
      </c>
      <c r="B2294" s="1" t="n">
        <v>43963</v>
      </c>
      <c r="C2294" s="1" t="n">
        <v>45344</v>
      </c>
      <c r="D2294" t="inlineStr">
        <is>
          <t>GÄVLEBORGS LÄN</t>
        </is>
      </c>
      <c r="E2294" t="inlineStr">
        <is>
          <t>BOLLNÄS</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22875-2020</t>
        </is>
      </c>
      <c r="B2295" s="1" t="n">
        <v>43964</v>
      </c>
      <c r="C2295" s="1" t="n">
        <v>45344</v>
      </c>
      <c r="D2295" t="inlineStr">
        <is>
          <t>GÄVLEBORGS LÄN</t>
        </is>
      </c>
      <c r="E2295" t="inlineStr">
        <is>
          <t>LJUSDAL</t>
        </is>
      </c>
      <c r="F2295" t="inlineStr">
        <is>
          <t>Sveaskog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22959-2020</t>
        </is>
      </c>
      <c r="B2296" s="1" t="n">
        <v>43965</v>
      </c>
      <c r="C2296" s="1" t="n">
        <v>45344</v>
      </c>
      <c r="D2296" t="inlineStr">
        <is>
          <t>GÄVLEBORGS LÄN</t>
        </is>
      </c>
      <c r="E2296" t="inlineStr">
        <is>
          <t>LJUSDAL</t>
        </is>
      </c>
      <c r="F2296" t="inlineStr">
        <is>
          <t>Sveaskog</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22967-2020</t>
        </is>
      </c>
      <c r="B2297" s="1" t="n">
        <v>43965</v>
      </c>
      <c r="C2297" s="1" t="n">
        <v>45344</v>
      </c>
      <c r="D2297" t="inlineStr">
        <is>
          <t>GÄVLEBORGS LÄN</t>
        </is>
      </c>
      <c r="E2297" t="inlineStr">
        <is>
          <t>HUDIKSVALL</t>
        </is>
      </c>
      <c r="F2297" t="inlineStr">
        <is>
          <t>Holmen skog AB</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23059-2020</t>
        </is>
      </c>
      <c r="B2298" s="1" t="n">
        <v>43965</v>
      </c>
      <c r="C2298" s="1" t="n">
        <v>45344</v>
      </c>
      <c r="D2298" t="inlineStr">
        <is>
          <t>GÄVLEBORGS LÄN</t>
        </is>
      </c>
      <c r="E2298" t="inlineStr">
        <is>
          <t>HUDIKSVALL</t>
        </is>
      </c>
      <c r="F2298" t="inlineStr">
        <is>
          <t>Holmen skog AB</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22972-2020</t>
        </is>
      </c>
      <c r="B2299" s="1" t="n">
        <v>43965</v>
      </c>
      <c r="C2299" s="1" t="n">
        <v>45344</v>
      </c>
      <c r="D2299" t="inlineStr">
        <is>
          <t>GÄVLEBORGS LÄN</t>
        </is>
      </c>
      <c r="E2299" t="inlineStr">
        <is>
          <t>HUDIKSVALL</t>
        </is>
      </c>
      <c r="F2299" t="inlineStr">
        <is>
          <t>Holmen skog AB</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23008-2020</t>
        </is>
      </c>
      <c r="B2300" s="1" t="n">
        <v>43965</v>
      </c>
      <c r="C2300" s="1" t="n">
        <v>45344</v>
      </c>
      <c r="D2300" t="inlineStr">
        <is>
          <t>GÄVLEBORGS LÄN</t>
        </is>
      </c>
      <c r="E2300" t="inlineStr">
        <is>
          <t>HUDIKSVALL</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23060-2020</t>
        </is>
      </c>
      <c r="B2301" s="1" t="n">
        <v>43965</v>
      </c>
      <c r="C2301" s="1" t="n">
        <v>45344</v>
      </c>
      <c r="D2301" t="inlineStr">
        <is>
          <t>GÄVLEBORGS LÄN</t>
        </is>
      </c>
      <c r="E2301" t="inlineStr">
        <is>
          <t>OVANÅKER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23049-2020</t>
        </is>
      </c>
      <c r="B2302" s="1" t="n">
        <v>43965</v>
      </c>
      <c r="C2302" s="1" t="n">
        <v>45344</v>
      </c>
      <c r="D2302" t="inlineStr">
        <is>
          <t>GÄVLEBORGS LÄN</t>
        </is>
      </c>
      <c r="E2302" t="inlineStr">
        <is>
          <t>HUDIKSVALL</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23117-2020</t>
        </is>
      </c>
      <c r="B2303" s="1" t="n">
        <v>43965</v>
      </c>
      <c r="C2303" s="1" t="n">
        <v>45344</v>
      </c>
      <c r="D2303" t="inlineStr">
        <is>
          <t>GÄVLEBORGS LÄN</t>
        </is>
      </c>
      <c r="E2303" t="inlineStr">
        <is>
          <t>LJUSDAL</t>
        </is>
      </c>
      <c r="F2303" t="inlineStr">
        <is>
          <t>Bergvik skog väst AB</t>
        </is>
      </c>
      <c r="G2303" t="n">
        <v>0.4</v>
      </c>
      <c r="H2303" t="n">
        <v>0</v>
      </c>
      <c r="I2303" t="n">
        <v>0</v>
      </c>
      <c r="J2303" t="n">
        <v>0</v>
      </c>
      <c r="K2303" t="n">
        <v>0</v>
      </c>
      <c r="L2303" t="n">
        <v>0</v>
      </c>
      <c r="M2303" t="n">
        <v>0</v>
      </c>
      <c r="N2303" t="n">
        <v>0</v>
      </c>
      <c r="O2303" t="n">
        <v>0</v>
      </c>
      <c r="P2303" t="n">
        <v>0</v>
      </c>
      <c r="Q2303" t="n">
        <v>0</v>
      </c>
      <c r="R2303" s="2" t="inlineStr"/>
    </row>
    <row r="2304" ht="15" customHeight="1">
      <c r="A2304" t="inlineStr">
        <is>
          <t>A 23057-2020</t>
        </is>
      </c>
      <c r="B2304" s="1" t="n">
        <v>43965</v>
      </c>
      <c r="C2304" s="1" t="n">
        <v>45344</v>
      </c>
      <c r="D2304" t="inlineStr">
        <is>
          <t>GÄVLEBORGS LÄN</t>
        </is>
      </c>
      <c r="E2304" t="inlineStr">
        <is>
          <t>OVANÅKER</t>
        </is>
      </c>
      <c r="F2304" t="inlineStr">
        <is>
          <t>Sveaskog</t>
        </is>
      </c>
      <c r="G2304" t="n">
        <v>3.7</v>
      </c>
      <c r="H2304" t="n">
        <v>0</v>
      </c>
      <c r="I2304" t="n">
        <v>0</v>
      </c>
      <c r="J2304" t="n">
        <v>0</v>
      </c>
      <c r="K2304" t="n">
        <v>0</v>
      </c>
      <c r="L2304" t="n">
        <v>0</v>
      </c>
      <c r="M2304" t="n">
        <v>0</v>
      </c>
      <c r="N2304" t="n">
        <v>0</v>
      </c>
      <c r="O2304" t="n">
        <v>0</v>
      </c>
      <c r="P2304" t="n">
        <v>0</v>
      </c>
      <c r="Q2304" t="n">
        <v>0</v>
      </c>
      <c r="R2304" s="2" t="inlineStr"/>
    </row>
    <row r="2305" ht="15" customHeight="1">
      <c r="A2305" t="inlineStr">
        <is>
          <t>A 23237-2020</t>
        </is>
      </c>
      <c r="B2305" s="1" t="n">
        <v>43966</v>
      </c>
      <c r="C2305" s="1" t="n">
        <v>45344</v>
      </c>
      <c r="D2305" t="inlineStr">
        <is>
          <t>GÄVLEBORGS LÄN</t>
        </is>
      </c>
      <c r="E2305" t="inlineStr">
        <is>
          <t>NORDANSTIG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23276-2020</t>
        </is>
      </c>
      <c r="B2306" s="1" t="n">
        <v>43966</v>
      </c>
      <c r="C2306" s="1" t="n">
        <v>45344</v>
      </c>
      <c r="D2306" t="inlineStr">
        <is>
          <t>GÄVLEBORGS LÄN</t>
        </is>
      </c>
      <c r="E2306" t="inlineStr">
        <is>
          <t>LJUSDAL</t>
        </is>
      </c>
      <c r="F2306" t="inlineStr">
        <is>
          <t>Sveaskog</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23171-2020</t>
        </is>
      </c>
      <c r="B2307" s="1" t="n">
        <v>43966</v>
      </c>
      <c r="C2307" s="1" t="n">
        <v>45344</v>
      </c>
      <c r="D2307" t="inlineStr">
        <is>
          <t>GÄVLEBORGS LÄN</t>
        </is>
      </c>
      <c r="E2307" t="inlineStr">
        <is>
          <t>SÖDERHAMN</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23280-2020</t>
        </is>
      </c>
      <c r="B2308" s="1" t="n">
        <v>43966</v>
      </c>
      <c r="C2308" s="1" t="n">
        <v>45344</v>
      </c>
      <c r="D2308" t="inlineStr">
        <is>
          <t>GÄVLEBORGS LÄN</t>
        </is>
      </c>
      <c r="E2308" t="inlineStr">
        <is>
          <t>LJUSDAL</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23271-2020</t>
        </is>
      </c>
      <c r="B2309" s="1" t="n">
        <v>43966</v>
      </c>
      <c r="C2309" s="1" t="n">
        <v>45344</v>
      </c>
      <c r="D2309" t="inlineStr">
        <is>
          <t>GÄVLEBORGS LÄN</t>
        </is>
      </c>
      <c r="E2309" t="inlineStr">
        <is>
          <t>LJUSDAL</t>
        </is>
      </c>
      <c r="F2309" t="inlineStr">
        <is>
          <t>Sveaskog</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23285-2020</t>
        </is>
      </c>
      <c r="B2310" s="1" t="n">
        <v>43966</v>
      </c>
      <c r="C2310" s="1" t="n">
        <v>45344</v>
      </c>
      <c r="D2310" t="inlineStr">
        <is>
          <t>GÄVLEBORGS LÄN</t>
        </is>
      </c>
      <c r="E2310" t="inlineStr">
        <is>
          <t>HUDIKSVALL</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23429-2020</t>
        </is>
      </c>
      <c r="B2311" s="1" t="n">
        <v>43969</v>
      </c>
      <c r="C2311" s="1" t="n">
        <v>45344</v>
      </c>
      <c r="D2311" t="inlineStr">
        <is>
          <t>GÄVLEBORGS LÄN</t>
        </is>
      </c>
      <c r="E2311" t="inlineStr">
        <is>
          <t>HUDIKSVALL</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23424-2020</t>
        </is>
      </c>
      <c r="B2312" s="1" t="n">
        <v>43969</v>
      </c>
      <c r="C2312" s="1" t="n">
        <v>45344</v>
      </c>
      <c r="D2312" t="inlineStr">
        <is>
          <t>GÄVLEBORGS LÄN</t>
        </is>
      </c>
      <c r="E2312" t="inlineStr">
        <is>
          <t>LJUSDAL</t>
        </is>
      </c>
      <c r="F2312" t="inlineStr">
        <is>
          <t>Holmen skog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23527-2020</t>
        </is>
      </c>
      <c r="B2313" s="1" t="n">
        <v>43969</v>
      </c>
      <c r="C2313" s="1" t="n">
        <v>45344</v>
      </c>
      <c r="D2313" t="inlineStr">
        <is>
          <t>GÄVLEBORGS LÄN</t>
        </is>
      </c>
      <c r="E2313" t="inlineStr">
        <is>
          <t>OVANÅKER</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23618-2020</t>
        </is>
      </c>
      <c r="B2314" s="1" t="n">
        <v>43969</v>
      </c>
      <c r="C2314" s="1" t="n">
        <v>45344</v>
      </c>
      <c r="D2314" t="inlineStr">
        <is>
          <t>GÄVLEBORGS LÄN</t>
        </is>
      </c>
      <c r="E2314" t="inlineStr">
        <is>
          <t>NORDANSTIG</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23682-2020</t>
        </is>
      </c>
      <c r="B2315" s="1" t="n">
        <v>43970</v>
      </c>
      <c r="C2315" s="1" t="n">
        <v>45344</v>
      </c>
      <c r="D2315" t="inlineStr">
        <is>
          <t>GÄVLEBORGS LÄN</t>
        </is>
      </c>
      <c r="E2315" t="inlineStr">
        <is>
          <t>SÖDERHAMN</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23926-2020</t>
        </is>
      </c>
      <c r="B2316" s="1" t="n">
        <v>43971</v>
      </c>
      <c r="C2316" s="1" t="n">
        <v>45344</v>
      </c>
      <c r="D2316" t="inlineStr">
        <is>
          <t>GÄVLEBORGS LÄN</t>
        </is>
      </c>
      <c r="E2316" t="inlineStr">
        <is>
          <t>HUDIKSVALL</t>
        </is>
      </c>
      <c r="F2316" t="inlineStr">
        <is>
          <t>Holmen skog AB</t>
        </is>
      </c>
      <c r="G2316" t="n">
        <v>5.5</v>
      </c>
      <c r="H2316" t="n">
        <v>0</v>
      </c>
      <c r="I2316" t="n">
        <v>0</v>
      </c>
      <c r="J2316" t="n">
        <v>0</v>
      </c>
      <c r="K2316" t="n">
        <v>0</v>
      </c>
      <c r="L2316" t="n">
        <v>0</v>
      </c>
      <c r="M2316" t="n">
        <v>0</v>
      </c>
      <c r="N2316" t="n">
        <v>0</v>
      </c>
      <c r="O2316" t="n">
        <v>0</v>
      </c>
      <c r="P2316" t="n">
        <v>0</v>
      </c>
      <c r="Q2316" t="n">
        <v>0</v>
      </c>
      <c r="R2316" s="2" t="inlineStr"/>
    </row>
    <row r="2317" ht="15" customHeight="1">
      <c r="A2317" t="inlineStr">
        <is>
          <t>A 23866-2020</t>
        </is>
      </c>
      <c r="B2317" s="1" t="n">
        <v>43971</v>
      </c>
      <c r="C2317" s="1" t="n">
        <v>45344</v>
      </c>
      <c r="D2317" t="inlineStr">
        <is>
          <t>GÄVLEBORGS LÄN</t>
        </is>
      </c>
      <c r="E2317" t="inlineStr">
        <is>
          <t>LJUSDAL</t>
        </is>
      </c>
      <c r="F2317" t="inlineStr">
        <is>
          <t>Sveaskog</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23990-2020</t>
        </is>
      </c>
      <c r="B2318" s="1" t="n">
        <v>43971</v>
      </c>
      <c r="C2318" s="1" t="n">
        <v>45344</v>
      </c>
      <c r="D2318" t="inlineStr">
        <is>
          <t>GÄVLEBORGS LÄN</t>
        </is>
      </c>
      <c r="E2318" t="inlineStr">
        <is>
          <t>HUDIKSVALL</t>
        </is>
      </c>
      <c r="F2318" t="inlineStr">
        <is>
          <t>Holmen skog AB</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23966-2020</t>
        </is>
      </c>
      <c r="B2319" s="1" t="n">
        <v>43971</v>
      </c>
      <c r="C2319" s="1" t="n">
        <v>45344</v>
      </c>
      <c r="D2319" t="inlineStr">
        <is>
          <t>GÄVLEBORGS LÄN</t>
        </is>
      </c>
      <c r="E2319" t="inlineStr">
        <is>
          <t>LJUSDAL</t>
        </is>
      </c>
      <c r="F2319" t="inlineStr">
        <is>
          <t>Holmen skog AB</t>
        </is>
      </c>
      <c r="G2319" t="n">
        <v>16.9</v>
      </c>
      <c r="H2319" t="n">
        <v>0</v>
      </c>
      <c r="I2319" t="n">
        <v>0</v>
      </c>
      <c r="J2319" t="n">
        <v>0</v>
      </c>
      <c r="K2319" t="n">
        <v>0</v>
      </c>
      <c r="L2319" t="n">
        <v>0</v>
      </c>
      <c r="M2319" t="n">
        <v>0</v>
      </c>
      <c r="N2319" t="n">
        <v>0</v>
      </c>
      <c r="O2319" t="n">
        <v>0</v>
      </c>
      <c r="P2319" t="n">
        <v>0</v>
      </c>
      <c r="Q2319" t="n">
        <v>0</v>
      </c>
      <c r="R2319" s="2" t="inlineStr"/>
    </row>
    <row r="2320" ht="15" customHeight="1">
      <c r="A2320" t="inlineStr">
        <is>
          <t>A 23981-2020</t>
        </is>
      </c>
      <c r="B2320" s="1" t="n">
        <v>43971</v>
      </c>
      <c r="C2320" s="1" t="n">
        <v>45344</v>
      </c>
      <c r="D2320" t="inlineStr">
        <is>
          <t>GÄVLEBORGS LÄN</t>
        </is>
      </c>
      <c r="E2320" t="inlineStr">
        <is>
          <t>LJUSDAL</t>
        </is>
      </c>
      <c r="F2320" t="inlineStr">
        <is>
          <t>Bergvik skog väst AB</t>
        </is>
      </c>
      <c r="G2320" t="n">
        <v>9.4</v>
      </c>
      <c r="H2320" t="n">
        <v>0</v>
      </c>
      <c r="I2320" t="n">
        <v>0</v>
      </c>
      <c r="J2320" t="n">
        <v>0</v>
      </c>
      <c r="K2320" t="n">
        <v>0</v>
      </c>
      <c r="L2320" t="n">
        <v>0</v>
      </c>
      <c r="M2320" t="n">
        <v>0</v>
      </c>
      <c r="N2320" t="n">
        <v>0</v>
      </c>
      <c r="O2320" t="n">
        <v>0</v>
      </c>
      <c r="P2320" t="n">
        <v>0</v>
      </c>
      <c r="Q2320" t="n">
        <v>0</v>
      </c>
      <c r="R2320" s="2" t="inlineStr"/>
    </row>
    <row r="2321" ht="15" customHeight="1">
      <c r="A2321" t="inlineStr">
        <is>
          <t>A 24130-2020</t>
        </is>
      </c>
      <c r="B2321" s="1" t="n">
        <v>43973</v>
      </c>
      <c r="C2321" s="1" t="n">
        <v>45344</v>
      </c>
      <c r="D2321" t="inlineStr">
        <is>
          <t>GÄVLEBORGS LÄN</t>
        </is>
      </c>
      <c r="E2321" t="inlineStr">
        <is>
          <t>NORDANSTIG</t>
        </is>
      </c>
      <c r="F2321" t="inlineStr">
        <is>
          <t>Holmen skog AB</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24125-2020</t>
        </is>
      </c>
      <c r="B2322" s="1" t="n">
        <v>43973</v>
      </c>
      <c r="C2322" s="1" t="n">
        <v>45344</v>
      </c>
      <c r="D2322" t="inlineStr">
        <is>
          <t>GÄVLEBORGS LÄN</t>
        </is>
      </c>
      <c r="E2322" t="inlineStr">
        <is>
          <t>NORDANSTIG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24102-2020</t>
        </is>
      </c>
      <c r="B2323" s="1" t="n">
        <v>43973</v>
      </c>
      <c r="C2323" s="1" t="n">
        <v>45344</v>
      </c>
      <c r="D2323" t="inlineStr">
        <is>
          <t>GÄVLEBORGS LÄN</t>
        </is>
      </c>
      <c r="E2323" t="inlineStr">
        <is>
          <t>NORDANSTIG</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24126-2020</t>
        </is>
      </c>
      <c r="B2324" s="1" t="n">
        <v>43973</v>
      </c>
      <c r="C2324" s="1" t="n">
        <v>45344</v>
      </c>
      <c r="D2324" t="inlineStr">
        <is>
          <t>GÄVLEBORGS LÄN</t>
        </is>
      </c>
      <c r="E2324" t="inlineStr">
        <is>
          <t>NORDANSTIG</t>
        </is>
      </c>
      <c r="F2324" t="inlineStr">
        <is>
          <t>Holmen skog AB</t>
        </is>
      </c>
      <c r="G2324" t="n">
        <v>8</v>
      </c>
      <c r="H2324" t="n">
        <v>0</v>
      </c>
      <c r="I2324" t="n">
        <v>0</v>
      </c>
      <c r="J2324" t="n">
        <v>0</v>
      </c>
      <c r="K2324" t="n">
        <v>0</v>
      </c>
      <c r="L2324" t="n">
        <v>0</v>
      </c>
      <c r="M2324" t="n">
        <v>0</v>
      </c>
      <c r="N2324" t="n">
        <v>0</v>
      </c>
      <c r="O2324" t="n">
        <v>0</v>
      </c>
      <c r="P2324" t="n">
        <v>0</v>
      </c>
      <c r="Q2324" t="n">
        <v>0</v>
      </c>
      <c r="R2324" s="2" t="inlineStr"/>
    </row>
    <row r="2325" ht="15" customHeight="1">
      <c r="A2325" t="inlineStr">
        <is>
          <t>A 24238-2020</t>
        </is>
      </c>
      <c r="B2325" s="1" t="n">
        <v>43976</v>
      </c>
      <c r="C2325" s="1" t="n">
        <v>45344</v>
      </c>
      <c r="D2325" t="inlineStr">
        <is>
          <t>GÄVLEBORGS LÄN</t>
        </is>
      </c>
      <c r="E2325" t="inlineStr">
        <is>
          <t>NORDANSTIG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24294-2020</t>
        </is>
      </c>
      <c r="B2326" s="1" t="n">
        <v>43976</v>
      </c>
      <c r="C2326" s="1" t="n">
        <v>45344</v>
      </c>
      <c r="D2326" t="inlineStr">
        <is>
          <t>GÄVLEBORGS LÄN</t>
        </is>
      </c>
      <c r="E2326" t="inlineStr">
        <is>
          <t>NORDANSTIG</t>
        </is>
      </c>
      <c r="F2326" t="inlineStr">
        <is>
          <t>Holmen skog AB</t>
        </is>
      </c>
      <c r="G2326" t="n">
        <v>7.4</v>
      </c>
      <c r="H2326" t="n">
        <v>0</v>
      </c>
      <c r="I2326" t="n">
        <v>0</v>
      </c>
      <c r="J2326" t="n">
        <v>0</v>
      </c>
      <c r="K2326" t="n">
        <v>0</v>
      </c>
      <c r="L2326" t="n">
        <v>0</v>
      </c>
      <c r="M2326" t="n">
        <v>0</v>
      </c>
      <c r="N2326" t="n">
        <v>0</v>
      </c>
      <c r="O2326" t="n">
        <v>0</v>
      </c>
      <c r="P2326" t="n">
        <v>0</v>
      </c>
      <c r="Q2326" t="n">
        <v>0</v>
      </c>
      <c r="R2326" s="2" t="inlineStr"/>
    </row>
    <row r="2327" ht="15" customHeight="1">
      <c r="A2327" t="inlineStr">
        <is>
          <t>A 24230-2020</t>
        </is>
      </c>
      <c r="B2327" s="1" t="n">
        <v>43976</v>
      </c>
      <c r="C2327" s="1" t="n">
        <v>45344</v>
      </c>
      <c r="D2327" t="inlineStr">
        <is>
          <t>GÄVLEBORGS LÄN</t>
        </is>
      </c>
      <c r="E2327" t="inlineStr">
        <is>
          <t>NORDANSTIG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24437-2020</t>
        </is>
      </c>
      <c r="B2328" s="1" t="n">
        <v>43977</v>
      </c>
      <c r="C2328" s="1" t="n">
        <v>45344</v>
      </c>
      <c r="D2328" t="inlineStr">
        <is>
          <t>GÄVLEBORGS LÄN</t>
        </is>
      </c>
      <c r="E2328" t="inlineStr">
        <is>
          <t>OCKELBO</t>
        </is>
      </c>
      <c r="F2328" t="inlineStr">
        <is>
          <t>Bergvik skog väst AB</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24603-2020</t>
        </is>
      </c>
      <c r="B2329" s="1" t="n">
        <v>43977</v>
      </c>
      <c r="C2329" s="1" t="n">
        <v>45344</v>
      </c>
      <c r="D2329" t="inlineStr">
        <is>
          <t>GÄVLEBORGS LÄN</t>
        </is>
      </c>
      <c r="E2329" t="inlineStr">
        <is>
          <t>NORDANSTIG</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24621-2020</t>
        </is>
      </c>
      <c r="B2330" s="1" t="n">
        <v>43977</v>
      </c>
      <c r="C2330" s="1" t="n">
        <v>45344</v>
      </c>
      <c r="D2330" t="inlineStr">
        <is>
          <t>GÄVLEBORGS LÄN</t>
        </is>
      </c>
      <c r="E2330" t="inlineStr">
        <is>
          <t>LJUSDAL</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24721-2020</t>
        </is>
      </c>
      <c r="B2331" s="1" t="n">
        <v>43978</v>
      </c>
      <c r="C2331" s="1" t="n">
        <v>45344</v>
      </c>
      <c r="D2331" t="inlineStr">
        <is>
          <t>GÄVLEBORGS LÄN</t>
        </is>
      </c>
      <c r="E2331" t="inlineStr">
        <is>
          <t>NORDANSTIG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24824-2020</t>
        </is>
      </c>
      <c r="B2332" s="1" t="n">
        <v>43978</v>
      </c>
      <c r="C2332" s="1" t="n">
        <v>45344</v>
      </c>
      <c r="D2332" t="inlineStr">
        <is>
          <t>GÄVLEBORGS LÄN</t>
        </is>
      </c>
      <c r="E2332" t="inlineStr">
        <is>
          <t>LJUSDAL</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24780-2020</t>
        </is>
      </c>
      <c r="B2333" s="1" t="n">
        <v>43978</v>
      </c>
      <c r="C2333" s="1" t="n">
        <v>45344</v>
      </c>
      <c r="D2333" t="inlineStr">
        <is>
          <t>GÄVLEBORGS LÄN</t>
        </is>
      </c>
      <c r="E2333" t="inlineStr">
        <is>
          <t>GÄVLE</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25060-2020</t>
        </is>
      </c>
      <c r="B2334" s="1" t="n">
        <v>43979</v>
      </c>
      <c r="C2334" s="1" t="n">
        <v>45344</v>
      </c>
      <c r="D2334" t="inlineStr">
        <is>
          <t>GÄVLEBORGS LÄN</t>
        </is>
      </c>
      <c r="E2334" t="inlineStr">
        <is>
          <t>LJUSDAL</t>
        </is>
      </c>
      <c r="F2334" t="inlineStr">
        <is>
          <t>Sveaskog</t>
        </is>
      </c>
      <c r="G2334" t="n">
        <v>5.8</v>
      </c>
      <c r="H2334" t="n">
        <v>0</v>
      </c>
      <c r="I2334" t="n">
        <v>0</v>
      </c>
      <c r="J2334" t="n">
        <v>0</v>
      </c>
      <c r="K2334" t="n">
        <v>0</v>
      </c>
      <c r="L2334" t="n">
        <v>0</v>
      </c>
      <c r="M2334" t="n">
        <v>0</v>
      </c>
      <c r="N2334" t="n">
        <v>0</v>
      </c>
      <c r="O2334" t="n">
        <v>0</v>
      </c>
      <c r="P2334" t="n">
        <v>0</v>
      </c>
      <c r="Q2334" t="n">
        <v>0</v>
      </c>
      <c r="R2334" s="2" t="inlineStr"/>
    </row>
    <row r="2335" ht="15" customHeight="1">
      <c r="A2335" t="inlineStr">
        <is>
          <t>A 25009-2020</t>
        </is>
      </c>
      <c r="B2335" s="1" t="n">
        <v>43979</v>
      </c>
      <c r="C2335" s="1" t="n">
        <v>45344</v>
      </c>
      <c r="D2335" t="inlineStr">
        <is>
          <t>GÄVLEBORGS LÄN</t>
        </is>
      </c>
      <c r="E2335" t="inlineStr">
        <is>
          <t>GÄVLE</t>
        </is>
      </c>
      <c r="F2335" t="inlineStr">
        <is>
          <t>Bergvik skog öst AB</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25024-2020</t>
        </is>
      </c>
      <c r="B2336" s="1" t="n">
        <v>43979</v>
      </c>
      <c r="C2336" s="1" t="n">
        <v>45344</v>
      </c>
      <c r="D2336" t="inlineStr">
        <is>
          <t>GÄVLEBORGS LÄN</t>
        </is>
      </c>
      <c r="E2336" t="inlineStr">
        <is>
          <t>NORDANSTIG</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25032-2020</t>
        </is>
      </c>
      <c r="B2337" s="1" t="n">
        <v>43979</v>
      </c>
      <c r="C2337" s="1" t="n">
        <v>45344</v>
      </c>
      <c r="D2337" t="inlineStr">
        <is>
          <t>GÄVLEBORGS LÄN</t>
        </is>
      </c>
      <c r="E2337" t="inlineStr">
        <is>
          <t>NORDANSTIG</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24901-2020</t>
        </is>
      </c>
      <c r="B2338" s="1" t="n">
        <v>43979</v>
      </c>
      <c r="C2338" s="1" t="n">
        <v>45344</v>
      </c>
      <c r="D2338" t="inlineStr">
        <is>
          <t>GÄVLEBORGS LÄN</t>
        </is>
      </c>
      <c r="E2338" t="inlineStr">
        <is>
          <t>SÖDERHAMN</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24899-2020</t>
        </is>
      </c>
      <c r="B2339" s="1" t="n">
        <v>43979</v>
      </c>
      <c r="C2339" s="1" t="n">
        <v>45344</v>
      </c>
      <c r="D2339" t="inlineStr">
        <is>
          <t>GÄVLEBORGS LÄN</t>
        </is>
      </c>
      <c r="E2339" t="inlineStr">
        <is>
          <t>LJUSDAL</t>
        </is>
      </c>
      <c r="F2339" t="inlineStr">
        <is>
          <t>Sveaskog</t>
        </is>
      </c>
      <c r="G2339" t="n">
        <v>5.2</v>
      </c>
      <c r="H2339" t="n">
        <v>0</v>
      </c>
      <c r="I2339" t="n">
        <v>0</v>
      </c>
      <c r="J2339" t="n">
        <v>0</v>
      </c>
      <c r="K2339" t="n">
        <v>0</v>
      </c>
      <c r="L2339" t="n">
        <v>0</v>
      </c>
      <c r="M2339" t="n">
        <v>0</v>
      </c>
      <c r="N2339" t="n">
        <v>0</v>
      </c>
      <c r="O2339" t="n">
        <v>0</v>
      </c>
      <c r="P2339" t="n">
        <v>0</v>
      </c>
      <c r="Q2339" t="n">
        <v>0</v>
      </c>
      <c r="R2339" s="2" t="inlineStr"/>
    </row>
    <row r="2340" ht="15" customHeight="1">
      <c r="A2340" t="inlineStr">
        <is>
          <t>A 24909-2020</t>
        </is>
      </c>
      <c r="B2340" s="1" t="n">
        <v>43979</v>
      </c>
      <c r="C2340" s="1" t="n">
        <v>45344</v>
      </c>
      <c r="D2340" t="inlineStr">
        <is>
          <t>GÄVLEBORGS LÄN</t>
        </is>
      </c>
      <c r="E2340" t="inlineStr">
        <is>
          <t>HUDIKSVALL</t>
        </is>
      </c>
      <c r="G2340" t="n">
        <v>4.2</v>
      </c>
      <c r="H2340" t="n">
        <v>0</v>
      </c>
      <c r="I2340" t="n">
        <v>0</v>
      </c>
      <c r="J2340" t="n">
        <v>0</v>
      </c>
      <c r="K2340" t="n">
        <v>0</v>
      </c>
      <c r="L2340" t="n">
        <v>0</v>
      </c>
      <c r="M2340" t="n">
        <v>0</v>
      </c>
      <c r="N2340" t="n">
        <v>0</v>
      </c>
      <c r="O2340" t="n">
        <v>0</v>
      </c>
      <c r="P2340" t="n">
        <v>0</v>
      </c>
      <c r="Q2340" t="n">
        <v>0</v>
      </c>
      <c r="R2340" s="2" t="inlineStr"/>
    </row>
    <row r="2341" ht="15" customHeight="1">
      <c r="A2341" t="inlineStr">
        <is>
          <t>A 25014-2020</t>
        </is>
      </c>
      <c r="B2341" s="1" t="n">
        <v>43979</v>
      </c>
      <c r="C2341" s="1" t="n">
        <v>45344</v>
      </c>
      <c r="D2341" t="inlineStr">
        <is>
          <t>GÄVLEBORGS LÄN</t>
        </is>
      </c>
      <c r="E2341" t="inlineStr">
        <is>
          <t>LJUSDAL</t>
        </is>
      </c>
      <c r="F2341" t="inlineStr">
        <is>
          <t>Sveaskog</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25018-2020</t>
        </is>
      </c>
      <c r="B2342" s="1" t="n">
        <v>43979</v>
      </c>
      <c r="C2342" s="1" t="n">
        <v>45344</v>
      </c>
      <c r="D2342" t="inlineStr">
        <is>
          <t>GÄVLEBORGS LÄN</t>
        </is>
      </c>
      <c r="E2342" t="inlineStr">
        <is>
          <t>LJUSDAL</t>
        </is>
      </c>
      <c r="F2342" t="inlineStr">
        <is>
          <t>Sveaskog</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25015-2020</t>
        </is>
      </c>
      <c r="B2343" s="1" t="n">
        <v>43979</v>
      </c>
      <c r="C2343" s="1" t="n">
        <v>45344</v>
      </c>
      <c r="D2343" t="inlineStr">
        <is>
          <t>GÄVLEBORGS LÄN</t>
        </is>
      </c>
      <c r="E2343" t="inlineStr">
        <is>
          <t>LJUSDAL</t>
        </is>
      </c>
      <c r="F2343" t="inlineStr">
        <is>
          <t>Sveaskog</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25220-2020</t>
        </is>
      </c>
      <c r="B2344" s="1" t="n">
        <v>43980</v>
      </c>
      <c r="C2344" s="1" t="n">
        <v>45344</v>
      </c>
      <c r="D2344" t="inlineStr">
        <is>
          <t>GÄVLEBORGS LÄN</t>
        </is>
      </c>
      <c r="E2344" t="inlineStr">
        <is>
          <t>GÄVLE</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25270-2020</t>
        </is>
      </c>
      <c r="B2345" s="1" t="n">
        <v>43980</v>
      </c>
      <c r="C2345" s="1" t="n">
        <v>45344</v>
      </c>
      <c r="D2345" t="inlineStr">
        <is>
          <t>GÄVLEBORGS LÄN</t>
        </is>
      </c>
      <c r="E2345" t="inlineStr">
        <is>
          <t>HUDIKSVALL</t>
        </is>
      </c>
      <c r="F2345" t="inlineStr">
        <is>
          <t>Holmen skog AB</t>
        </is>
      </c>
      <c r="G2345" t="n">
        <v>2.1</v>
      </c>
      <c r="H2345" t="n">
        <v>0</v>
      </c>
      <c r="I2345" t="n">
        <v>0</v>
      </c>
      <c r="J2345" t="n">
        <v>0</v>
      </c>
      <c r="K2345" t="n">
        <v>0</v>
      </c>
      <c r="L2345" t="n">
        <v>0</v>
      </c>
      <c r="M2345" t="n">
        <v>0</v>
      </c>
      <c r="N2345" t="n">
        <v>0</v>
      </c>
      <c r="O2345" t="n">
        <v>0</v>
      </c>
      <c r="P2345" t="n">
        <v>0</v>
      </c>
      <c r="Q2345" t="n">
        <v>0</v>
      </c>
      <c r="R2345" s="2" t="inlineStr"/>
      <c r="U2345">
        <f>HYPERLINK("https://klasma.github.io/Logging_2184/knärot/A 25270-2020 karta knärot.png", "A 25270-2020")</f>
        <v/>
      </c>
      <c r="V2345">
        <f>HYPERLINK("https://klasma.github.io/Logging_2184/klagomål/A 25270-2020 FSC-klagomål.docx", "A 25270-2020")</f>
        <v/>
      </c>
      <c r="W2345">
        <f>HYPERLINK("https://klasma.github.io/Logging_2184/klagomålsmail/A 25270-2020 FSC-klagomål mail.docx", "A 25270-2020")</f>
        <v/>
      </c>
      <c r="X2345">
        <f>HYPERLINK("https://klasma.github.io/Logging_2184/tillsyn/A 25270-2020 tillsynsbegäran.docx", "A 25270-2020")</f>
        <v/>
      </c>
      <c r="Y2345">
        <f>HYPERLINK("https://klasma.github.io/Logging_2184/tillsynsmail/A 25270-2020 tillsynsbegäran mail.docx", "A 25270-2020")</f>
        <v/>
      </c>
    </row>
    <row r="2346" ht="15" customHeight="1">
      <c r="A2346" t="inlineStr">
        <is>
          <t>A 25242-2020</t>
        </is>
      </c>
      <c r="B2346" s="1" t="n">
        <v>43980</v>
      </c>
      <c r="C2346" s="1" t="n">
        <v>45344</v>
      </c>
      <c r="D2346" t="inlineStr">
        <is>
          <t>GÄVLEBORGS LÄN</t>
        </is>
      </c>
      <c r="E2346" t="inlineStr">
        <is>
          <t>SANDVIKEN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25219-2020</t>
        </is>
      </c>
      <c r="B2347" s="1" t="n">
        <v>43980</v>
      </c>
      <c r="C2347" s="1" t="n">
        <v>45344</v>
      </c>
      <c r="D2347" t="inlineStr">
        <is>
          <t>GÄVLEBORGS LÄN</t>
        </is>
      </c>
      <c r="E2347" t="inlineStr">
        <is>
          <t>HUDIKSVALL</t>
        </is>
      </c>
      <c r="F2347" t="inlineStr">
        <is>
          <t>Holmen skog AB</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25275-2020</t>
        </is>
      </c>
      <c r="B2348" s="1" t="n">
        <v>43980</v>
      </c>
      <c r="C2348" s="1" t="n">
        <v>45344</v>
      </c>
      <c r="D2348" t="inlineStr">
        <is>
          <t>GÄVLEBORGS LÄN</t>
        </is>
      </c>
      <c r="E2348" t="inlineStr">
        <is>
          <t>HUDIKSVALL</t>
        </is>
      </c>
      <c r="F2348" t="inlineStr">
        <is>
          <t>Holmen skog AB</t>
        </is>
      </c>
      <c r="G2348" t="n">
        <v>18.6</v>
      </c>
      <c r="H2348" t="n">
        <v>0</v>
      </c>
      <c r="I2348" t="n">
        <v>0</v>
      </c>
      <c r="J2348" t="n">
        <v>0</v>
      </c>
      <c r="K2348" t="n">
        <v>0</v>
      </c>
      <c r="L2348" t="n">
        <v>0</v>
      </c>
      <c r="M2348" t="n">
        <v>0</v>
      </c>
      <c r="N2348" t="n">
        <v>0</v>
      </c>
      <c r="O2348" t="n">
        <v>0</v>
      </c>
      <c r="P2348" t="n">
        <v>0</v>
      </c>
      <c r="Q2348" t="n">
        <v>0</v>
      </c>
      <c r="R2348" s="2" t="inlineStr"/>
    </row>
    <row r="2349" ht="15" customHeight="1">
      <c r="A2349" t="inlineStr">
        <is>
          <t>A 25303-2020</t>
        </is>
      </c>
      <c r="B2349" s="1" t="n">
        <v>43980</v>
      </c>
      <c r="C2349" s="1" t="n">
        <v>45344</v>
      </c>
      <c r="D2349" t="inlineStr">
        <is>
          <t>GÄVLEBORGS LÄN</t>
        </is>
      </c>
      <c r="E2349" t="inlineStr">
        <is>
          <t>NORDANSTIG</t>
        </is>
      </c>
      <c r="F2349" t="inlineStr">
        <is>
          <t>Holmen skog AB</t>
        </is>
      </c>
      <c r="G2349" t="n">
        <v>5.1</v>
      </c>
      <c r="H2349" t="n">
        <v>0</v>
      </c>
      <c r="I2349" t="n">
        <v>0</v>
      </c>
      <c r="J2349" t="n">
        <v>0</v>
      </c>
      <c r="K2349" t="n">
        <v>0</v>
      </c>
      <c r="L2349" t="n">
        <v>0</v>
      </c>
      <c r="M2349" t="n">
        <v>0</v>
      </c>
      <c r="N2349" t="n">
        <v>0</v>
      </c>
      <c r="O2349" t="n">
        <v>0</v>
      </c>
      <c r="P2349" t="n">
        <v>0</v>
      </c>
      <c r="Q2349" t="n">
        <v>0</v>
      </c>
      <c r="R2349" s="2" t="inlineStr"/>
    </row>
    <row r="2350" ht="15" customHeight="1">
      <c r="A2350" t="inlineStr">
        <is>
          <t>A 25532-2020</t>
        </is>
      </c>
      <c r="B2350" s="1" t="n">
        <v>43983</v>
      </c>
      <c r="C2350" s="1" t="n">
        <v>45344</v>
      </c>
      <c r="D2350" t="inlineStr">
        <is>
          <t>GÄVLEBORGS LÄN</t>
        </is>
      </c>
      <c r="E2350" t="inlineStr">
        <is>
          <t>GÄVLE</t>
        </is>
      </c>
      <c r="F2350" t="inlineStr">
        <is>
          <t>Bergvik skog väst AB</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25548-2020</t>
        </is>
      </c>
      <c r="B2351" s="1" t="n">
        <v>43983</v>
      </c>
      <c r="C2351" s="1" t="n">
        <v>45344</v>
      </c>
      <c r="D2351" t="inlineStr">
        <is>
          <t>GÄVLEBORGS LÄN</t>
        </is>
      </c>
      <c r="E2351" t="inlineStr">
        <is>
          <t>OCKELBO</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25652-2020</t>
        </is>
      </c>
      <c r="B2352" s="1" t="n">
        <v>43983</v>
      </c>
      <c r="C2352" s="1" t="n">
        <v>45344</v>
      </c>
      <c r="D2352" t="inlineStr">
        <is>
          <t>GÄVLEBORGS LÄN</t>
        </is>
      </c>
      <c r="E2352" t="inlineStr">
        <is>
          <t>NORDANSTIG</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25671-2020</t>
        </is>
      </c>
      <c r="B2353" s="1" t="n">
        <v>43983</v>
      </c>
      <c r="C2353" s="1" t="n">
        <v>45344</v>
      </c>
      <c r="D2353" t="inlineStr">
        <is>
          <t>GÄVLEBORGS LÄN</t>
        </is>
      </c>
      <c r="E2353" t="inlineStr">
        <is>
          <t>NORDANSTIG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25733-2020</t>
        </is>
      </c>
      <c r="B2354" s="1" t="n">
        <v>43984</v>
      </c>
      <c r="C2354" s="1" t="n">
        <v>45344</v>
      </c>
      <c r="D2354" t="inlineStr">
        <is>
          <t>GÄVLEBORGS LÄN</t>
        </is>
      </c>
      <c r="E2354" t="inlineStr">
        <is>
          <t>OCKELBO</t>
        </is>
      </c>
      <c r="F2354" t="inlineStr">
        <is>
          <t>Bergvik skog väst AB</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25697-2020</t>
        </is>
      </c>
      <c r="B2355" s="1" t="n">
        <v>43984</v>
      </c>
      <c r="C2355" s="1" t="n">
        <v>45344</v>
      </c>
      <c r="D2355" t="inlineStr">
        <is>
          <t>GÄVLEBORGS LÄN</t>
        </is>
      </c>
      <c r="E2355" t="inlineStr">
        <is>
          <t>HUDIKSVALL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25896-2020</t>
        </is>
      </c>
      <c r="B2356" s="1" t="n">
        <v>43984</v>
      </c>
      <c r="C2356" s="1" t="n">
        <v>45344</v>
      </c>
      <c r="D2356" t="inlineStr">
        <is>
          <t>GÄVLEBORGS LÄN</t>
        </is>
      </c>
      <c r="E2356" t="inlineStr">
        <is>
          <t>SÖDERHAMN</t>
        </is>
      </c>
      <c r="F2356" t="inlineStr">
        <is>
          <t>Bergvik skog väst AB</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25925-2020</t>
        </is>
      </c>
      <c r="B2357" s="1" t="n">
        <v>43984</v>
      </c>
      <c r="C2357" s="1" t="n">
        <v>45344</v>
      </c>
      <c r="D2357" t="inlineStr">
        <is>
          <t>GÄVLEBORGS LÄN</t>
        </is>
      </c>
      <c r="E2357" t="inlineStr">
        <is>
          <t>NORDANSTIG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25969-2020</t>
        </is>
      </c>
      <c r="B2358" s="1" t="n">
        <v>43985</v>
      </c>
      <c r="C2358" s="1" t="n">
        <v>45344</v>
      </c>
      <c r="D2358" t="inlineStr">
        <is>
          <t>GÄVLEBORGS LÄN</t>
        </is>
      </c>
      <c r="E2358" t="inlineStr">
        <is>
          <t>OVANÅKER</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26150-2020</t>
        </is>
      </c>
      <c r="B2359" s="1" t="n">
        <v>43985</v>
      </c>
      <c r="C2359" s="1" t="n">
        <v>45344</v>
      </c>
      <c r="D2359" t="inlineStr">
        <is>
          <t>GÄVLEBORGS LÄN</t>
        </is>
      </c>
      <c r="E2359" t="inlineStr">
        <is>
          <t>NORDANSTIG</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26001-2020</t>
        </is>
      </c>
      <c r="B2360" s="1" t="n">
        <v>43985</v>
      </c>
      <c r="C2360" s="1" t="n">
        <v>45344</v>
      </c>
      <c r="D2360" t="inlineStr">
        <is>
          <t>GÄVLEBORGS LÄN</t>
        </is>
      </c>
      <c r="E2360" t="inlineStr">
        <is>
          <t>HUDIKSVALL</t>
        </is>
      </c>
      <c r="F2360" t="inlineStr">
        <is>
          <t>Holmen skog AB</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26285-2020</t>
        </is>
      </c>
      <c r="B2361" s="1" t="n">
        <v>43986</v>
      </c>
      <c r="C2361" s="1" t="n">
        <v>45344</v>
      </c>
      <c r="D2361" t="inlineStr">
        <is>
          <t>GÄVLEBORGS LÄN</t>
        </is>
      </c>
      <c r="E2361" t="inlineStr">
        <is>
          <t>NORDANSTIG</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26446-2020</t>
        </is>
      </c>
      <c r="B2362" s="1" t="n">
        <v>43987</v>
      </c>
      <c r="C2362" s="1" t="n">
        <v>45344</v>
      </c>
      <c r="D2362" t="inlineStr">
        <is>
          <t>GÄVLEBORGS LÄN</t>
        </is>
      </c>
      <c r="E2362" t="inlineStr">
        <is>
          <t>BOLLNÄS</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26506-2020</t>
        </is>
      </c>
      <c r="B2363" s="1" t="n">
        <v>43987</v>
      </c>
      <c r="C2363" s="1" t="n">
        <v>45344</v>
      </c>
      <c r="D2363" t="inlineStr">
        <is>
          <t>GÄVLEBORGS LÄN</t>
        </is>
      </c>
      <c r="E2363" t="inlineStr">
        <is>
          <t>OVANÅKER</t>
        </is>
      </c>
      <c r="G2363" t="n">
        <v>4</v>
      </c>
      <c r="H2363" t="n">
        <v>0</v>
      </c>
      <c r="I2363" t="n">
        <v>0</v>
      </c>
      <c r="J2363" t="n">
        <v>0</v>
      </c>
      <c r="K2363" t="n">
        <v>0</v>
      </c>
      <c r="L2363" t="n">
        <v>0</v>
      </c>
      <c r="M2363" t="n">
        <v>0</v>
      </c>
      <c r="N2363" t="n">
        <v>0</v>
      </c>
      <c r="O2363" t="n">
        <v>0</v>
      </c>
      <c r="P2363" t="n">
        <v>0</v>
      </c>
      <c r="Q2363" t="n">
        <v>0</v>
      </c>
      <c r="R2363" s="2" t="inlineStr"/>
    </row>
    <row r="2364" ht="15" customHeight="1">
      <c r="A2364" t="inlineStr">
        <is>
          <t>A 26583-2020</t>
        </is>
      </c>
      <c r="B2364" s="1" t="n">
        <v>43987</v>
      </c>
      <c r="C2364" s="1" t="n">
        <v>45344</v>
      </c>
      <c r="D2364" t="inlineStr">
        <is>
          <t>GÄVLEBORGS LÄN</t>
        </is>
      </c>
      <c r="E2364" t="inlineStr">
        <is>
          <t>OVANÅKER</t>
        </is>
      </c>
      <c r="F2364" t="inlineStr">
        <is>
          <t>Bergvik skog väst AB</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26712-2020</t>
        </is>
      </c>
      <c r="B2365" s="1" t="n">
        <v>43990</v>
      </c>
      <c r="C2365" s="1" t="n">
        <v>45344</v>
      </c>
      <c r="D2365" t="inlineStr">
        <is>
          <t>GÄVLEBORGS LÄN</t>
        </is>
      </c>
      <c r="E2365" t="inlineStr">
        <is>
          <t>LJUSDAL</t>
        </is>
      </c>
      <c r="F2365" t="inlineStr">
        <is>
          <t>Holmen skog AB</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26763-2020</t>
        </is>
      </c>
      <c r="B2366" s="1" t="n">
        <v>43990</v>
      </c>
      <c r="C2366" s="1" t="n">
        <v>45344</v>
      </c>
      <c r="D2366" t="inlineStr">
        <is>
          <t>GÄVLEBORGS LÄN</t>
        </is>
      </c>
      <c r="E2366" t="inlineStr">
        <is>
          <t>GÄVLE</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26790-2020</t>
        </is>
      </c>
      <c r="B2367" s="1" t="n">
        <v>43990</v>
      </c>
      <c r="C2367" s="1" t="n">
        <v>45344</v>
      </c>
      <c r="D2367" t="inlineStr">
        <is>
          <t>GÄVLEBORGS LÄN</t>
        </is>
      </c>
      <c r="E2367" t="inlineStr">
        <is>
          <t>GÄVLE</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26781-2020</t>
        </is>
      </c>
      <c r="B2368" s="1" t="n">
        <v>43990</v>
      </c>
      <c r="C2368" s="1" t="n">
        <v>45344</v>
      </c>
      <c r="D2368" t="inlineStr">
        <is>
          <t>GÄVLEBORGS LÄN</t>
        </is>
      </c>
      <c r="E2368" t="inlineStr">
        <is>
          <t>GÄVLE</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26950-2020</t>
        </is>
      </c>
      <c r="B2369" s="1" t="n">
        <v>43990</v>
      </c>
      <c r="C2369" s="1" t="n">
        <v>45344</v>
      </c>
      <c r="D2369" t="inlineStr">
        <is>
          <t>GÄVLEBORGS LÄN</t>
        </is>
      </c>
      <c r="E2369" t="inlineStr">
        <is>
          <t>LJUSDAL</t>
        </is>
      </c>
      <c r="F2369" t="inlineStr">
        <is>
          <t>Bergvik skog väst AB</t>
        </is>
      </c>
      <c r="G2369" t="n">
        <v>14.8</v>
      </c>
      <c r="H2369" t="n">
        <v>0</v>
      </c>
      <c r="I2369" t="n">
        <v>0</v>
      </c>
      <c r="J2369" t="n">
        <v>0</v>
      </c>
      <c r="K2369" t="n">
        <v>0</v>
      </c>
      <c r="L2369" t="n">
        <v>0</v>
      </c>
      <c r="M2369" t="n">
        <v>0</v>
      </c>
      <c r="N2369" t="n">
        <v>0</v>
      </c>
      <c r="O2369" t="n">
        <v>0</v>
      </c>
      <c r="P2369" t="n">
        <v>0</v>
      </c>
      <c r="Q2369" t="n">
        <v>0</v>
      </c>
      <c r="R2369" s="2" t="inlineStr"/>
    </row>
    <row r="2370" ht="15" customHeight="1">
      <c r="A2370" t="inlineStr">
        <is>
          <t>A 27175-2020</t>
        </is>
      </c>
      <c r="B2370" s="1" t="n">
        <v>43991</v>
      </c>
      <c r="C2370" s="1" t="n">
        <v>45344</v>
      </c>
      <c r="D2370" t="inlineStr">
        <is>
          <t>GÄVLEBORGS LÄN</t>
        </is>
      </c>
      <c r="E2370" t="inlineStr">
        <is>
          <t>NORDANSTIG</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27561-2020</t>
        </is>
      </c>
      <c r="B2371" s="1" t="n">
        <v>43991</v>
      </c>
      <c r="C2371" s="1" t="n">
        <v>45344</v>
      </c>
      <c r="D2371" t="inlineStr">
        <is>
          <t>GÄVLEBORGS LÄN</t>
        </is>
      </c>
      <c r="E2371" t="inlineStr">
        <is>
          <t>BOLLNÄS</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27079-2020</t>
        </is>
      </c>
      <c r="B2372" s="1" t="n">
        <v>43991</v>
      </c>
      <c r="C2372" s="1" t="n">
        <v>45344</v>
      </c>
      <c r="D2372" t="inlineStr">
        <is>
          <t>GÄVLEBORGS LÄN</t>
        </is>
      </c>
      <c r="E2372" t="inlineStr">
        <is>
          <t>LJUSDAL</t>
        </is>
      </c>
      <c r="F2372" t="inlineStr">
        <is>
          <t>Bergvik skog väst AB</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27146-2020</t>
        </is>
      </c>
      <c r="B2373" s="1" t="n">
        <v>43991</v>
      </c>
      <c r="C2373" s="1" t="n">
        <v>45344</v>
      </c>
      <c r="D2373" t="inlineStr">
        <is>
          <t>GÄVLEBORGS LÄN</t>
        </is>
      </c>
      <c r="E2373" t="inlineStr">
        <is>
          <t>SANDVIKEN</t>
        </is>
      </c>
      <c r="F2373" t="inlineStr">
        <is>
          <t>Sveaskog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27176-2020</t>
        </is>
      </c>
      <c r="B2374" s="1" t="n">
        <v>43991</v>
      </c>
      <c r="C2374" s="1" t="n">
        <v>45344</v>
      </c>
      <c r="D2374" t="inlineStr">
        <is>
          <t>GÄVLEBORGS LÄN</t>
        </is>
      </c>
      <c r="E2374" t="inlineStr">
        <is>
          <t>NORDANSTIG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27100-2020</t>
        </is>
      </c>
      <c r="B2375" s="1" t="n">
        <v>43991</v>
      </c>
      <c r="C2375" s="1" t="n">
        <v>45344</v>
      </c>
      <c r="D2375" t="inlineStr">
        <is>
          <t>GÄVLEBORGS LÄN</t>
        </is>
      </c>
      <c r="E2375" t="inlineStr">
        <is>
          <t>SÖDERHAMN</t>
        </is>
      </c>
      <c r="F2375" t="inlineStr">
        <is>
          <t>Bergvik skog väst AB</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27034-2020</t>
        </is>
      </c>
      <c r="B2376" s="1" t="n">
        <v>43991</v>
      </c>
      <c r="C2376" s="1" t="n">
        <v>45344</v>
      </c>
      <c r="D2376" t="inlineStr">
        <is>
          <t>GÄVLEBORGS LÄN</t>
        </is>
      </c>
      <c r="E2376" t="inlineStr">
        <is>
          <t>OCKELBO</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27217-2020</t>
        </is>
      </c>
      <c r="B2377" s="1" t="n">
        <v>43992</v>
      </c>
      <c r="C2377" s="1" t="n">
        <v>45344</v>
      </c>
      <c r="D2377" t="inlineStr">
        <is>
          <t>GÄVLEBORGS LÄN</t>
        </is>
      </c>
      <c r="E2377" t="inlineStr">
        <is>
          <t>HUDIKSVALL</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27237-2020</t>
        </is>
      </c>
      <c r="B2378" s="1" t="n">
        <v>43992</v>
      </c>
      <c r="C2378" s="1" t="n">
        <v>45344</v>
      </c>
      <c r="D2378" t="inlineStr">
        <is>
          <t>GÄVLEBORGS LÄN</t>
        </is>
      </c>
      <c r="E2378" t="inlineStr">
        <is>
          <t>NORDANSTIG</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27269-2020</t>
        </is>
      </c>
      <c r="B2379" s="1" t="n">
        <v>43992</v>
      </c>
      <c r="C2379" s="1" t="n">
        <v>45344</v>
      </c>
      <c r="D2379" t="inlineStr">
        <is>
          <t>GÄVLEBORGS LÄN</t>
        </is>
      </c>
      <c r="E2379" t="inlineStr">
        <is>
          <t>OVANÅKER</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27444-2020</t>
        </is>
      </c>
      <c r="B2380" s="1" t="n">
        <v>43993</v>
      </c>
      <c r="C2380" s="1" t="n">
        <v>45344</v>
      </c>
      <c r="D2380" t="inlineStr">
        <is>
          <t>GÄVLEBORGS LÄN</t>
        </is>
      </c>
      <c r="E2380" t="inlineStr">
        <is>
          <t>SANDVIKEN</t>
        </is>
      </c>
      <c r="F2380" t="inlineStr">
        <is>
          <t>Sveaskog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27526-2020</t>
        </is>
      </c>
      <c r="B2381" s="1" t="n">
        <v>43993</v>
      </c>
      <c r="C2381" s="1" t="n">
        <v>45344</v>
      </c>
      <c r="D2381" t="inlineStr">
        <is>
          <t>GÄVLEBORGS LÄN</t>
        </is>
      </c>
      <c r="E2381" t="inlineStr">
        <is>
          <t>BOLLNÄS</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27440-2020</t>
        </is>
      </c>
      <c r="B2382" s="1" t="n">
        <v>43993</v>
      </c>
      <c r="C2382" s="1" t="n">
        <v>45344</v>
      </c>
      <c r="D2382" t="inlineStr">
        <is>
          <t>GÄVLEBORGS LÄN</t>
        </is>
      </c>
      <c r="E2382" t="inlineStr">
        <is>
          <t>BOLLNÄS</t>
        </is>
      </c>
      <c r="F2382" t="inlineStr">
        <is>
          <t>Sveaskog</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27563-2020</t>
        </is>
      </c>
      <c r="B2383" s="1" t="n">
        <v>43993</v>
      </c>
      <c r="C2383" s="1" t="n">
        <v>45344</v>
      </c>
      <c r="D2383" t="inlineStr">
        <is>
          <t>GÄVLEBORGS LÄN</t>
        </is>
      </c>
      <c r="E2383" t="inlineStr">
        <is>
          <t>HUDIKSVALL</t>
        </is>
      </c>
      <c r="G2383" t="n">
        <v>5.8</v>
      </c>
      <c r="H2383" t="n">
        <v>0</v>
      </c>
      <c r="I2383" t="n">
        <v>0</v>
      </c>
      <c r="J2383" t="n">
        <v>0</v>
      </c>
      <c r="K2383" t="n">
        <v>0</v>
      </c>
      <c r="L2383" t="n">
        <v>0</v>
      </c>
      <c r="M2383" t="n">
        <v>0</v>
      </c>
      <c r="N2383" t="n">
        <v>0</v>
      </c>
      <c r="O2383" t="n">
        <v>0</v>
      </c>
      <c r="P2383" t="n">
        <v>0</v>
      </c>
      <c r="Q2383" t="n">
        <v>0</v>
      </c>
      <c r="R2383" s="2" t="inlineStr"/>
    </row>
    <row r="2384" ht="15" customHeight="1">
      <c r="A2384" t="inlineStr">
        <is>
          <t>A 27430-2020</t>
        </is>
      </c>
      <c r="B2384" s="1" t="n">
        <v>43993</v>
      </c>
      <c r="C2384" s="1" t="n">
        <v>45344</v>
      </c>
      <c r="D2384" t="inlineStr">
        <is>
          <t>GÄVLEBORGS LÄN</t>
        </is>
      </c>
      <c r="E2384" t="inlineStr">
        <is>
          <t>LJUSDAL</t>
        </is>
      </c>
      <c r="F2384" t="inlineStr">
        <is>
          <t>Sveaskog</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28021-2020</t>
        </is>
      </c>
      <c r="B2385" s="1" t="n">
        <v>43993</v>
      </c>
      <c r="C2385" s="1" t="n">
        <v>45344</v>
      </c>
      <c r="D2385" t="inlineStr">
        <is>
          <t>GÄVLEBORGS LÄN</t>
        </is>
      </c>
      <c r="E2385" t="inlineStr">
        <is>
          <t>HUDIKSVALL</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27769-2020</t>
        </is>
      </c>
      <c r="B2386" s="1" t="n">
        <v>43994</v>
      </c>
      <c r="C2386" s="1" t="n">
        <v>45344</v>
      </c>
      <c r="D2386" t="inlineStr">
        <is>
          <t>GÄVLEBORGS LÄN</t>
        </is>
      </c>
      <c r="E2386" t="inlineStr">
        <is>
          <t>NORDANSTIG</t>
        </is>
      </c>
      <c r="F2386" t="inlineStr">
        <is>
          <t>Holmen skog AB</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27793-2020</t>
        </is>
      </c>
      <c r="B2387" s="1" t="n">
        <v>43994</v>
      </c>
      <c r="C2387" s="1" t="n">
        <v>45344</v>
      </c>
      <c r="D2387" t="inlineStr">
        <is>
          <t>GÄVLEBORGS LÄN</t>
        </is>
      </c>
      <c r="E2387" t="inlineStr">
        <is>
          <t>BOLLNÄS</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27783-2020</t>
        </is>
      </c>
      <c r="B2388" s="1" t="n">
        <v>43994</v>
      </c>
      <c r="C2388" s="1" t="n">
        <v>45344</v>
      </c>
      <c r="D2388" t="inlineStr">
        <is>
          <t>GÄVLEBORGS LÄN</t>
        </is>
      </c>
      <c r="E2388" t="inlineStr">
        <is>
          <t>NORDANSTIG</t>
        </is>
      </c>
      <c r="F2388" t="inlineStr">
        <is>
          <t>Holmen skog AB</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27855-2020</t>
        </is>
      </c>
      <c r="B2389" s="1" t="n">
        <v>43994</v>
      </c>
      <c r="C2389" s="1" t="n">
        <v>45344</v>
      </c>
      <c r="D2389" t="inlineStr">
        <is>
          <t>GÄVLEBORGS LÄN</t>
        </is>
      </c>
      <c r="E2389" t="inlineStr">
        <is>
          <t>OVANÅKER</t>
        </is>
      </c>
      <c r="G2389" t="n">
        <v>7.7</v>
      </c>
      <c r="H2389" t="n">
        <v>0</v>
      </c>
      <c r="I2389" t="n">
        <v>0</v>
      </c>
      <c r="J2389" t="n">
        <v>0</v>
      </c>
      <c r="K2389" t="n">
        <v>0</v>
      </c>
      <c r="L2389" t="n">
        <v>0</v>
      </c>
      <c r="M2389" t="n">
        <v>0</v>
      </c>
      <c r="N2389" t="n">
        <v>0</v>
      </c>
      <c r="O2389" t="n">
        <v>0</v>
      </c>
      <c r="P2389" t="n">
        <v>0</v>
      </c>
      <c r="Q2389" t="n">
        <v>0</v>
      </c>
      <c r="R2389" s="2" t="inlineStr"/>
    </row>
    <row r="2390" ht="15" customHeight="1">
      <c r="A2390" t="inlineStr">
        <is>
          <t>A 27728-2020</t>
        </is>
      </c>
      <c r="B2390" s="1" t="n">
        <v>43994</v>
      </c>
      <c r="C2390" s="1" t="n">
        <v>45344</v>
      </c>
      <c r="D2390" t="inlineStr">
        <is>
          <t>GÄVLEBORGS LÄN</t>
        </is>
      </c>
      <c r="E2390" t="inlineStr">
        <is>
          <t>SANDVIKEN</t>
        </is>
      </c>
      <c r="F2390" t="inlineStr">
        <is>
          <t>Sveaskog</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28173-2020</t>
        </is>
      </c>
      <c r="B2391" s="1" t="n">
        <v>43997</v>
      </c>
      <c r="C2391" s="1" t="n">
        <v>45344</v>
      </c>
      <c r="D2391" t="inlineStr">
        <is>
          <t>GÄVLEBORGS LÄN</t>
        </is>
      </c>
      <c r="E2391" t="inlineStr">
        <is>
          <t>GÄVLE</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28282-2020</t>
        </is>
      </c>
      <c r="B2392" s="1" t="n">
        <v>43998</v>
      </c>
      <c r="C2392" s="1" t="n">
        <v>45344</v>
      </c>
      <c r="D2392" t="inlineStr">
        <is>
          <t>GÄVLEBORGS LÄN</t>
        </is>
      </c>
      <c r="E2392" t="inlineStr">
        <is>
          <t>HUDIKSVALL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28435-2020</t>
        </is>
      </c>
      <c r="B2393" s="1" t="n">
        <v>43998</v>
      </c>
      <c r="C2393" s="1" t="n">
        <v>45344</v>
      </c>
      <c r="D2393" t="inlineStr">
        <is>
          <t>GÄVLEBORGS LÄN</t>
        </is>
      </c>
      <c r="E2393" t="inlineStr">
        <is>
          <t>BOLLNÄS</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28681-2020</t>
        </is>
      </c>
      <c r="B2394" s="1" t="n">
        <v>43999</v>
      </c>
      <c r="C2394" s="1" t="n">
        <v>45344</v>
      </c>
      <c r="D2394" t="inlineStr">
        <is>
          <t>GÄVLEBORGS LÄN</t>
        </is>
      </c>
      <c r="E2394" t="inlineStr">
        <is>
          <t>HOFORS</t>
        </is>
      </c>
      <c r="F2394" t="inlineStr">
        <is>
          <t>Sveaskog</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28525-2020</t>
        </is>
      </c>
      <c r="B2395" s="1" t="n">
        <v>43999</v>
      </c>
      <c r="C2395" s="1" t="n">
        <v>45344</v>
      </c>
      <c r="D2395" t="inlineStr">
        <is>
          <t>GÄVLEBORGS LÄN</t>
        </is>
      </c>
      <c r="E2395" t="inlineStr">
        <is>
          <t>SANDVIKEN</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28564-2020</t>
        </is>
      </c>
      <c r="B2396" s="1" t="n">
        <v>43999</v>
      </c>
      <c r="C2396" s="1" t="n">
        <v>45344</v>
      </c>
      <c r="D2396" t="inlineStr">
        <is>
          <t>GÄVLEBORGS LÄN</t>
        </is>
      </c>
      <c r="E2396" t="inlineStr">
        <is>
          <t>SANDVIKEN</t>
        </is>
      </c>
      <c r="F2396" t="inlineStr">
        <is>
          <t>Bergvik skog öst AB</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33535-2020</t>
        </is>
      </c>
      <c r="B2397" s="1" t="n">
        <v>43999</v>
      </c>
      <c r="C2397" s="1" t="n">
        <v>45344</v>
      </c>
      <c r="D2397" t="inlineStr">
        <is>
          <t>GÄVLEBORGS LÄN</t>
        </is>
      </c>
      <c r="E2397" t="inlineStr">
        <is>
          <t>HUDIKSVALL</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28723-2020</t>
        </is>
      </c>
      <c r="B2398" s="1" t="n">
        <v>43999</v>
      </c>
      <c r="C2398" s="1" t="n">
        <v>45344</v>
      </c>
      <c r="D2398" t="inlineStr">
        <is>
          <t>GÄVLEBORGS LÄN</t>
        </is>
      </c>
      <c r="E2398" t="inlineStr">
        <is>
          <t>OVANÅKER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33543-2020</t>
        </is>
      </c>
      <c r="B2399" s="1" t="n">
        <v>43999</v>
      </c>
      <c r="C2399" s="1" t="n">
        <v>45344</v>
      </c>
      <c r="D2399" t="inlineStr">
        <is>
          <t>GÄVLEBORGS LÄN</t>
        </is>
      </c>
      <c r="E2399" t="inlineStr">
        <is>
          <t>HUDIKSVALL</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28823-2020</t>
        </is>
      </c>
      <c r="B2400" s="1" t="n">
        <v>44000</v>
      </c>
      <c r="C2400" s="1" t="n">
        <v>45344</v>
      </c>
      <c r="D2400" t="inlineStr">
        <is>
          <t>GÄVLEBORGS LÄN</t>
        </is>
      </c>
      <c r="E2400" t="inlineStr">
        <is>
          <t>BOLLNÄS</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28889-2020</t>
        </is>
      </c>
      <c r="B2401" s="1" t="n">
        <v>44000</v>
      </c>
      <c r="C2401" s="1" t="n">
        <v>45344</v>
      </c>
      <c r="D2401" t="inlineStr">
        <is>
          <t>GÄVLEBORGS LÄN</t>
        </is>
      </c>
      <c r="E2401" t="inlineStr">
        <is>
          <t>LJUSDAL</t>
        </is>
      </c>
      <c r="F2401" t="inlineStr">
        <is>
          <t>Holmen skog AB</t>
        </is>
      </c>
      <c r="G2401" t="n">
        <v>39.1</v>
      </c>
      <c r="H2401" t="n">
        <v>0</v>
      </c>
      <c r="I2401" t="n">
        <v>0</v>
      </c>
      <c r="J2401" t="n">
        <v>0</v>
      </c>
      <c r="K2401" t="n">
        <v>0</v>
      </c>
      <c r="L2401" t="n">
        <v>0</v>
      </c>
      <c r="M2401" t="n">
        <v>0</v>
      </c>
      <c r="N2401" t="n">
        <v>0</v>
      </c>
      <c r="O2401" t="n">
        <v>0</v>
      </c>
      <c r="P2401" t="n">
        <v>0</v>
      </c>
      <c r="Q2401" t="n">
        <v>0</v>
      </c>
      <c r="R2401" s="2" t="inlineStr"/>
    </row>
    <row r="2402" ht="15" customHeight="1">
      <c r="A2402" t="inlineStr">
        <is>
          <t>A 28806-2020</t>
        </is>
      </c>
      <c r="B2402" s="1" t="n">
        <v>44000</v>
      </c>
      <c r="C2402" s="1" t="n">
        <v>45344</v>
      </c>
      <c r="D2402" t="inlineStr">
        <is>
          <t>GÄVLEBORGS LÄN</t>
        </is>
      </c>
      <c r="E2402" t="inlineStr">
        <is>
          <t>GÄVLE</t>
        </is>
      </c>
      <c r="F2402" t="inlineStr">
        <is>
          <t>Bergvik skog öst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28825-2020</t>
        </is>
      </c>
      <c r="B2403" s="1" t="n">
        <v>44000</v>
      </c>
      <c r="C2403" s="1" t="n">
        <v>45344</v>
      </c>
      <c r="D2403" t="inlineStr">
        <is>
          <t>GÄVLEBORGS LÄN</t>
        </is>
      </c>
      <c r="E2403" t="inlineStr">
        <is>
          <t>GÄVLE</t>
        </is>
      </c>
      <c r="F2403" t="inlineStr">
        <is>
          <t>Bergvik skog öst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28932-2020</t>
        </is>
      </c>
      <c r="B2404" s="1" t="n">
        <v>44000</v>
      </c>
      <c r="C2404" s="1" t="n">
        <v>45344</v>
      </c>
      <c r="D2404" t="inlineStr">
        <is>
          <t>GÄVLEBORGS LÄN</t>
        </is>
      </c>
      <c r="E2404" t="inlineStr">
        <is>
          <t>LJUSDAL</t>
        </is>
      </c>
      <c r="F2404" t="inlineStr">
        <is>
          <t>Kyrkan</t>
        </is>
      </c>
      <c r="G2404" t="n">
        <v>36.2</v>
      </c>
      <c r="H2404" t="n">
        <v>0</v>
      </c>
      <c r="I2404" t="n">
        <v>0</v>
      </c>
      <c r="J2404" t="n">
        <v>0</v>
      </c>
      <c r="K2404" t="n">
        <v>0</v>
      </c>
      <c r="L2404" t="n">
        <v>0</v>
      </c>
      <c r="M2404" t="n">
        <v>0</v>
      </c>
      <c r="N2404" t="n">
        <v>0</v>
      </c>
      <c r="O2404" t="n">
        <v>0</v>
      </c>
      <c r="P2404" t="n">
        <v>0</v>
      </c>
      <c r="Q2404" t="n">
        <v>0</v>
      </c>
      <c r="R2404" s="2" t="inlineStr"/>
    </row>
    <row r="2405" ht="15" customHeight="1">
      <c r="A2405" t="inlineStr">
        <is>
          <t>A 29575-2020</t>
        </is>
      </c>
      <c r="B2405" s="1" t="n">
        <v>44000</v>
      </c>
      <c r="C2405" s="1" t="n">
        <v>45344</v>
      </c>
      <c r="D2405" t="inlineStr">
        <is>
          <t>GÄVLEBORGS LÄN</t>
        </is>
      </c>
      <c r="E2405" t="inlineStr">
        <is>
          <t>SÖDERHAMN</t>
        </is>
      </c>
      <c r="G2405" t="n">
        <v>0.2</v>
      </c>
      <c r="H2405" t="n">
        <v>0</v>
      </c>
      <c r="I2405" t="n">
        <v>0</v>
      </c>
      <c r="J2405" t="n">
        <v>0</v>
      </c>
      <c r="K2405" t="n">
        <v>0</v>
      </c>
      <c r="L2405" t="n">
        <v>0</v>
      </c>
      <c r="M2405" t="n">
        <v>0</v>
      </c>
      <c r="N2405" t="n">
        <v>0</v>
      </c>
      <c r="O2405" t="n">
        <v>0</v>
      </c>
      <c r="P2405" t="n">
        <v>0</v>
      </c>
      <c r="Q2405" t="n">
        <v>0</v>
      </c>
      <c r="R2405" s="2" t="inlineStr"/>
    </row>
    <row r="2406" ht="15" customHeight="1">
      <c r="A2406" t="inlineStr">
        <is>
          <t>A 29321-2020</t>
        </is>
      </c>
      <c r="B2406" s="1" t="n">
        <v>44000</v>
      </c>
      <c r="C2406" s="1" t="n">
        <v>45344</v>
      </c>
      <c r="D2406" t="inlineStr">
        <is>
          <t>GÄVLEBORGS LÄN</t>
        </is>
      </c>
      <c r="E2406" t="inlineStr">
        <is>
          <t>HOFORS</t>
        </is>
      </c>
      <c r="G2406" t="n">
        <v>7.1</v>
      </c>
      <c r="H2406" t="n">
        <v>0</v>
      </c>
      <c r="I2406" t="n">
        <v>0</v>
      </c>
      <c r="J2406" t="n">
        <v>0</v>
      </c>
      <c r="K2406" t="n">
        <v>0</v>
      </c>
      <c r="L2406" t="n">
        <v>0</v>
      </c>
      <c r="M2406" t="n">
        <v>0</v>
      </c>
      <c r="N2406" t="n">
        <v>0</v>
      </c>
      <c r="O2406" t="n">
        <v>0</v>
      </c>
      <c r="P2406" t="n">
        <v>0</v>
      </c>
      <c r="Q2406" t="n">
        <v>0</v>
      </c>
      <c r="R2406" s="2" t="inlineStr"/>
    </row>
    <row r="2407" ht="15" customHeight="1">
      <c r="A2407" t="inlineStr">
        <is>
          <t>A 29094-2020</t>
        </is>
      </c>
      <c r="B2407" s="1" t="n">
        <v>44003</v>
      </c>
      <c r="C2407" s="1" t="n">
        <v>45344</v>
      </c>
      <c r="D2407" t="inlineStr">
        <is>
          <t>GÄVLEBORGS LÄN</t>
        </is>
      </c>
      <c r="E2407" t="inlineStr">
        <is>
          <t>HUDIKSVALL</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29102-2020</t>
        </is>
      </c>
      <c r="B2408" s="1" t="n">
        <v>44003</v>
      </c>
      <c r="C2408" s="1" t="n">
        <v>45344</v>
      </c>
      <c r="D2408" t="inlineStr">
        <is>
          <t>GÄVLEBORGS LÄN</t>
        </is>
      </c>
      <c r="E2408" t="inlineStr">
        <is>
          <t>HUDIKSVALL</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29125-2020</t>
        </is>
      </c>
      <c r="B2409" s="1" t="n">
        <v>44004</v>
      </c>
      <c r="C2409" s="1" t="n">
        <v>45344</v>
      </c>
      <c r="D2409" t="inlineStr">
        <is>
          <t>GÄVLEBORGS LÄN</t>
        </is>
      </c>
      <c r="E2409" t="inlineStr">
        <is>
          <t>SÖDERHAMN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29146-2020</t>
        </is>
      </c>
      <c r="B2410" s="1" t="n">
        <v>44004</v>
      </c>
      <c r="C2410" s="1" t="n">
        <v>45344</v>
      </c>
      <c r="D2410" t="inlineStr">
        <is>
          <t>GÄVLEBORGS LÄN</t>
        </is>
      </c>
      <c r="E2410" t="inlineStr">
        <is>
          <t>NORDANSTIG</t>
        </is>
      </c>
      <c r="F2410" t="inlineStr">
        <is>
          <t>Kyrkan</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29195-2020</t>
        </is>
      </c>
      <c r="B2411" s="1" t="n">
        <v>44004</v>
      </c>
      <c r="C2411" s="1" t="n">
        <v>45344</v>
      </c>
      <c r="D2411" t="inlineStr">
        <is>
          <t>GÄVLEBORGS LÄN</t>
        </is>
      </c>
      <c r="E2411" t="inlineStr">
        <is>
          <t>HUDIKSVALL</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29124-2020</t>
        </is>
      </c>
      <c r="B2412" s="1" t="n">
        <v>44004</v>
      </c>
      <c r="C2412" s="1" t="n">
        <v>45344</v>
      </c>
      <c r="D2412" t="inlineStr">
        <is>
          <t>GÄVLEBORGS LÄN</t>
        </is>
      </c>
      <c r="E2412" t="inlineStr">
        <is>
          <t>NORDANSTIG</t>
        </is>
      </c>
      <c r="F2412" t="inlineStr">
        <is>
          <t>Holmen skog AB</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29284-2020</t>
        </is>
      </c>
      <c r="B2413" s="1" t="n">
        <v>44004</v>
      </c>
      <c r="C2413" s="1" t="n">
        <v>45344</v>
      </c>
      <c r="D2413" t="inlineStr">
        <is>
          <t>GÄVLEBORGS LÄN</t>
        </is>
      </c>
      <c r="E2413" t="inlineStr">
        <is>
          <t>NORDANSTIG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29541-2020</t>
        </is>
      </c>
      <c r="B2414" s="1" t="n">
        <v>44005</v>
      </c>
      <c r="C2414" s="1" t="n">
        <v>45344</v>
      </c>
      <c r="D2414" t="inlineStr">
        <is>
          <t>GÄVLEBORGS LÄN</t>
        </is>
      </c>
      <c r="E2414" t="inlineStr">
        <is>
          <t>OVANÅKER</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29536-2020</t>
        </is>
      </c>
      <c r="B2415" s="1" t="n">
        <v>44005</v>
      </c>
      <c r="C2415" s="1" t="n">
        <v>45344</v>
      </c>
      <c r="D2415" t="inlineStr">
        <is>
          <t>GÄVLEBORGS LÄN</t>
        </is>
      </c>
      <c r="E2415" t="inlineStr">
        <is>
          <t>OVANÅKER</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29749-2020</t>
        </is>
      </c>
      <c r="B2416" s="1" t="n">
        <v>44005</v>
      </c>
      <c r="C2416" s="1" t="n">
        <v>45344</v>
      </c>
      <c r="D2416" t="inlineStr">
        <is>
          <t>GÄVLEBORGS LÄN</t>
        </is>
      </c>
      <c r="E2416" t="inlineStr">
        <is>
          <t>HUDIKSVALL</t>
        </is>
      </c>
      <c r="G2416" t="n">
        <v>7.1</v>
      </c>
      <c r="H2416" t="n">
        <v>0</v>
      </c>
      <c r="I2416" t="n">
        <v>0</v>
      </c>
      <c r="J2416" t="n">
        <v>0</v>
      </c>
      <c r="K2416" t="n">
        <v>0</v>
      </c>
      <c r="L2416" t="n">
        <v>0</v>
      </c>
      <c r="M2416" t="n">
        <v>0</v>
      </c>
      <c r="N2416" t="n">
        <v>0</v>
      </c>
      <c r="O2416" t="n">
        <v>0</v>
      </c>
      <c r="P2416" t="n">
        <v>0</v>
      </c>
      <c r="Q2416" t="n">
        <v>0</v>
      </c>
      <c r="R2416" s="2" t="inlineStr"/>
    </row>
    <row r="2417" ht="15" customHeight="1">
      <c r="A2417" t="inlineStr">
        <is>
          <t>A 29653-2020</t>
        </is>
      </c>
      <c r="B2417" s="1" t="n">
        <v>44005</v>
      </c>
      <c r="C2417" s="1" t="n">
        <v>45344</v>
      </c>
      <c r="D2417" t="inlineStr">
        <is>
          <t>GÄVLEBORGS LÄN</t>
        </is>
      </c>
      <c r="E2417" t="inlineStr">
        <is>
          <t>NORDANSTIG</t>
        </is>
      </c>
      <c r="G2417" t="n">
        <v>18.3</v>
      </c>
      <c r="H2417" t="n">
        <v>0</v>
      </c>
      <c r="I2417" t="n">
        <v>0</v>
      </c>
      <c r="J2417" t="n">
        <v>0</v>
      </c>
      <c r="K2417" t="n">
        <v>0</v>
      </c>
      <c r="L2417" t="n">
        <v>0</v>
      </c>
      <c r="M2417" t="n">
        <v>0</v>
      </c>
      <c r="N2417" t="n">
        <v>0</v>
      </c>
      <c r="O2417" t="n">
        <v>0</v>
      </c>
      <c r="P2417" t="n">
        <v>0</v>
      </c>
      <c r="Q2417" t="n">
        <v>0</v>
      </c>
      <c r="R2417" s="2" t="inlineStr"/>
    </row>
    <row r="2418" ht="15" customHeight="1">
      <c r="A2418" t="inlineStr">
        <is>
          <t>A 29665-2020</t>
        </is>
      </c>
      <c r="B2418" s="1" t="n">
        <v>44005</v>
      </c>
      <c r="C2418" s="1" t="n">
        <v>45344</v>
      </c>
      <c r="D2418" t="inlineStr">
        <is>
          <t>GÄVLEBORGS LÄN</t>
        </is>
      </c>
      <c r="E2418" t="inlineStr">
        <is>
          <t>SANDVIKEN</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29538-2020</t>
        </is>
      </c>
      <c r="B2419" s="1" t="n">
        <v>44005</v>
      </c>
      <c r="C2419" s="1" t="n">
        <v>45344</v>
      </c>
      <c r="D2419" t="inlineStr">
        <is>
          <t>GÄVLEBORGS LÄN</t>
        </is>
      </c>
      <c r="E2419" t="inlineStr">
        <is>
          <t>OVANÅKER</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29564-2020</t>
        </is>
      </c>
      <c r="B2420" s="1" t="n">
        <v>44005</v>
      </c>
      <c r="C2420" s="1" t="n">
        <v>45344</v>
      </c>
      <c r="D2420" t="inlineStr">
        <is>
          <t>GÄVLEBORGS LÄN</t>
        </is>
      </c>
      <c r="E2420" t="inlineStr">
        <is>
          <t>GÄVLE</t>
        </is>
      </c>
      <c r="F2420" t="inlineStr">
        <is>
          <t>Bergvik skog öst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29688-2020</t>
        </is>
      </c>
      <c r="B2421" s="1" t="n">
        <v>44005</v>
      </c>
      <c r="C2421" s="1" t="n">
        <v>45344</v>
      </c>
      <c r="D2421" t="inlineStr">
        <is>
          <t>GÄVLEBORGS LÄN</t>
        </is>
      </c>
      <c r="E2421" t="inlineStr">
        <is>
          <t>LJUSDAL</t>
        </is>
      </c>
      <c r="F2421" t="inlineStr">
        <is>
          <t>Sveaskog</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29692-2020</t>
        </is>
      </c>
      <c r="B2422" s="1" t="n">
        <v>44005</v>
      </c>
      <c r="C2422" s="1" t="n">
        <v>45344</v>
      </c>
      <c r="D2422" t="inlineStr">
        <is>
          <t>GÄVLEBORGS LÄN</t>
        </is>
      </c>
      <c r="E2422" t="inlineStr">
        <is>
          <t>LJUSDAL</t>
        </is>
      </c>
      <c r="F2422" t="inlineStr">
        <is>
          <t>Sveaskog</t>
        </is>
      </c>
      <c r="G2422" t="n">
        <v>21.9</v>
      </c>
      <c r="H2422" t="n">
        <v>0</v>
      </c>
      <c r="I2422" t="n">
        <v>0</v>
      </c>
      <c r="J2422" t="n">
        <v>0</v>
      </c>
      <c r="K2422" t="n">
        <v>0</v>
      </c>
      <c r="L2422" t="n">
        <v>0</v>
      </c>
      <c r="M2422" t="n">
        <v>0</v>
      </c>
      <c r="N2422" t="n">
        <v>0</v>
      </c>
      <c r="O2422" t="n">
        <v>0</v>
      </c>
      <c r="P2422" t="n">
        <v>0</v>
      </c>
      <c r="Q2422" t="n">
        <v>0</v>
      </c>
      <c r="R2422" s="2" t="inlineStr"/>
    </row>
    <row r="2423" ht="15" customHeight="1">
      <c r="A2423" t="inlineStr">
        <is>
          <t>A 29836-2020</t>
        </is>
      </c>
      <c r="B2423" s="1" t="n">
        <v>44006</v>
      </c>
      <c r="C2423" s="1" t="n">
        <v>45344</v>
      </c>
      <c r="D2423" t="inlineStr">
        <is>
          <t>GÄVLEBORGS LÄN</t>
        </is>
      </c>
      <c r="E2423" t="inlineStr">
        <is>
          <t>BOLLNÄS</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29886-2020</t>
        </is>
      </c>
      <c r="B2424" s="1" t="n">
        <v>44006</v>
      </c>
      <c r="C2424" s="1" t="n">
        <v>45344</v>
      </c>
      <c r="D2424" t="inlineStr">
        <is>
          <t>GÄVLEBORGS LÄN</t>
        </is>
      </c>
      <c r="E2424" t="inlineStr">
        <is>
          <t>LJUSDAL</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29810-2020</t>
        </is>
      </c>
      <c r="B2425" s="1" t="n">
        <v>44006</v>
      </c>
      <c r="C2425" s="1" t="n">
        <v>45344</v>
      </c>
      <c r="D2425" t="inlineStr">
        <is>
          <t>GÄVLEBORGS LÄN</t>
        </is>
      </c>
      <c r="E2425" t="inlineStr">
        <is>
          <t>HUDIKSVALL</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29940-2020</t>
        </is>
      </c>
      <c r="B2426" s="1" t="n">
        <v>44006</v>
      </c>
      <c r="C2426" s="1" t="n">
        <v>45344</v>
      </c>
      <c r="D2426" t="inlineStr">
        <is>
          <t>GÄVLEBORGS LÄN</t>
        </is>
      </c>
      <c r="E2426" t="inlineStr">
        <is>
          <t>GÄVLE</t>
        </is>
      </c>
      <c r="F2426" t="inlineStr">
        <is>
          <t>Kommuner</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30185-2020</t>
        </is>
      </c>
      <c r="B2427" s="1" t="n">
        <v>44007</v>
      </c>
      <c r="C2427" s="1" t="n">
        <v>45344</v>
      </c>
      <c r="D2427" t="inlineStr">
        <is>
          <t>GÄVLEBORGS LÄN</t>
        </is>
      </c>
      <c r="E2427" t="inlineStr">
        <is>
          <t>SANDVIKEN</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30191-2020</t>
        </is>
      </c>
      <c r="B2428" s="1" t="n">
        <v>44007</v>
      </c>
      <c r="C2428" s="1" t="n">
        <v>45344</v>
      </c>
      <c r="D2428" t="inlineStr">
        <is>
          <t>GÄVLEBORGS LÄN</t>
        </is>
      </c>
      <c r="E2428" t="inlineStr">
        <is>
          <t>NORDANSTIG</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30127-2020</t>
        </is>
      </c>
      <c r="B2429" s="1" t="n">
        <v>44007</v>
      </c>
      <c r="C2429" s="1" t="n">
        <v>45344</v>
      </c>
      <c r="D2429" t="inlineStr">
        <is>
          <t>GÄVLEBORGS LÄN</t>
        </is>
      </c>
      <c r="E2429" t="inlineStr">
        <is>
          <t>LJUSDAL</t>
        </is>
      </c>
      <c r="F2429" t="inlineStr">
        <is>
          <t>Sveaskog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30134-2020</t>
        </is>
      </c>
      <c r="B2430" s="1" t="n">
        <v>44007</v>
      </c>
      <c r="C2430" s="1" t="n">
        <v>45344</v>
      </c>
      <c r="D2430" t="inlineStr">
        <is>
          <t>GÄVLEBORGS LÄN</t>
        </is>
      </c>
      <c r="E2430" t="inlineStr">
        <is>
          <t>SANDVIKEN</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30242-2020</t>
        </is>
      </c>
      <c r="B2431" s="1" t="n">
        <v>44007</v>
      </c>
      <c r="C2431" s="1" t="n">
        <v>45344</v>
      </c>
      <c r="D2431" t="inlineStr">
        <is>
          <t>GÄVLEBORGS LÄN</t>
        </is>
      </c>
      <c r="E2431" t="inlineStr">
        <is>
          <t>SANDVIKEN</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30281-2020</t>
        </is>
      </c>
      <c r="B2432" s="1" t="n">
        <v>44007</v>
      </c>
      <c r="C2432" s="1" t="n">
        <v>45344</v>
      </c>
      <c r="D2432" t="inlineStr">
        <is>
          <t>GÄVLEBORGS LÄN</t>
        </is>
      </c>
      <c r="E2432" t="inlineStr">
        <is>
          <t>SÖDERHAMN</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30290-2020</t>
        </is>
      </c>
      <c r="B2433" s="1" t="n">
        <v>44007</v>
      </c>
      <c r="C2433" s="1" t="n">
        <v>45344</v>
      </c>
      <c r="D2433" t="inlineStr">
        <is>
          <t>GÄVLEBORGS LÄN</t>
        </is>
      </c>
      <c r="E2433" t="inlineStr">
        <is>
          <t>OVANÅKER</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30452-2020</t>
        </is>
      </c>
      <c r="B2434" s="1" t="n">
        <v>44007</v>
      </c>
      <c r="C2434" s="1" t="n">
        <v>45344</v>
      </c>
      <c r="D2434" t="inlineStr">
        <is>
          <t>GÄVLEBORGS LÄN</t>
        </is>
      </c>
      <c r="E2434" t="inlineStr">
        <is>
          <t>SANDVIKEN</t>
        </is>
      </c>
      <c r="F2434" t="inlineStr">
        <is>
          <t>Sveaskog</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30448-2020</t>
        </is>
      </c>
      <c r="B2435" s="1" t="n">
        <v>44007</v>
      </c>
      <c r="C2435" s="1" t="n">
        <v>45344</v>
      </c>
      <c r="D2435" t="inlineStr">
        <is>
          <t>GÄVLEBORGS LÄN</t>
        </is>
      </c>
      <c r="E2435" t="inlineStr">
        <is>
          <t>NORDANSTIG</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30450-2020</t>
        </is>
      </c>
      <c r="B2436" s="1" t="n">
        <v>44007</v>
      </c>
      <c r="C2436" s="1" t="n">
        <v>45344</v>
      </c>
      <c r="D2436" t="inlineStr">
        <is>
          <t>GÄVLEBORGS LÄN</t>
        </is>
      </c>
      <c r="E2436" t="inlineStr">
        <is>
          <t>NORDANSTIG</t>
        </is>
      </c>
      <c r="G2436" t="n">
        <v>9</v>
      </c>
      <c r="H2436" t="n">
        <v>0</v>
      </c>
      <c r="I2436" t="n">
        <v>0</v>
      </c>
      <c r="J2436" t="n">
        <v>0</v>
      </c>
      <c r="K2436" t="n">
        <v>0</v>
      </c>
      <c r="L2436" t="n">
        <v>0</v>
      </c>
      <c r="M2436" t="n">
        <v>0</v>
      </c>
      <c r="N2436" t="n">
        <v>0</v>
      </c>
      <c r="O2436" t="n">
        <v>0</v>
      </c>
      <c r="P2436" t="n">
        <v>0</v>
      </c>
      <c r="Q2436" t="n">
        <v>0</v>
      </c>
      <c r="R2436" s="2" t="inlineStr"/>
    </row>
    <row r="2437" ht="15" customHeight="1">
      <c r="A2437" t="inlineStr">
        <is>
          <t>A 30359-2020</t>
        </is>
      </c>
      <c r="B2437" s="1" t="n">
        <v>44007</v>
      </c>
      <c r="C2437" s="1" t="n">
        <v>45344</v>
      </c>
      <c r="D2437" t="inlineStr">
        <is>
          <t>GÄVLEBORGS LÄN</t>
        </is>
      </c>
      <c r="E2437" t="inlineStr">
        <is>
          <t>SANDVIKEN</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30225-2020</t>
        </is>
      </c>
      <c r="B2438" s="1" t="n">
        <v>44007</v>
      </c>
      <c r="C2438" s="1" t="n">
        <v>45344</v>
      </c>
      <c r="D2438" t="inlineStr">
        <is>
          <t>GÄVLEBORGS LÄN</t>
        </is>
      </c>
      <c r="E2438" t="inlineStr">
        <is>
          <t>SANDVIKEN</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30449-2020</t>
        </is>
      </c>
      <c r="B2439" s="1" t="n">
        <v>44007</v>
      </c>
      <c r="C2439" s="1" t="n">
        <v>45344</v>
      </c>
      <c r="D2439" t="inlineStr">
        <is>
          <t>GÄVLEBORGS LÄN</t>
        </is>
      </c>
      <c r="E2439" t="inlineStr">
        <is>
          <t>NORDANSTIG</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30456-2020</t>
        </is>
      </c>
      <c r="B2440" s="1" t="n">
        <v>44007</v>
      </c>
      <c r="C2440" s="1" t="n">
        <v>45344</v>
      </c>
      <c r="D2440" t="inlineStr">
        <is>
          <t>GÄVLEBORGS LÄN</t>
        </is>
      </c>
      <c r="E2440" t="inlineStr">
        <is>
          <t>LJUSDAL</t>
        </is>
      </c>
      <c r="F2440" t="inlineStr">
        <is>
          <t>Sveaskog</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30558-2020</t>
        </is>
      </c>
      <c r="B2441" s="1" t="n">
        <v>44008</v>
      </c>
      <c r="C2441" s="1" t="n">
        <v>45344</v>
      </c>
      <c r="D2441" t="inlineStr">
        <is>
          <t>GÄVLEBORGS LÄN</t>
        </is>
      </c>
      <c r="E2441" t="inlineStr">
        <is>
          <t>SÖDERHAMN</t>
        </is>
      </c>
      <c r="F2441" t="inlineStr">
        <is>
          <t>Bergvik skog väst AB</t>
        </is>
      </c>
      <c r="G2441" t="n">
        <v>5.4</v>
      </c>
      <c r="H2441" t="n">
        <v>0</v>
      </c>
      <c r="I2441" t="n">
        <v>0</v>
      </c>
      <c r="J2441" t="n">
        <v>0</v>
      </c>
      <c r="K2441" t="n">
        <v>0</v>
      </c>
      <c r="L2441" t="n">
        <v>0</v>
      </c>
      <c r="M2441" t="n">
        <v>0</v>
      </c>
      <c r="N2441" t="n">
        <v>0</v>
      </c>
      <c r="O2441" t="n">
        <v>0</v>
      </c>
      <c r="P2441" t="n">
        <v>0</v>
      </c>
      <c r="Q2441" t="n">
        <v>0</v>
      </c>
      <c r="R2441" s="2" t="inlineStr"/>
    </row>
    <row r="2442" ht="15" customHeight="1">
      <c r="A2442" t="inlineStr">
        <is>
          <t>A 30569-2020</t>
        </is>
      </c>
      <c r="B2442" s="1" t="n">
        <v>44008</v>
      </c>
      <c r="C2442" s="1" t="n">
        <v>45344</v>
      </c>
      <c r="D2442" t="inlineStr">
        <is>
          <t>GÄVLEBORGS LÄN</t>
        </is>
      </c>
      <c r="E2442" t="inlineStr">
        <is>
          <t>SÖDERHAMN</t>
        </is>
      </c>
      <c r="G2442" t="n">
        <v>5.2</v>
      </c>
      <c r="H2442" t="n">
        <v>0</v>
      </c>
      <c r="I2442" t="n">
        <v>0</v>
      </c>
      <c r="J2442" t="n">
        <v>0</v>
      </c>
      <c r="K2442" t="n">
        <v>0</v>
      </c>
      <c r="L2442" t="n">
        <v>0</v>
      </c>
      <c r="M2442" t="n">
        <v>0</v>
      </c>
      <c r="N2442" t="n">
        <v>0</v>
      </c>
      <c r="O2442" t="n">
        <v>0</v>
      </c>
      <c r="P2442" t="n">
        <v>0</v>
      </c>
      <c r="Q2442" t="n">
        <v>0</v>
      </c>
      <c r="R2442" s="2" t="inlineStr"/>
    </row>
    <row r="2443" ht="15" customHeight="1">
      <c r="A2443" t="inlineStr">
        <is>
          <t>A 30587-2020</t>
        </is>
      </c>
      <c r="B2443" s="1" t="n">
        <v>44008</v>
      </c>
      <c r="C2443" s="1" t="n">
        <v>45344</v>
      </c>
      <c r="D2443" t="inlineStr">
        <is>
          <t>GÄVLEBORGS LÄN</t>
        </is>
      </c>
      <c r="E2443" t="inlineStr">
        <is>
          <t>BOLLNÄS</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30584-2020</t>
        </is>
      </c>
      <c r="B2444" s="1" t="n">
        <v>44008</v>
      </c>
      <c r="C2444" s="1" t="n">
        <v>45344</v>
      </c>
      <c r="D2444" t="inlineStr">
        <is>
          <t>GÄVLEBORGS LÄN</t>
        </is>
      </c>
      <c r="E2444" t="inlineStr">
        <is>
          <t>SÖDERHAMN</t>
        </is>
      </c>
      <c r="G2444" t="n">
        <v>9.300000000000001</v>
      </c>
      <c r="H2444" t="n">
        <v>0</v>
      </c>
      <c r="I2444" t="n">
        <v>0</v>
      </c>
      <c r="J2444" t="n">
        <v>0</v>
      </c>
      <c r="K2444" t="n">
        <v>0</v>
      </c>
      <c r="L2444" t="n">
        <v>0</v>
      </c>
      <c r="M2444" t="n">
        <v>0</v>
      </c>
      <c r="N2444" t="n">
        <v>0</v>
      </c>
      <c r="O2444" t="n">
        <v>0</v>
      </c>
      <c r="P2444" t="n">
        <v>0</v>
      </c>
      <c r="Q2444" t="n">
        <v>0</v>
      </c>
      <c r="R2444" s="2" t="inlineStr"/>
    </row>
    <row r="2445" ht="15" customHeight="1">
      <c r="A2445" t="inlineStr">
        <is>
          <t>A 30658-2020</t>
        </is>
      </c>
      <c r="B2445" s="1" t="n">
        <v>44008</v>
      </c>
      <c r="C2445" s="1" t="n">
        <v>45344</v>
      </c>
      <c r="D2445" t="inlineStr">
        <is>
          <t>GÄVLEBORGS LÄN</t>
        </is>
      </c>
      <c r="E2445" t="inlineStr">
        <is>
          <t>GÄVLE</t>
        </is>
      </c>
      <c r="F2445" t="inlineStr">
        <is>
          <t>Bergvik skog öst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30516-2020</t>
        </is>
      </c>
      <c r="B2446" s="1" t="n">
        <v>44008</v>
      </c>
      <c r="C2446" s="1" t="n">
        <v>45344</v>
      </c>
      <c r="D2446" t="inlineStr">
        <is>
          <t>GÄVLEBORGS LÄN</t>
        </is>
      </c>
      <c r="E2446" t="inlineStr">
        <is>
          <t>SÖDERHAMN</t>
        </is>
      </c>
      <c r="F2446" t="inlineStr">
        <is>
          <t>Bergvik skog väst AB</t>
        </is>
      </c>
      <c r="G2446" t="n">
        <v>0.3</v>
      </c>
      <c r="H2446" t="n">
        <v>0</v>
      </c>
      <c r="I2446" t="n">
        <v>0</v>
      </c>
      <c r="J2446" t="n">
        <v>0</v>
      </c>
      <c r="K2446" t="n">
        <v>0</v>
      </c>
      <c r="L2446" t="n">
        <v>0</v>
      </c>
      <c r="M2446" t="n">
        <v>0</v>
      </c>
      <c r="N2446" t="n">
        <v>0</v>
      </c>
      <c r="O2446" t="n">
        <v>0</v>
      </c>
      <c r="P2446" t="n">
        <v>0</v>
      </c>
      <c r="Q2446" t="n">
        <v>0</v>
      </c>
      <c r="R2446" s="2" t="inlineStr"/>
    </row>
    <row r="2447" ht="15" customHeight="1">
      <c r="A2447" t="inlineStr">
        <is>
          <t>A 30678-2020</t>
        </is>
      </c>
      <c r="B2447" s="1" t="n">
        <v>44008</v>
      </c>
      <c r="C2447" s="1" t="n">
        <v>45344</v>
      </c>
      <c r="D2447" t="inlineStr">
        <is>
          <t>GÄVLEBORGS LÄN</t>
        </is>
      </c>
      <c r="E2447" t="inlineStr">
        <is>
          <t>SÖDERHAMN</t>
        </is>
      </c>
      <c r="G2447" t="n">
        <v>0</v>
      </c>
      <c r="H2447" t="n">
        <v>0</v>
      </c>
      <c r="I2447" t="n">
        <v>0</v>
      </c>
      <c r="J2447" t="n">
        <v>0</v>
      </c>
      <c r="K2447" t="n">
        <v>0</v>
      </c>
      <c r="L2447" t="n">
        <v>0</v>
      </c>
      <c r="M2447" t="n">
        <v>0</v>
      </c>
      <c r="N2447" t="n">
        <v>0</v>
      </c>
      <c r="O2447" t="n">
        <v>0</v>
      </c>
      <c r="P2447" t="n">
        <v>0</v>
      </c>
      <c r="Q2447" t="n">
        <v>0</v>
      </c>
      <c r="R2447" s="2" t="inlineStr"/>
    </row>
    <row r="2448" ht="15" customHeight="1">
      <c r="A2448" t="inlineStr">
        <is>
          <t>A 30738-2020</t>
        </is>
      </c>
      <c r="B2448" s="1" t="n">
        <v>44008</v>
      </c>
      <c r="C2448" s="1" t="n">
        <v>45344</v>
      </c>
      <c r="D2448" t="inlineStr">
        <is>
          <t>GÄVLEBORGS LÄN</t>
        </is>
      </c>
      <c r="E2448" t="inlineStr">
        <is>
          <t>LJUSDAL</t>
        </is>
      </c>
      <c r="F2448" t="inlineStr">
        <is>
          <t>Sveaskog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30556-2020</t>
        </is>
      </c>
      <c r="B2449" s="1" t="n">
        <v>44008</v>
      </c>
      <c r="C2449" s="1" t="n">
        <v>45344</v>
      </c>
      <c r="D2449" t="inlineStr">
        <is>
          <t>GÄVLEBORGS LÄN</t>
        </is>
      </c>
      <c r="E2449" t="inlineStr">
        <is>
          <t>SÖDERHAMN</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30737-2020</t>
        </is>
      </c>
      <c r="B2450" s="1" t="n">
        <v>44008</v>
      </c>
      <c r="C2450" s="1" t="n">
        <v>45344</v>
      </c>
      <c r="D2450" t="inlineStr">
        <is>
          <t>GÄVLEBORGS LÄN</t>
        </is>
      </c>
      <c r="E2450" t="inlineStr">
        <is>
          <t>LJUSDAL</t>
        </is>
      </c>
      <c r="F2450" t="inlineStr">
        <is>
          <t>Sveaskog</t>
        </is>
      </c>
      <c r="G2450" t="n">
        <v>8.800000000000001</v>
      </c>
      <c r="H2450" t="n">
        <v>0</v>
      </c>
      <c r="I2450" t="n">
        <v>0</v>
      </c>
      <c r="J2450" t="n">
        <v>0</v>
      </c>
      <c r="K2450" t="n">
        <v>0</v>
      </c>
      <c r="L2450" t="n">
        <v>0</v>
      </c>
      <c r="M2450" t="n">
        <v>0</v>
      </c>
      <c r="N2450" t="n">
        <v>0</v>
      </c>
      <c r="O2450" t="n">
        <v>0</v>
      </c>
      <c r="P2450" t="n">
        <v>0</v>
      </c>
      <c r="Q2450" t="n">
        <v>0</v>
      </c>
      <c r="R2450" s="2" t="inlineStr"/>
    </row>
    <row r="2451" ht="15" customHeight="1">
      <c r="A2451" t="inlineStr">
        <is>
          <t>A 30851-2020</t>
        </is>
      </c>
      <c r="B2451" s="1" t="n">
        <v>44011</v>
      </c>
      <c r="C2451" s="1" t="n">
        <v>45344</v>
      </c>
      <c r="D2451" t="inlineStr">
        <is>
          <t>GÄVLEBORGS LÄN</t>
        </is>
      </c>
      <c r="E2451" t="inlineStr">
        <is>
          <t>GÄVLE</t>
        </is>
      </c>
      <c r="F2451" t="inlineStr">
        <is>
          <t>Bergvik skog öst AB</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30817-2020</t>
        </is>
      </c>
      <c r="B2452" s="1" t="n">
        <v>44011</v>
      </c>
      <c r="C2452" s="1" t="n">
        <v>45344</v>
      </c>
      <c r="D2452" t="inlineStr">
        <is>
          <t>GÄVLEBORGS LÄN</t>
        </is>
      </c>
      <c r="E2452" t="inlineStr">
        <is>
          <t>NORDANSTIG</t>
        </is>
      </c>
      <c r="F2452" t="inlineStr">
        <is>
          <t>Holmen skog AB</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30927-2020</t>
        </is>
      </c>
      <c r="B2453" s="1" t="n">
        <v>44011</v>
      </c>
      <c r="C2453" s="1" t="n">
        <v>45344</v>
      </c>
      <c r="D2453" t="inlineStr">
        <is>
          <t>GÄVLEBORGS LÄN</t>
        </is>
      </c>
      <c r="E2453" t="inlineStr">
        <is>
          <t>NORDANSTIG</t>
        </is>
      </c>
      <c r="F2453" t="inlineStr">
        <is>
          <t>Holmen skog AB</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30899-2020</t>
        </is>
      </c>
      <c r="B2454" s="1" t="n">
        <v>44011</v>
      </c>
      <c r="C2454" s="1" t="n">
        <v>45344</v>
      </c>
      <c r="D2454" t="inlineStr">
        <is>
          <t>GÄVLEBORGS LÄN</t>
        </is>
      </c>
      <c r="E2454" t="inlineStr">
        <is>
          <t>SÖDERHAMN</t>
        </is>
      </c>
      <c r="G2454" t="n">
        <v>1.5</v>
      </c>
      <c r="H2454" t="n">
        <v>0</v>
      </c>
      <c r="I2454" t="n">
        <v>0</v>
      </c>
      <c r="J2454" t="n">
        <v>0</v>
      </c>
      <c r="K2454" t="n">
        <v>0</v>
      </c>
      <c r="L2454" t="n">
        <v>0</v>
      </c>
      <c r="M2454" t="n">
        <v>0</v>
      </c>
      <c r="N2454" t="n">
        <v>0</v>
      </c>
      <c r="O2454" t="n">
        <v>0</v>
      </c>
      <c r="P2454" t="n">
        <v>0</v>
      </c>
      <c r="Q2454" t="n">
        <v>0</v>
      </c>
      <c r="R2454" s="2" t="inlineStr"/>
    </row>
    <row r="2455" ht="15" customHeight="1">
      <c r="A2455" t="inlineStr">
        <is>
          <t>A 30908-2020</t>
        </is>
      </c>
      <c r="B2455" s="1" t="n">
        <v>44011</v>
      </c>
      <c r="C2455" s="1" t="n">
        <v>45344</v>
      </c>
      <c r="D2455" t="inlineStr">
        <is>
          <t>GÄVLEBORGS LÄN</t>
        </is>
      </c>
      <c r="E2455" t="inlineStr">
        <is>
          <t>HUDIKSVALL</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31110-2020</t>
        </is>
      </c>
      <c r="B2456" s="1" t="n">
        <v>44012</v>
      </c>
      <c r="C2456" s="1" t="n">
        <v>45344</v>
      </c>
      <c r="D2456" t="inlineStr">
        <is>
          <t>GÄVLEBORGS LÄN</t>
        </is>
      </c>
      <c r="E2456" t="inlineStr">
        <is>
          <t>OCKELBO</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31183-2020</t>
        </is>
      </c>
      <c r="B2457" s="1" t="n">
        <v>44012</v>
      </c>
      <c r="C2457" s="1" t="n">
        <v>45344</v>
      </c>
      <c r="D2457" t="inlineStr">
        <is>
          <t>GÄVLEBORGS LÄN</t>
        </is>
      </c>
      <c r="E2457" t="inlineStr">
        <is>
          <t>NORDANSTIG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31193-2020</t>
        </is>
      </c>
      <c r="B2458" s="1" t="n">
        <v>44012</v>
      </c>
      <c r="C2458" s="1" t="n">
        <v>45344</v>
      </c>
      <c r="D2458" t="inlineStr">
        <is>
          <t>GÄVLEBORGS LÄN</t>
        </is>
      </c>
      <c r="E2458" t="inlineStr">
        <is>
          <t>NORDANSTIG</t>
        </is>
      </c>
      <c r="G2458" t="n">
        <v>0.1</v>
      </c>
      <c r="H2458" t="n">
        <v>0</v>
      </c>
      <c r="I2458" t="n">
        <v>0</v>
      </c>
      <c r="J2458" t="n">
        <v>0</v>
      </c>
      <c r="K2458" t="n">
        <v>0</v>
      </c>
      <c r="L2458" t="n">
        <v>0</v>
      </c>
      <c r="M2458" t="n">
        <v>0</v>
      </c>
      <c r="N2458" t="n">
        <v>0</v>
      </c>
      <c r="O2458" t="n">
        <v>0</v>
      </c>
      <c r="P2458" t="n">
        <v>0</v>
      </c>
      <c r="Q2458" t="n">
        <v>0</v>
      </c>
      <c r="R2458" s="2" t="inlineStr"/>
    </row>
    <row r="2459" ht="15" customHeight="1">
      <c r="A2459" t="inlineStr">
        <is>
          <t>A 31202-2020</t>
        </is>
      </c>
      <c r="B2459" s="1" t="n">
        <v>44012</v>
      </c>
      <c r="C2459" s="1" t="n">
        <v>45344</v>
      </c>
      <c r="D2459" t="inlineStr">
        <is>
          <t>GÄVLEBORGS LÄN</t>
        </is>
      </c>
      <c r="E2459" t="inlineStr">
        <is>
          <t>NORDANSTIG</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31231-2020</t>
        </is>
      </c>
      <c r="B2460" s="1" t="n">
        <v>44012</v>
      </c>
      <c r="C2460" s="1" t="n">
        <v>45344</v>
      </c>
      <c r="D2460" t="inlineStr">
        <is>
          <t>GÄVLEBORGS LÄN</t>
        </is>
      </c>
      <c r="E2460" t="inlineStr">
        <is>
          <t>OVANÅKER</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31287-2020</t>
        </is>
      </c>
      <c r="B2461" s="1" t="n">
        <v>44012</v>
      </c>
      <c r="C2461" s="1" t="n">
        <v>45344</v>
      </c>
      <c r="D2461" t="inlineStr">
        <is>
          <t>GÄVLEBORGS LÄN</t>
        </is>
      </c>
      <c r="E2461" t="inlineStr">
        <is>
          <t>BOLLNÄS</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31214-2020</t>
        </is>
      </c>
      <c r="B2462" s="1" t="n">
        <v>44012</v>
      </c>
      <c r="C2462" s="1" t="n">
        <v>45344</v>
      </c>
      <c r="D2462" t="inlineStr">
        <is>
          <t>GÄVLEBORGS LÄN</t>
        </is>
      </c>
      <c r="E2462" t="inlineStr">
        <is>
          <t>OVANÅKER</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31408-2020</t>
        </is>
      </c>
      <c r="B2463" s="1" t="n">
        <v>44013</v>
      </c>
      <c r="C2463" s="1" t="n">
        <v>45344</v>
      </c>
      <c r="D2463" t="inlineStr">
        <is>
          <t>GÄVLEBORGS LÄN</t>
        </is>
      </c>
      <c r="E2463" t="inlineStr">
        <is>
          <t>NORDANSTIG</t>
        </is>
      </c>
      <c r="F2463" t="inlineStr">
        <is>
          <t>Holmen skog AB</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31402-2020</t>
        </is>
      </c>
      <c r="B2464" s="1" t="n">
        <v>44013</v>
      </c>
      <c r="C2464" s="1" t="n">
        <v>45344</v>
      </c>
      <c r="D2464" t="inlineStr">
        <is>
          <t>GÄVLEBORGS LÄN</t>
        </is>
      </c>
      <c r="E2464" t="inlineStr">
        <is>
          <t>NORDANSTIG</t>
        </is>
      </c>
      <c r="F2464" t="inlineStr">
        <is>
          <t>Holmen skog AB</t>
        </is>
      </c>
      <c r="G2464" t="n">
        <v>8.1</v>
      </c>
      <c r="H2464" t="n">
        <v>0</v>
      </c>
      <c r="I2464" t="n">
        <v>0</v>
      </c>
      <c r="J2464" t="n">
        <v>0</v>
      </c>
      <c r="K2464" t="n">
        <v>0</v>
      </c>
      <c r="L2464" t="n">
        <v>0</v>
      </c>
      <c r="M2464" t="n">
        <v>0</v>
      </c>
      <c r="N2464" t="n">
        <v>0</v>
      </c>
      <c r="O2464" t="n">
        <v>0</v>
      </c>
      <c r="P2464" t="n">
        <v>0</v>
      </c>
      <c r="Q2464" t="n">
        <v>0</v>
      </c>
      <c r="R2464" s="2" t="inlineStr"/>
    </row>
    <row r="2465" ht="15" customHeight="1">
      <c r="A2465" t="inlineStr">
        <is>
          <t>A 31491-2020</t>
        </is>
      </c>
      <c r="B2465" s="1" t="n">
        <v>44013</v>
      </c>
      <c r="C2465" s="1" t="n">
        <v>45344</v>
      </c>
      <c r="D2465" t="inlineStr">
        <is>
          <t>GÄVLEBORGS LÄN</t>
        </is>
      </c>
      <c r="E2465" t="inlineStr">
        <is>
          <t>NORDANSTIG</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31599-2020</t>
        </is>
      </c>
      <c r="B2466" s="1" t="n">
        <v>44013</v>
      </c>
      <c r="C2466" s="1" t="n">
        <v>45344</v>
      </c>
      <c r="D2466" t="inlineStr">
        <is>
          <t>GÄVLEBORGS LÄN</t>
        </is>
      </c>
      <c r="E2466" t="inlineStr">
        <is>
          <t>BOLLNÄS</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31716-2020</t>
        </is>
      </c>
      <c r="B2467" s="1" t="n">
        <v>44014</v>
      </c>
      <c r="C2467" s="1" t="n">
        <v>45344</v>
      </c>
      <c r="D2467" t="inlineStr">
        <is>
          <t>GÄVLEBORGS LÄN</t>
        </is>
      </c>
      <c r="E2467" t="inlineStr">
        <is>
          <t>HUDIKSVALL</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31747-2020</t>
        </is>
      </c>
      <c r="B2468" s="1" t="n">
        <v>44014</v>
      </c>
      <c r="C2468" s="1" t="n">
        <v>45344</v>
      </c>
      <c r="D2468" t="inlineStr">
        <is>
          <t>GÄVLEBORGS LÄN</t>
        </is>
      </c>
      <c r="E2468" t="inlineStr">
        <is>
          <t>GÄVLE</t>
        </is>
      </c>
      <c r="F2468" t="inlineStr">
        <is>
          <t>Bergvik skog öst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31810-2020</t>
        </is>
      </c>
      <c r="B2469" s="1" t="n">
        <v>44014</v>
      </c>
      <c r="C2469" s="1" t="n">
        <v>45344</v>
      </c>
      <c r="D2469" t="inlineStr">
        <is>
          <t>GÄVLEBORGS LÄN</t>
        </is>
      </c>
      <c r="E2469" t="inlineStr">
        <is>
          <t>OVANÅKER</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31824-2020</t>
        </is>
      </c>
      <c r="B2470" s="1" t="n">
        <v>44014</v>
      </c>
      <c r="C2470" s="1" t="n">
        <v>45344</v>
      </c>
      <c r="D2470" t="inlineStr">
        <is>
          <t>GÄVLEBORGS LÄN</t>
        </is>
      </c>
      <c r="E2470" t="inlineStr">
        <is>
          <t>LJUSDAL</t>
        </is>
      </c>
      <c r="F2470" t="inlineStr">
        <is>
          <t>Holmen skog AB</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31860-2020</t>
        </is>
      </c>
      <c r="B2471" s="1" t="n">
        <v>44014</v>
      </c>
      <c r="C2471" s="1" t="n">
        <v>45344</v>
      </c>
      <c r="D2471" t="inlineStr">
        <is>
          <t>GÄVLEBORGS LÄN</t>
        </is>
      </c>
      <c r="E2471" t="inlineStr">
        <is>
          <t>OVANÅKER</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31890-2020</t>
        </is>
      </c>
      <c r="B2472" s="1" t="n">
        <v>44014</v>
      </c>
      <c r="C2472" s="1" t="n">
        <v>45344</v>
      </c>
      <c r="D2472" t="inlineStr">
        <is>
          <t>GÄVLEBORGS LÄN</t>
        </is>
      </c>
      <c r="E2472" t="inlineStr">
        <is>
          <t>BOLLNÄS</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31817-2020</t>
        </is>
      </c>
      <c r="B2473" s="1" t="n">
        <v>44014</v>
      </c>
      <c r="C2473" s="1" t="n">
        <v>45344</v>
      </c>
      <c r="D2473" t="inlineStr">
        <is>
          <t>GÄVLEBORGS LÄN</t>
        </is>
      </c>
      <c r="E2473" t="inlineStr">
        <is>
          <t>BOLLNÄS</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31827-2020</t>
        </is>
      </c>
      <c r="B2474" s="1" t="n">
        <v>44014</v>
      </c>
      <c r="C2474" s="1" t="n">
        <v>45344</v>
      </c>
      <c r="D2474" t="inlineStr">
        <is>
          <t>GÄVLEBORGS LÄN</t>
        </is>
      </c>
      <c r="E2474" t="inlineStr">
        <is>
          <t>BOLLNÄS</t>
        </is>
      </c>
      <c r="G2474" t="n">
        <v>7</v>
      </c>
      <c r="H2474" t="n">
        <v>0</v>
      </c>
      <c r="I2474" t="n">
        <v>0</v>
      </c>
      <c r="J2474" t="n">
        <v>0</v>
      </c>
      <c r="K2474" t="n">
        <v>0</v>
      </c>
      <c r="L2474" t="n">
        <v>0</v>
      </c>
      <c r="M2474" t="n">
        <v>0</v>
      </c>
      <c r="N2474" t="n">
        <v>0</v>
      </c>
      <c r="O2474" t="n">
        <v>0</v>
      </c>
      <c r="P2474" t="n">
        <v>0</v>
      </c>
      <c r="Q2474" t="n">
        <v>0</v>
      </c>
      <c r="R2474" s="2" t="inlineStr"/>
    </row>
    <row r="2475" ht="15" customHeight="1">
      <c r="A2475" t="inlineStr">
        <is>
          <t>A 31823-2020</t>
        </is>
      </c>
      <c r="B2475" s="1" t="n">
        <v>44014</v>
      </c>
      <c r="C2475" s="1" t="n">
        <v>45344</v>
      </c>
      <c r="D2475" t="inlineStr">
        <is>
          <t>GÄVLEBORGS LÄN</t>
        </is>
      </c>
      <c r="E2475" t="inlineStr">
        <is>
          <t>LJUSDAL</t>
        </is>
      </c>
      <c r="F2475" t="inlineStr">
        <is>
          <t>Holmen skog AB</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31855-2020</t>
        </is>
      </c>
      <c r="B2476" s="1" t="n">
        <v>44014</v>
      </c>
      <c r="C2476" s="1" t="n">
        <v>45344</v>
      </c>
      <c r="D2476" t="inlineStr">
        <is>
          <t>GÄVLEBORGS LÄN</t>
        </is>
      </c>
      <c r="E2476" t="inlineStr">
        <is>
          <t>LJUSDAL</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31830-2020</t>
        </is>
      </c>
      <c r="B2477" s="1" t="n">
        <v>44014</v>
      </c>
      <c r="C2477" s="1" t="n">
        <v>45344</v>
      </c>
      <c r="D2477" t="inlineStr">
        <is>
          <t>GÄVLEBORGS LÄN</t>
        </is>
      </c>
      <c r="E2477" t="inlineStr">
        <is>
          <t>BOLLNÄS</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32007-2020</t>
        </is>
      </c>
      <c r="B2478" s="1" t="n">
        <v>44014</v>
      </c>
      <c r="C2478" s="1" t="n">
        <v>45344</v>
      </c>
      <c r="D2478" t="inlineStr">
        <is>
          <t>GÄVLEBORGS LÄN</t>
        </is>
      </c>
      <c r="E2478" t="inlineStr">
        <is>
          <t>HUDIKSVALL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31794-2020</t>
        </is>
      </c>
      <c r="B2479" s="1" t="n">
        <v>44014</v>
      </c>
      <c r="C2479" s="1" t="n">
        <v>45344</v>
      </c>
      <c r="D2479" t="inlineStr">
        <is>
          <t>GÄVLEBORGS LÄN</t>
        </is>
      </c>
      <c r="E2479" t="inlineStr">
        <is>
          <t>HOFORS</t>
        </is>
      </c>
      <c r="F2479" t="inlineStr">
        <is>
          <t>Sveaskog</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32234-2020</t>
        </is>
      </c>
      <c r="B2480" s="1" t="n">
        <v>44015</v>
      </c>
      <c r="C2480" s="1" t="n">
        <v>45344</v>
      </c>
      <c r="D2480" t="inlineStr">
        <is>
          <t>GÄVLEBORGS LÄN</t>
        </is>
      </c>
      <c r="E2480" t="inlineStr">
        <is>
          <t>BOLLNÄS</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32293-2020</t>
        </is>
      </c>
      <c r="B2481" s="1" t="n">
        <v>44015</v>
      </c>
      <c r="C2481" s="1" t="n">
        <v>45344</v>
      </c>
      <c r="D2481" t="inlineStr">
        <is>
          <t>GÄVLEBORGS LÄN</t>
        </is>
      </c>
      <c r="E2481" t="inlineStr">
        <is>
          <t>BOLLNÄS</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32223-2020</t>
        </is>
      </c>
      <c r="B2482" s="1" t="n">
        <v>44015</v>
      </c>
      <c r="C2482" s="1" t="n">
        <v>45344</v>
      </c>
      <c r="D2482" t="inlineStr">
        <is>
          <t>GÄVLEBORGS LÄN</t>
        </is>
      </c>
      <c r="E2482" t="inlineStr">
        <is>
          <t>GÄVLE</t>
        </is>
      </c>
      <c r="F2482" t="inlineStr">
        <is>
          <t>Bergvik skog öst AB</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32231-2020</t>
        </is>
      </c>
      <c r="B2483" s="1" t="n">
        <v>44015</v>
      </c>
      <c r="C2483" s="1" t="n">
        <v>45344</v>
      </c>
      <c r="D2483" t="inlineStr">
        <is>
          <t>GÄVLEBORGS LÄN</t>
        </is>
      </c>
      <c r="E2483" t="inlineStr">
        <is>
          <t>GÄVLE</t>
        </is>
      </c>
      <c r="F2483" t="inlineStr">
        <is>
          <t>Bergvik skog öst AB</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32247-2020</t>
        </is>
      </c>
      <c r="B2484" s="1" t="n">
        <v>44015</v>
      </c>
      <c r="C2484" s="1" t="n">
        <v>45344</v>
      </c>
      <c r="D2484" t="inlineStr">
        <is>
          <t>GÄVLEBORGS LÄN</t>
        </is>
      </c>
      <c r="E2484" t="inlineStr">
        <is>
          <t>HUDIKSVALL</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32342-2020</t>
        </is>
      </c>
      <c r="B2485" s="1" t="n">
        <v>44016</v>
      </c>
      <c r="C2485" s="1" t="n">
        <v>45344</v>
      </c>
      <c r="D2485" t="inlineStr">
        <is>
          <t>GÄVLEBORGS LÄN</t>
        </is>
      </c>
      <c r="E2485" t="inlineStr">
        <is>
          <t>HOFORS</t>
        </is>
      </c>
      <c r="F2485" t="inlineStr">
        <is>
          <t>Sveaskog</t>
        </is>
      </c>
      <c r="G2485" t="n">
        <v>8.199999999999999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32527-2020</t>
        </is>
      </c>
      <c r="B2486" s="1" t="n">
        <v>44018</v>
      </c>
      <c r="C2486" s="1" t="n">
        <v>45344</v>
      </c>
      <c r="D2486" t="inlineStr">
        <is>
          <t>GÄVLEBORGS LÄN</t>
        </is>
      </c>
      <c r="E2486" t="inlineStr">
        <is>
          <t>NORDANSTIG</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32507-2020</t>
        </is>
      </c>
      <c r="B2487" s="1" t="n">
        <v>44018</v>
      </c>
      <c r="C2487" s="1" t="n">
        <v>45344</v>
      </c>
      <c r="D2487" t="inlineStr">
        <is>
          <t>GÄVLEBORGS LÄN</t>
        </is>
      </c>
      <c r="E2487" t="inlineStr">
        <is>
          <t>HUDIKSVALL</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32722-2020</t>
        </is>
      </c>
      <c r="B2488" s="1" t="n">
        <v>44019</v>
      </c>
      <c r="C2488" s="1" t="n">
        <v>45344</v>
      </c>
      <c r="D2488" t="inlineStr">
        <is>
          <t>GÄVLEBORGS LÄN</t>
        </is>
      </c>
      <c r="E2488" t="inlineStr">
        <is>
          <t>HUDIKSVALL</t>
        </is>
      </c>
      <c r="F2488" t="inlineStr">
        <is>
          <t>Holmen skog AB</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32969-2020</t>
        </is>
      </c>
      <c r="B2489" s="1" t="n">
        <v>44020</v>
      </c>
      <c r="C2489" s="1" t="n">
        <v>45344</v>
      </c>
      <c r="D2489" t="inlineStr">
        <is>
          <t>GÄVLEBORGS LÄN</t>
        </is>
      </c>
      <c r="E2489" t="inlineStr">
        <is>
          <t>OCKELBO</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32796-2020</t>
        </is>
      </c>
      <c r="B2490" s="1" t="n">
        <v>44020</v>
      </c>
      <c r="C2490" s="1" t="n">
        <v>45344</v>
      </c>
      <c r="D2490" t="inlineStr">
        <is>
          <t>GÄVLEBORGS LÄN</t>
        </is>
      </c>
      <c r="E2490" t="inlineStr">
        <is>
          <t>SANDVIKEN</t>
        </is>
      </c>
      <c r="F2490" t="inlineStr">
        <is>
          <t>Bergvik skog öst AB</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32895-2020</t>
        </is>
      </c>
      <c r="B2491" s="1" t="n">
        <v>44020</v>
      </c>
      <c r="C2491" s="1" t="n">
        <v>45344</v>
      </c>
      <c r="D2491" t="inlineStr">
        <is>
          <t>GÄVLEBORGS LÄN</t>
        </is>
      </c>
      <c r="E2491" t="inlineStr">
        <is>
          <t>HUDIKSVALL</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32795-2020</t>
        </is>
      </c>
      <c r="B2492" s="1" t="n">
        <v>44020</v>
      </c>
      <c r="C2492" s="1" t="n">
        <v>45344</v>
      </c>
      <c r="D2492" t="inlineStr">
        <is>
          <t>GÄVLEBORGS LÄN</t>
        </is>
      </c>
      <c r="E2492" t="inlineStr">
        <is>
          <t>SANDVIKEN</t>
        </is>
      </c>
      <c r="F2492" t="inlineStr">
        <is>
          <t>Bergvik skog öst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33285-2020</t>
        </is>
      </c>
      <c r="B2493" s="1" t="n">
        <v>44020</v>
      </c>
      <c r="C2493" s="1" t="n">
        <v>45344</v>
      </c>
      <c r="D2493" t="inlineStr">
        <is>
          <t>GÄVLEBORGS LÄN</t>
        </is>
      </c>
      <c r="E2493" t="inlineStr">
        <is>
          <t>HUDIKSVALL</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33281-2020</t>
        </is>
      </c>
      <c r="B2494" s="1" t="n">
        <v>44020</v>
      </c>
      <c r="C2494" s="1" t="n">
        <v>45344</v>
      </c>
      <c r="D2494" t="inlineStr">
        <is>
          <t>GÄVLEBORGS LÄN</t>
        </is>
      </c>
      <c r="E2494" t="inlineStr">
        <is>
          <t>HUDIKSVALL</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33127-2020</t>
        </is>
      </c>
      <c r="B2495" s="1" t="n">
        <v>44021</v>
      </c>
      <c r="C2495" s="1" t="n">
        <v>45344</v>
      </c>
      <c r="D2495" t="inlineStr">
        <is>
          <t>GÄVLEBORGS LÄN</t>
        </is>
      </c>
      <c r="E2495" t="inlineStr">
        <is>
          <t>OVANÅKER</t>
        </is>
      </c>
      <c r="G2495" t="n">
        <v>4.7</v>
      </c>
      <c r="H2495" t="n">
        <v>0</v>
      </c>
      <c r="I2495" t="n">
        <v>0</v>
      </c>
      <c r="J2495" t="n">
        <v>0</v>
      </c>
      <c r="K2495" t="n">
        <v>0</v>
      </c>
      <c r="L2495" t="n">
        <v>0</v>
      </c>
      <c r="M2495" t="n">
        <v>0</v>
      </c>
      <c r="N2495" t="n">
        <v>0</v>
      </c>
      <c r="O2495" t="n">
        <v>0</v>
      </c>
      <c r="P2495" t="n">
        <v>0</v>
      </c>
      <c r="Q2495" t="n">
        <v>0</v>
      </c>
      <c r="R2495" s="2" t="inlineStr"/>
    </row>
    <row r="2496" ht="15" customHeight="1">
      <c r="A2496" t="inlineStr">
        <is>
          <t>A 33414-2020</t>
        </is>
      </c>
      <c r="B2496" s="1" t="n">
        <v>44022</v>
      </c>
      <c r="C2496" s="1" t="n">
        <v>45344</v>
      </c>
      <c r="D2496" t="inlineStr">
        <is>
          <t>GÄVLEBORGS LÄN</t>
        </is>
      </c>
      <c r="E2496" t="inlineStr">
        <is>
          <t>SANDVIKEN</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33328-2020</t>
        </is>
      </c>
      <c r="B2497" s="1" t="n">
        <v>44022</v>
      </c>
      <c r="C2497" s="1" t="n">
        <v>45344</v>
      </c>
      <c r="D2497" t="inlineStr">
        <is>
          <t>GÄVLEBORGS LÄN</t>
        </is>
      </c>
      <c r="E2497" t="inlineStr">
        <is>
          <t>LJUSDAL</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33351-2020</t>
        </is>
      </c>
      <c r="B2498" s="1" t="n">
        <v>44022</v>
      </c>
      <c r="C2498" s="1" t="n">
        <v>45344</v>
      </c>
      <c r="D2498" t="inlineStr">
        <is>
          <t>GÄVLEBORGS LÄN</t>
        </is>
      </c>
      <c r="E2498" t="inlineStr">
        <is>
          <t>GÄVLE</t>
        </is>
      </c>
      <c r="F2498" t="inlineStr">
        <is>
          <t>Bergvik skog väst AB</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33437-2020</t>
        </is>
      </c>
      <c r="B2499" s="1" t="n">
        <v>44022</v>
      </c>
      <c r="C2499" s="1" t="n">
        <v>45344</v>
      </c>
      <c r="D2499" t="inlineStr">
        <is>
          <t>GÄVLEBORGS LÄN</t>
        </is>
      </c>
      <c r="E2499" t="inlineStr">
        <is>
          <t>HUDIKSVALL</t>
        </is>
      </c>
      <c r="G2499" t="n">
        <v>8.699999999999999</v>
      </c>
      <c r="H2499" t="n">
        <v>0</v>
      </c>
      <c r="I2499" t="n">
        <v>0</v>
      </c>
      <c r="J2499" t="n">
        <v>0</v>
      </c>
      <c r="K2499" t="n">
        <v>0</v>
      </c>
      <c r="L2499" t="n">
        <v>0</v>
      </c>
      <c r="M2499" t="n">
        <v>0</v>
      </c>
      <c r="N2499" t="n">
        <v>0</v>
      </c>
      <c r="O2499" t="n">
        <v>0</v>
      </c>
      <c r="P2499" t="n">
        <v>0</v>
      </c>
      <c r="Q2499" t="n">
        <v>0</v>
      </c>
      <c r="R2499" s="2" t="inlineStr"/>
    </row>
    <row r="2500" ht="15" customHeight="1">
      <c r="A2500" t="inlineStr">
        <is>
          <t>A 33338-2020</t>
        </is>
      </c>
      <c r="B2500" s="1" t="n">
        <v>44022</v>
      </c>
      <c r="C2500" s="1" t="n">
        <v>45344</v>
      </c>
      <c r="D2500" t="inlineStr">
        <is>
          <t>GÄVLEBORGS LÄN</t>
        </is>
      </c>
      <c r="E2500" t="inlineStr">
        <is>
          <t>LJUSDAL</t>
        </is>
      </c>
      <c r="F2500" t="inlineStr">
        <is>
          <t>Sveaskog</t>
        </is>
      </c>
      <c r="G2500" t="n">
        <v>23.5</v>
      </c>
      <c r="H2500" t="n">
        <v>0</v>
      </c>
      <c r="I2500" t="n">
        <v>0</v>
      </c>
      <c r="J2500" t="n">
        <v>0</v>
      </c>
      <c r="K2500" t="n">
        <v>0</v>
      </c>
      <c r="L2500" t="n">
        <v>0</v>
      </c>
      <c r="M2500" t="n">
        <v>0</v>
      </c>
      <c r="N2500" t="n">
        <v>0</v>
      </c>
      <c r="O2500" t="n">
        <v>0</v>
      </c>
      <c r="P2500" t="n">
        <v>0</v>
      </c>
      <c r="Q2500" t="n">
        <v>0</v>
      </c>
      <c r="R2500" s="2" t="inlineStr"/>
    </row>
    <row r="2501" ht="15" customHeight="1">
      <c r="A2501" t="inlineStr">
        <is>
          <t>A 33566-2020</t>
        </is>
      </c>
      <c r="B2501" s="1" t="n">
        <v>44025</v>
      </c>
      <c r="C2501" s="1" t="n">
        <v>45344</v>
      </c>
      <c r="D2501" t="inlineStr">
        <is>
          <t>GÄVLEBORGS LÄN</t>
        </is>
      </c>
      <c r="E2501" t="inlineStr">
        <is>
          <t>HUDIKSVALL</t>
        </is>
      </c>
      <c r="F2501" t="inlineStr">
        <is>
          <t>Holmen skog AB</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33889-2020</t>
        </is>
      </c>
      <c r="B2502" s="1" t="n">
        <v>44025</v>
      </c>
      <c r="C2502" s="1" t="n">
        <v>45344</v>
      </c>
      <c r="D2502" t="inlineStr">
        <is>
          <t>GÄVLEBORGS LÄN</t>
        </is>
      </c>
      <c r="E2502" t="inlineStr">
        <is>
          <t>OVANÅKER</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33834-2020</t>
        </is>
      </c>
      <c r="B2503" s="1" t="n">
        <v>44025</v>
      </c>
      <c r="C2503" s="1" t="n">
        <v>45344</v>
      </c>
      <c r="D2503" t="inlineStr">
        <is>
          <t>GÄVLEBORGS LÄN</t>
        </is>
      </c>
      <c r="E2503" t="inlineStr">
        <is>
          <t>HUDIKSVALL</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33876-2020</t>
        </is>
      </c>
      <c r="B2504" s="1" t="n">
        <v>44025</v>
      </c>
      <c r="C2504" s="1" t="n">
        <v>45344</v>
      </c>
      <c r="D2504" t="inlineStr">
        <is>
          <t>GÄVLEBORGS LÄN</t>
        </is>
      </c>
      <c r="E2504" t="inlineStr">
        <is>
          <t>LJUSDAL</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33893-2020</t>
        </is>
      </c>
      <c r="B2505" s="1" t="n">
        <v>44025</v>
      </c>
      <c r="C2505" s="1" t="n">
        <v>45344</v>
      </c>
      <c r="D2505" t="inlineStr">
        <is>
          <t>GÄVLEBORGS LÄN</t>
        </is>
      </c>
      <c r="E2505" t="inlineStr">
        <is>
          <t>GÄVLE</t>
        </is>
      </c>
      <c r="F2505" t="inlineStr">
        <is>
          <t>Bergvik skog väst AB</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33647-2020</t>
        </is>
      </c>
      <c r="B2506" s="1" t="n">
        <v>44026</v>
      </c>
      <c r="C2506" s="1" t="n">
        <v>45344</v>
      </c>
      <c r="D2506" t="inlineStr">
        <is>
          <t>GÄVLEBORGS LÄN</t>
        </is>
      </c>
      <c r="E2506" t="inlineStr">
        <is>
          <t>LJUSDAL</t>
        </is>
      </c>
      <c r="F2506" t="inlineStr">
        <is>
          <t>Sveaskog</t>
        </is>
      </c>
      <c r="G2506" t="n">
        <v>6.2</v>
      </c>
      <c r="H2506" t="n">
        <v>0</v>
      </c>
      <c r="I2506" t="n">
        <v>0</v>
      </c>
      <c r="J2506" t="n">
        <v>0</v>
      </c>
      <c r="K2506" t="n">
        <v>0</v>
      </c>
      <c r="L2506" t="n">
        <v>0</v>
      </c>
      <c r="M2506" t="n">
        <v>0</v>
      </c>
      <c r="N2506" t="n">
        <v>0</v>
      </c>
      <c r="O2506" t="n">
        <v>0</v>
      </c>
      <c r="P2506" t="n">
        <v>0</v>
      </c>
      <c r="Q2506" t="n">
        <v>0</v>
      </c>
      <c r="R2506" s="2" t="inlineStr"/>
    </row>
    <row r="2507" ht="15" customHeight="1">
      <c r="A2507" t="inlineStr">
        <is>
          <t>A 33707-2020</t>
        </is>
      </c>
      <c r="B2507" s="1" t="n">
        <v>44026</v>
      </c>
      <c r="C2507" s="1" t="n">
        <v>45344</v>
      </c>
      <c r="D2507" t="inlineStr">
        <is>
          <t>GÄVLEBORGS LÄN</t>
        </is>
      </c>
      <c r="E2507" t="inlineStr">
        <is>
          <t>HUDIKSVALL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33708-2020</t>
        </is>
      </c>
      <c r="B2508" s="1" t="n">
        <v>44026</v>
      </c>
      <c r="C2508" s="1" t="n">
        <v>45344</v>
      </c>
      <c r="D2508" t="inlineStr">
        <is>
          <t>GÄVLEBORGS LÄN</t>
        </is>
      </c>
      <c r="E2508" t="inlineStr">
        <is>
          <t>HUDIKSVALL</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33755-2020</t>
        </is>
      </c>
      <c r="B2509" s="1" t="n">
        <v>44026</v>
      </c>
      <c r="C2509" s="1" t="n">
        <v>45344</v>
      </c>
      <c r="D2509" t="inlineStr">
        <is>
          <t>GÄVLEBORGS LÄN</t>
        </is>
      </c>
      <c r="E2509" t="inlineStr">
        <is>
          <t>GÄVLE</t>
        </is>
      </c>
      <c r="F2509" t="inlineStr">
        <is>
          <t>Kommuner</t>
        </is>
      </c>
      <c r="G2509" t="n">
        <v>7.2</v>
      </c>
      <c r="H2509" t="n">
        <v>0</v>
      </c>
      <c r="I2509" t="n">
        <v>0</v>
      </c>
      <c r="J2509" t="n">
        <v>0</v>
      </c>
      <c r="K2509" t="n">
        <v>0</v>
      </c>
      <c r="L2509" t="n">
        <v>0</v>
      </c>
      <c r="M2509" t="n">
        <v>0</v>
      </c>
      <c r="N2509" t="n">
        <v>0</v>
      </c>
      <c r="O2509" t="n">
        <v>0</v>
      </c>
      <c r="P2509" t="n">
        <v>0</v>
      </c>
      <c r="Q2509" t="n">
        <v>0</v>
      </c>
      <c r="R2509" s="2" t="inlineStr"/>
    </row>
    <row r="2510" ht="15" customHeight="1">
      <c r="A2510" t="inlineStr">
        <is>
          <t>A 33762-2020</t>
        </is>
      </c>
      <c r="B2510" s="1" t="n">
        <v>44026</v>
      </c>
      <c r="C2510" s="1" t="n">
        <v>45344</v>
      </c>
      <c r="D2510" t="inlineStr">
        <is>
          <t>GÄVLEBORGS LÄN</t>
        </is>
      </c>
      <c r="E2510" t="inlineStr">
        <is>
          <t>SÖDERHAMN</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33769-2020</t>
        </is>
      </c>
      <c r="B2511" s="1" t="n">
        <v>44026</v>
      </c>
      <c r="C2511" s="1" t="n">
        <v>45344</v>
      </c>
      <c r="D2511" t="inlineStr">
        <is>
          <t>GÄVLEBORGS LÄN</t>
        </is>
      </c>
      <c r="E2511" t="inlineStr">
        <is>
          <t>SÖDERHAMN</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33765-2020</t>
        </is>
      </c>
      <c r="B2512" s="1" t="n">
        <v>44026</v>
      </c>
      <c r="C2512" s="1" t="n">
        <v>45344</v>
      </c>
      <c r="D2512" t="inlineStr">
        <is>
          <t>GÄVLEBORGS LÄN</t>
        </is>
      </c>
      <c r="E2512" t="inlineStr">
        <is>
          <t>SÖDERHAMN</t>
        </is>
      </c>
      <c r="G2512" t="n">
        <v>15.4</v>
      </c>
      <c r="H2512" t="n">
        <v>0</v>
      </c>
      <c r="I2512" t="n">
        <v>0</v>
      </c>
      <c r="J2512" t="n">
        <v>0</v>
      </c>
      <c r="K2512" t="n">
        <v>0</v>
      </c>
      <c r="L2512" t="n">
        <v>0</v>
      </c>
      <c r="M2512" t="n">
        <v>0</v>
      </c>
      <c r="N2512" t="n">
        <v>0</v>
      </c>
      <c r="O2512" t="n">
        <v>0</v>
      </c>
      <c r="P2512" t="n">
        <v>0</v>
      </c>
      <c r="Q2512" t="n">
        <v>0</v>
      </c>
      <c r="R2512" s="2" t="inlineStr"/>
    </row>
    <row r="2513" ht="15" customHeight="1">
      <c r="A2513" t="inlineStr">
        <is>
          <t>A 33863-2020</t>
        </is>
      </c>
      <c r="B2513" s="1" t="n">
        <v>44027</v>
      </c>
      <c r="C2513" s="1" t="n">
        <v>45344</v>
      </c>
      <c r="D2513" t="inlineStr">
        <is>
          <t>GÄVLEBORGS LÄN</t>
        </is>
      </c>
      <c r="E2513" t="inlineStr">
        <is>
          <t>SANDVIKEN</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33895-2020</t>
        </is>
      </c>
      <c r="B2514" s="1" t="n">
        <v>44027</v>
      </c>
      <c r="C2514" s="1" t="n">
        <v>45344</v>
      </c>
      <c r="D2514" t="inlineStr">
        <is>
          <t>GÄVLEBORGS LÄN</t>
        </is>
      </c>
      <c r="E2514" t="inlineStr">
        <is>
          <t>LJUSDAL</t>
        </is>
      </c>
      <c r="G2514" t="n">
        <v>12.5</v>
      </c>
      <c r="H2514" t="n">
        <v>0</v>
      </c>
      <c r="I2514" t="n">
        <v>0</v>
      </c>
      <c r="J2514" t="n">
        <v>0</v>
      </c>
      <c r="K2514" t="n">
        <v>0</v>
      </c>
      <c r="L2514" t="n">
        <v>0</v>
      </c>
      <c r="M2514" t="n">
        <v>0</v>
      </c>
      <c r="N2514" t="n">
        <v>0</v>
      </c>
      <c r="O2514" t="n">
        <v>0</v>
      </c>
      <c r="P2514" t="n">
        <v>0</v>
      </c>
      <c r="Q2514" t="n">
        <v>0</v>
      </c>
      <c r="R2514" s="2" t="inlineStr"/>
    </row>
    <row r="2515" ht="15" customHeight="1">
      <c r="A2515" t="inlineStr">
        <is>
          <t>A 34034-2020</t>
        </is>
      </c>
      <c r="B2515" s="1" t="n">
        <v>44028</v>
      </c>
      <c r="C2515" s="1" t="n">
        <v>45344</v>
      </c>
      <c r="D2515" t="inlineStr">
        <is>
          <t>GÄVLEBORGS LÄN</t>
        </is>
      </c>
      <c r="E2515" t="inlineStr">
        <is>
          <t>LJUSDAL</t>
        </is>
      </c>
      <c r="F2515" t="inlineStr">
        <is>
          <t>Holmen skog AB</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34036-2020</t>
        </is>
      </c>
      <c r="B2516" s="1" t="n">
        <v>44028</v>
      </c>
      <c r="C2516" s="1" t="n">
        <v>45344</v>
      </c>
      <c r="D2516" t="inlineStr">
        <is>
          <t>GÄVLEBORGS LÄN</t>
        </is>
      </c>
      <c r="E2516" t="inlineStr">
        <is>
          <t>NORDANSTIG</t>
        </is>
      </c>
      <c r="F2516" t="inlineStr">
        <is>
          <t>Holmen skog AB</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34031-2020</t>
        </is>
      </c>
      <c r="B2517" s="1" t="n">
        <v>44028</v>
      </c>
      <c r="C2517" s="1" t="n">
        <v>45344</v>
      </c>
      <c r="D2517" t="inlineStr">
        <is>
          <t>GÄVLEBORGS LÄN</t>
        </is>
      </c>
      <c r="E2517" t="inlineStr">
        <is>
          <t>HUDIKSVALL</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34156-2020</t>
        </is>
      </c>
      <c r="B2518" s="1" t="n">
        <v>44029</v>
      </c>
      <c r="C2518" s="1" t="n">
        <v>45344</v>
      </c>
      <c r="D2518" t="inlineStr">
        <is>
          <t>GÄVLEBORGS LÄN</t>
        </is>
      </c>
      <c r="E2518" t="inlineStr">
        <is>
          <t>LJUSDAL</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34193-2020</t>
        </is>
      </c>
      <c r="B2519" s="1" t="n">
        <v>44029</v>
      </c>
      <c r="C2519" s="1" t="n">
        <v>45344</v>
      </c>
      <c r="D2519" t="inlineStr">
        <is>
          <t>GÄVLEBORGS LÄN</t>
        </is>
      </c>
      <c r="E2519" t="inlineStr">
        <is>
          <t>LJUSDAL</t>
        </is>
      </c>
      <c r="F2519" t="inlineStr">
        <is>
          <t>Sveaskog</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34496-2020</t>
        </is>
      </c>
      <c r="B2520" s="1" t="n">
        <v>44029</v>
      </c>
      <c r="C2520" s="1" t="n">
        <v>45344</v>
      </c>
      <c r="D2520" t="inlineStr">
        <is>
          <t>GÄVLEBORGS LÄN</t>
        </is>
      </c>
      <c r="E2520" t="inlineStr">
        <is>
          <t>SANDVIKEN</t>
        </is>
      </c>
      <c r="F2520" t="inlineStr">
        <is>
          <t>Bergvik skog väst AB</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34308-2020</t>
        </is>
      </c>
      <c r="B2521" s="1" t="n">
        <v>44031</v>
      </c>
      <c r="C2521" s="1" t="n">
        <v>45344</v>
      </c>
      <c r="D2521" t="inlineStr">
        <is>
          <t>GÄVLEBORGS LÄN</t>
        </is>
      </c>
      <c r="E2521" t="inlineStr">
        <is>
          <t>LJUSDAL</t>
        </is>
      </c>
      <c r="F2521" t="inlineStr">
        <is>
          <t>Sveaskog</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34317-2020</t>
        </is>
      </c>
      <c r="B2522" s="1" t="n">
        <v>44032</v>
      </c>
      <c r="C2522" s="1" t="n">
        <v>45344</v>
      </c>
      <c r="D2522" t="inlineStr">
        <is>
          <t>GÄVLEBORGS LÄN</t>
        </is>
      </c>
      <c r="E2522" t="inlineStr">
        <is>
          <t>LJUSDAL</t>
        </is>
      </c>
      <c r="F2522" t="inlineStr">
        <is>
          <t>Sveaskog</t>
        </is>
      </c>
      <c r="G2522" t="n">
        <v>38.4</v>
      </c>
      <c r="H2522" t="n">
        <v>0</v>
      </c>
      <c r="I2522" t="n">
        <v>0</v>
      </c>
      <c r="J2522" t="n">
        <v>0</v>
      </c>
      <c r="K2522" t="n">
        <v>0</v>
      </c>
      <c r="L2522" t="n">
        <v>0</v>
      </c>
      <c r="M2522" t="n">
        <v>0</v>
      </c>
      <c r="N2522" t="n">
        <v>0</v>
      </c>
      <c r="O2522" t="n">
        <v>0</v>
      </c>
      <c r="P2522" t="n">
        <v>0</v>
      </c>
      <c r="Q2522" t="n">
        <v>0</v>
      </c>
      <c r="R2522" s="2" t="inlineStr"/>
    </row>
    <row r="2523" ht="15" customHeight="1">
      <c r="A2523" t="inlineStr">
        <is>
          <t>A 34316-2020</t>
        </is>
      </c>
      <c r="B2523" s="1" t="n">
        <v>44032</v>
      </c>
      <c r="C2523" s="1" t="n">
        <v>45344</v>
      </c>
      <c r="D2523" t="inlineStr">
        <is>
          <t>GÄVLEBORGS LÄN</t>
        </is>
      </c>
      <c r="E2523" t="inlineStr">
        <is>
          <t>LJUSDAL</t>
        </is>
      </c>
      <c r="F2523" t="inlineStr">
        <is>
          <t>Sveaskog</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34462-2020</t>
        </is>
      </c>
      <c r="B2524" s="1" t="n">
        <v>44032</v>
      </c>
      <c r="C2524" s="1" t="n">
        <v>45344</v>
      </c>
      <c r="D2524" t="inlineStr">
        <is>
          <t>GÄVLEBORGS LÄN</t>
        </is>
      </c>
      <c r="E2524" t="inlineStr">
        <is>
          <t>LJUSDAL</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34523-2020</t>
        </is>
      </c>
      <c r="B2525" s="1" t="n">
        <v>44033</v>
      </c>
      <c r="C2525" s="1" t="n">
        <v>45344</v>
      </c>
      <c r="D2525" t="inlineStr">
        <is>
          <t>GÄVLEBORGS LÄN</t>
        </is>
      </c>
      <c r="E2525" t="inlineStr">
        <is>
          <t>LJUSDAL</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34519-2020</t>
        </is>
      </c>
      <c r="B2526" s="1" t="n">
        <v>44033</v>
      </c>
      <c r="C2526" s="1" t="n">
        <v>45344</v>
      </c>
      <c r="D2526" t="inlineStr">
        <is>
          <t>GÄVLEBORGS LÄN</t>
        </is>
      </c>
      <c r="E2526" t="inlineStr">
        <is>
          <t>HUDIKSVALL</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34627-2020</t>
        </is>
      </c>
      <c r="B2527" s="1" t="n">
        <v>44034</v>
      </c>
      <c r="C2527" s="1" t="n">
        <v>45344</v>
      </c>
      <c r="D2527" t="inlineStr">
        <is>
          <t>GÄVLEBORGS LÄN</t>
        </is>
      </c>
      <c r="E2527" t="inlineStr">
        <is>
          <t>NORDANSTIG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34625-2020</t>
        </is>
      </c>
      <c r="B2528" s="1" t="n">
        <v>44034</v>
      </c>
      <c r="C2528" s="1" t="n">
        <v>45344</v>
      </c>
      <c r="D2528" t="inlineStr">
        <is>
          <t>GÄVLEBORGS LÄN</t>
        </is>
      </c>
      <c r="E2528" t="inlineStr">
        <is>
          <t>NORDANSTIG</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34704-2020</t>
        </is>
      </c>
      <c r="B2529" s="1" t="n">
        <v>44035</v>
      </c>
      <c r="C2529" s="1" t="n">
        <v>45344</v>
      </c>
      <c r="D2529" t="inlineStr">
        <is>
          <t>GÄVLEBORGS LÄN</t>
        </is>
      </c>
      <c r="E2529" t="inlineStr">
        <is>
          <t>HUDIKSVALL</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34722-2020</t>
        </is>
      </c>
      <c r="B2530" s="1" t="n">
        <v>44035</v>
      </c>
      <c r="C2530" s="1" t="n">
        <v>45344</v>
      </c>
      <c r="D2530" t="inlineStr">
        <is>
          <t>GÄVLEBORGS LÄN</t>
        </is>
      </c>
      <c r="E2530" t="inlineStr">
        <is>
          <t>OVANÅKER</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34683-2020</t>
        </is>
      </c>
      <c r="B2531" s="1" t="n">
        <v>44035</v>
      </c>
      <c r="C2531" s="1" t="n">
        <v>45344</v>
      </c>
      <c r="D2531" t="inlineStr">
        <is>
          <t>GÄVLEBORGS LÄN</t>
        </is>
      </c>
      <c r="E2531" t="inlineStr">
        <is>
          <t>BOLLNÄS</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34740-2020</t>
        </is>
      </c>
      <c r="B2532" s="1" t="n">
        <v>44035</v>
      </c>
      <c r="C2532" s="1" t="n">
        <v>45344</v>
      </c>
      <c r="D2532" t="inlineStr">
        <is>
          <t>GÄVLEBORGS LÄN</t>
        </is>
      </c>
      <c r="E2532" t="inlineStr">
        <is>
          <t>BOLLNÄS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34750-2020</t>
        </is>
      </c>
      <c r="B2533" s="1" t="n">
        <v>44035</v>
      </c>
      <c r="C2533" s="1" t="n">
        <v>45344</v>
      </c>
      <c r="D2533" t="inlineStr">
        <is>
          <t>GÄVLEBORGS LÄN</t>
        </is>
      </c>
      <c r="E2533" t="inlineStr">
        <is>
          <t>HUDIKSVALL</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34822-2020</t>
        </is>
      </c>
      <c r="B2534" s="1" t="n">
        <v>44036</v>
      </c>
      <c r="C2534" s="1" t="n">
        <v>45344</v>
      </c>
      <c r="D2534" t="inlineStr">
        <is>
          <t>GÄVLEBORGS LÄN</t>
        </is>
      </c>
      <c r="E2534" t="inlineStr">
        <is>
          <t>SÖDERHAMN</t>
        </is>
      </c>
      <c r="F2534" t="inlineStr">
        <is>
          <t>Bergvik skog väst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34817-2020</t>
        </is>
      </c>
      <c r="B2535" s="1" t="n">
        <v>44036</v>
      </c>
      <c r="C2535" s="1" t="n">
        <v>45344</v>
      </c>
      <c r="D2535" t="inlineStr">
        <is>
          <t>GÄVLEBORGS LÄN</t>
        </is>
      </c>
      <c r="E2535" t="inlineStr">
        <is>
          <t>OCKELBO</t>
        </is>
      </c>
      <c r="F2535" t="inlineStr">
        <is>
          <t>Bergvik skog väst AB</t>
        </is>
      </c>
      <c r="G2535" t="n">
        <v>3.7</v>
      </c>
      <c r="H2535" t="n">
        <v>0</v>
      </c>
      <c r="I2535" t="n">
        <v>0</v>
      </c>
      <c r="J2535" t="n">
        <v>0</v>
      </c>
      <c r="K2535" t="n">
        <v>0</v>
      </c>
      <c r="L2535" t="n">
        <v>0</v>
      </c>
      <c r="M2535" t="n">
        <v>0</v>
      </c>
      <c r="N2535" t="n">
        <v>0</v>
      </c>
      <c r="O2535" t="n">
        <v>0</v>
      </c>
      <c r="P2535" t="n">
        <v>0</v>
      </c>
      <c r="Q2535" t="n">
        <v>0</v>
      </c>
      <c r="R2535" s="2" t="inlineStr"/>
    </row>
    <row r="2536" ht="15" customHeight="1">
      <c r="A2536" t="inlineStr">
        <is>
          <t>A 34845-2020</t>
        </is>
      </c>
      <c r="B2536" s="1" t="n">
        <v>44036</v>
      </c>
      <c r="C2536" s="1" t="n">
        <v>45344</v>
      </c>
      <c r="D2536" t="inlineStr">
        <is>
          <t>GÄVLEBORGS LÄN</t>
        </is>
      </c>
      <c r="E2536" t="inlineStr">
        <is>
          <t>OCKELBO</t>
        </is>
      </c>
      <c r="F2536" t="inlineStr">
        <is>
          <t>Bergvik skog väst AB</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35205-2020</t>
        </is>
      </c>
      <c r="B2537" s="1" t="n">
        <v>44040</v>
      </c>
      <c r="C2537" s="1" t="n">
        <v>45344</v>
      </c>
      <c r="D2537" t="inlineStr">
        <is>
          <t>GÄVLEBORGS LÄN</t>
        </is>
      </c>
      <c r="E2537" t="inlineStr">
        <is>
          <t>SANDVIKEN</t>
        </is>
      </c>
      <c r="F2537" t="inlineStr">
        <is>
          <t>Sveaskog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35295-2020</t>
        </is>
      </c>
      <c r="B2538" s="1" t="n">
        <v>44041</v>
      </c>
      <c r="C2538" s="1" t="n">
        <v>45344</v>
      </c>
      <c r="D2538" t="inlineStr">
        <is>
          <t>GÄVLEBORGS LÄN</t>
        </is>
      </c>
      <c r="E2538" t="inlineStr">
        <is>
          <t>OVANÅKER</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35251-2020</t>
        </is>
      </c>
      <c r="B2539" s="1" t="n">
        <v>44041</v>
      </c>
      <c r="C2539" s="1" t="n">
        <v>45344</v>
      </c>
      <c r="D2539" t="inlineStr">
        <is>
          <t>GÄVLEBORGS LÄN</t>
        </is>
      </c>
      <c r="E2539" t="inlineStr">
        <is>
          <t>SÖDERHAMN</t>
        </is>
      </c>
      <c r="F2539" t="inlineStr">
        <is>
          <t>Bergvik skog väst AB</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35277-2020</t>
        </is>
      </c>
      <c r="B2540" s="1" t="n">
        <v>44041</v>
      </c>
      <c r="C2540" s="1" t="n">
        <v>45344</v>
      </c>
      <c r="D2540" t="inlineStr">
        <is>
          <t>GÄVLEBORGS LÄN</t>
        </is>
      </c>
      <c r="E2540" t="inlineStr">
        <is>
          <t>LJUSDAL</t>
        </is>
      </c>
      <c r="F2540" t="inlineStr">
        <is>
          <t>Holmen skog AB</t>
        </is>
      </c>
      <c r="G2540" t="n">
        <v>6.1</v>
      </c>
      <c r="H2540" t="n">
        <v>0</v>
      </c>
      <c r="I2540" t="n">
        <v>0</v>
      </c>
      <c r="J2540" t="n">
        <v>0</v>
      </c>
      <c r="K2540" t="n">
        <v>0</v>
      </c>
      <c r="L2540" t="n">
        <v>0</v>
      </c>
      <c r="M2540" t="n">
        <v>0</v>
      </c>
      <c r="N2540" t="n">
        <v>0</v>
      </c>
      <c r="O2540" t="n">
        <v>0</v>
      </c>
      <c r="P2540" t="n">
        <v>0</v>
      </c>
      <c r="Q2540" t="n">
        <v>0</v>
      </c>
      <c r="R2540" s="2" t="inlineStr"/>
    </row>
    <row r="2541" ht="15" customHeight="1">
      <c r="A2541" t="inlineStr">
        <is>
          <t>A 35297-2020</t>
        </is>
      </c>
      <c r="B2541" s="1" t="n">
        <v>44041</v>
      </c>
      <c r="C2541" s="1" t="n">
        <v>45344</v>
      </c>
      <c r="D2541" t="inlineStr">
        <is>
          <t>GÄVLEBORGS LÄN</t>
        </is>
      </c>
      <c r="E2541" t="inlineStr">
        <is>
          <t>LJUSDAL</t>
        </is>
      </c>
      <c r="F2541" t="inlineStr">
        <is>
          <t>Holmen skog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35227-2020</t>
        </is>
      </c>
      <c r="B2542" s="1" t="n">
        <v>44041</v>
      </c>
      <c r="C2542" s="1" t="n">
        <v>45344</v>
      </c>
      <c r="D2542" t="inlineStr">
        <is>
          <t>GÄVLEBORGS LÄN</t>
        </is>
      </c>
      <c r="E2542" t="inlineStr">
        <is>
          <t>SÖDERHAMN</t>
        </is>
      </c>
      <c r="F2542" t="inlineStr">
        <is>
          <t>Bergvik skog väst AB</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35335-2020</t>
        </is>
      </c>
      <c r="B2543" s="1" t="n">
        <v>44041</v>
      </c>
      <c r="C2543" s="1" t="n">
        <v>45344</v>
      </c>
      <c r="D2543" t="inlineStr">
        <is>
          <t>GÄVLEBORGS LÄN</t>
        </is>
      </c>
      <c r="E2543" t="inlineStr">
        <is>
          <t>SANDVIKEN</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35333-2020</t>
        </is>
      </c>
      <c r="B2544" s="1" t="n">
        <v>44041</v>
      </c>
      <c r="C2544" s="1" t="n">
        <v>45344</v>
      </c>
      <c r="D2544" t="inlineStr">
        <is>
          <t>GÄVLEBORGS LÄN</t>
        </is>
      </c>
      <c r="E2544" t="inlineStr">
        <is>
          <t>SANDVIKEN</t>
        </is>
      </c>
      <c r="F2544" t="inlineStr">
        <is>
          <t>Sveaskog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35332-2020</t>
        </is>
      </c>
      <c r="B2545" s="1" t="n">
        <v>44041</v>
      </c>
      <c r="C2545" s="1" t="n">
        <v>45344</v>
      </c>
      <c r="D2545" t="inlineStr">
        <is>
          <t>GÄVLEBORGS LÄN</t>
        </is>
      </c>
      <c r="E2545" t="inlineStr">
        <is>
          <t>SANDVIKEN</t>
        </is>
      </c>
      <c r="F2545" t="inlineStr">
        <is>
          <t>Sveaskog</t>
        </is>
      </c>
      <c r="G2545" t="n">
        <v>3.8</v>
      </c>
      <c r="H2545" t="n">
        <v>0</v>
      </c>
      <c r="I2545" t="n">
        <v>0</v>
      </c>
      <c r="J2545" t="n">
        <v>0</v>
      </c>
      <c r="K2545" t="n">
        <v>0</v>
      </c>
      <c r="L2545" t="n">
        <v>0</v>
      </c>
      <c r="M2545" t="n">
        <v>0</v>
      </c>
      <c r="N2545" t="n">
        <v>0</v>
      </c>
      <c r="O2545" t="n">
        <v>0</v>
      </c>
      <c r="P2545" t="n">
        <v>0</v>
      </c>
      <c r="Q2545" t="n">
        <v>0</v>
      </c>
      <c r="R2545" s="2" t="inlineStr"/>
    </row>
    <row r="2546" ht="15" customHeight="1">
      <c r="A2546" t="inlineStr">
        <is>
          <t>A 35293-2020</t>
        </is>
      </c>
      <c r="B2546" s="1" t="n">
        <v>44041</v>
      </c>
      <c r="C2546" s="1" t="n">
        <v>45344</v>
      </c>
      <c r="D2546" t="inlineStr">
        <is>
          <t>GÄVLEBORGS LÄN</t>
        </is>
      </c>
      <c r="E2546" t="inlineStr">
        <is>
          <t>LJUSDAL</t>
        </is>
      </c>
      <c r="F2546" t="inlineStr">
        <is>
          <t>Holmen skog AB</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35337-2020</t>
        </is>
      </c>
      <c r="B2547" s="1" t="n">
        <v>44041</v>
      </c>
      <c r="C2547" s="1" t="n">
        <v>45344</v>
      </c>
      <c r="D2547" t="inlineStr">
        <is>
          <t>GÄVLEBORGS LÄN</t>
        </is>
      </c>
      <c r="E2547" t="inlineStr">
        <is>
          <t>SANDVIKEN</t>
        </is>
      </c>
      <c r="F2547" t="inlineStr">
        <is>
          <t>Sveaskog</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35270-2020</t>
        </is>
      </c>
      <c r="B2548" s="1" t="n">
        <v>44041</v>
      </c>
      <c r="C2548" s="1" t="n">
        <v>45344</v>
      </c>
      <c r="D2548" t="inlineStr">
        <is>
          <t>GÄVLEBORGS LÄN</t>
        </is>
      </c>
      <c r="E2548" t="inlineStr">
        <is>
          <t>OVANÅKER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35405-2020</t>
        </is>
      </c>
      <c r="B2549" s="1" t="n">
        <v>44042</v>
      </c>
      <c r="C2549" s="1" t="n">
        <v>45344</v>
      </c>
      <c r="D2549" t="inlineStr">
        <is>
          <t>GÄVLEBORGS LÄN</t>
        </is>
      </c>
      <c r="E2549" t="inlineStr">
        <is>
          <t>LJUSDAL</t>
        </is>
      </c>
      <c r="F2549" t="inlineStr">
        <is>
          <t>Sveaskog</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35486-2020</t>
        </is>
      </c>
      <c r="B2550" s="1" t="n">
        <v>44042</v>
      </c>
      <c r="C2550" s="1" t="n">
        <v>45344</v>
      </c>
      <c r="D2550" t="inlineStr">
        <is>
          <t>GÄVLEBORGS LÄN</t>
        </is>
      </c>
      <c r="E2550" t="inlineStr">
        <is>
          <t>SANDVIKEN</t>
        </is>
      </c>
      <c r="F2550" t="inlineStr">
        <is>
          <t>Sveaskog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35404-2020</t>
        </is>
      </c>
      <c r="B2551" s="1" t="n">
        <v>44042</v>
      </c>
      <c r="C2551" s="1" t="n">
        <v>45344</v>
      </c>
      <c r="D2551" t="inlineStr">
        <is>
          <t>GÄVLEBORGS LÄN</t>
        </is>
      </c>
      <c r="E2551" t="inlineStr">
        <is>
          <t>LJUSDAL</t>
        </is>
      </c>
      <c r="F2551" t="inlineStr">
        <is>
          <t>Sveaskog</t>
        </is>
      </c>
      <c r="G2551" t="n">
        <v>8.199999999999999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35533-2020</t>
        </is>
      </c>
      <c r="B2552" s="1" t="n">
        <v>44043</v>
      </c>
      <c r="C2552" s="1" t="n">
        <v>45344</v>
      </c>
      <c r="D2552" t="inlineStr">
        <is>
          <t>GÄVLEBORGS LÄN</t>
        </is>
      </c>
      <c r="E2552" t="inlineStr">
        <is>
          <t>GÄVLE</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35875-2020</t>
        </is>
      </c>
      <c r="B2553" s="1" t="n">
        <v>44047</v>
      </c>
      <c r="C2553" s="1" t="n">
        <v>45344</v>
      </c>
      <c r="D2553" t="inlineStr">
        <is>
          <t>GÄVLEBORGS LÄN</t>
        </is>
      </c>
      <c r="E2553" t="inlineStr">
        <is>
          <t>OCKELBO</t>
        </is>
      </c>
      <c r="G2553" t="n">
        <v>3.4</v>
      </c>
      <c r="H2553" t="n">
        <v>0</v>
      </c>
      <c r="I2553" t="n">
        <v>0</v>
      </c>
      <c r="J2553" t="n">
        <v>0</v>
      </c>
      <c r="K2553" t="n">
        <v>0</v>
      </c>
      <c r="L2553" t="n">
        <v>0</v>
      </c>
      <c r="M2553" t="n">
        <v>0</v>
      </c>
      <c r="N2553" t="n">
        <v>0</v>
      </c>
      <c r="O2553" t="n">
        <v>0</v>
      </c>
      <c r="P2553" t="n">
        <v>0</v>
      </c>
      <c r="Q2553" t="n">
        <v>0</v>
      </c>
      <c r="R2553" s="2" t="inlineStr"/>
    </row>
    <row r="2554" ht="15" customHeight="1">
      <c r="A2554" t="inlineStr">
        <is>
          <t>A 35853-2020</t>
        </is>
      </c>
      <c r="B2554" s="1" t="n">
        <v>44047</v>
      </c>
      <c r="C2554" s="1" t="n">
        <v>45344</v>
      </c>
      <c r="D2554" t="inlineStr">
        <is>
          <t>GÄVLEBORGS LÄN</t>
        </is>
      </c>
      <c r="E2554" t="inlineStr">
        <is>
          <t>HUDIKSVALL</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36111-2020</t>
        </is>
      </c>
      <c r="B2555" s="1" t="n">
        <v>44048</v>
      </c>
      <c r="C2555" s="1" t="n">
        <v>45344</v>
      </c>
      <c r="D2555" t="inlineStr">
        <is>
          <t>GÄVLEBORGS LÄN</t>
        </is>
      </c>
      <c r="E2555" t="inlineStr">
        <is>
          <t>HOFORS</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36209-2020</t>
        </is>
      </c>
      <c r="B2556" s="1" t="n">
        <v>44048</v>
      </c>
      <c r="C2556" s="1" t="n">
        <v>45344</v>
      </c>
      <c r="D2556" t="inlineStr">
        <is>
          <t>GÄVLEBORGS LÄN</t>
        </is>
      </c>
      <c r="E2556" t="inlineStr">
        <is>
          <t>NORDANSTIG</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36181-2020</t>
        </is>
      </c>
      <c r="B2557" s="1" t="n">
        <v>44048</v>
      </c>
      <c r="C2557" s="1" t="n">
        <v>45344</v>
      </c>
      <c r="D2557" t="inlineStr">
        <is>
          <t>GÄVLEBORGS LÄN</t>
        </is>
      </c>
      <c r="E2557" t="inlineStr">
        <is>
          <t>HUDIKSVALL</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36307-2020</t>
        </is>
      </c>
      <c r="B2558" s="1" t="n">
        <v>44049</v>
      </c>
      <c r="C2558" s="1" t="n">
        <v>45344</v>
      </c>
      <c r="D2558" t="inlineStr">
        <is>
          <t>GÄVLEBORGS LÄN</t>
        </is>
      </c>
      <c r="E2558" t="inlineStr">
        <is>
          <t>OCKELBO</t>
        </is>
      </c>
      <c r="G2558" t="n">
        <v>4.2</v>
      </c>
      <c r="H2558" t="n">
        <v>0</v>
      </c>
      <c r="I2558" t="n">
        <v>0</v>
      </c>
      <c r="J2558" t="n">
        <v>0</v>
      </c>
      <c r="K2558" t="n">
        <v>0</v>
      </c>
      <c r="L2558" t="n">
        <v>0</v>
      </c>
      <c r="M2558" t="n">
        <v>0</v>
      </c>
      <c r="N2558" t="n">
        <v>0</v>
      </c>
      <c r="O2558" t="n">
        <v>0</v>
      </c>
      <c r="P2558" t="n">
        <v>0</v>
      </c>
      <c r="Q2558" t="n">
        <v>0</v>
      </c>
      <c r="R2558" s="2" t="inlineStr"/>
    </row>
    <row r="2559" ht="15" customHeight="1">
      <c r="A2559" t="inlineStr">
        <is>
          <t>A 36358-2020</t>
        </is>
      </c>
      <c r="B2559" s="1" t="n">
        <v>44049</v>
      </c>
      <c r="C2559" s="1" t="n">
        <v>45344</v>
      </c>
      <c r="D2559" t="inlineStr">
        <is>
          <t>GÄVLEBORGS LÄN</t>
        </is>
      </c>
      <c r="E2559" t="inlineStr">
        <is>
          <t>OCKELBO</t>
        </is>
      </c>
      <c r="G2559" t="n">
        <v>6.8</v>
      </c>
      <c r="H2559" t="n">
        <v>0</v>
      </c>
      <c r="I2559" t="n">
        <v>0</v>
      </c>
      <c r="J2559" t="n">
        <v>0</v>
      </c>
      <c r="K2559" t="n">
        <v>0</v>
      </c>
      <c r="L2559" t="n">
        <v>0</v>
      </c>
      <c r="M2559" t="n">
        <v>0</v>
      </c>
      <c r="N2559" t="n">
        <v>0</v>
      </c>
      <c r="O2559" t="n">
        <v>0</v>
      </c>
      <c r="P2559" t="n">
        <v>0</v>
      </c>
      <c r="Q2559" t="n">
        <v>0</v>
      </c>
      <c r="R2559" s="2" t="inlineStr"/>
    </row>
    <row r="2560" ht="15" customHeight="1">
      <c r="A2560" t="inlineStr">
        <is>
          <t>A 36429-2020</t>
        </is>
      </c>
      <c r="B2560" s="1" t="n">
        <v>44049</v>
      </c>
      <c r="C2560" s="1" t="n">
        <v>45344</v>
      </c>
      <c r="D2560" t="inlineStr">
        <is>
          <t>GÄVLEBORGS LÄN</t>
        </is>
      </c>
      <c r="E2560" t="inlineStr">
        <is>
          <t>LJUSDAL</t>
        </is>
      </c>
      <c r="F2560" t="inlineStr">
        <is>
          <t>Naturvårdsverket</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36467-2020</t>
        </is>
      </c>
      <c r="B2561" s="1" t="n">
        <v>44049</v>
      </c>
      <c r="C2561" s="1" t="n">
        <v>45344</v>
      </c>
      <c r="D2561" t="inlineStr">
        <is>
          <t>GÄVLEBORGS LÄN</t>
        </is>
      </c>
      <c r="E2561" t="inlineStr">
        <is>
          <t>HOFORS</t>
        </is>
      </c>
      <c r="F2561" t="inlineStr">
        <is>
          <t>Sveaskog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36500-2020</t>
        </is>
      </c>
      <c r="B2562" s="1" t="n">
        <v>44050</v>
      </c>
      <c r="C2562" s="1" t="n">
        <v>45344</v>
      </c>
      <c r="D2562" t="inlineStr">
        <is>
          <t>GÄVLEBORGS LÄN</t>
        </is>
      </c>
      <c r="E2562" t="inlineStr">
        <is>
          <t>HUDIKSVALL</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36576-2020</t>
        </is>
      </c>
      <c r="B2563" s="1" t="n">
        <v>44050</v>
      </c>
      <c r="C2563" s="1" t="n">
        <v>45344</v>
      </c>
      <c r="D2563" t="inlineStr">
        <is>
          <t>GÄVLEBORGS LÄN</t>
        </is>
      </c>
      <c r="E2563" t="inlineStr">
        <is>
          <t>SANDVIKEN</t>
        </is>
      </c>
      <c r="G2563" t="n">
        <v>8.199999999999999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36485-2020</t>
        </is>
      </c>
      <c r="B2564" s="1" t="n">
        <v>44050</v>
      </c>
      <c r="C2564" s="1" t="n">
        <v>45344</v>
      </c>
      <c r="D2564" t="inlineStr">
        <is>
          <t>GÄVLEBORGS LÄN</t>
        </is>
      </c>
      <c r="E2564" t="inlineStr">
        <is>
          <t>HUDIKSVALL</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36636-2020</t>
        </is>
      </c>
      <c r="B2565" s="1" t="n">
        <v>44050</v>
      </c>
      <c r="C2565" s="1" t="n">
        <v>45344</v>
      </c>
      <c r="D2565" t="inlineStr">
        <is>
          <t>GÄVLEBORGS LÄN</t>
        </is>
      </c>
      <c r="E2565" t="inlineStr">
        <is>
          <t>NORDANSTIG</t>
        </is>
      </c>
      <c r="F2565" t="inlineStr">
        <is>
          <t>Holmen skog AB</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36693-2020</t>
        </is>
      </c>
      <c r="B2566" s="1" t="n">
        <v>44053</v>
      </c>
      <c r="C2566" s="1" t="n">
        <v>45344</v>
      </c>
      <c r="D2566" t="inlineStr">
        <is>
          <t>GÄVLEBORGS LÄN</t>
        </is>
      </c>
      <c r="E2566" t="inlineStr">
        <is>
          <t>LJUSDAL</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36896-2020</t>
        </is>
      </c>
      <c r="B2567" s="1" t="n">
        <v>44053</v>
      </c>
      <c r="C2567" s="1" t="n">
        <v>45344</v>
      </c>
      <c r="D2567" t="inlineStr">
        <is>
          <t>GÄVLEBORGS LÄN</t>
        </is>
      </c>
      <c r="E2567" t="inlineStr">
        <is>
          <t>OVANÅKER</t>
        </is>
      </c>
      <c r="F2567" t="inlineStr">
        <is>
          <t>Bergvik skog väst AB</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36709-2020</t>
        </is>
      </c>
      <c r="B2568" s="1" t="n">
        <v>44053</v>
      </c>
      <c r="C2568" s="1" t="n">
        <v>45344</v>
      </c>
      <c r="D2568" t="inlineStr">
        <is>
          <t>GÄVLEBORGS LÄN</t>
        </is>
      </c>
      <c r="E2568" t="inlineStr">
        <is>
          <t>SÖDERHAMN</t>
        </is>
      </c>
      <c r="F2568" t="inlineStr">
        <is>
          <t>Bergvik skog väst AB</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36899-2020</t>
        </is>
      </c>
      <c r="B2569" s="1" t="n">
        <v>44053</v>
      </c>
      <c r="C2569" s="1" t="n">
        <v>45344</v>
      </c>
      <c r="D2569" t="inlineStr">
        <is>
          <t>GÄVLEBORGS LÄN</t>
        </is>
      </c>
      <c r="E2569" t="inlineStr">
        <is>
          <t>OVANÅKER</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36903-2020</t>
        </is>
      </c>
      <c r="B2570" s="1" t="n">
        <v>44053</v>
      </c>
      <c r="C2570" s="1" t="n">
        <v>45344</v>
      </c>
      <c r="D2570" t="inlineStr">
        <is>
          <t>GÄVLEBORGS LÄN</t>
        </is>
      </c>
      <c r="E2570" t="inlineStr">
        <is>
          <t>OVANÅKER</t>
        </is>
      </c>
      <c r="F2570" t="inlineStr">
        <is>
          <t>Bergvik skog väst AB</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36914-2020</t>
        </is>
      </c>
      <c r="B2571" s="1" t="n">
        <v>44053</v>
      </c>
      <c r="C2571" s="1" t="n">
        <v>45344</v>
      </c>
      <c r="D2571" t="inlineStr">
        <is>
          <t>GÄVLEBORGS LÄN</t>
        </is>
      </c>
      <c r="E2571" t="inlineStr">
        <is>
          <t>OCKELBO</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36988-2020</t>
        </is>
      </c>
      <c r="B2572" s="1" t="n">
        <v>44054</v>
      </c>
      <c r="C2572" s="1" t="n">
        <v>45344</v>
      </c>
      <c r="D2572" t="inlineStr">
        <is>
          <t>GÄVLEBORGS LÄN</t>
        </is>
      </c>
      <c r="E2572" t="inlineStr">
        <is>
          <t>OVANÅKER</t>
        </is>
      </c>
      <c r="F2572" t="inlineStr">
        <is>
          <t>Bergvik skog väst AB</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37034-2020</t>
        </is>
      </c>
      <c r="B2573" s="1" t="n">
        <v>44054</v>
      </c>
      <c r="C2573" s="1" t="n">
        <v>45344</v>
      </c>
      <c r="D2573" t="inlineStr">
        <is>
          <t>GÄVLEBORGS LÄN</t>
        </is>
      </c>
      <c r="E2573" t="inlineStr">
        <is>
          <t>NORDANSTIG</t>
        </is>
      </c>
      <c r="F2573" t="inlineStr">
        <is>
          <t>Holmen skog AB</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36991-2020</t>
        </is>
      </c>
      <c r="B2574" s="1" t="n">
        <v>44054</v>
      </c>
      <c r="C2574" s="1" t="n">
        <v>45344</v>
      </c>
      <c r="D2574" t="inlineStr">
        <is>
          <t>GÄVLEBORGS LÄN</t>
        </is>
      </c>
      <c r="E2574" t="inlineStr">
        <is>
          <t>OVANÅKER</t>
        </is>
      </c>
      <c r="F2574" t="inlineStr">
        <is>
          <t>Bergvik skog väst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37110-2020</t>
        </is>
      </c>
      <c r="B2575" s="1" t="n">
        <v>44054</v>
      </c>
      <c r="C2575" s="1" t="n">
        <v>45344</v>
      </c>
      <c r="D2575" t="inlineStr">
        <is>
          <t>GÄVLEBORGS LÄN</t>
        </is>
      </c>
      <c r="E2575" t="inlineStr">
        <is>
          <t>SANDVIKEN</t>
        </is>
      </c>
      <c r="F2575" t="inlineStr">
        <is>
          <t>Bergvik skog öst AB</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37159-2020</t>
        </is>
      </c>
      <c r="B2576" s="1" t="n">
        <v>44054</v>
      </c>
      <c r="C2576" s="1" t="n">
        <v>45344</v>
      </c>
      <c r="D2576" t="inlineStr">
        <is>
          <t>GÄVLEBORGS LÄN</t>
        </is>
      </c>
      <c r="E2576" t="inlineStr">
        <is>
          <t>NORDANSTIG</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36986-2020</t>
        </is>
      </c>
      <c r="B2577" s="1" t="n">
        <v>44054</v>
      </c>
      <c r="C2577" s="1" t="n">
        <v>45344</v>
      </c>
      <c r="D2577" t="inlineStr">
        <is>
          <t>GÄVLEBORGS LÄN</t>
        </is>
      </c>
      <c r="E2577" t="inlineStr">
        <is>
          <t>OVANÅKER</t>
        </is>
      </c>
      <c r="F2577" t="inlineStr">
        <is>
          <t>Bergvik skog väst AB</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36990-2020</t>
        </is>
      </c>
      <c r="B2578" s="1" t="n">
        <v>44054</v>
      </c>
      <c r="C2578" s="1" t="n">
        <v>45344</v>
      </c>
      <c r="D2578" t="inlineStr">
        <is>
          <t>GÄVLEBORGS LÄN</t>
        </is>
      </c>
      <c r="E2578" t="inlineStr">
        <is>
          <t>OVANÅKER</t>
        </is>
      </c>
      <c r="F2578" t="inlineStr">
        <is>
          <t>Bergvik skog väst AB</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37453-2020</t>
        </is>
      </c>
      <c r="B2579" s="1" t="n">
        <v>44055</v>
      </c>
      <c r="C2579" s="1" t="n">
        <v>45344</v>
      </c>
      <c r="D2579" t="inlineStr">
        <is>
          <t>GÄVLEBORGS LÄN</t>
        </is>
      </c>
      <c r="E2579" t="inlineStr">
        <is>
          <t>NORDANSTIG</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37449-2020</t>
        </is>
      </c>
      <c r="B2580" s="1" t="n">
        <v>44055</v>
      </c>
      <c r="C2580" s="1" t="n">
        <v>45344</v>
      </c>
      <c r="D2580" t="inlineStr">
        <is>
          <t>GÄVLEBORGS LÄN</t>
        </is>
      </c>
      <c r="E2580" t="inlineStr">
        <is>
          <t>NORDANSTIG</t>
        </is>
      </c>
      <c r="G2580" t="n">
        <v>9.300000000000001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37394-2020</t>
        </is>
      </c>
      <c r="B2581" s="1" t="n">
        <v>44055</v>
      </c>
      <c r="C2581" s="1" t="n">
        <v>45344</v>
      </c>
      <c r="D2581" t="inlineStr">
        <is>
          <t>GÄVLEBORGS LÄN</t>
        </is>
      </c>
      <c r="E2581" t="inlineStr">
        <is>
          <t>HUDIKSVALL</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37411-2020</t>
        </is>
      </c>
      <c r="B2582" s="1" t="n">
        <v>44055</v>
      </c>
      <c r="C2582" s="1" t="n">
        <v>45344</v>
      </c>
      <c r="D2582" t="inlineStr">
        <is>
          <t>GÄVLEBORGS LÄN</t>
        </is>
      </c>
      <c r="E2582" t="inlineStr">
        <is>
          <t>BOLLNÄS</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37532-2020</t>
        </is>
      </c>
      <c r="B2583" s="1" t="n">
        <v>44056</v>
      </c>
      <c r="C2583" s="1" t="n">
        <v>45344</v>
      </c>
      <c r="D2583" t="inlineStr">
        <is>
          <t>GÄVLEBORGS LÄN</t>
        </is>
      </c>
      <c r="E2583" t="inlineStr">
        <is>
          <t>LJUSDAL</t>
        </is>
      </c>
      <c r="F2583" t="inlineStr">
        <is>
          <t>Sveaskog</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37604-2020</t>
        </is>
      </c>
      <c r="B2584" s="1" t="n">
        <v>44056</v>
      </c>
      <c r="C2584" s="1" t="n">
        <v>45344</v>
      </c>
      <c r="D2584" t="inlineStr">
        <is>
          <t>GÄVLEBORGS LÄN</t>
        </is>
      </c>
      <c r="E2584" t="inlineStr">
        <is>
          <t>GÄVLE</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37721-2020</t>
        </is>
      </c>
      <c r="B2585" s="1" t="n">
        <v>44056</v>
      </c>
      <c r="C2585" s="1" t="n">
        <v>45344</v>
      </c>
      <c r="D2585" t="inlineStr">
        <is>
          <t>GÄVLEBORGS LÄN</t>
        </is>
      </c>
      <c r="E2585" t="inlineStr">
        <is>
          <t>GÄVLE</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37546-2020</t>
        </is>
      </c>
      <c r="B2586" s="1" t="n">
        <v>44056</v>
      </c>
      <c r="C2586" s="1" t="n">
        <v>45344</v>
      </c>
      <c r="D2586" t="inlineStr">
        <is>
          <t>GÄVLEBORGS LÄN</t>
        </is>
      </c>
      <c r="E2586" t="inlineStr">
        <is>
          <t>SÖDERHAMN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37684-2020</t>
        </is>
      </c>
      <c r="B2587" s="1" t="n">
        <v>44056</v>
      </c>
      <c r="C2587" s="1" t="n">
        <v>45344</v>
      </c>
      <c r="D2587" t="inlineStr">
        <is>
          <t>GÄVLEBORGS LÄN</t>
        </is>
      </c>
      <c r="E2587" t="inlineStr">
        <is>
          <t>SÖDERHAMN</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37717-2020</t>
        </is>
      </c>
      <c r="B2588" s="1" t="n">
        <v>44056</v>
      </c>
      <c r="C2588" s="1" t="n">
        <v>45344</v>
      </c>
      <c r="D2588" t="inlineStr">
        <is>
          <t>GÄVLEBORGS LÄN</t>
        </is>
      </c>
      <c r="E2588" t="inlineStr">
        <is>
          <t>GÄVLE</t>
        </is>
      </c>
      <c r="F2588" t="inlineStr">
        <is>
          <t>Bergvik skog öst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37712-2020</t>
        </is>
      </c>
      <c r="B2589" s="1" t="n">
        <v>44056</v>
      </c>
      <c r="C2589" s="1" t="n">
        <v>45344</v>
      </c>
      <c r="D2589" t="inlineStr">
        <is>
          <t>GÄVLEBORGS LÄN</t>
        </is>
      </c>
      <c r="E2589" t="inlineStr">
        <is>
          <t>HUDIKSVALL</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37895-2020</t>
        </is>
      </c>
      <c r="B2590" s="1" t="n">
        <v>44057</v>
      </c>
      <c r="C2590" s="1" t="n">
        <v>45344</v>
      </c>
      <c r="D2590" t="inlineStr">
        <is>
          <t>GÄVLEBORGS LÄN</t>
        </is>
      </c>
      <c r="E2590" t="inlineStr">
        <is>
          <t>LJUSDAL</t>
        </is>
      </c>
      <c r="F2590" t="inlineStr">
        <is>
          <t>Sveaskog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37851-2020</t>
        </is>
      </c>
      <c r="B2591" s="1" t="n">
        <v>44057</v>
      </c>
      <c r="C2591" s="1" t="n">
        <v>45344</v>
      </c>
      <c r="D2591" t="inlineStr">
        <is>
          <t>GÄVLEBORGS LÄN</t>
        </is>
      </c>
      <c r="E2591" t="inlineStr">
        <is>
          <t>HOFORS</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37863-2020</t>
        </is>
      </c>
      <c r="B2592" s="1" t="n">
        <v>44057</v>
      </c>
      <c r="C2592" s="1" t="n">
        <v>45344</v>
      </c>
      <c r="D2592" t="inlineStr">
        <is>
          <t>GÄVLEBORGS LÄN</t>
        </is>
      </c>
      <c r="E2592" t="inlineStr">
        <is>
          <t>LJUSDAL</t>
        </is>
      </c>
      <c r="G2592" t="n">
        <v>2.1</v>
      </c>
      <c r="H2592" t="n">
        <v>0</v>
      </c>
      <c r="I2592" t="n">
        <v>0</v>
      </c>
      <c r="J2592" t="n">
        <v>0</v>
      </c>
      <c r="K2592" t="n">
        <v>0</v>
      </c>
      <c r="L2592" t="n">
        <v>0</v>
      </c>
      <c r="M2592" t="n">
        <v>0</v>
      </c>
      <c r="N2592" t="n">
        <v>0</v>
      </c>
      <c r="O2592" t="n">
        <v>0</v>
      </c>
      <c r="P2592" t="n">
        <v>0</v>
      </c>
      <c r="Q2592" t="n">
        <v>0</v>
      </c>
      <c r="R2592" s="2" t="inlineStr"/>
    </row>
    <row r="2593" ht="15" customHeight="1">
      <c r="A2593" t="inlineStr">
        <is>
          <t>A 38011-2020</t>
        </is>
      </c>
      <c r="B2593" s="1" t="n">
        <v>44057</v>
      </c>
      <c r="C2593" s="1" t="n">
        <v>45344</v>
      </c>
      <c r="D2593" t="inlineStr">
        <is>
          <t>GÄVLEBORGS LÄN</t>
        </is>
      </c>
      <c r="E2593" t="inlineStr">
        <is>
          <t>BOLLNÄS</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38260-2020</t>
        </is>
      </c>
      <c r="B2594" s="1" t="n">
        <v>44060</v>
      </c>
      <c r="C2594" s="1" t="n">
        <v>45344</v>
      </c>
      <c r="D2594" t="inlineStr">
        <is>
          <t>GÄVLEBORGS LÄN</t>
        </is>
      </c>
      <c r="E2594" t="inlineStr">
        <is>
          <t>SÖDERHAMN</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38300-2020</t>
        </is>
      </c>
      <c r="B2595" s="1" t="n">
        <v>44060</v>
      </c>
      <c r="C2595" s="1" t="n">
        <v>45344</v>
      </c>
      <c r="D2595" t="inlineStr">
        <is>
          <t>GÄVLEBORGS LÄN</t>
        </is>
      </c>
      <c r="E2595" t="inlineStr">
        <is>
          <t>GÄVLE</t>
        </is>
      </c>
      <c r="F2595" t="inlineStr">
        <is>
          <t>Bergvik skog öst AB</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38305-2020</t>
        </is>
      </c>
      <c r="B2596" s="1" t="n">
        <v>44060</v>
      </c>
      <c r="C2596" s="1" t="n">
        <v>45344</v>
      </c>
      <c r="D2596" t="inlineStr">
        <is>
          <t>GÄVLEBORGS LÄN</t>
        </is>
      </c>
      <c r="E2596" t="inlineStr">
        <is>
          <t>GÄVLE</t>
        </is>
      </c>
      <c r="F2596" t="inlineStr">
        <is>
          <t>Bergvik skog öst AB</t>
        </is>
      </c>
      <c r="G2596" t="n">
        <v>10</v>
      </c>
      <c r="H2596" t="n">
        <v>0</v>
      </c>
      <c r="I2596" t="n">
        <v>0</v>
      </c>
      <c r="J2596" t="n">
        <v>0</v>
      </c>
      <c r="K2596" t="n">
        <v>0</v>
      </c>
      <c r="L2596" t="n">
        <v>0</v>
      </c>
      <c r="M2596" t="n">
        <v>0</v>
      </c>
      <c r="N2596" t="n">
        <v>0</v>
      </c>
      <c r="O2596" t="n">
        <v>0</v>
      </c>
      <c r="P2596" t="n">
        <v>0</v>
      </c>
      <c r="Q2596" t="n">
        <v>0</v>
      </c>
      <c r="R2596" s="2" t="inlineStr"/>
    </row>
    <row r="2597" ht="15" customHeight="1">
      <c r="A2597" t="inlineStr">
        <is>
          <t>A 38185-2020</t>
        </is>
      </c>
      <c r="B2597" s="1" t="n">
        <v>44060</v>
      </c>
      <c r="C2597" s="1" t="n">
        <v>45344</v>
      </c>
      <c r="D2597" t="inlineStr">
        <is>
          <t>GÄVLEBORGS LÄN</t>
        </is>
      </c>
      <c r="E2597" t="inlineStr">
        <is>
          <t>LJUSDAL</t>
        </is>
      </c>
      <c r="F2597" t="inlineStr">
        <is>
          <t>Holmen skog AB</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38441-2020</t>
        </is>
      </c>
      <c r="B2598" s="1" t="n">
        <v>44060</v>
      </c>
      <c r="C2598" s="1" t="n">
        <v>45344</v>
      </c>
      <c r="D2598" t="inlineStr">
        <is>
          <t>GÄVLEBORGS LÄN</t>
        </is>
      </c>
      <c r="E2598" t="inlineStr">
        <is>
          <t>HUDIKSVALL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38597-2020</t>
        </is>
      </c>
      <c r="B2599" s="1" t="n">
        <v>44061</v>
      </c>
      <c r="C2599" s="1" t="n">
        <v>45344</v>
      </c>
      <c r="D2599" t="inlineStr">
        <is>
          <t>GÄVLEBORGS LÄN</t>
        </is>
      </c>
      <c r="E2599" t="inlineStr">
        <is>
          <t>LJUSDAL</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38599-2020</t>
        </is>
      </c>
      <c r="B2600" s="1" t="n">
        <v>44061</v>
      </c>
      <c r="C2600" s="1" t="n">
        <v>45344</v>
      </c>
      <c r="D2600" t="inlineStr">
        <is>
          <t>GÄVLEBORGS LÄN</t>
        </is>
      </c>
      <c r="E2600" t="inlineStr">
        <is>
          <t>LJUSDAL</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38633-2020</t>
        </is>
      </c>
      <c r="B2601" s="1" t="n">
        <v>44061</v>
      </c>
      <c r="C2601" s="1" t="n">
        <v>45344</v>
      </c>
      <c r="D2601" t="inlineStr">
        <is>
          <t>GÄVLEBORGS LÄN</t>
        </is>
      </c>
      <c r="E2601" t="inlineStr">
        <is>
          <t>NORDANSTIG</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38676-2020</t>
        </is>
      </c>
      <c r="B2602" s="1" t="n">
        <v>44061</v>
      </c>
      <c r="C2602" s="1" t="n">
        <v>45344</v>
      </c>
      <c r="D2602" t="inlineStr">
        <is>
          <t>GÄVLEBORGS LÄN</t>
        </is>
      </c>
      <c r="E2602" t="inlineStr">
        <is>
          <t>OVANÅKER</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38685-2020</t>
        </is>
      </c>
      <c r="B2603" s="1" t="n">
        <v>44061</v>
      </c>
      <c r="C2603" s="1" t="n">
        <v>45344</v>
      </c>
      <c r="D2603" t="inlineStr">
        <is>
          <t>GÄVLEBORGS LÄN</t>
        </is>
      </c>
      <c r="E2603" t="inlineStr">
        <is>
          <t>LJUSDAL</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38680-2020</t>
        </is>
      </c>
      <c r="B2604" s="1" t="n">
        <v>44061</v>
      </c>
      <c r="C2604" s="1" t="n">
        <v>45344</v>
      </c>
      <c r="D2604" t="inlineStr">
        <is>
          <t>GÄVLEBORGS LÄN</t>
        </is>
      </c>
      <c r="E2604" t="inlineStr">
        <is>
          <t>BOLLNÄS</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38743-2020</t>
        </is>
      </c>
      <c r="B2605" s="1" t="n">
        <v>44061</v>
      </c>
      <c r="C2605" s="1" t="n">
        <v>45344</v>
      </c>
      <c r="D2605" t="inlineStr">
        <is>
          <t>GÄVLEBORGS LÄN</t>
        </is>
      </c>
      <c r="E2605" t="inlineStr">
        <is>
          <t>SANDVIKEN</t>
        </is>
      </c>
      <c r="G2605" t="n">
        <v>6.2</v>
      </c>
      <c r="H2605" t="n">
        <v>0</v>
      </c>
      <c r="I2605" t="n">
        <v>0</v>
      </c>
      <c r="J2605" t="n">
        <v>0</v>
      </c>
      <c r="K2605" t="n">
        <v>0</v>
      </c>
      <c r="L2605" t="n">
        <v>0</v>
      </c>
      <c r="M2605" t="n">
        <v>0</v>
      </c>
      <c r="N2605" t="n">
        <v>0</v>
      </c>
      <c r="O2605" t="n">
        <v>0</v>
      </c>
      <c r="P2605" t="n">
        <v>0</v>
      </c>
      <c r="Q2605" t="n">
        <v>0</v>
      </c>
      <c r="R2605" s="2" t="inlineStr"/>
    </row>
    <row r="2606" ht="15" customHeight="1">
      <c r="A2606" t="inlineStr">
        <is>
          <t>A 38773-2020</t>
        </is>
      </c>
      <c r="B2606" s="1" t="n">
        <v>44061</v>
      </c>
      <c r="C2606" s="1" t="n">
        <v>45344</v>
      </c>
      <c r="D2606" t="inlineStr">
        <is>
          <t>GÄVLEBORGS LÄN</t>
        </is>
      </c>
      <c r="E2606" t="inlineStr">
        <is>
          <t>LJUSDAL</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38810-2020</t>
        </is>
      </c>
      <c r="B2607" s="1" t="n">
        <v>44062</v>
      </c>
      <c r="C2607" s="1" t="n">
        <v>45344</v>
      </c>
      <c r="D2607" t="inlineStr">
        <is>
          <t>GÄVLEBORGS LÄN</t>
        </is>
      </c>
      <c r="E2607" t="inlineStr">
        <is>
          <t>LJUSDAL</t>
        </is>
      </c>
      <c r="F2607" t="inlineStr">
        <is>
          <t>Holmen skog AB</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38884-2020</t>
        </is>
      </c>
      <c r="B2608" s="1" t="n">
        <v>44062</v>
      </c>
      <c r="C2608" s="1" t="n">
        <v>45344</v>
      </c>
      <c r="D2608" t="inlineStr">
        <is>
          <t>GÄVLEBORGS LÄN</t>
        </is>
      </c>
      <c r="E2608" t="inlineStr">
        <is>
          <t>OVANÅKER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38926-2020</t>
        </is>
      </c>
      <c r="B2609" s="1" t="n">
        <v>44062</v>
      </c>
      <c r="C2609" s="1" t="n">
        <v>45344</v>
      </c>
      <c r="D2609" t="inlineStr">
        <is>
          <t>GÄVLEBORGS LÄN</t>
        </is>
      </c>
      <c r="E2609" t="inlineStr">
        <is>
          <t>GÄVLE</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38977-2020</t>
        </is>
      </c>
      <c r="B2610" s="1" t="n">
        <v>44062</v>
      </c>
      <c r="C2610" s="1" t="n">
        <v>45344</v>
      </c>
      <c r="D2610" t="inlineStr">
        <is>
          <t>GÄVLEBORGS LÄN</t>
        </is>
      </c>
      <c r="E2610" t="inlineStr">
        <is>
          <t>HUDIKSVALL</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38870-2020</t>
        </is>
      </c>
      <c r="B2611" s="1" t="n">
        <v>44062</v>
      </c>
      <c r="C2611" s="1" t="n">
        <v>45344</v>
      </c>
      <c r="D2611" t="inlineStr">
        <is>
          <t>GÄVLEBORGS LÄN</t>
        </is>
      </c>
      <c r="E2611" t="inlineStr">
        <is>
          <t>BOLLNÄS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39120-2020</t>
        </is>
      </c>
      <c r="B2612" s="1" t="n">
        <v>44063</v>
      </c>
      <c r="C2612" s="1" t="n">
        <v>45344</v>
      </c>
      <c r="D2612" t="inlineStr">
        <is>
          <t>GÄVLEBORGS LÄN</t>
        </is>
      </c>
      <c r="E2612" t="inlineStr">
        <is>
          <t>OVANÅKER</t>
        </is>
      </c>
      <c r="G2612" t="n">
        <v>25.3</v>
      </c>
      <c r="H2612" t="n">
        <v>0</v>
      </c>
      <c r="I2612" t="n">
        <v>0</v>
      </c>
      <c r="J2612" t="n">
        <v>0</v>
      </c>
      <c r="K2612" t="n">
        <v>0</v>
      </c>
      <c r="L2612" t="n">
        <v>0</v>
      </c>
      <c r="M2612" t="n">
        <v>0</v>
      </c>
      <c r="N2612" t="n">
        <v>0</v>
      </c>
      <c r="O2612" t="n">
        <v>0</v>
      </c>
      <c r="P2612" t="n">
        <v>0</v>
      </c>
      <c r="Q2612" t="n">
        <v>0</v>
      </c>
      <c r="R2612" s="2" t="inlineStr"/>
    </row>
    <row r="2613" ht="15" customHeight="1">
      <c r="A2613" t="inlineStr">
        <is>
          <t>A 39113-2020</t>
        </is>
      </c>
      <c r="B2613" s="1" t="n">
        <v>44063</v>
      </c>
      <c r="C2613" s="1" t="n">
        <v>45344</v>
      </c>
      <c r="D2613" t="inlineStr">
        <is>
          <t>GÄVLEBORGS LÄN</t>
        </is>
      </c>
      <c r="E2613" t="inlineStr">
        <is>
          <t>HUDIKSVALL</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39128-2020</t>
        </is>
      </c>
      <c r="B2614" s="1" t="n">
        <v>44063</v>
      </c>
      <c r="C2614" s="1" t="n">
        <v>45344</v>
      </c>
      <c r="D2614" t="inlineStr">
        <is>
          <t>GÄVLEBORGS LÄN</t>
        </is>
      </c>
      <c r="E2614" t="inlineStr">
        <is>
          <t>OVANÅKER</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39210-2020</t>
        </is>
      </c>
      <c r="B2615" s="1" t="n">
        <v>44063</v>
      </c>
      <c r="C2615" s="1" t="n">
        <v>45344</v>
      </c>
      <c r="D2615" t="inlineStr">
        <is>
          <t>GÄVLEBORGS LÄN</t>
        </is>
      </c>
      <c r="E2615" t="inlineStr">
        <is>
          <t>SÖDERHAMN</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39420-2020</t>
        </is>
      </c>
      <c r="B2616" s="1" t="n">
        <v>44064</v>
      </c>
      <c r="C2616" s="1" t="n">
        <v>45344</v>
      </c>
      <c r="D2616" t="inlineStr">
        <is>
          <t>GÄVLEBORGS LÄN</t>
        </is>
      </c>
      <c r="E2616" t="inlineStr">
        <is>
          <t>HUDIKSVALL</t>
        </is>
      </c>
      <c r="G2616" t="n">
        <v>7.1</v>
      </c>
      <c r="H2616" t="n">
        <v>0</v>
      </c>
      <c r="I2616" t="n">
        <v>0</v>
      </c>
      <c r="J2616" t="n">
        <v>0</v>
      </c>
      <c r="K2616" t="n">
        <v>0</v>
      </c>
      <c r="L2616" t="n">
        <v>0</v>
      </c>
      <c r="M2616" t="n">
        <v>0</v>
      </c>
      <c r="N2616" t="n">
        <v>0</v>
      </c>
      <c r="O2616" t="n">
        <v>0</v>
      </c>
      <c r="P2616" t="n">
        <v>0</v>
      </c>
      <c r="Q2616" t="n">
        <v>0</v>
      </c>
      <c r="R2616" s="2" t="inlineStr"/>
    </row>
    <row r="2617" ht="15" customHeight="1">
      <c r="A2617" t="inlineStr">
        <is>
          <t>A 39490-2020</t>
        </is>
      </c>
      <c r="B2617" s="1" t="n">
        <v>44064</v>
      </c>
      <c r="C2617" s="1" t="n">
        <v>45344</v>
      </c>
      <c r="D2617" t="inlineStr">
        <is>
          <t>GÄVLEBORGS LÄN</t>
        </is>
      </c>
      <c r="E2617" t="inlineStr">
        <is>
          <t>LJUSDAL</t>
        </is>
      </c>
      <c r="F2617" t="inlineStr">
        <is>
          <t>Sveaskog</t>
        </is>
      </c>
      <c r="G2617" t="n">
        <v>8.800000000000001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39498-2020</t>
        </is>
      </c>
      <c r="B2618" s="1" t="n">
        <v>44064</v>
      </c>
      <c r="C2618" s="1" t="n">
        <v>45344</v>
      </c>
      <c r="D2618" t="inlineStr">
        <is>
          <t>GÄVLEBORGS LÄN</t>
        </is>
      </c>
      <c r="E2618" t="inlineStr">
        <is>
          <t>LJUSDAL</t>
        </is>
      </c>
      <c r="F2618" t="inlineStr">
        <is>
          <t>Sveaskog</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39469-2020</t>
        </is>
      </c>
      <c r="B2619" s="1" t="n">
        <v>44064</v>
      </c>
      <c r="C2619" s="1" t="n">
        <v>45344</v>
      </c>
      <c r="D2619" t="inlineStr">
        <is>
          <t>GÄVLEBORGS LÄN</t>
        </is>
      </c>
      <c r="E2619" t="inlineStr">
        <is>
          <t>SANDVIKEN</t>
        </is>
      </c>
      <c r="F2619" t="inlineStr">
        <is>
          <t>Bergvik skog öst AB</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39524-2020</t>
        </is>
      </c>
      <c r="B2620" s="1" t="n">
        <v>44064</v>
      </c>
      <c r="C2620" s="1" t="n">
        <v>45344</v>
      </c>
      <c r="D2620" t="inlineStr">
        <is>
          <t>GÄVLEBORGS LÄN</t>
        </is>
      </c>
      <c r="E2620" t="inlineStr">
        <is>
          <t>NORDANSTIG</t>
        </is>
      </c>
      <c r="F2620" t="inlineStr">
        <is>
          <t>Holmen skog AB</t>
        </is>
      </c>
      <c r="G2620" t="n">
        <v>4.3</v>
      </c>
      <c r="H2620" t="n">
        <v>0</v>
      </c>
      <c r="I2620" t="n">
        <v>0</v>
      </c>
      <c r="J2620" t="n">
        <v>0</v>
      </c>
      <c r="K2620" t="n">
        <v>0</v>
      </c>
      <c r="L2620" t="n">
        <v>0</v>
      </c>
      <c r="M2620" t="n">
        <v>0</v>
      </c>
      <c r="N2620" t="n">
        <v>0</v>
      </c>
      <c r="O2620" t="n">
        <v>0</v>
      </c>
      <c r="P2620" t="n">
        <v>0</v>
      </c>
      <c r="Q2620" t="n">
        <v>0</v>
      </c>
      <c r="R2620" s="2" t="inlineStr"/>
      <c r="U2620">
        <f>HYPERLINK("https://klasma.github.io/Logging_2132/knärot/A 39524-2020 karta knärot.png", "A 39524-2020")</f>
        <v/>
      </c>
      <c r="V2620">
        <f>HYPERLINK("https://klasma.github.io/Logging_2132/klagomål/A 39524-2020 FSC-klagomål.docx", "A 39524-2020")</f>
        <v/>
      </c>
      <c r="W2620">
        <f>HYPERLINK("https://klasma.github.io/Logging_2132/klagomålsmail/A 39524-2020 FSC-klagomål mail.docx", "A 39524-2020")</f>
        <v/>
      </c>
      <c r="X2620">
        <f>HYPERLINK("https://klasma.github.io/Logging_2132/tillsyn/A 39524-2020 tillsynsbegäran.docx", "A 39524-2020")</f>
        <v/>
      </c>
      <c r="Y2620">
        <f>HYPERLINK("https://klasma.github.io/Logging_2132/tillsynsmail/A 39524-2020 tillsynsbegäran mail.docx", "A 39524-2020")</f>
        <v/>
      </c>
    </row>
    <row r="2621" ht="15" customHeight="1">
      <c r="A2621" t="inlineStr">
        <is>
          <t>A 39371-2020</t>
        </is>
      </c>
      <c r="B2621" s="1" t="n">
        <v>44064</v>
      </c>
      <c r="C2621" s="1" t="n">
        <v>45344</v>
      </c>
      <c r="D2621" t="inlineStr">
        <is>
          <t>GÄVLEBORGS LÄN</t>
        </is>
      </c>
      <c r="E2621" t="inlineStr">
        <is>
          <t>BOLLNÄS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39418-2020</t>
        </is>
      </c>
      <c r="B2622" s="1" t="n">
        <v>44064</v>
      </c>
      <c r="C2622" s="1" t="n">
        <v>45344</v>
      </c>
      <c r="D2622" t="inlineStr">
        <is>
          <t>GÄVLEBORGS LÄN</t>
        </is>
      </c>
      <c r="E2622" t="inlineStr">
        <is>
          <t>HUDIKSVALL</t>
        </is>
      </c>
      <c r="G2622" t="n">
        <v>7.4</v>
      </c>
      <c r="H2622" t="n">
        <v>0</v>
      </c>
      <c r="I2622" t="n">
        <v>0</v>
      </c>
      <c r="J2622" t="n">
        <v>0</v>
      </c>
      <c r="K2622" t="n">
        <v>0</v>
      </c>
      <c r="L2622" t="n">
        <v>0</v>
      </c>
      <c r="M2622" t="n">
        <v>0</v>
      </c>
      <c r="N2622" t="n">
        <v>0</v>
      </c>
      <c r="O2622" t="n">
        <v>0</v>
      </c>
      <c r="P2622" t="n">
        <v>0</v>
      </c>
      <c r="Q2622" t="n">
        <v>0</v>
      </c>
      <c r="R2622" s="2" t="inlineStr"/>
    </row>
    <row r="2623" ht="15" customHeight="1">
      <c r="A2623" t="inlineStr">
        <is>
          <t>A 39489-2020</t>
        </is>
      </c>
      <c r="B2623" s="1" t="n">
        <v>44064</v>
      </c>
      <c r="C2623" s="1" t="n">
        <v>45344</v>
      </c>
      <c r="D2623" t="inlineStr">
        <is>
          <t>GÄVLEBORGS LÄN</t>
        </is>
      </c>
      <c r="E2623" t="inlineStr">
        <is>
          <t>LJUSDAL</t>
        </is>
      </c>
      <c r="F2623" t="inlineStr">
        <is>
          <t>Sveaskog</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39497-2020</t>
        </is>
      </c>
      <c r="B2624" s="1" t="n">
        <v>44064</v>
      </c>
      <c r="C2624" s="1" t="n">
        <v>45344</v>
      </c>
      <c r="D2624" t="inlineStr">
        <is>
          <t>GÄVLEBORGS LÄN</t>
        </is>
      </c>
      <c r="E2624" t="inlineStr">
        <is>
          <t>LJUSDAL</t>
        </is>
      </c>
      <c r="F2624" t="inlineStr">
        <is>
          <t>Sveaskog</t>
        </is>
      </c>
      <c r="G2624" t="n">
        <v>6.7</v>
      </c>
      <c r="H2624" t="n">
        <v>0</v>
      </c>
      <c r="I2624" t="n">
        <v>0</v>
      </c>
      <c r="J2624" t="n">
        <v>0</v>
      </c>
      <c r="K2624" t="n">
        <v>0</v>
      </c>
      <c r="L2624" t="n">
        <v>0</v>
      </c>
      <c r="M2624" t="n">
        <v>0</v>
      </c>
      <c r="N2624" t="n">
        <v>0</v>
      </c>
      <c r="O2624" t="n">
        <v>0</v>
      </c>
      <c r="P2624" t="n">
        <v>0</v>
      </c>
      <c r="Q2624" t="n">
        <v>0</v>
      </c>
      <c r="R2624" s="2" t="inlineStr"/>
    </row>
    <row r="2625" ht="15" customHeight="1">
      <c r="A2625" t="inlineStr">
        <is>
          <t>A 39543-2020</t>
        </is>
      </c>
      <c r="B2625" s="1" t="n">
        <v>44064</v>
      </c>
      <c r="C2625" s="1" t="n">
        <v>45344</v>
      </c>
      <c r="D2625" t="inlineStr">
        <is>
          <t>GÄVLEBORGS LÄN</t>
        </is>
      </c>
      <c r="E2625" t="inlineStr">
        <is>
          <t>HUDIKSVALL</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39808-2020</t>
        </is>
      </c>
      <c r="B2626" s="1" t="n">
        <v>44067</v>
      </c>
      <c r="C2626" s="1" t="n">
        <v>45344</v>
      </c>
      <c r="D2626" t="inlineStr">
        <is>
          <t>GÄVLEBORGS LÄN</t>
        </is>
      </c>
      <c r="E2626" t="inlineStr">
        <is>
          <t>SANDVIKEN</t>
        </is>
      </c>
      <c r="G2626" t="n">
        <v>4.1</v>
      </c>
      <c r="H2626" t="n">
        <v>0</v>
      </c>
      <c r="I2626" t="n">
        <v>0</v>
      </c>
      <c r="J2626" t="n">
        <v>0</v>
      </c>
      <c r="K2626" t="n">
        <v>0</v>
      </c>
      <c r="L2626" t="n">
        <v>0</v>
      </c>
      <c r="M2626" t="n">
        <v>0</v>
      </c>
      <c r="N2626" t="n">
        <v>0</v>
      </c>
      <c r="O2626" t="n">
        <v>0</v>
      </c>
      <c r="P2626" t="n">
        <v>0</v>
      </c>
      <c r="Q2626" t="n">
        <v>0</v>
      </c>
      <c r="R2626" s="2" t="inlineStr"/>
    </row>
    <row r="2627" ht="15" customHeight="1">
      <c r="A2627" t="inlineStr">
        <is>
          <t>A 39881-2020</t>
        </is>
      </c>
      <c r="B2627" s="1" t="n">
        <v>44067</v>
      </c>
      <c r="C2627" s="1" t="n">
        <v>45344</v>
      </c>
      <c r="D2627" t="inlineStr">
        <is>
          <t>GÄVLEBORGS LÄN</t>
        </is>
      </c>
      <c r="E2627" t="inlineStr">
        <is>
          <t>LJUSDAL</t>
        </is>
      </c>
      <c r="F2627" t="inlineStr">
        <is>
          <t>Allmännings- och besparingsskogar</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39934-2020</t>
        </is>
      </c>
      <c r="B2628" s="1" t="n">
        <v>44067</v>
      </c>
      <c r="C2628" s="1" t="n">
        <v>45344</v>
      </c>
      <c r="D2628" t="inlineStr">
        <is>
          <t>GÄVLEBORGS LÄN</t>
        </is>
      </c>
      <c r="E2628" t="inlineStr">
        <is>
          <t>OVANÅKER</t>
        </is>
      </c>
      <c r="G2628" t="n">
        <v>4.2</v>
      </c>
      <c r="H2628" t="n">
        <v>0</v>
      </c>
      <c r="I2628" t="n">
        <v>0</v>
      </c>
      <c r="J2628" t="n">
        <v>0</v>
      </c>
      <c r="K2628" t="n">
        <v>0</v>
      </c>
      <c r="L2628" t="n">
        <v>0</v>
      </c>
      <c r="M2628" t="n">
        <v>0</v>
      </c>
      <c r="N2628" t="n">
        <v>0</v>
      </c>
      <c r="O2628" t="n">
        <v>0</v>
      </c>
      <c r="P2628" t="n">
        <v>0</v>
      </c>
      <c r="Q2628" t="n">
        <v>0</v>
      </c>
      <c r="R2628" s="2" t="inlineStr"/>
    </row>
    <row r="2629" ht="15" customHeight="1">
      <c r="A2629" t="inlineStr">
        <is>
          <t>A 39747-2020</t>
        </is>
      </c>
      <c r="B2629" s="1" t="n">
        <v>44067</v>
      </c>
      <c r="C2629" s="1" t="n">
        <v>45344</v>
      </c>
      <c r="D2629" t="inlineStr">
        <is>
          <t>GÄVLEBORGS LÄN</t>
        </is>
      </c>
      <c r="E2629" t="inlineStr">
        <is>
          <t>HUDIKSVALL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39798-2020</t>
        </is>
      </c>
      <c r="B2630" s="1" t="n">
        <v>44067</v>
      </c>
      <c r="C2630" s="1" t="n">
        <v>45344</v>
      </c>
      <c r="D2630" t="inlineStr">
        <is>
          <t>GÄVLEBORGS LÄN</t>
        </is>
      </c>
      <c r="E2630" t="inlineStr">
        <is>
          <t>GÄVLE</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39749-2020</t>
        </is>
      </c>
      <c r="B2631" s="1" t="n">
        <v>44067</v>
      </c>
      <c r="C2631" s="1" t="n">
        <v>45344</v>
      </c>
      <c r="D2631" t="inlineStr">
        <is>
          <t>GÄVLEBORGS LÄN</t>
        </is>
      </c>
      <c r="E2631" t="inlineStr">
        <is>
          <t>HUDIKSVALL</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40027-2020</t>
        </is>
      </c>
      <c r="B2632" s="1" t="n">
        <v>44067</v>
      </c>
      <c r="C2632" s="1" t="n">
        <v>45344</v>
      </c>
      <c r="D2632" t="inlineStr">
        <is>
          <t>GÄVLEBORGS LÄN</t>
        </is>
      </c>
      <c r="E2632" t="inlineStr">
        <is>
          <t>SANDVIKEN</t>
        </is>
      </c>
      <c r="F2632" t="inlineStr">
        <is>
          <t>Sveaskog</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39973-2020</t>
        </is>
      </c>
      <c r="B2633" s="1" t="n">
        <v>44067</v>
      </c>
      <c r="C2633" s="1" t="n">
        <v>45344</v>
      </c>
      <c r="D2633" t="inlineStr">
        <is>
          <t>GÄVLEBORGS LÄN</t>
        </is>
      </c>
      <c r="E2633" t="inlineStr">
        <is>
          <t>HUDIKSVALL</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40005-2020</t>
        </is>
      </c>
      <c r="B2634" s="1" t="n">
        <v>44067</v>
      </c>
      <c r="C2634" s="1" t="n">
        <v>45344</v>
      </c>
      <c r="D2634" t="inlineStr">
        <is>
          <t>GÄVLEBORGS LÄN</t>
        </is>
      </c>
      <c r="E2634" t="inlineStr">
        <is>
          <t>OVANÅKER</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40034-2020</t>
        </is>
      </c>
      <c r="B2635" s="1" t="n">
        <v>44067</v>
      </c>
      <c r="C2635" s="1" t="n">
        <v>45344</v>
      </c>
      <c r="D2635" t="inlineStr">
        <is>
          <t>GÄVLEBORGS LÄN</t>
        </is>
      </c>
      <c r="E2635" t="inlineStr">
        <is>
          <t>SANDVIKEN</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40087-2020</t>
        </is>
      </c>
      <c r="B2636" s="1" t="n">
        <v>44068</v>
      </c>
      <c r="C2636" s="1" t="n">
        <v>45344</v>
      </c>
      <c r="D2636" t="inlineStr">
        <is>
          <t>GÄVLEBORGS LÄN</t>
        </is>
      </c>
      <c r="E2636" t="inlineStr">
        <is>
          <t>GÄVLE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40345-2020</t>
        </is>
      </c>
      <c r="B2637" s="1" t="n">
        <v>44068</v>
      </c>
      <c r="C2637" s="1" t="n">
        <v>45344</v>
      </c>
      <c r="D2637" t="inlineStr">
        <is>
          <t>GÄVLEBORGS LÄN</t>
        </is>
      </c>
      <c r="E2637" t="inlineStr">
        <is>
          <t>LJUSDAL</t>
        </is>
      </c>
      <c r="F2637" t="inlineStr">
        <is>
          <t>Bergvik skog väst AB</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40340-2020</t>
        </is>
      </c>
      <c r="B2638" s="1" t="n">
        <v>44068</v>
      </c>
      <c r="C2638" s="1" t="n">
        <v>45344</v>
      </c>
      <c r="D2638" t="inlineStr">
        <is>
          <t>GÄVLEBORGS LÄN</t>
        </is>
      </c>
      <c r="E2638" t="inlineStr">
        <is>
          <t>GÄVLE</t>
        </is>
      </c>
      <c r="F2638" t="inlineStr">
        <is>
          <t>Bergvik skog öst AB</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40195-2020</t>
        </is>
      </c>
      <c r="B2639" s="1" t="n">
        <v>44068</v>
      </c>
      <c r="C2639" s="1" t="n">
        <v>45344</v>
      </c>
      <c r="D2639" t="inlineStr">
        <is>
          <t>GÄVLEBORGS LÄN</t>
        </is>
      </c>
      <c r="E2639" t="inlineStr">
        <is>
          <t>OCKELBO</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40573-2020</t>
        </is>
      </c>
      <c r="B2640" s="1" t="n">
        <v>44069</v>
      </c>
      <c r="C2640" s="1" t="n">
        <v>45344</v>
      </c>
      <c r="D2640" t="inlineStr">
        <is>
          <t>GÄVLEBORGS LÄN</t>
        </is>
      </c>
      <c r="E2640" t="inlineStr">
        <is>
          <t>BOLLNÄS</t>
        </is>
      </c>
      <c r="F2640" t="inlineStr">
        <is>
          <t>Sveaskog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40599-2020</t>
        </is>
      </c>
      <c r="B2641" s="1" t="n">
        <v>44069</v>
      </c>
      <c r="C2641" s="1" t="n">
        <v>45344</v>
      </c>
      <c r="D2641" t="inlineStr">
        <is>
          <t>GÄVLEBORGS LÄN</t>
        </is>
      </c>
      <c r="E2641" t="inlineStr">
        <is>
          <t>LJUSDAL</t>
        </is>
      </c>
      <c r="F2641" t="inlineStr">
        <is>
          <t>Sveaskog</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40614-2020</t>
        </is>
      </c>
      <c r="B2642" s="1" t="n">
        <v>44069</v>
      </c>
      <c r="C2642" s="1" t="n">
        <v>45344</v>
      </c>
      <c r="D2642" t="inlineStr">
        <is>
          <t>GÄVLEBORGS LÄN</t>
        </is>
      </c>
      <c r="E2642" t="inlineStr">
        <is>
          <t>LJUSDAL</t>
        </is>
      </c>
      <c r="F2642" t="inlineStr">
        <is>
          <t>Sveaskog</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40422-2020</t>
        </is>
      </c>
      <c r="B2643" s="1" t="n">
        <v>44069</v>
      </c>
      <c r="C2643" s="1" t="n">
        <v>45344</v>
      </c>
      <c r="D2643" t="inlineStr">
        <is>
          <t>GÄVLEBORGS LÄN</t>
        </is>
      </c>
      <c r="E2643" t="inlineStr">
        <is>
          <t>LJUSDAL</t>
        </is>
      </c>
      <c r="F2643" t="inlineStr">
        <is>
          <t>Sveaskog</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40610-2020</t>
        </is>
      </c>
      <c r="B2644" s="1" t="n">
        <v>44069</v>
      </c>
      <c r="C2644" s="1" t="n">
        <v>45344</v>
      </c>
      <c r="D2644" t="inlineStr">
        <is>
          <t>GÄVLEBORGS LÄN</t>
        </is>
      </c>
      <c r="E2644" t="inlineStr">
        <is>
          <t>LJUSDAL</t>
        </is>
      </c>
      <c r="F2644" t="inlineStr">
        <is>
          <t>Sveaskog</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40626-2020</t>
        </is>
      </c>
      <c r="B2645" s="1" t="n">
        <v>44069</v>
      </c>
      <c r="C2645" s="1" t="n">
        <v>45344</v>
      </c>
      <c r="D2645" t="inlineStr">
        <is>
          <t>GÄVLEBORGS LÄN</t>
        </is>
      </c>
      <c r="E2645" t="inlineStr">
        <is>
          <t>GÄVLE</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40631-2020</t>
        </is>
      </c>
      <c r="B2646" s="1" t="n">
        <v>44069</v>
      </c>
      <c r="C2646" s="1" t="n">
        <v>45344</v>
      </c>
      <c r="D2646" t="inlineStr">
        <is>
          <t>GÄVLEBORGS LÄN</t>
        </is>
      </c>
      <c r="E2646" t="inlineStr">
        <is>
          <t>HUDIKSVALL</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40996-2020</t>
        </is>
      </c>
      <c r="B2647" s="1" t="n">
        <v>44070</v>
      </c>
      <c r="C2647" s="1" t="n">
        <v>45344</v>
      </c>
      <c r="D2647" t="inlineStr">
        <is>
          <t>GÄVLEBORGS LÄN</t>
        </is>
      </c>
      <c r="E2647" t="inlineStr">
        <is>
          <t>HUDIKSVALL</t>
        </is>
      </c>
      <c r="G2647" t="n">
        <v>6.4</v>
      </c>
      <c r="H2647" t="n">
        <v>0</v>
      </c>
      <c r="I2647" t="n">
        <v>0</v>
      </c>
      <c r="J2647" t="n">
        <v>0</v>
      </c>
      <c r="K2647" t="n">
        <v>0</v>
      </c>
      <c r="L2647" t="n">
        <v>0</v>
      </c>
      <c r="M2647" t="n">
        <v>0</v>
      </c>
      <c r="N2647" t="n">
        <v>0</v>
      </c>
      <c r="O2647" t="n">
        <v>0</v>
      </c>
      <c r="P2647" t="n">
        <v>0</v>
      </c>
      <c r="Q2647" t="n">
        <v>0</v>
      </c>
      <c r="R2647" s="2" t="inlineStr"/>
    </row>
    <row r="2648" ht="15" customHeight="1">
      <c r="A2648" t="inlineStr">
        <is>
          <t>A 40801-2020</t>
        </is>
      </c>
      <c r="B2648" s="1" t="n">
        <v>44070</v>
      </c>
      <c r="C2648" s="1" t="n">
        <v>45344</v>
      </c>
      <c r="D2648" t="inlineStr">
        <is>
          <t>GÄVLEBORGS LÄN</t>
        </is>
      </c>
      <c r="E2648" t="inlineStr">
        <is>
          <t>LJUSDAL</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40773-2020</t>
        </is>
      </c>
      <c r="B2649" s="1" t="n">
        <v>44070</v>
      </c>
      <c r="C2649" s="1" t="n">
        <v>45344</v>
      </c>
      <c r="D2649" t="inlineStr">
        <is>
          <t>GÄVLEBORGS LÄN</t>
        </is>
      </c>
      <c r="E2649" t="inlineStr">
        <is>
          <t>HUDIKSVALL</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40929-2020</t>
        </is>
      </c>
      <c r="B2650" s="1" t="n">
        <v>44070</v>
      </c>
      <c r="C2650" s="1" t="n">
        <v>45344</v>
      </c>
      <c r="D2650" t="inlineStr">
        <is>
          <t>GÄVLEBORGS LÄN</t>
        </is>
      </c>
      <c r="E2650" t="inlineStr">
        <is>
          <t>BOLLNÄS</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41133-2020</t>
        </is>
      </c>
      <c r="B2651" s="1" t="n">
        <v>44071</v>
      </c>
      <c r="C2651" s="1" t="n">
        <v>45344</v>
      </c>
      <c r="D2651" t="inlineStr">
        <is>
          <t>GÄVLEBORGS LÄN</t>
        </is>
      </c>
      <c r="E2651" t="inlineStr">
        <is>
          <t>HUDIKSVALL</t>
        </is>
      </c>
      <c r="F2651" t="inlineStr">
        <is>
          <t>Holmen skog AB</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41182-2020</t>
        </is>
      </c>
      <c r="B2652" s="1" t="n">
        <v>44071</v>
      </c>
      <c r="C2652" s="1" t="n">
        <v>45344</v>
      </c>
      <c r="D2652" t="inlineStr">
        <is>
          <t>GÄVLEBORGS LÄN</t>
        </is>
      </c>
      <c r="E2652" t="inlineStr">
        <is>
          <t>HUDIKSVALL</t>
        </is>
      </c>
      <c r="F2652" t="inlineStr">
        <is>
          <t>Holmen skog AB</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41083-2020</t>
        </is>
      </c>
      <c r="B2653" s="1" t="n">
        <v>44071</v>
      </c>
      <c r="C2653" s="1" t="n">
        <v>45344</v>
      </c>
      <c r="D2653" t="inlineStr">
        <is>
          <t>GÄVLEBORGS LÄN</t>
        </is>
      </c>
      <c r="E2653" t="inlineStr">
        <is>
          <t>HUDIKSVALL</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41155-2020</t>
        </is>
      </c>
      <c r="B2654" s="1" t="n">
        <v>44071</v>
      </c>
      <c r="C2654" s="1" t="n">
        <v>45344</v>
      </c>
      <c r="D2654" t="inlineStr">
        <is>
          <t>GÄVLEBORGS LÄN</t>
        </is>
      </c>
      <c r="E2654" t="inlineStr">
        <is>
          <t>OVANÅKER</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41184-2020</t>
        </is>
      </c>
      <c r="B2655" s="1" t="n">
        <v>44071</v>
      </c>
      <c r="C2655" s="1" t="n">
        <v>45344</v>
      </c>
      <c r="D2655" t="inlineStr">
        <is>
          <t>GÄVLEBORGS LÄN</t>
        </is>
      </c>
      <c r="E2655" t="inlineStr">
        <is>
          <t>OVANÅKER</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41255-2020</t>
        </is>
      </c>
      <c r="B2656" s="1" t="n">
        <v>44071</v>
      </c>
      <c r="C2656" s="1" t="n">
        <v>45344</v>
      </c>
      <c r="D2656" t="inlineStr">
        <is>
          <t>GÄVLEBORGS LÄN</t>
        </is>
      </c>
      <c r="E2656" t="inlineStr">
        <is>
          <t>OCKELBO</t>
        </is>
      </c>
      <c r="F2656" t="inlineStr">
        <is>
          <t>Bergvik skog väst AB</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41219-2020</t>
        </is>
      </c>
      <c r="B2657" s="1" t="n">
        <v>44071</v>
      </c>
      <c r="C2657" s="1" t="n">
        <v>45344</v>
      </c>
      <c r="D2657" t="inlineStr">
        <is>
          <t>GÄVLEBORGS LÄN</t>
        </is>
      </c>
      <c r="E2657" t="inlineStr">
        <is>
          <t>OVANÅKER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41633-2020</t>
        </is>
      </c>
      <c r="B2658" s="1" t="n">
        <v>44074</v>
      </c>
      <c r="C2658" s="1" t="n">
        <v>45344</v>
      </c>
      <c r="D2658" t="inlineStr">
        <is>
          <t>GÄVLEBORGS LÄN</t>
        </is>
      </c>
      <c r="E2658" t="inlineStr">
        <is>
          <t>SANDVIKEN</t>
        </is>
      </c>
      <c r="G2658" t="n">
        <v>3.5</v>
      </c>
      <c r="H2658" t="n">
        <v>0</v>
      </c>
      <c r="I2658" t="n">
        <v>0</v>
      </c>
      <c r="J2658" t="n">
        <v>0</v>
      </c>
      <c r="K2658" t="n">
        <v>0</v>
      </c>
      <c r="L2658" t="n">
        <v>0</v>
      </c>
      <c r="M2658" t="n">
        <v>0</v>
      </c>
      <c r="N2658" t="n">
        <v>0</v>
      </c>
      <c r="O2658" t="n">
        <v>0</v>
      </c>
      <c r="P2658" t="n">
        <v>0</v>
      </c>
      <c r="Q2658" t="n">
        <v>0</v>
      </c>
      <c r="R2658" s="2" t="inlineStr"/>
    </row>
    <row r="2659" ht="15" customHeight="1">
      <c r="A2659" t="inlineStr">
        <is>
          <t>A 41519-2020</t>
        </is>
      </c>
      <c r="B2659" s="1" t="n">
        <v>44074</v>
      </c>
      <c r="C2659" s="1" t="n">
        <v>45344</v>
      </c>
      <c r="D2659" t="inlineStr">
        <is>
          <t>GÄVLEBORGS LÄN</t>
        </is>
      </c>
      <c r="E2659" t="inlineStr">
        <is>
          <t>OVANÅKER</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41622-2020</t>
        </is>
      </c>
      <c r="B2660" s="1" t="n">
        <v>44074</v>
      </c>
      <c r="C2660" s="1" t="n">
        <v>45344</v>
      </c>
      <c r="D2660" t="inlineStr">
        <is>
          <t>GÄVLEBORGS LÄN</t>
        </is>
      </c>
      <c r="E2660" t="inlineStr">
        <is>
          <t>LJUSDAL</t>
        </is>
      </c>
      <c r="F2660" t="inlineStr">
        <is>
          <t>Sveaskog</t>
        </is>
      </c>
      <c r="G2660" t="n">
        <v>5.4</v>
      </c>
      <c r="H2660" t="n">
        <v>0</v>
      </c>
      <c r="I2660" t="n">
        <v>0</v>
      </c>
      <c r="J2660" t="n">
        <v>0</v>
      </c>
      <c r="K2660" t="n">
        <v>0</v>
      </c>
      <c r="L2660" t="n">
        <v>0</v>
      </c>
      <c r="M2660" t="n">
        <v>0</v>
      </c>
      <c r="N2660" t="n">
        <v>0</v>
      </c>
      <c r="O2660" t="n">
        <v>0</v>
      </c>
      <c r="P2660" t="n">
        <v>0</v>
      </c>
      <c r="Q2660" t="n">
        <v>0</v>
      </c>
      <c r="R2660" s="2" t="inlineStr"/>
    </row>
    <row r="2661" ht="15" customHeight="1">
      <c r="A2661" t="inlineStr">
        <is>
          <t>A 41742-2020</t>
        </is>
      </c>
      <c r="B2661" s="1" t="n">
        <v>44074</v>
      </c>
      <c r="C2661" s="1" t="n">
        <v>45344</v>
      </c>
      <c r="D2661" t="inlineStr">
        <is>
          <t>GÄVLEBORGS LÄN</t>
        </is>
      </c>
      <c r="E2661" t="inlineStr">
        <is>
          <t>LJUSDAL</t>
        </is>
      </c>
      <c r="F2661" t="inlineStr">
        <is>
          <t>Sveaskog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41775-2020</t>
        </is>
      </c>
      <c r="B2662" s="1" t="n">
        <v>44074</v>
      </c>
      <c r="C2662" s="1" t="n">
        <v>45344</v>
      </c>
      <c r="D2662" t="inlineStr">
        <is>
          <t>GÄVLEBORGS LÄN</t>
        </is>
      </c>
      <c r="E2662" t="inlineStr">
        <is>
          <t>OCKELBO</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42006-2020</t>
        </is>
      </c>
      <c r="B2663" s="1" t="n">
        <v>44075</v>
      </c>
      <c r="C2663" s="1" t="n">
        <v>45344</v>
      </c>
      <c r="D2663" t="inlineStr">
        <is>
          <t>GÄVLEBORGS LÄN</t>
        </is>
      </c>
      <c r="E2663" t="inlineStr">
        <is>
          <t>LJUSDAL</t>
        </is>
      </c>
      <c r="F2663" t="inlineStr">
        <is>
          <t>Sveaskog</t>
        </is>
      </c>
      <c r="G2663" t="n">
        <v>4.4</v>
      </c>
      <c r="H2663" t="n">
        <v>0</v>
      </c>
      <c r="I2663" t="n">
        <v>0</v>
      </c>
      <c r="J2663" t="n">
        <v>0</v>
      </c>
      <c r="K2663" t="n">
        <v>0</v>
      </c>
      <c r="L2663" t="n">
        <v>0</v>
      </c>
      <c r="M2663" t="n">
        <v>0</v>
      </c>
      <c r="N2663" t="n">
        <v>0</v>
      </c>
      <c r="O2663" t="n">
        <v>0</v>
      </c>
      <c r="P2663" t="n">
        <v>0</v>
      </c>
      <c r="Q2663" t="n">
        <v>0</v>
      </c>
      <c r="R2663" s="2" t="inlineStr"/>
    </row>
    <row r="2664" ht="15" customHeight="1">
      <c r="A2664" t="inlineStr">
        <is>
          <t>A 42007-2020</t>
        </is>
      </c>
      <c r="B2664" s="1" t="n">
        <v>44075</v>
      </c>
      <c r="C2664" s="1" t="n">
        <v>45344</v>
      </c>
      <c r="D2664" t="inlineStr">
        <is>
          <t>GÄVLEBORGS LÄN</t>
        </is>
      </c>
      <c r="E2664" t="inlineStr">
        <is>
          <t>LJUSDAL</t>
        </is>
      </c>
      <c r="F2664" t="inlineStr">
        <is>
          <t>Sveaskog</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42009-2020</t>
        </is>
      </c>
      <c r="B2665" s="1" t="n">
        <v>44075</v>
      </c>
      <c r="C2665" s="1" t="n">
        <v>45344</v>
      </c>
      <c r="D2665" t="inlineStr">
        <is>
          <t>GÄVLEBORGS LÄN</t>
        </is>
      </c>
      <c r="E2665" t="inlineStr">
        <is>
          <t>LJUSDAL</t>
        </is>
      </c>
      <c r="F2665" t="inlineStr">
        <is>
          <t>Sveaskog</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42308-2020</t>
        </is>
      </c>
      <c r="B2666" s="1" t="n">
        <v>44076</v>
      </c>
      <c r="C2666" s="1" t="n">
        <v>45344</v>
      </c>
      <c r="D2666" t="inlineStr">
        <is>
          <t>GÄVLEBORGS LÄN</t>
        </is>
      </c>
      <c r="E2666" t="inlineStr">
        <is>
          <t>BOLLNÄS</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42318-2020</t>
        </is>
      </c>
      <c r="B2667" s="1" t="n">
        <v>44076</v>
      </c>
      <c r="C2667" s="1" t="n">
        <v>45344</v>
      </c>
      <c r="D2667" t="inlineStr">
        <is>
          <t>GÄVLEBORGS LÄN</t>
        </is>
      </c>
      <c r="E2667" t="inlineStr">
        <is>
          <t>BOLLNÄS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42332-2020</t>
        </is>
      </c>
      <c r="B2668" s="1" t="n">
        <v>44076</v>
      </c>
      <c r="C2668" s="1" t="n">
        <v>45344</v>
      </c>
      <c r="D2668" t="inlineStr">
        <is>
          <t>GÄVLEBORGS LÄN</t>
        </is>
      </c>
      <c r="E2668" t="inlineStr">
        <is>
          <t>LJUSDAL</t>
        </is>
      </c>
      <c r="F2668" t="inlineStr">
        <is>
          <t>Bergvik skog väst AB</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42357-2020</t>
        </is>
      </c>
      <c r="B2669" s="1" t="n">
        <v>44076</v>
      </c>
      <c r="C2669" s="1" t="n">
        <v>45344</v>
      </c>
      <c r="D2669" t="inlineStr">
        <is>
          <t>GÄVLEBORGS LÄN</t>
        </is>
      </c>
      <c r="E2669" t="inlineStr">
        <is>
          <t>GÄVLE</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42351-2020</t>
        </is>
      </c>
      <c r="B2670" s="1" t="n">
        <v>44076</v>
      </c>
      <c r="C2670" s="1" t="n">
        <v>45344</v>
      </c>
      <c r="D2670" t="inlineStr">
        <is>
          <t>GÄVLEBORGS LÄN</t>
        </is>
      </c>
      <c r="E2670" t="inlineStr">
        <is>
          <t>GÄVLE</t>
        </is>
      </c>
      <c r="G2670" t="n">
        <v>10.6</v>
      </c>
      <c r="H2670" t="n">
        <v>0</v>
      </c>
      <c r="I2670" t="n">
        <v>0</v>
      </c>
      <c r="J2670" t="n">
        <v>0</v>
      </c>
      <c r="K2670" t="n">
        <v>0</v>
      </c>
      <c r="L2670" t="n">
        <v>0</v>
      </c>
      <c r="M2670" t="n">
        <v>0</v>
      </c>
      <c r="N2670" t="n">
        <v>0</v>
      </c>
      <c r="O2670" t="n">
        <v>0</v>
      </c>
      <c r="P2670" t="n">
        <v>0</v>
      </c>
      <c r="Q2670" t="n">
        <v>0</v>
      </c>
      <c r="R2670" s="2" t="inlineStr"/>
    </row>
    <row r="2671" ht="15" customHeight="1">
      <c r="A2671" t="inlineStr">
        <is>
          <t>A 42356-2020</t>
        </is>
      </c>
      <c r="B2671" s="1" t="n">
        <v>44076</v>
      </c>
      <c r="C2671" s="1" t="n">
        <v>45344</v>
      </c>
      <c r="D2671" t="inlineStr">
        <is>
          <t>GÄVLEBORGS LÄN</t>
        </is>
      </c>
      <c r="E2671" t="inlineStr">
        <is>
          <t>GÄVLE</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42591-2020</t>
        </is>
      </c>
      <c r="B2672" s="1" t="n">
        <v>44077</v>
      </c>
      <c r="C2672" s="1" t="n">
        <v>45344</v>
      </c>
      <c r="D2672" t="inlineStr">
        <is>
          <t>GÄVLEBORGS LÄN</t>
        </is>
      </c>
      <c r="E2672" t="inlineStr">
        <is>
          <t>OCKELBO</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42510-2020</t>
        </is>
      </c>
      <c r="B2673" s="1" t="n">
        <v>44077</v>
      </c>
      <c r="C2673" s="1" t="n">
        <v>45344</v>
      </c>
      <c r="D2673" t="inlineStr">
        <is>
          <t>GÄVLEBORGS LÄN</t>
        </is>
      </c>
      <c r="E2673" t="inlineStr">
        <is>
          <t>HUDIKSVALL</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43520-2020</t>
        </is>
      </c>
      <c r="B2674" s="1" t="n">
        <v>44077</v>
      </c>
      <c r="C2674" s="1" t="n">
        <v>45344</v>
      </c>
      <c r="D2674" t="inlineStr">
        <is>
          <t>GÄVLEBORGS LÄN</t>
        </is>
      </c>
      <c r="E2674" t="inlineStr">
        <is>
          <t>HUDIKSVALL</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42504-2020</t>
        </is>
      </c>
      <c r="B2675" s="1" t="n">
        <v>44077</v>
      </c>
      <c r="C2675" s="1" t="n">
        <v>45344</v>
      </c>
      <c r="D2675" t="inlineStr">
        <is>
          <t>GÄVLEBORGS LÄN</t>
        </is>
      </c>
      <c r="E2675" t="inlineStr">
        <is>
          <t>LJUSDAL</t>
        </is>
      </c>
      <c r="F2675" t="inlineStr">
        <is>
          <t>Holmen skog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43397-2020</t>
        </is>
      </c>
      <c r="B2676" s="1" t="n">
        <v>44077</v>
      </c>
      <c r="C2676" s="1" t="n">
        <v>45344</v>
      </c>
      <c r="D2676" t="inlineStr">
        <is>
          <t>GÄVLEBORGS LÄN</t>
        </is>
      </c>
      <c r="E2676" t="inlineStr">
        <is>
          <t>HUDIKSVALL</t>
        </is>
      </c>
      <c r="G2676" t="n">
        <v>8</v>
      </c>
      <c r="H2676" t="n">
        <v>0</v>
      </c>
      <c r="I2676" t="n">
        <v>0</v>
      </c>
      <c r="J2676" t="n">
        <v>0</v>
      </c>
      <c r="K2676" t="n">
        <v>0</v>
      </c>
      <c r="L2676" t="n">
        <v>0</v>
      </c>
      <c r="M2676" t="n">
        <v>0</v>
      </c>
      <c r="N2676" t="n">
        <v>0</v>
      </c>
      <c r="O2676" t="n">
        <v>0</v>
      </c>
      <c r="P2676" t="n">
        <v>0</v>
      </c>
      <c r="Q2676" t="n">
        <v>0</v>
      </c>
      <c r="R2676" s="2" t="inlineStr"/>
    </row>
    <row r="2677" ht="15" customHeight="1">
      <c r="A2677" t="inlineStr">
        <is>
          <t>A 42792-2020</t>
        </is>
      </c>
      <c r="B2677" s="1" t="n">
        <v>44078</v>
      </c>
      <c r="C2677" s="1" t="n">
        <v>45344</v>
      </c>
      <c r="D2677" t="inlineStr">
        <is>
          <t>GÄVLEBORGS LÄN</t>
        </is>
      </c>
      <c r="E2677" t="inlineStr">
        <is>
          <t>SANDVIKEN</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42868-2020</t>
        </is>
      </c>
      <c r="B2678" s="1" t="n">
        <v>44078</v>
      </c>
      <c r="C2678" s="1" t="n">
        <v>45344</v>
      </c>
      <c r="D2678" t="inlineStr">
        <is>
          <t>GÄVLEBORGS LÄN</t>
        </is>
      </c>
      <c r="E2678" t="inlineStr">
        <is>
          <t>GÄVLE</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42782-2020</t>
        </is>
      </c>
      <c r="B2679" s="1" t="n">
        <v>44078</v>
      </c>
      <c r="C2679" s="1" t="n">
        <v>45344</v>
      </c>
      <c r="D2679" t="inlineStr">
        <is>
          <t>GÄVLEBORGS LÄN</t>
        </is>
      </c>
      <c r="E2679" t="inlineStr">
        <is>
          <t>LJUSDAL</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43723-2020</t>
        </is>
      </c>
      <c r="B2680" s="1" t="n">
        <v>44078</v>
      </c>
      <c r="C2680" s="1" t="n">
        <v>45344</v>
      </c>
      <c r="D2680" t="inlineStr">
        <is>
          <t>GÄVLEBORGS LÄN</t>
        </is>
      </c>
      <c r="E2680" t="inlineStr">
        <is>
          <t>LJUSDAL</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42844-2020</t>
        </is>
      </c>
      <c r="B2681" s="1" t="n">
        <v>44078</v>
      </c>
      <c r="C2681" s="1" t="n">
        <v>45344</v>
      </c>
      <c r="D2681" t="inlineStr">
        <is>
          <t>GÄVLEBORGS LÄN</t>
        </is>
      </c>
      <c r="E2681" t="inlineStr">
        <is>
          <t>LJUSDAL</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42961-2020</t>
        </is>
      </c>
      <c r="B2682" s="1" t="n">
        <v>44078</v>
      </c>
      <c r="C2682" s="1" t="n">
        <v>45344</v>
      </c>
      <c r="D2682" t="inlineStr">
        <is>
          <t>GÄVLEBORGS LÄN</t>
        </is>
      </c>
      <c r="E2682" t="inlineStr">
        <is>
          <t>BOLLNÄS</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42959-2020</t>
        </is>
      </c>
      <c r="B2683" s="1" t="n">
        <v>44078</v>
      </c>
      <c r="C2683" s="1" t="n">
        <v>45344</v>
      </c>
      <c r="D2683" t="inlineStr">
        <is>
          <t>GÄVLEBORGS LÄN</t>
        </is>
      </c>
      <c r="E2683" t="inlineStr">
        <is>
          <t>HOFORS</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43030-2020</t>
        </is>
      </c>
      <c r="B2684" s="1" t="n">
        <v>44078</v>
      </c>
      <c r="C2684" s="1" t="n">
        <v>45344</v>
      </c>
      <c r="D2684" t="inlineStr">
        <is>
          <t>GÄVLEBORGS LÄN</t>
        </is>
      </c>
      <c r="E2684" t="inlineStr">
        <is>
          <t>SANDVIKEN</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43144-2020</t>
        </is>
      </c>
      <c r="B2685" s="1" t="n">
        <v>44080</v>
      </c>
      <c r="C2685" s="1" t="n">
        <v>45344</v>
      </c>
      <c r="D2685" t="inlineStr">
        <is>
          <t>GÄVLEBORGS LÄN</t>
        </is>
      </c>
      <c r="E2685" t="inlineStr">
        <is>
          <t>LJUSDAL</t>
        </is>
      </c>
      <c r="F2685" t="inlineStr">
        <is>
          <t>Sveaskog</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43295-2020</t>
        </is>
      </c>
      <c r="B2686" s="1" t="n">
        <v>44081</v>
      </c>
      <c r="C2686" s="1" t="n">
        <v>45344</v>
      </c>
      <c r="D2686" t="inlineStr">
        <is>
          <t>GÄVLEBORGS LÄN</t>
        </is>
      </c>
      <c r="E2686" t="inlineStr">
        <is>
          <t>HUDIKSVALL</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43370-2020</t>
        </is>
      </c>
      <c r="B2687" s="1" t="n">
        <v>44081</v>
      </c>
      <c r="C2687" s="1" t="n">
        <v>45344</v>
      </c>
      <c r="D2687" t="inlineStr">
        <is>
          <t>GÄVLEBORGS LÄN</t>
        </is>
      </c>
      <c r="E2687" t="inlineStr">
        <is>
          <t>LJUSDAL</t>
        </is>
      </c>
      <c r="F2687" t="inlineStr">
        <is>
          <t>Sveaskog</t>
        </is>
      </c>
      <c r="G2687" t="n">
        <v>10.1</v>
      </c>
      <c r="H2687" t="n">
        <v>0</v>
      </c>
      <c r="I2687" t="n">
        <v>0</v>
      </c>
      <c r="J2687" t="n">
        <v>0</v>
      </c>
      <c r="K2687" t="n">
        <v>0</v>
      </c>
      <c r="L2687" t="n">
        <v>0</v>
      </c>
      <c r="M2687" t="n">
        <v>0</v>
      </c>
      <c r="N2687" t="n">
        <v>0</v>
      </c>
      <c r="O2687" t="n">
        <v>0</v>
      </c>
      <c r="P2687" t="n">
        <v>0</v>
      </c>
      <c r="Q2687" t="n">
        <v>0</v>
      </c>
      <c r="R2687" s="2" t="inlineStr"/>
    </row>
    <row r="2688" ht="15" customHeight="1">
      <c r="A2688" t="inlineStr">
        <is>
          <t>A 43385-2020</t>
        </is>
      </c>
      <c r="B2688" s="1" t="n">
        <v>44081</v>
      </c>
      <c r="C2688" s="1" t="n">
        <v>45344</v>
      </c>
      <c r="D2688" t="inlineStr">
        <is>
          <t>GÄVLEBORGS LÄN</t>
        </is>
      </c>
      <c r="E2688" t="inlineStr">
        <is>
          <t>GÄVLE</t>
        </is>
      </c>
      <c r="F2688" t="inlineStr">
        <is>
          <t>Bergvik skog öst AB</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43185-2020</t>
        </is>
      </c>
      <c r="B2689" s="1" t="n">
        <v>44081</v>
      </c>
      <c r="C2689" s="1" t="n">
        <v>45344</v>
      </c>
      <c r="D2689" t="inlineStr">
        <is>
          <t>GÄVLEBORGS LÄN</t>
        </is>
      </c>
      <c r="E2689" t="inlineStr">
        <is>
          <t>GÄVLE</t>
        </is>
      </c>
      <c r="F2689" t="inlineStr">
        <is>
          <t>Bergvik skog öst AB</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43376-2020</t>
        </is>
      </c>
      <c r="B2690" s="1" t="n">
        <v>44081</v>
      </c>
      <c r="C2690" s="1" t="n">
        <v>45344</v>
      </c>
      <c r="D2690" t="inlineStr">
        <is>
          <t>GÄVLEBORGS LÄN</t>
        </is>
      </c>
      <c r="E2690" t="inlineStr">
        <is>
          <t>LJUSDAL</t>
        </is>
      </c>
      <c r="F2690" t="inlineStr">
        <is>
          <t>Sveaskog</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43491-2020</t>
        </is>
      </c>
      <c r="B2691" s="1" t="n">
        <v>44082</v>
      </c>
      <c r="C2691" s="1" t="n">
        <v>45344</v>
      </c>
      <c r="D2691" t="inlineStr">
        <is>
          <t>GÄVLEBORGS LÄN</t>
        </is>
      </c>
      <c r="E2691" t="inlineStr">
        <is>
          <t>LJUSDAL</t>
        </is>
      </c>
      <c r="F2691" t="inlineStr">
        <is>
          <t>Sveaskog</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43668-2020</t>
        </is>
      </c>
      <c r="B2692" s="1" t="n">
        <v>44082</v>
      </c>
      <c r="C2692" s="1" t="n">
        <v>45344</v>
      </c>
      <c r="D2692" t="inlineStr">
        <is>
          <t>GÄVLEBORGS LÄN</t>
        </is>
      </c>
      <c r="E2692" t="inlineStr">
        <is>
          <t>NORDANSTIG</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43487-2020</t>
        </is>
      </c>
      <c r="B2693" s="1" t="n">
        <v>44082</v>
      </c>
      <c r="C2693" s="1" t="n">
        <v>45344</v>
      </c>
      <c r="D2693" t="inlineStr">
        <is>
          <t>GÄVLEBORGS LÄN</t>
        </is>
      </c>
      <c r="E2693" t="inlineStr">
        <is>
          <t>LJUSDAL</t>
        </is>
      </c>
      <c r="F2693" t="inlineStr">
        <is>
          <t>Sveaskog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43544-2020</t>
        </is>
      </c>
      <c r="B2694" s="1" t="n">
        <v>44082</v>
      </c>
      <c r="C2694" s="1" t="n">
        <v>45344</v>
      </c>
      <c r="D2694" t="inlineStr">
        <is>
          <t>GÄVLEBORGS LÄN</t>
        </is>
      </c>
      <c r="E2694" t="inlineStr">
        <is>
          <t>LJUSDAL</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43625-2020</t>
        </is>
      </c>
      <c r="B2695" s="1" t="n">
        <v>44082</v>
      </c>
      <c r="C2695" s="1" t="n">
        <v>45344</v>
      </c>
      <c r="D2695" t="inlineStr">
        <is>
          <t>GÄVLEBORGS LÄN</t>
        </is>
      </c>
      <c r="E2695" t="inlineStr">
        <is>
          <t>SÖDERHAMN</t>
        </is>
      </c>
      <c r="F2695" t="inlineStr">
        <is>
          <t>Bergvik skog väst AB</t>
        </is>
      </c>
      <c r="G2695" t="n">
        <v>23.2</v>
      </c>
      <c r="H2695" t="n">
        <v>0</v>
      </c>
      <c r="I2695" t="n">
        <v>0</v>
      </c>
      <c r="J2695" t="n">
        <v>0</v>
      </c>
      <c r="K2695" t="n">
        <v>0</v>
      </c>
      <c r="L2695" t="n">
        <v>0</v>
      </c>
      <c r="M2695" t="n">
        <v>0</v>
      </c>
      <c r="N2695" t="n">
        <v>0</v>
      </c>
      <c r="O2695" t="n">
        <v>0</v>
      </c>
      <c r="P2695" t="n">
        <v>0</v>
      </c>
      <c r="Q2695" t="n">
        <v>0</v>
      </c>
      <c r="R2695" s="2" t="inlineStr"/>
    </row>
    <row r="2696" ht="15" customHeight="1">
      <c r="A2696" t="inlineStr">
        <is>
          <t>A 43662-2020</t>
        </is>
      </c>
      <c r="B2696" s="1" t="n">
        <v>44082</v>
      </c>
      <c r="C2696" s="1" t="n">
        <v>45344</v>
      </c>
      <c r="D2696" t="inlineStr">
        <is>
          <t>GÄVLEBORGS LÄN</t>
        </is>
      </c>
      <c r="E2696" t="inlineStr">
        <is>
          <t>NORDANSTIG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43867-2020</t>
        </is>
      </c>
      <c r="B2697" s="1" t="n">
        <v>44083</v>
      </c>
      <c r="C2697" s="1" t="n">
        <v>45344</v>
      </c>
      <c r="D2697" t="inlineStr">
        <is>
          <t>GÄVLEBORGS LÄN</t>
        </is>
      </c>
      <c r="E2697" t="inlineStr">
        <is>
          <t>LJUSDAL</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43907-2020</t>
        </is>
      </c>
      <c r="B2698" s="1" t="n">
        <v>44083</v>
      </c>
      <c r="C2698" s="1" t="n">
        <v>45344</v>
      </c>
      <c r="D2698" t="inlineStr">
        <is>
          <t>GÄVLEBORGS LÄN</t>
        </is>
      </c>
      <c r="E2698" t="inlineStr">
        <is>
          <t>HOFORS</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44014-2020</t>
        </is>
      </c>
      <c r="B2699" s="1" t="n">
        <v>44083</v>
      </c>
      <c r="C2699" s="1" t="n">
        <v>45344</v>
      </c>
      <c r="D2699" t="inlineStr">
        <is>
          <t>GÄVLEBORGS LÄN</t>
        </is>
      </c>
      <c r="E2699" t="inlineStr">
        <is>
          <t>BOLLNÄS</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44012-2020</t>
        </is>
      </c>
      <c r="B2700" s="1" t="n">
        <v>44083</v>
      </c>
      <c r="C2700" s="1" t="n">
        <v>45344</v>
      </c>
      <c r="D2700" t="inlineStr">
        <is>
          <t>GÄVLEBORGS LÄN</t>
        </is>
      </c>
      <c r="E2700" t="inlineStr">
        <is>
          <t>BOLLNÄS</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43899-2020</t>
        </is>
      </c>
      <c r="B2701" s="1" t="n">
        <v>44083</v>
      </c>
      <c r="C2701" s="1" t="n">
        <v>45344</v>
      </c>
      <c r="D2701" t="inlineStr">
        <is>
          <t>GÄVLEBORGS LÄN</t>
        </is>
      </c>
      <c r="E2701" t="inlineStr">
        <is>
          <t>HUDIKSVALL</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44017-2020</t>
        </is>
      </c>
      <c r="B2702" s="1" t="n">
        <v>44083</v>
      </c>
      <c r="C2702" s="1" t="n">
        <v>45344</v>
      </c>
      <c r="D2702" t="inlineStr">
        <is>
          <t>GÄVLEBORGS LÄN</t>
        </is>
      </c>
      <c r="E2702" t="inlineStr">
        <is>
          <t>BOLLNÄS</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44018-2020</t>
        </is>
      </c>
      <c r="B2703" s="1" t="n">
        <v>44083</v>
      </c>
      <c r="C2703" s="1" t="n">
        <v>45344</v>
      </c>
      <c r="D2703" t="inlineStr">
        <is>
          <t>GÄVLEBORGS LÄN</t>
        </is>
      </c>
      <c r="E2703" t="inlineStr">
        <is>
          <t>BOLLNÄS</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44050-2020</t>
        </is>
      </c>
      <c r="B2704" s="1" t="n">
        <v>44083</v>
      </c>
      <c r="C2704" s="1" t="n">
        <v>45344</v>
      </c>
      <c r="D2704" t="inlineStr">
        <is>
          <t>GÄVLEBORGS LÄN</t>
        </is>
      </c>
      <c r="E2704" t="inlineStr">
        <is>
          <t>OVANÅKER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44130-2020</t>
        </is>
      </c>
      <c r="B2705" s="1" t="n">
        <v>44083</v>
      </c>
      <c r="C2705" s="1" t="n">
        <v>45344</v>
      </c>
      <c r="D2705" t="inlineStr">
        <is>
          <t>GÄVLEBORGS LÄN</t>
        </is>
      </c>
      <c r="E2705" t="inlineStr">
        <is>
          <t>OVANÅKER</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44172-2020</t>
        </is>
      </c>
      <c r="B2706" s="1" t="n">
        <v>44083</v>
      </c>
      <c r="C2706" s="1" t="n">
        <v>45344</v>
      </c>
      <c r="D2706" t="inlineStr">
        <is>
          <t>GÄVLEBORGS LÄN</t>
        </is>
      </c>
      <c r="E2706" t="inlineStr">
        <is>
          <t>OCKELBO</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44230-2020</t>
        </is>
      </c>
      <c r="B2707" s="1" t="n">
        <v>44084</v>
      </c>
      <c r="C2707" s="1" t="n">
        <v>45344</v>
      </c>
      <c r="D2707" t="inlineStr">
        <is>
          <t>GÄVLEBORGS LÄN</t>
        </is>
      </c>
      <c r="E2707" t="inlineStr">
        <is>
          <t>HOFORS</t>
        </is>
      </c>
      <c r="G2707" t="n">
        <v>9.4</v>
      </c>
      <c r="H2707" t="n">
        <v>0</v>
      </c>
      <c r="I2707" t="n">
        <v>0</v>
      </c>
      <c r="J2707" t="n">
        <v>0</v>
      </c>
      <c r="K2707" t="n">
        <v>0</v>
      </c>
      <c r="L2707" t="n">
        <v>0</v>
      </c>
      <c r="M2707" t="n">
        <v>0</v>
      </c>
      <c r="N2707" t="n">
        <v>0</v>
      </c>
      <c r="O2707" t="n">
        <v>0</v>
      </c>
      <c r="P2707" t="n">
        <v>0</v>
      </c>
      <c r="Q2707" t="n">
        <v>0</v>
      </c>
      <c r="R2707" s="2" t="inlineStr"/>
    </row>
    <row r="2708" ht="15" customHeight="1">
      <c r="A2708" t="inlineStr">
        <is>
          <t>A 44270-2020</t>
        </is>
      </c>
      <c r="B2708" s="1" t="n">
        <v>44084</v>
      </c>
      <c r="C2708" s="1" t="n">
        <v>45344</v>
      </c>
      <c r="D2708" t="inlineStr">
        <is>
          <t>GÄVLEBORGS LÄN</t>
        </is>
      </c>
      <c r="E2708" t="inlineStr">
        <is>
          <t>BOLLNÄS</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44350-2020</t>
        </is>
      </c>
      <c r="B2709" s="1" t="n">
        <v>44084</v>
      </c>
      <c r="C2709" s="1" t="n">
        <v>45344</v>
      </c>
      <c r="D2709" t="inlineStr">
        <is>
          <t>GÄVLEBORGS LÄN</t>
        </is>
      </c>
      <c r="E2709" t="inlineStr">
        <is>
          <t>GÄVLE</t>
        </is>
      </c>
      <c r="F2709" t="inlineStr">
        <is>
          <t>Bergvik skog öst AB</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44376-2020</t>
        </is>
      </c>
      <c r="B2710" s="1" t="n">
        <v>44084</v>
      </c>
      <c r="C2710" s="1" t="n">
        <v>45344</v>
      </c>
      <c r="D2710" t="inlineStr">
        <is>
          <t>GÄVLEBORGS LÄN</t>
        </is>
      </c>
      <c r="E2710" t="inlineStr">
        <is>
          <t>LJUSDAL</t>
        </is>
      </c>
      <c r="F2710" t="inlineStr">
        <is>
          <t>Holmen skog AB</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44483-2020</t>
        </is>
      </c>
      <c r="B2711" s="1" t="n">
        <v>44084</v>
      </c>
      <c r="C2711" s="1" t="n">
        <v>45344</v>
      </c>
      <c r="D2711" t="inlineStr">
        <is>
          <t>GÄVLEBORGS LÄN</t>
        </is>
      </c>
      <c r="E2711" t="inlineStr">
        <is>
          <t>HUDIKSVALL</t>
        </is>
      </c>
      <c r="G2711" t="n">
        <v>0.6</v>
      </c>
      <c r="H2711" t="n">
        <v>0</v>
      </c>
      <c r="I2711" t="n">
        <v>0</v>
      </c>
      <c r="J2711" t="n">
        <v>0</v>
      </c>
      <c r="K2711" t="n">
        <v>0</v>
      </c>
      <c r="L2711" t="n">
        <v>0</v>
      </c>
      <c r="M2711" t="n">
        <v>0</v>
      </c>
      <c r="N2711" t="n">
        <v>0</v>
      </c>
      <c r="O2711" t="n">
        <v>0</v>
      </c>
      <c r="P2711" t="n">
        <v>0</v>
      </c>
      <c r="Q2711" t="n">
        <v>0</v>
      </c>
      <c r="R2711" s="2" t="inlineStr"/>
    </row>
    <row r="2712" ht="15" customHeight="1">
      <c r="A2712" t="inlineStr">
        <is>
          <t>A 44451-2020</t>
        </is>
      </c>
      <c r="B2712" s="1" t="n">
        <v>44084</v>
      </c>
      <c r="C2712" s="1" t="n">
        <v>45344</v>
      </c>
      <c r="D2712" t="inlineStr">
        <is>
          <t>GÄVLEBORGS LÄN</t>
        </is>
      </c>
      <c r="E2712" t="inlineStr">
        <is>
          <t>HUDIKSVALL</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44486-2020</t>
        </is>
      </c>
      <c r="B2713" s="1" t="n">
        <v>44084</v>
      </c>
      <c r="C2713" s="1" t="n">
        <v>45344</v>
      </c>
      <c r="D2713" t="inlineStr">
        <is>
          <t>GÄVLEBORGS LÄN</t>
        </is>
      </c>
      <c r="E2713" t="inlineStr">
        <is>
          <t>HUDIKSVALL</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44574-2020</t>
        </is>
      </c>
      <c r="B2714" s="1" t="n">
        <v>44085</v>
      </c>
      <c r="C2714" s="1" t="n">
        <v>45344</v>
      </c>
      <c r="D2714" t="inlineStr">
        <is>
          <t>GÄVLEBORGS LÄN</t>
        </is>
      </c>
      <c r="E2714" t="inlineStr">
        <is>
          <t>HUDIKSVALL</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44530-2020</t>
        </is>
      </c>
      <c r="B2715" s="1" t="n">
        <v>44085</v>
      </c>
      <c r="C2715" s="1" t="n">
        <v>45344</v>
      </c>
      <c r="D2715" t="inlineStr">
        <is>
          <t>GÄVLEBORGS LÄN</t>
        </is>
      </c>
      <c r="E2715" t="inlineStr">
        <is>
          <t>HUDIKSVALL</t>
        </is>
      </c>
      <c r="G2715" t="n">
        <v>2.5</v>
      </c>
      <c r="H2715" t="n">
        <v>0</v>
      </c>
      <c r="I2715" t="n">
        <v>0</v>
      </c>
      <c r="J2715" t="n">
        <v>0</v>
      </c>
      <c r="K2715" t="n">
        <v>0</v>
      </c>
      <c r="L2715" t="n">
        <v>0</v>
      </c>
      <c r="M2715" t="n">
        <v>0</v>
      </c>
      <c r="N2715" t="n">
        <v>0</v>
      </c>
      <c r="O2715" t="n">
        <v>0</v>
      </c>
      <c r="P2715" t="n">
        <v>0</v>
      </c>
      <c r="Q2715" t="n">
        <v>0</v>
      </c>
      <c r="R2715" s="2" t="inlineStr"/>
    </row>
    <row r="2716" ht="15" customHeight="1">
      <c r="A2716" t="inlineStr">
        <is>
          <t>A 44552-2020</t>
        </is>
      </c>
      <c r="B2716" s="1" t="n">
        <v>44085</v>
      </c>
      <c r="C2716" s="1" t="n">
        <v>45344</v>
      </c>
      <c r="D2716" t="inlineStr">
        <is>
          <t>GÄVLEBORGS LÄN</t>
        </is>
      </c>
      <c r="E2716" t="inlineStr">
        <is>
          <t>LJUSDAL</t>
        </is>
      </c>
      <c r="F2716" t="inlineStr">
        <is>
          <t>Bergvik skog väst AB</t>
        </is>
      </c>
      <c r="G2716" t="n">
        <v>8.6</v>
      </c>
      <c r="H2716" t="n">
        <v>0</v>
      </c>
      <c r="I2716" t="n">
        <v>0</v>
      </c>
      <c r="J2716" t="n">
        <v>0</v>
      </c>
      <c r="K2716" t="n">
        <v>0</v>
      </c>
      <c r="L2716" t="n">
        <v>0</v>
      </c>
      <c r="M2716" t="n">
        <v>0</v>
      </c>
      <c r="N2716" t="n">
        <v>0</v>
      </c>
      <c r="O2716" t="n">
        <v>0</v>
      </c>
      <c r="P2716" t="n">
        <v>0</v>
      </c>
      <c r="Q2716" t="n">
        <v>0</v>
      </c>
      <c r="R2716" s="2" t="inlineStr"/>
    </row>
    <row r="2717" ht="15" customHeight="1">
      <c r="A2717" t="inlineStr">
        <is>
          <t>A 44805-2020</t>
        </is>
      </c>
      <c r="B2717" s="1" t="n">
        <v>44085</v>
      </c>
      <c r="C2717" s="1" t="n">
        <v>45344</v>
      </c>
      <c r="D2717" t="inlineStr">
        <is>
          <t>GÄVLEBORGS LÄN</t>
        </is>
      </c>
      <c r="E2717" t="inlineStr">
        <is>
          <t>LJUSDAL</t>
        </is>
      </c>
      <c r="G2717" t="n">
        <v>3.6</v>
      </c>
      <c r="H2717" t="n">
        <v>0</v>
      </c>
      <c r="I2717" t="n">
        <v>0</v>
      </c>
      <c r="J2717" t="n">
        <v>0</v>
      </c>
      <c r="K2717" t="n">
        <v>0</v>
      </c>
      <c r="L2717" t="n">
        <v>0</v>
      </c>
      <c r="M2717" t="n">
        <v>0</v>
      </c>
      <c r="N2717" t="n">
        <v>0</v>
      </c>
      <c r="O2717" t="n">
        <v>0</v>
      </c>
      <c r="P2717" t="n">
        <v>0</v>
      </c>
      <c r="Q2717" t="n">
        <v>0</v>
      </c>
      <c r="R2717" s="2" t="inlineStr"/>
    </row>
    <row r="2718" ht="15" customHeight="1">
      <c r="A2718" t="inlineStr">
        <is>
          <t>A 44781-2020</t>
        </is>
      </c>
      <c r="B2718" s="1" t="n">
        <v>44085</v>
      </c>
      <c r="C2718" s="1" t="n">
        <v>45344</v>
      </c>
      <c r="D2718" t="inlineStr">
        <is>
          <t>GÄVLEBORGS LÄN</t>
        </is>
      </c>
      <c r="E2718" t="inlineStr">
        <is>
          <t>LJUSDAL</t>
        </is>
      </c>
      <c r="F2718" t="inlineStr">
        <is>
          <t>Sveaskog</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44777-2020</t>
        </is>
      </c>
      <c r="B2719" s="1" t="n">
        <v>44085</v>
      </c>
      <c r="C2719" s="1" t="n">
        <v>45344</v>
      </c>
      <c r="D2719" t="inlineStr">
        <is>
          <t>GÄVLEBORGS LÄN</t>
        </is>
      </c>
      <c r="E2719" t="inlineStr">
        <is>
          <t>LJUSDAL</t>
        </is>
      </c>
      <c r="F2719" t="inlineStr">
        <is>
          <t>Sveaskog</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44913-2020</t>
        </is>
      </c>
      <c r="B2720" s="1" t="n">
        <v>44088</v>
      </c>
      <c r="C2720" s="1" t="n">
        <v>45344</v>
      </c>
      <c r="D2720" t="inlineStr">
        <is>
          <t>GÄVLEBORGS LÄN</t>
        </is>
      </c>
      <c r="E2720" t="inlineStr">
        <is>
          <t>LJUSDAL</t>
        </is>
      </c>
      <c r="F2720" t="inlineStr">
        <is>
          <t>Sveaskog</t>
        </is>
      </c>
      <c r="G2720" t="n">
        <v>7.8</v>
      </c>
      <c r="H2720" t="n">
        <v>0</v>
      </c>
      <c r="I2720" t="n">
        <v>0</v>
      </c>
      <c r="J2720" t="n">
        <v>0</v>
      </c>
      <c r="K2720" t="n">
        <v>0</v>
      </c>
      <c r="L2720" t="n">
        <v>0</v>
      </c>
      <c r="M2720" t="n">
        <v>0</v>
      </c>
      <c r="N2720" t="n">
        <v>0</v>
      </c>
      <c r="O2720" t="n">
        <v>0</v>
      </c>
      <c r="P2720" t="n">
        <v>0</v>
      </c>
      <c r="Q2720" t="n">
        <v>0</v>
      </c>
      <c r="R2720" s="2" t="inlineStr"/>
    </row>
    <row r="2721" ht="15" customHeight="1">
      <c r="A2721" t="inlineStr">
        <is>
          <t>A 45128-2020</t>
        </is>
      </c>
      <c r="B2721" s="1" t="n">
        <v>44088</v>
      </c>
      <c r="C2721" s="1" t="n">
        <v>45344</v>
      </c>
      <c r="D2721" t="inlineStr">
        <is>
          <t>GÄVLEBORGS LÄN</t>
        </is>
      </c>
      <c r="E2721" t="inlineStr">
        <is>
          <t>BOLLNÄS</t>
        </is>
      </c>
      <c r="F2721" t="inlineStr">
        <is>
          <t>Bergvik skog väst AB</t>
        </is>
      </c>
      <c r="G2721" t="n">
        <v>27.9</v>
      </c>
      <c r="H2721" t="n">
        <v>0</v>
      </c>
      <c r="I2721" t="n">
        <v>0</v>
      </c>
      <c r="J2721" t="n">
        <v>0</v>
      </c>
      <c r="K2721" t="n">
        <v>0</v>
      </c>
      <c r="L2721" t="n">
        <v>0</v>
      </c>
      <c r="M2721" t="n">
        <v>0</v>
      </c>
      <c r="N2721" t="n">
        <v>0</v>
      </c>
      <c r="O2721" t="n">
        <v>0</v>
      </c>
      <c r="P2721" t="n">
        <v>0</v>
      </c>
      <c r="Q2721" t="n">
        <v>0</v>
      </c>
      <c r="R2721" s="2" t="inlineStr"/>
    </row>
    <row r="2722" ht="15" customHeight="1">
      <c r="A2722" t="inlineStr">
        <is>
          <t>A 45049-2020</t>
        </is>
      </c>
      <c r="B2722" s="1" t="n">
        <v>44088</v>
      </c>
      <c r="C2722" s="1" t="n">
        <v>45344</v>
      </c>
      <c r="D2722" t="inlineStr">
        <is>
          <t>GÄVLEBORGS LÄN</t>
        </is>
      </c>
      <c r="E2722" t="inlineStr">
        <is>
          <t>OCKELBO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45183-2020</t>
        </is>
      </c>
      <c r="B2723" s="1" t="n">
        <v>44088</v>
      </c>
      <c r="C2723" s="1" t="n">
        <v>45344</v>
      </c>
      <c r="D2723" t="inlineStr">
        <is>
          <t>GÄVLEBORGS LÄN</t>
        </is>
      </c>
      <c r="E2723" t="inlineStr">
        <is>
          <t>HUDIKSVALL</t>
        </is>
      </c>
      <c r="F2723" t="inlineStr">
        <is>
          <t>Holmen skog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44904-2020</t>
        </is>
      </c>
      <c r="B2724" s="1" t="n">
        <v>44088</v>
      </c>
      <c r="C2724" s="1" t="n">
        <v>45344</v>
      </c>
      <c r="D2724" t="inlineStr">
        <is>
          <t>GÄVLEBORGS LÄN</t>
        </is>
      </c>
      <c r="E2724" t="inlineStr">
        <is>
          <t>LJUSDAL</t>
        </is>
      </c>
      <c r="F2724" t="inlineStr">
        <is>
          <t>Sveaskog</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45268-2020</t>
        </is>
      </c>
      <c r="B2725" s="1" t="n">
        <v>44089</v>
      </c>
      <c r="C2725" s="1" t="n">
        <v>45344</v>
      </c>
      <c r="D2725" t="inlineStr">
        <is>
          <t>GÄVLEBORGS LÄN</t>
        </is>
      </c>
      <c r="E2725" t="inlineStr">
        <is>
          <t>OVANÅKER</t>
        </is>
      </c>
      <c r="F2725" t="inlineStr">
        <is>
          <t>Sveaskog</t>
        </is>
      </c>
      <c r="G2725" t="n">
        <v>2.6</v>
      </c>
      <c r="H2725" t="n">
        <v>0</v>
      </c>
      <c r="I2725" t="n">
        <v>0</v>
      </c>
      <c r="J2725" t="n">
        <v>0</v>
      </c>
      <c r="K2725" t="n">
        <v>0</v>
      </c>
      <c r="L2725" t="n">
        <v>0</v>
      </c>
      <c r="M2725" t="n">
        <v>0</v>
      </c>
      <c r="N2725" t="n">
        <v>0</v>
      </c>
      <c r="O2725" t="n">
        <v>0</v>
      </c>
      <c r="P2725" t="n">
        <v>0</v>
      </c>
      <c r="Q2725" t="n">
        <v>0</v>
      </c>
      <c r="R2725" s="2" t="inlineStr"/>
    </row>
    <row r="2726" ht="15" customHeight="1">
      <c r="A2726" t="inlineStr">
        <is>
          <t>A 45317-2020</t>
        </is>
      </c>
      <c r="B2726" s="1" t="n">
        <v>44089</v>
      </c>
      <c r="C2726" s="1" t="n">
        <v>45344</v>
      </c>
      <c r="D2726" t="inlineStr">
        <is>
          <t>GÄVLEBORGS LÄN</t>
        </is>
      </c>
      <c r="E2726" t="inlineStr">
        <is>
          <t>BOLLNÄS</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45620-2020</t>
        </is>
      </c>
      <c r="B2727" s="1" t="n">
        <v>44090</v>
      </c>
      <c r="C2727" s="1" t="n">
        <v>45344</v>
      </c>
      <c r="D2727" t="inlineStr">
        <is>
          <t>GÄVLEBORGS LÄN</t>
        </is>
      </c>
      <c r="E2727" t="inlineStr">
        <is>
          <t>BOLLNÄS</t>
        </is>
      </c>
      <c r="F2727" t="inlineStr">
        <is>
          <t>Bergvik skog väst AB</t>
        </is>
      </c>
      <c r="G2727" t="n">
        <v>7.4</v>
      </c>
      <c r="H2727" t="n">
        <v>0</v>
      </c>
      <c r="I2727" t="n">
        <v>0</v>
      </c>
      <c r="J2727" t="n">
        <v>0</v>
      </c>
      <c r="K2727" t="n">
        <v>0</v>
      </c>
      <c r="L2727" t="n">
        <v>0</v>
      </c>
      <c r="M2727" t="n">
        <v>0</v>
      </c>
      <c r="N2727" t="n">
        <v>0</v>
      </c>
      <c r="O2727" t="n">
        <v>0</v>
      </c>
      <c r="P2727" t="n">
        <v>0</v>
      </c>
      <c r="Q2727" t="n">
        <v>0</v>
      </c>
      <c r="R2727" s="2" t="inlineStr"/>
    </row>
    <row r="2728" ht="15" customHeight="1">
      <c r="A2728" t="inlineStr">
        <is>
          <t>A 45683-2020</t>
        </is>
      </c>
      <c r="B2728" s="1" t="n">
        <v>44090</v>
      </c>
      <c r="C2728" s="1" t="n">
        <v>45344</v>
      </c>
      <c r="D2728" t="inlineStr">
        <is>
          <t>GÄVLEBORGS LÄN</t>
        </is>
      </c>
      <c r="E2728" t="inlineStr">
        <is>
          <t>NORDANSTIG</t>
        </is>
      </c>
      <c r="G2728" t="n">
        <v>31.9</v>
      </c>
      <c r="H2728" t="n">
        <v>0</v>
      </c>
      <c r="I2728" t="n">
        <v>0</v>
      </c>
      <c r="J2728" t="n">
        <v>0</v>
      </c>
      <c r="K2728" t="n">
        <v>0</v>
      </c>
      <c r="L2728" t="n">
        <v>0</v>
      </c>
      <c r="M2728" t="n">
        <v>0</v>
      </c>
      <c r="N2728" t="n">
        <v>0</v>
      </c>
      <c r="O2728" t="n">
        <v>0</v>
      </c>
      <c r="P2728" t="n">
        <v>0</v>
      </c>
      <c r="Q2728" t="n">
        <v>0</v>
      </c>
      <c r="R2728" s="2" t="inlineStr"/>
    </row>
    <row r="2729" ht="15" customHeight="1">
      <c r="A2729" t="inlineStr">
        <is>
          <t>A 45573-2020</t>
        </is>
      </c>
      <c r="B2729" s="1" t="n">
        <v>44090</v>
      </c>
      <c r="C2729" s="1" t="n">
        <v>45344</v>
      </c>
      <c r="D2729" t="inlineStr">
        <is>
          <t>GÄVLEBORGS LÄN</t>
        </is>
      </c>
      <c r="E2729" t="inlineStr">
        <is>
          <t>NORDANSTIG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45652-2020</t>
        </is>
      </c>
      <c r="B2730" s="1" t="n">
        <v>44090</v>
      </c>
      <c r="C2730" s="1" t="n">
        <v>45344</v>
      </c>
      <c r="D2730" t="inlineStr">
        <is>
          <t>GÄVLEBORGS LÄN</t>
        </is>
      </c>
      <c r="E2730" t="inlineStr">
        <is>
          <t>BOLLNÄS</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45591-2020</t>
        </is>
      </c>
      <c r="B2731" s="1" t="n">
        <v>44090</v>
      </c>
      <c r="C2731" s="1" t="n">
        <v>45344</v>
      </c>
      <c r="D2731" t="inlineStr">
        <is>
          <t>GÄVLEBORGS LÄN</t>
        </is>
      </c>
      <c r="E2731" t="inlineStr">
        <is>
          <t>HUDIKSVALL</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45856-2020</t>
        </is>
      </c>
      <c r="B2732" s="1" t="n">
        <v>44091</v>
      </c>
      <c r="C2732" s="1" t="n">
        <v>45344</v>
      </c>
      <c r="D2732" t="inlineStr">
        <is>
          <t>GÄVLEBORGS LÄN</t>
        </is>
      </c>
      <c r="E2732" t="inlineStr">
        <is>
          <t>LJUSDAL</t>
        </is>
      </c>
      <c r="F2732" t="inlineStr">
        <is>
          <t>Sveaskog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45925-2020</t>
        </is>
      </c>
      <c r="B2733" s="1" t="n">
        <v>44091</v>
      </c>
      <c r="C2733" s="1" t="n">
        <v>45344</v>
      </c>
      <c r="D2733" t="inlineStr">
        <is>
          <t>GÄVLEBORGS LÄN</t>
        </is>
      </c>
      <c r="E2733" t="inlineStr">
        <is>
          <t>OVANÅKER</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46028-2020</t>
        </is>
      </c>
      <c r="B2734" s="1" t="n">
        <v>44091</v>
      </c>
      <c r="C2734" s="1" t="n">
        <v>45344</v>
      </c>
      <c r="D2734" t="inlineStr">
        <is>
          <t>GÄVLEBORGS LÄN</t>
        </is>
      </c>
      <c r="E2734" t="inlineStr">
        <is>
          <t>HUDIKSVALL</t>
        </is>
      </c>
      <c r="G2734" t="n">
        <v>14.6</v>
      </c>
      <c r="H2734" t="n">
        <v>0</v>
      </c>
      <c r="I2734" t="n">
        <v>0</v>
      </c>
      <c r="J2734" t="n">
        <v>0</v>
      </c>
      <c r="K2734" t="n">
        <v>0</v>
      </c>
      <c r="L2734" t="n">
        <v>0</v>
      </c>
      <c r="M2734" t="n">
        <v>0</v>
      </c>
      <c r="N2734" t="n">
        <v>0</v>
      </c>
      <c r="O2734" t="n">
        <v>0</v>
      </c>
      <c r="P2734" t="n">
        <v>0</v>
      </c>
      <c r="Q2734" t="n">
        <v>0</v>
      </c>
      <c r="R2734" s="2" t="inlineStr"/>
    </row>
    <row r="2735" ht="15" customHeight="1">
      <c r="A2735" t="inlineStr">
        <is>
          <t>A 46022-2020</t>
        </is>
      </c>
      <c r="B2735" s="1" t="n">
        <v>44091</v>
      </c>
      <c r="C2735" s="1" t="n">
        <v>45344</v>
      </c>
      <c r="D2735" t="inlineStr">
        <is>
          <t>GÄVLEBORGS LÄN</t>
        </is>
      </c>
      <c r="E2735" t="inlineStr">
        <is>
          <t>HUDIKSVALL</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46069-2020</t>
        </is>
      </c>
      <c r="B2736" s="1" t="n">
        <v>44091</v>
      </c>
      <c r="C2736" s="1" t="n">
        <v>45344</v>
      </c>
      <c r="D2736" t="inlineStr">
        <is>
          <t>GÄVLEBORGS LÄN</t>
        </is>
      </c>
      <c r="E2736" t="inlineStr">
        <is>
          <t>OVANÅKER</t>
        </is>
      </c>
      <c r="F2736" t="inlineStr">
        <is>
          <t>Holmen skog AB</t>
        </is>
      </c>
      <c r="G2736" t="n">
        <v>14.4</v>
      </c>
      <c r="H2736" t="n">
        <v>0</v>
      </c>
      <c r="I2736" t="n">
        <v>0</v>
      </c>
      <c r="J2736" t="n">
        <v>0</v>
      </c>
      <c r="K2736" t="n">
        <v>0</v>
      </c>
      <c r="L2736" t="n">
        <v>0</v>
      </c>
      <c r="M2736" t="n">
        <v>0</v>
      </c>
      <c r="N2736" t="n">
        <v>0</v>
      </c>
      <c r="O2736" t="n">
        <v>0</v>
      </c>
      <c r="P2736" t="n">
        <v>0</v>
      </c>
      <c r="Q2736" t="n">
        <v>0</v>
      </c>
      <c r="R2736" s="2" t="inlineStr"/>
    </row>
    <row r="2737" ht="15" customHeight="1">
      <c r="A2737" t="inlineStr">
        <is>
          <t>A 46287-2020</t>
        </is>
      </c>
      <c r="B2737" s="1" t="n">
        <v>44092</v>
      </c>
      <c r="C2737" s="1" t="n">
        <v>45344</v>
      </c>
      <c r="D2737" t="inlineStr">
        <is>
          <t>GÄVLEBORGS LÄN</t>
        </is>
      </c>
      <c r="E2737" t="inlineStr">
        <is>
          <t>LJUSDAL</t>
        </is>
      </c>
      <c r="F2737" t="inlineStr">
        <is>
          <t>Sveaskog</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46269-2020</t>
        </is>
      </c>
      <c r="B2738" s="1" t="n">
        <v>44092</v>
      </c>
      <c r="C2738" s="1" t="n">
        <v>45344</v>
      </c>
      <c r="D2738" t="inlineStr">
        <is>
          <t>GÄVLEBORGS LÄN</t>
        </is>
      </c>
      <c r="E2738" t="inlineStr">
        <is>
          <t>HOFORS</t>
        </is>
      </c>
      <c r="F2738" t="inlineStr">
        <is>
          <t>Sveaskog</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46274-2020</t>
        </is>
      </c>
      <c r="B2739" s="1" t="n">
        <v>44092</v>
      </c>
      <c r="C2739" s="1" t="n">
        <v>45344</v>
      </c>
      <c r="D2739" t="inlineStr">
        <is>
          <t>GÄVLEBORGS LÄN</t>
        </is>
      </c>
      <c r="E2739" t="inlineStr">
        <is>
          <t>HOFORS</t>
        </is>
      </c>
      <c r="F2739" t="inlineStr">
        <is>
          <t>Sveaskog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46281-2020</t>
        </is>
      </c>
      <c r="B2740" s="1" t="n">
        <v>44092</v>
      </c>
      <c r="C2740" s="1" t="n">
        <v>45344</v>
      </c>
      <c r="D2740" t="inlineStr">
        <is>
          <t>GÄVLEBORGS LÄN</t>
        </is>
      </c>
      <c r="E2740" t="inlineStr">
        <is>
          <t>HOFORS</t>
        </is>
      </c>
      <c r="F2740" t="inlineStr">
        <is>
          <t>Sveaskog</t>
        </is>
      </c>
      <c r="G2740" t="n">
        <v>2.2</v>
      </c>
      <c r="H2740" t="n">
        <v>0</v>
      </c>
      <c r="I2740" t="n">
        <v>0</v>
      </c>
      <c r="J2740" t="n">
        <v>0</v>
      </c>
      <c r="K2740" t="n">
        <v>0</v>
      </c>
      <c r="L2740" t="n">
        <v>0</v>
      </c>
      <c r="M2740" t="n">
        <v>0</v>
      </c>
      <c r="N2740" t="n">
        <v>0</v>
      </c>
      <c r="O2740" t="n">
        <v>0</v>
      </c>
      <c r="P2740" t="n">
        <v>0</v>
      </c>
      <c r="Q2740" t="n">
        <v>0</v>
      </c>
      <c r="R2740" s="2" t="inlineStr"/>
    </row>
    <row r="2741" ht="15" customHeight="1">
      <c r="A2741" t="inlineStr">
        <is>
          <t>A 46288-2020</t>
        </is>
      </c>
      <c r="B2741" s="1" t="n">
        <v>44092</v>
      </c>
      <c r="C2741" s="1" t="n">
        <v>45344</v>
      </c>
      <c r="D2741" t="inlineStr">
        <is>
          <t>GÄVLEBORGS LÄN</t>
        </is>
      </c>
      <c r="E2741" t="inlineStr">
        <is>
          <t>LJUSDAL</t>
        </is>
      </c>
      <c r="F2741" t="inlineStr">
        <is>
          <t>Holmen skog AB</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46301-2020</t>
        </is>
      </c>
      <c r="B2742" s="1" t="n">
        <v>44092</v>
      </c>
      <c r="C2742" s="1" t="n">
        <v>45344</v>
      </c>
      <c r="D2742" t="inlineStr">
        <is>
          <t>GÄVLEBORGS LÄN</t>
        </is>
      </c>
      <c r="E2742" t="inlineStr">
        <is>
          <t>LJUSDAL</t>
        </is>
      </c>
      <c r="F2742" t="inlineStr">
        <is>
          <t>Sveaskog</t>
        </is>
      </c>
      <c r="G2742" t="n">
        <v>7.1</v>
      </c>
      <c r="H2742" t="n">
        <v>0</v>
      </c>
      <c r="I2742" t="n">
        <v>0</v>
      </c>
      <c r="J2742" t="n">
        <v>0</v>
      </c>
      <c r="K2742" t="n">
        <v>0</v>
      </c>
      <c r="L2742" t="n">
        <v>0</v>
      </c>
      <c r="M2742" t="n">
        <v>0</v>
      </c>
      <c r="N2742" t="n">
        <v>0</v>
      </c>
      <c r="O2742" t="n">
        <v>0</v>
      </c>
      <c r="P2742" t="n">
        <v>0</v>
      </c>
      <c r="Q2742" t="n">
        <v>0</v>
      </c>
      <c r="R2742" s="2" t="inlineStr"/>
    </row>
    <row r="2743" ht="15" customHeight="1">
      <c r="A2743" t="inlineStr">
        <is>
          <t>A 46270-2020</t>
        </is>
      </c>
      <c r="B2743" s="1" t="n">
        <v>44092</v>
      </c>
      <c r="C2743" s="1" t="n">
        <v>45344</v>
      </c>
      <c r="D2743" t="inlineStr">
        <is>
          <t>GÄVLEBORGS LÄN</t>
        </is>
      </c>
      <c r="E2743" t="inlineStr">
        <is>
          <t>HOFORS</t>
        </is>
      </c>
      <c r="F2743" t="inlineStr">
        <is>
          <t>Sveaskog</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46346-2020</t>
        </is>
      </c>
      <c r="B2744" s="1" t="n">
        <v>44092</v>
      </c>
      <c r="C2744" s="1" t="n">
        <v>45344</v>
      </c>
      <c r="D2744" t="inlineStr">
        <is>
          <t>GÄVLEBORGS LÄN</t>
        </is>
      </c>
      <c r="E2744" t="inlineStr">
        <is>
          <t>NORDANSTIG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46266-2020</t>
        </is>
      </c>
      <c r="B2745" s="1" t="n">
        <v>44092</v>
      </c>
      <c r="C2745" s="1" t="n">
        <v>45344</v>
      </c>
      <c r="D2745" t="inlineStr">
        <is>
          <t>GÄVLEBORGS LÄN</t>
        </is>
      </c>
      <c r="E2745" t="inlineStr">
        <is>
          <t>HUDIKSVALL</t>
        </is>
      </c>
      <c r="F2745" t="inlineStr">
        <is>
          <t>Holmen skog AB</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46278-2020</t>
        </is>
      </c>
      <c r="B2746" s="1" t="n">
        <v>44092</v>
      </c>
      <c r="C2746" s="1" t="n">
        <v>45344</v>
      </c>
      <c r="D2746" t="inlineStr">
        <is>
          <t>GÄVLEBORGS LÄN</t>
        </is>
      </c>
      <c r="E2746" t="inlineStr">
        <is>
          <t>HOFORS</t>
        </is>
      </c>
      <c r="F2746" t="inlineStr">
        <is>
          <t>Sveaskog</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46293-2020</t>
        </is>
      </c>
      <c r="B2747" s="1" t="n">
        <v>44092</v>
      </c>
      <c r="C2747" s="1" t="n">
        <v>45344</v>
      </c>
      <c r="D2747" t="inlineStr">
        <is>
          <t>GÄVLEBORGS LÄN</t>
        </is>
      </c>
      <c r="E2747" t="inlineStr">
        <is>
          <t>LJUSDAL</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46334-2020</t>
        </is>
      </c>
      <c r="B2748" s="1" t="n">
        <v>44092</v>
      </c>
      <c r="C2748" s="1" t="n">
        <v>45344</v>
      </c>
      <c r="D2748" t="inlineStr">
        <is>
          <t>GÄVLEBORGS LÄN</t>
        </is>
      </c>
      <c r="E2748" t="inlineStr">
        <is>
          <t>NORDANSTIG</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46352-2020</t>
        </is>
      </c>
      <c r="B2749" s="1" t="n">
        <v>44092</v>
      </c>
      <c r="C2749" s="1" t="n">
        <v>45344</v>
      </c>
      <c r="D2749" t="inlineStr">
        <is>
          <t>GÄVLEBORGS LÄN</t>
        </is>
      </c>
      <c r="E2749" t="inlineStr">
        <is>
          <t>HUDIKSVALL</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46455-2020</t>
        </is>
      </c>
      <c r="B2750" s="1" t="n">
        <v>44095</v>
      </c>
      <c r="C2750" s="1" t="n">
        <v>45344</v>
      </c>
      <c r="D2750" t="inlineStr">
        <is>
          <t>GÄVLEBORGS LÄN</t>
        </is>
      </c>
      <c r="E2750" t="inlineStr">
        <is>
          <t>GÄVLE</t>
        </is>
      </c>
      <c r="F2750" t="inlineStr">
        <is>
          <t>Bergvik skog öst AB</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46495-2020</t>
        </is>
      </c>
      <c r="B2751" s="1" t="n">
        <v>44095</v>
      </c>
      <c r="C2751" s="1" t="n">
        <v>45344</v>
      </c>
      <c r="D2751" t="inlineStr">
        <is>
          <t>GÄVLEBORGS LÄN</t>
        </is>
      </c>
      <c r="E2751" t="inlineStr">
        <is>
          <t>SÖDERHAMN</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46646-2020</t>
        </is>
      </c>
      <c r="B2752" s="1" t="n">
        <v>44095</v>
      </c>
      <c r="C2752" s="1" t="n">
        <v>45344</v>
      </c>
      <c r="D2752" t="inlineStr">
        <is>
          <t>GÄVLEBORGS LÄN</t>
        </is>
      </c>
      <c r="E2752" t="inlineStr">
        <is>
          <t>NORDANSTIG</t>
        </is>
      </c>
      <c r="F2752" t="inlineStr">
        <is>
          <t>Holmen skog AB</t>
        </is>
      </c>
      <c r="G2752" t="n">
        <v>3.8</v>
      </c>
      <c r="H2752" t="n">
        <v>0</v>
      </c>
      <c r="I2752" t="n">
        <v>0</v>
      </c>
      <c r="J2752" t="n">
        <v>0</v>
      </c>
      <c r="K2752" t="n">
        <v>0</v>
      </c>
      <c r="L2752" t="n">
        <v>0</v>
      </c>
      <c r="M2752" t="n">
        <v>0</v>
      </c>
      <c r="N2752" t="n">
        <v>0</v>
      </c>
      <c r="O2752" t="n">
        <v>0</v>
      </c>
      <c r="P2752" t="n">
        <v>0</v>
      </c>
      <c r="Q2752" t="n">
        <v>0</v>
      </c>
      <c r="R2752" s="2" t="inlineStr"/>
    </row>
    <row r="2753" ht="15" customHeight="1">
      <c r="A2753" t="inlineStr">
        <is>
          <t>A 46577-2020</t>
        </is>
      </c>
      <c r="B2753" s="1" t="n">
        <v>44095</v>
      </c>
      <c r="C2753" s="1" t="n">
        <v>45344</v>
      </c>
      <c r="D2753" t="inlineStr">
        <is>
          <t>GÄVLEBORGS LÄN</t>
        </is>
      </c>
      <c r="E2753" t="inlineStr">
        <is>
          <t>LJUSDAL</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46654-2020</t>
        </is>
      </c>
      <c r="B2754" s="1" t="n">
        <v>44095</v>
      </c>
      <c r="C2754" s="1" t="n">
        <v>45344</v>
      </c>
      <c r="D2754" t="inlineStr">
        <is>
          <t>GÄVLEBORGS LÄN</t>
        </is>
      </c>
      <c r="E2754" t="inlineStr">
        <is>
          <t>BOLLNÄS</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46694-2020</t>
        </is>
      </c>
      <c r="B2755" s="1" t="n">
        <v>44095</v>
      </c>
      <c r="C2755" s="1" t="n">
        <v>45344</v>
      </c>
      <c r="D2755" t="inlineStr">
        <is>
          <t>GÄVLEBORGS LÄN</t>
        </is>
      </c>
      <c r="E2755" t="inlineStr">
        <is>
          <t>GÄVLE</t>
        </is>
      </c>
      <c r="F2755" t="inlineStr">
        <is>
          <t>Bergvik skog öst AB</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46708-2020</t>
        </is>
      </c>
      <c r="B2756" s="1" t="n">
        <v>44095</v>
      </c>
      <c r="C2756" s="1" t="n">
        <v>45344</v>
      </c>
      <c r="D2756" t="inlineStr">
        <is>
          <t>GÄVLEBORGS LÄN</t>
        </is>
      </c>
      <c r="E2756" t="inlineStr">
        <is>
          <t>GÄVLE</t>
        </is>
      </c>
      <c r="F2756" t="inlineStr">
        <is>
          <t>Bergvik skog öst AB</t>
        </is>
      </c>
      <c r="G2756" t="n">
        <v>8.199999999999999</v>
      </c>
      <c r="H2756" t="n">
        <v>0</v>
      </c>
      <c r="I2756" t="n">
        <v>0</v>
      </c>
      <c r="J2756" t="n">
        <v>0</v>
      </c>
      <c r="K2756" t="n">
        <v>0</v>
      </c>
      <c r="L2756" t="n">
        <v>0</v>
      </c>
      <c r="M2756" t="n">
        <v>0</v>
      </c>
      <c r="N2756" t="n">
        <v>0</v>
      </c>
      <c r="O2756" t="n">
        <v>0</v>
      </c>
      <c r="P2756" t="n">
        <v>0</v>
      </c>
      <c r="Q2756" t="n">
        <v>0</v>
      </c>
      <c r="R2756" s="2" t="inlineStr"/>
    </row>
    <row r="2757" ht="15" customHeight="1">
      <c r="A2757" t="inlineStr">
        <is>
          <t>A 46444-2020</t>
        </is>
      </c>
      <c r="B2757" s="1" t="n">
        <v>44095</v>
      </c>
      <c r="C2757" s="1" t="n">
        <v>45344</v>
      </c>
      <c r="D2757" t="inlineStr">
        <is>
          <t>GÄVLEBORGS LÄN</t>
        </is>
      </c>
      <c r="E2757" t="inlineStr">
        <is>
          <t>GÄVLE</t>
        </is>
      </c>
      <c r="F2757" t="inlineStr">
        <is>
          <t>Bergvik skog öst AB</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46898-2020</t>
        </is>
      </c>
      <c r="B2758" s="1" t="n">
        <v>44096</v>
      </c>
      <c r="C2758" s="1" t="n">
        <v>45344</v>
      </c>
      <c r="D2758" t="inlineStr">
        <is>
          <t>GÄVLEBORGS LÄN</t>
        </is>
      </c>
      <c r="E2758" t="inlineStr">
        <is>
          <t>GÄVLE</t>
        </is>
      </c>
      <c r="F2758" t="inlineStr">
        <is>
          <t>Bergvik skog väst AB</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47029-2020</t>
        </is>
      </c>
      <c r="B2759" s="1" t="n">
        <v>44096</v>
      </c>
      <c r="C2759" s="1" t="n">
        <v>45344</v>
      </c>
      <c r="D2759" t="inlineStr">
        <is>
          <t>GÄVLEBORGS LÄN</t>
        </is>
      </c>
      <c r="E2759" t="inlineStr">
        <is>
          <t>OVANÅKER</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46787-2020</t>
        </is>
      </c>
      <c r="B2760" s="1" t="n">
        <v>44096</v>
      </c>
      <c r="C2760" s="1" t="n">
        <v>45344</v>
      </c>
      <c r="D2760" t="inlineStr">
        <is>
          <t>GÄVLEBORGS LÄN</t>
        </is>
      </c>
      <c r="E2760" t="inlineStr">
        <is>
          <t>SANDVIKEN</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46873-2020</t>
        </is>
      </c>
      <c r="B2761" s="1" t="n">
        <v>44096</v>
      </c>
      <c r="C2761" s="1" t="n">
        <v>45344</v>
      </c>
      <c r="D2761" t="inlineStr">
        <is>
          <t>GÄVLEBORGS LÄN</t>
        </is>
      </c>
      <c r="E2761" t="inlineStr">
        <is>
          <t>HUDIKSVALL</t>
        </is>
      </c>
      <c r="F2761" t="inlineStr">
        <is>
          <t>Holmen skog AB</t>
        </is>
      </c>
      <c r="G2761" t="n">
        <v>15.9</v>
      </c>
      <c r="H2761" t="n">
        <v>0</v>
      </c>
      <c r="I2761" t="n">
        <v>0</v>
      </c>
      <c r="J2761" t="n">
        <v>0</v>
      </c>
      <c r="K2761" t="n">
        <v>0</v>
      </c>
      <c r="L2761" t="n">
        <v>0</v>
      </c>
      <c r="M2761" t="n">
        <v>0</v>
      </c>
      <c r="N2761" t="n">
        <v>0</v>
      </c>
      <c r="O2761" t="n">
        <v>0</v>
      </c>
      <c r="P2761" t="n">
        <v>0</v>
      </c>
      <c r="Q2761" t="n">
        <v>0</v>
      </c>
      <c r="R2761" s="2" t="inlineStr"/>
    </row>
    <row r="2762" ht="15" customHeight="1">
      <c r="A2762" t="inlineStr">
        <is>
          <t>A 46925-2020</t>
        </is>
      </c>
      <c r="B2762" s="1" t="n">
        <v>44096</v>
      </c>
      <c r="C2762" s="1" t="n">
        <v>45344</v>
      </c>
      <c r="D2762" t="inlineStr">
        <is>
          <t>GÄVLEBORGS LÄN</t>
        </is>
      </c>
      <c r="E2762" t="inlineStr">
        <is>
          <t>GÄVLE</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46940-2020</t>
        </is>
      </c>
      <c r="B2763" s="1" t="n">
        <v>44096</v>
      </c>
      <c r="C2763" s="1" t="n">
        <v>45344</v>
      </c>
      <c r="D2763" t="inlineStr">
        <is>
          <t>GÄVLEBORGS LÄN</t>
        </is>
      </c>
      <c r="E2763" t="inlineStr">
        <is>
          <t>SANDVIKEN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47036-2020</t>
        </is>
      </c>
      <c r="B2764" s="1" t="n">
        <v>44096</v>
      </c>
      <c r="C2764" s="1" t="n">
        <v>45344</v>
      </c>
      <c r="D2764" t="inlineStr">
        <is>
          <t>GÄVLEBORGS LÄN</t>
        </is>
      </c>
      <c r="E2764" t="inlineStr">
        <is>
          <t>OVANÅKER</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47157-2020</t>
        </is>
      </c>
      <c r="B2765" s="1" t="n">
        <v>44097</v>
      </c>
      <c r="C2765" s="1" t="n">
        <v>45344</v>
      </c>
      <c r="D2765" t="inlineStr">
        <is>
          <t>GÄVLEBORGS LÄN</t>
        </is>
      </c>
      <c r="E2765" t="inlineStr">
        <is>
          <t>SÖDERHAMN</t>
        </is>
      </c>
      <c r="G2765" t="n">
        <v>5.8</v>
      </c>
      <c r="H2765" t="n">
        <v>0</v>
      </c>
      <c r="I2765" t="n">
        <v>0</v>
      </c>
      <c r="J2765" t="n">
        <v>0</v>
      </c>
      <c r="K2765" t="n">
        <v>0</v>
      </c>
      <c r="L2765" t="n">
        <v>0</v>
      </c>
      <c r="M2765" t="n">
        <v>0</v>
      </c>
      <c r="N2765" t="n">
        <v>0</v>
      </c>
      <c r="O2765" t="n">
        <v>0</v>
      </c>
      <c r="P2765" t="n">
        <v>0</v>
      </c>
      <c r="Q2765" t="n">
        <v>0</v>
      </c>
      <c r="R2765" s="2" t="inlineStr"/>
    </row>
    <row r="2766" ht="15" customHeight="1">
      <c r="A2766" t="inlineStr">
        <is>
          <t>A 47452-2020</t>
        </is>
      </c>
      <c r="B2766" s="1" t="n">
        <v>44097</v>
      </c>
      <c r="C2766" s="1" t="n">
        <v>45344</v>
      </c>
      <c r="D2766" t="inlineStr">
        <is>
          <t>GÄVLEBORGS LÄN</t>
        </is>
      </c>
      <c r="E2766" t="inlineStr">
        <is>
          <t>SANDVIKEN</t>
        </is>
      </c>
      <c r="F2766" t="inlineStr">
        <is>
          <t>Sveaskog</t>
        </is>
      </c>
      <c r="G2766" t="n">
        <v>6.1</v>
      </c>
      <c r="H2766" t="n">
        <v>0</v>
      </c>
      <c r="I2766" t="n">
        <v>0</v>
      </c>
      <c r="J2766" t="n">
        <v>0</v>
      </c>
      <c r="K2766" t="n">
        <v>0</v>
      </c>
      <c r="L2766" t="n">
        <v>0</v>
      </c>
      <c r="M2766" t="n">
        <v>0</v>
      </c>
      <c r="N2766" t="n">
        <v>0</v>
      </c>
      <c r="O2766" t="n">
        <v>0</v>
      </c>
      <c r="P2766" t="n">
        <v>0</v>
      </c>
      <c r="Q2766" t="n">
        <v>0</v>
      </c>
      <c r="R2766" s="2" t="inlineStr"/>
    </row>
    <row r="2767" ht="15" customHeight="1">
      <c r="A2767" t="inlineStr">
        <is>
          <t>A 47427-2020</t>
        </is>
      </c>
      <c r="B2767" s="1" t="n">
        <v>44097</v>
      </c>
      <c r="C2767" s="1" t="n">
        <v>45344</v>
      </c>
      <c r="D2767" t="inlineStr">
        <is>
          <t>GÄVLEBORGS LÄN</t>
        </is>
      </c>
      <c r="E2767" t="inlineStr">
        <is>
          <t>OCKELBO</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47416-2020</t>
        </is>
      </c>
      <c r="B2768" s="1" t="n">
        <v>44097</v>
      </c>
      <c r="C2768" s="1" t="n">
        <v>45344</v>
      </c>
      <c r="D2768" t="inlineStr">
        <is>
          <t>GÄVLEBORGS LÄN</t>
        </is>
      </c>
      <c r="E2768" t="inlineStr">
        <is>
          <t>HUDIKSVALL</t>
        </is>
      </c>
      <c r="G2768" t="n">
        <v>10</v>
      </c>
      <c r="H2768" t="n">
        <v>0</v>
      </c>
      <c r="I2768" t="n">
        <v>0</v>
      </c>
      <c r="J2768" t="n">
        <v>0</v>
      </c>
      <c r="K2768" t="n">
        <v>0</v>
      </c>
      <c r="L2768" t="n">
        <v>0</v>
      </c>
      <c r="M2768" t="n">
        <v>0</v>
      </c>
      <c r="N2768" t="n">
        <v>0</v>
      </c>
      <c r="O2768" t="n">
        <v>0</v>
      </c>
      <c r="P2768" t="n">
        <v>0</v>
      </c>
      <c r="Q2768" t="n">
        <v>0</v>
      </c>
      <c r="R2768" s="2" t="inlineStr"/>
    </row>
    <row r="2769" ht="15" customHeight="1">
      <c r="A2769" t="inlineStr">
        <is>
          <t>A 47556-2020</t>
        </is>
      </c>
      <c r="B2769" s="1" t="n">
        <v>44098</v>
      </c>
      <c r="C2769" s="1" t="n">
        <v>45344</v>
      </c>
      <c r="D2769" t="inlineStr">
        <is>
          <t>GÄVLEBORGS LÄN</t>
        </is>
      </c>
      <c r="E2769" t="inlineStr">
        <is>
          <t>HUDIKSVALL</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47520-2020</t>
        </is>
      </c>
      <c r="B2770" s="1" t="n">
        <v>44098</v>
      </c>
      <c r="C2770" s="1" t="n">
        <v>45344</v>
      </c>
      <c r="D2770" t="inlineStr">
        <is>
          <t>GÄVLEBORGS LÄN</t>
        </is>
      </c>
      <c r="E2770" t="inlineStr">
        <is>
          <t>OCKELBO</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47543-2020</t>
        </is>
      </c>
      <c r="B2771" s="1" t="n">
        <v>44098</v>
      </c>
      <c r="C2771" s="1" t="n">
        <v>45344</v>
      </c>
      <c r="D2771" t="inlineStr">
        <is>
          <t>GÄVLEBORGS LÄN</t>
        </is>
      </c>
      <c r="E2771" t="inlineStr">
        <is>
          <t>GÄVLE</t>
        </is>
      </c>
      <c r="F2771" t="inlineStr">
        <is>
          <t>Bergvik skog öst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47706-2020</t>
        </is>
      </c>
      <c r="B2772" s="1" t="n">
        <v>44098</v>
      </c>
      <c r="C2772" s="1" t="n">
        <v>45344</v>
      </c>
      <c r="D2772" t="inlineStr">
        <is>
          <t>GÄVLEBORGS LÄN</t>
        </is>
      </c>
      <c r="E2772" t="inlineStr">
        <is>
          <t>HUDIKSVALL</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47734-2020</t>
        </is>
      </c>
      <c r="B2773" s="1" t="n">
        <v>44098</v>
      </c>
      <c r="C2773" s="1" t="n">
        <v>45344</v>
      </c>
      <c r="D2773" t="inlineStr">
        <is>
          <t>GÄVLEBORGS LÄN</t>
        </is>
      </c>
      <c r="E2773" t="inlineStr">
        <is>
          <t>OCKELBO</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47899-2020</t>
        </is>
      </c>
      <c r="B2774" s="1" t="n">
        <v>44099</v>
      </c>
      <c r="C2774" s="1" t="n">
        <v>45344</v>
      </c>
      <c r="D2774" t="inlineStr">
        <is>
          <t>GÄVLEBORGS LÄN</t>
        </is>
      </c>
      <c r="E2774" t="inlineStr">
        <is>
          <t>LJUSDAL</t>
        </is>
      </c>
      <c r="F2774" t="inlineStr">
        <is>
          <t>Sveaskog</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47914-2020</t>
        </is>
      </c>
      <c r="B2775" s="1" t="n">
        <v>44099</v>
      </c>
      <c r="C2775" s="1" t="n">
        <v>45344</v>
      </c>
      <c r="D2775" t="inlineStr">
        <is>
          <t>GÄVLEBORGS LÄN</t>
        </is>
      </c>
      <c r="E2775" t="inlineStr">
        <is>
          <t>LJUSDAL</t>
        </is>
      </c>
      <c r="F2775" t="inlineStr">
        <is>
          <t>Holmen skog AB</t>
        </is>
      </c>
      <c r="G2775" t="n">
        <v>18.2</v>
      </c>
      <c r="H2775" t="n">
        <v>0</v>
      </c>
      <c r="I2775" t="n">
        <v>0</v>
      </c>
      <c r="J2775" t="n">
        <v>0</v>
      </c>
      <c r="K2775" t="n">
        <v>0</v>
      </c>
      <c r="L2775" t="n">
        <v>0</v>
      </c>
      <c r="M2775" t="n">
        <v>0</v>
      </c>
      <c r="N2775" t="n">
        <v>0</v>
      </c>
      <c r="O2775" t="n">
        <v>0</v>
      </c>
      <c r="P2775" t="n">
        <v>0</v>
      </c>
      <c r="Q2775" t="n">
        <v>0</v>
      </c>
      <c r="R2775" s="2" t="inlineStr"/>
    </row>
    <row r="2776" ht="15" customHeight="1">
      <c r="A2776" t="inlineStr">
        <is>
          <t>A 47893-2020</t>
        </is>
      </c>
      <c r="B2776" s="1" t="n">
        <v>44099</v>
      </c>
      <c r="C2776" s="1" t="n">
        <v>45344</v>
      </c>
      <c r="D2776" t="inlineStr">
        <is>
          <t>GÄVLEBORGS LÄN</t>
        </is>
      </c>
      <c r="E2776" t="inlineStr">
        <is>
          <t>LJUSDAL</t>
        </is>
      </c>
      <c r="F2776" t="inlineStr">
        <is>
          <t>Sveaskog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48124-2020</t>
        </is>
      </c>
      <c r="B2777" s="1" t="n">
        <v>44102</v>
      </c>
      <c r="C2777" s="1" t="n">
        <v>45344</v>
      </c>
      <c r="D2777" t="inlineStr">
        <is>
          <t>GÄVLEBORGS LÄN</t>
        </is>
      </c>
      <c r="E2777" t="inlineStr">
        <is>
          <t>OVANÅKER</t>
        </is>
      </c>
      <c r="F2777" t="inlineStr">
        <is>
          <t>Bergvik skog väst AB</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48306-2020</t>
        </is>
      </c>
      <c r="B2778" s="1" t="n">
        <v>44102</v>
      </c>
      <c r="C2778" s="1" t="n">
        <v>45344</v>
      </c>
      <c r="D2778" t="inlineStr">
        <is>
          <t>GÄVLEBORGS LÄN</t>
        </is>
      </c>
      <c r="E2778" t="inlineStr">
        <is>
          <t>BOLLNÄS</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48366-2020</t>
        </is>
      </c>
      <c r="B2779" s="1" t="n">
        <v>44102</v>
      </c>
      <c r="C2779" s="1" t="n">
        <v>45344</v>
      </c>
      <c r="D2779" t="inlineStr">
        <is>
          <t>GÄVLEBORGS LÄN</t>
        </is>
      </c>
      <c r="E2779" t="inlineStr">
        <is>
          <t>NORDANSTIG</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48401-2020</t>
        </is>
      </c>
      <c r="B2780" s="1" t="n">
        <v>44102</v>
      </c>
      <c r="C2780" s="1" t="n">
        <v>45344</v>
      </c>
      <c r="D2780" t="inlineStr">
        <is>
          <t>GÄVLEBORGS LÄN</t>
        </is>
      </c>
      <c r="E2780" t="inlineStr">
        <is>
          <t>SANDVIKEN</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48191-2020</t>
        </is>
      </c>
      <c r="B2781" s="1" t="n">
        <v>44102</v>
      </c>
      <c r="C2781" s="1" t="n">
        <v>45344</v>
      </c>
      <c r="D2781" t="inlineStr">
        <is>
          <t>GÄVLEBORGS LÄN</t>
        </is>
      </c>
      <c r="E2781" t="inlineStr">
        <is>
          <t>HUDIKSVALL</t>
        </is>
      </c>
      <c r="F2781" t="inlineStr">
        <is>
          <t>Holmen skog AB</t>
        </is>
      </c>
      <c r="G2781" t="n">
        <v>6.2</v>
      </c>
      <c r="H2781" t="n">
        <v>0</v>
      </c>
      <c r="I2781" t="n">
        <v>0</v>
      </c>
      <c r="J2781" t="n">
        <v>0</v>
      </c>
      <c r="K2781" t="n">
        <v>0</v>
      </c>
      <c r="L2781" t="n">
        <v>0</v>
      </c>
      <c r="M2781" t="n">
        <v>0</v>
      </c>
      <c r="N2781" t="n">
        <v>0</v>
      </c>
      <c r="O2781" t="n">
        <v>0</v>
      </c>
      <c r="P2781" t="n">
        <v>0</v>
      </c>
      <c r="Q2781" t="n">
        <v>0</v>
      </c>
      <c r="R2781" s="2" t="inlineStr"/>
    </row>
    <row r="2782" ht="15" customHeight="1">
      <c r="A2782" t="inlineStr">
        <is>
          <t>A 48432-2020</t>
        </is>
      </c>
      <c r="B2782" s="1" t="n">
        <v>44102</v>
      </c>
      <c r="C2782" s="1" t="n">
        <v>45344</v>
      </c>
      <c r="D2782" t="inlineStr">
        <is>
          <t>GÄVLEBORGS LÄN</t>
        </is>
      </c>
      <c r="E2782" t="inlineStr">
        <is>
          <t>HUDIKSVALL</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48720-2020</t>
        </is>
      </c>
      <c r="B2783" s="1" t="n">
        <v>44103</v>
      </c>
      <c r="C2783" s="1" t="n">
        <v>45344</v>
      </c>
      <c r="D2783" t="inlineStr">
        <is>
          <t>GÄVLEBORGS LÄN</t>
        </is>
      </c>
      <c r="E2783" t="inlineStr">
        <is>
          <t>OVANÅKER</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48742-2020</t>
        </is>
      </c>
      <c r="B2784" s="1" t="n">
        <v>44103</v>
      </c>
      <c r="C2784" s="1" t="n">
        <v>45344</v>
      </c>
      <c r="D2784" t="inlineStr">
        <is>
          <t>GÄVLEBORGS LÄN</t>
        </is>
      </c>
      <c r="E2784" t="inlineStr">
        <is>
          <t>LJUSDAL</t>
        </is>
      </c>
      <c r="F2784" t="inlineStr">
        <is>
          <t>Bergvik skog väst AB</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48680-2020</t>
        </is>
      </c>
      <c r="B2785" s="1" t="n">
        <v>44103</v>
      </c>
      <c r="C2785" s="1" t="n">
        <v>45344</v>
      </c>
      <c r="D2785" t="inlineStr">
        <is>
          <t>GÄVLEBORGS LÄN</t>
        </is>
      </c>
      <c r="E2785" t="inlineStr">
        <is>
          <t>LJUSDAL</t>
        </is>
      </c>
      <c r="F2785" t="inlineStr">
        <is>
          <t>Holmen skog AB</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48734-2020</t>
        </is>
      </c>
      <c r="B2786" s="1" t="n">
        <v>44103</v>
      </c>
      <c r="C2786" s="1" t="n">
        <v>45344</v>
      </c>
      <c r="D2786" t="inlineStr">
        <is>
          <t>GÄVLEBORGS LÄN</t>
        </is>
      </c>
      <c r="E2786" t="inlineStr">
        <is>
          <t>BOLLNÄS</t>
        </is>
      </c>
      <c r="G2786" t="n">
        <v>10.4</v>
      </c>
      <c r="H2786" t="n">
        <v>0</v>
      </c>
      <c r="I2786" t="n">
        <v>0</v>
      </c>
      <c r="J2786" t="n">
        <v>0</v>
      </c>
      <c r="K2786" t="n">
        <v>0</v>
      </c>
      <c r="L2786" t="n">
        <v>0</v>
      </c>
      <c r="M2786" t="n">
        <v>0</v>
      </c>
      <c r="N2786" t="n">
        <v>0</v>
      </c>
      <c r="O2786" t="n">
        <v>0</v>
      </c>
      <c r="P2786" t="n">
        <v>0</v>
      </c>
      <c r="Q2786" t="n">
        <v>0</v>
      </c>
      <c r="R2786" s="2" t="inlineStr"/>
    </row>
    <row r="2787" ht="15" customHeight="1">
      <c r="A2787" t="inlineStr">
        <is>
          <t>A 49073-2020</t>
        </is>
      </c>
      <c r="B2787" s="1" t="n">
        <v>44104</v>
      </c>
      <c r="C2787" s="1" t="n">
        <v>45344</v>
      </c>
      <c r="D2787" t="inlineStr">
        <is>
          <t>GÄVLEBORGS LÄN</t>
        </is>
      </c>
      <c r="E2787" t="inlineStr">
        <is>
          <t>LJUSDAL</t>
        </is>
      </c>
      <c r="F2787" t="inlineStr">
        <is>
          <t>Sveaskog</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48875-2020</t>
        </is>
      </c>
      <c r="B2788" s="1" t="n">
        <v>44104</v>
      </c>
      <c r="C2788" s="1" t="n">
        <v>45344</v>
      </c>
      <c r="D2788" t="inlineStr">
        <is>
          <t>GÄVLEBORGS LÄN</t>
        </is>
      </c>
      <c r="E2788" t="inlineStr">
        <is>
          <t>SÖDERHAMN</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48997-2020</t>
        </is>
      </c>
      <c r="B2789" s="1" t="n">
        <v>44104</v>
      </c>
      <c r="C2789" s="1" t="n">
        <v>45344</v>
      </c>
      <c r="D2789" t="inlineStr">
        <is>
          <t>GÄVLEBORGS LÄN</t>
        </is>
      </c>
      <c r="E2789" t="inlineStr">
        <is>
          <t>HUDIKSVALL</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48905-2020</t>
        </is>
      </c>
      <c r="B2790" s="1" t="n">
        <v>44104</v>
      </c>
      <c r="C2790" s="1" t="n">
        <v>45344</v>
      </c>
      <c r="D2790" t="inlineStr">
        <is>
          <t>GÄVLEBORGS LÄN</t>
        </is>
      </c>
      <c r="E2790" t="inlineStr">
        <is>
          <t>LJUSDAL</t>
        </is>
      </c>
      <c r="F2790" t="inlineStr">
        <is>
          <t>Sveaskog</t>
        </is>
      </c>
      <c r="G2790" t="n">
        <v>0.2</v>
      </c>
      <c r="H2790" t="n">
        <v>0</v>
      </c>
      <c r="I2790" t="n">
        <v>0</v>
      </c>
      <c r="J2790" t="n">
        <v>0</v>
      </c>
      <c r="K2790" t="n">
        <v>0</v>
      </c>
      <c r="L2790" t="n">
        <v>0</v>
      </c>
      <c r="M2790" t="n">
        <v>0</v>
      </c>
      <c r="N2790" t="n">
        <v>0</v>
      </c>
      <c r="O2790" t="n">
        <v>0</v>
      </c>
      <c r="P2790" t="n">
        <v>0</v>
      </c>
      <c r="Q2790" t="n">
        <v>0</v>
      </c>
      <c r="R2790" s="2" t="inlineStr"/>
    </row>
    <row r="2791" ht="15" customHeight="1">
      <c r="A2791" t="inlineStr">
        <is>
          <t>A 49160-2020</t>
        </is>
      </c>
      <c r="B2791" s="1" t="n">
        <v>44104</v>
      </c>
      <c r="C2791" s="1" t="n">
        <v>45344</v>
      </c>
      <c r="D2791" t="inlineStr">
        <is>
          <t>GÄVLEBORGS LÄN</t>
        </is>
      </c>
      <c r="E2791" t="inlineStr">
        <is>
          <t>NORDANSTIG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49191-2020</t>
        </is>
      </c>
      <c r="B2792" s="1" t="n">
        <v>44105</v>
      </c>
      <c r="C2792" s="1" t="n">
        <v>45344</v>
      </c>
      <c r="D2792" t="inlineStr">
        <is>
          <t>GÄVLEBORGS LÄN</t>
        </is>
      </c>
      <c r="E2792" t="inlineStr">
        <is>
          <t>OVANÅKER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49198-2020</t>
        </is>
      </c>
      <c r="B2793" s="1" t="n">
        <v>44105</v>
      </c>
      <c r="C2793" s="1" t="n">
        <v>45344</v>
      </c>
      <c r="D2793" t="inlineStr">
        <is>
          <t>GÄVLEBORGS LÄN</t>
        </is>
      </c>
      <c r="E2793" t="inlineStr">
        <is>
          <t>OVANÅKER</t>
        </is>
      </c>
      <c r="F2793" t="inlineStr">
        <is>
          <t>Sveaskog</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49337-2020</t>
        </is>
      </c>
      <c r="B2794" s="1" t="n">
        <v>44105</v>
      </c>
      <c r="C2794" s="1" t="n">
        <v>45344</v>
      </c>
      <c r="D2794" t="inlineStr">
        <is>
          <t>GÄVLEBORGS LÄN</t>
        </is>
      </c>
      <c r="E2794" t="inlineStr">
        <is>
          <t>BOLLNÄS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49465-2020</t>
        </is>
      </c>
      <c r="B2795" s="1" t="n">
        <v>44105</v>
      </c>
      <c r="C2795" s="1" t="n">
        <v>45344</v>
      </c>
      <c r="D2795" t="inlineStr">
        <is>
          <t>GÄVLEBORGS LÄN</t>
        </is>
      </c>
      <c r="E2795" t="inlineStr">
        <is>
          <t>BOLLNÄS</t>
        </is>
      </c>
      <c r="G2795" t="n">
        <v>4.9</v>
      </c>
      <c r="H2795" t="n">
        <v>0</v>
      </c>
      <c r="I2795" t="n">
        <v>0</v>
      </c>
      <c r="J2795" t="n">
        <v>0</v>
      </c>
      <c r="K2795" t="n">
        <v>0</v>
      </c>
      <c r="L2795" t="n">
        <v>0</v>
      </c>
      <c r="M2795" t="n">
        <v>0</v>
      </c>
      <c r="N2795" t="n">
        <v>0</v>
      </c>
      <c r="O2795" t="n">
        <v>0</v>
      </c>
      <c r="P2795" t="n">
        <v>0</v>
      </c>
      <c r="Q2795" t="n">
        <v>0</v>
      </c>
      <c r="R2795" s="2" t="inlineStr"/>
    </row>
    <row r="2796" ht="15" customHeight="1">
      <c r="A2796" t="inlineStr">
        <is>
          <t>A 49481-2020</t>
        </is>
      </c>
      <c r="B2796" s="1" t="n">
        <v>44105</v>
      </c>
      <c r="C2796" s="1" t="n">
        <v>45344</v>
      </c>
      <c r="D2796" t="inlineStr">
        <is>
          <t>GÄVLEBORGS LÄN</t>
        </is>
      </c>
      <c r="E2796" t="inlineStr">
        <is>
          <t>SÖDERHAMN</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49653-2020</t>
        </is>
      </c>
      <c r="B2797" s="1" t="n">
        <v>44106</v>
      </c>
      <c r="C2797" s="1" t="n">
        <v>45344</v>
      </c>
      <c r="D2797" t="inlineStr">
        <is>
          <t>GÄVLEBORGS LÄN</t>
        </is>
      </c>
      <c r="E2797" t="inlineStr">
        <is>
          <t>BOLLNÄS</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49708-2020</t>
        </is>
      </c>
      <c r="B2798" s="1" t="n">
        <v>44106</v>
      </c>
      <c r="C2798" s="1" t="n">
        <v>45344</v>
      </c>
      <c r="D2798" t="inlineStr">
        <is>
          <t>GÄVLEBORGS LÄN</t>
        </is>
      </c>
      <c r="E2798" t="inlineStr">
        <is>
          <t>HOFORS</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49798-2020</t>
        </is>
      </c>
      <c r="B2799" s="1" t="n">
        <v>44106</v>
      </c>
      <c r="C2799" s="1" t="n">
        <v>45344</v>
      </c>
      <c r="D2799" t="inlineStr">
        <is>
          <t>GÄVLEBORGS LÄN</t>
        </is>
      </c>
      <c r="E2799" t="inlineStr">
        <is>
          <t>HUDIKSVALL</t>
        </is>
      </c>
      <c r="F2799" t="inlineStr">
        <is>
          <t>Holmen skog AB</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49578-2020</t>
        </is>
      </c>
      <c r="B2800" s="1" t="n">
        <v>44106</v>
      </c>
      <c r="C2800" s="1" t="n">
        <v>45344</v>
      </c>
      <c r="D2800" t="inlineStr">
        <is>
          <t>GÄVLEBORGS LÄN</t>
        </is>
      </c>
      <c r="E2800" t="inlineStr">
        <is>
          <t>OVANÅKER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49687-2020</t>
        </is>
      </c>
      <c r="B2801" s="1" t="n">
        <v>44106</v>
      </c>
      <c r="C2801" s="1" t="n">
        <v>45344</v>
      </c>
      <c r="D2801" t="inlineStr">
        <is>
          <t>GÄVLEBORGS LÄN</t>
        </is>
      </c>
      <c r="E2801" t="inlineStr">
        <is>
          <t>LJUSDAL</t>
        </is>
      </c>
      <c r="F2801" t="inlineStr">
        <is>
          <t>Holmen skog AB</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49733-2020</t>
        </is>
      </c>
      <c r="B2802" s="1" t="n">
        <v>44106</v>
      </c>
      <c r="C2802" s="1" t="n">
        <v>45344</v>
      </c>
      <c r="D2802" t="inlineStr">
        <is>
          <t>GÄVLEBORGS LÄN</t>
        </is>
      </c>
      <c r="E2802" t="inlineStr">
        <is>
          <t>HUDIKSVALL</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49807-2020</t>
        </is>
      </c>
      <c r="B2803" s="1" t="n">
        <v>44106</v>
      </c>
      <c r="C2803" s="1" t="n">
        <v>45344</v>
      </c>
      <c r="D2803" t="inlineStr">
        <is>
          <t>GÄVLEBORGS LÄN</t>
        </is>
      </c>
      <c r="E2803" t="inlineStr">
        <is>
          <t>LJUSDAL</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49810-2020</t>
        </is>
      </c>
      <c r="B2804" s="1" t="n">
        <v>44106</v>
      </c>
      <c r="C2804" s="1" t="n">
        <v>45344</v>
      </c>
      <c r="D2804" t="inlineStr">
        <is>
          <t>GÄVLEBORGS LÄN</t>
        </is>
      </c>
      <c r="E2804" t="inlineStr">
        <is>
          <t>LJUSDAL</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49886-2020</t>
        </is>
      </c>
      <c r="B2805" s="1" t="n">
        <v>44108</v>
      </c>
      <c r="C2805" s="1" t="n">
        <v>45344</v>
      </c>
      <c r="D2805" t="inlineStr">
        <is>
          <t>GÄVLEBORGS LÄN</t>
        </is>
      </c>
      <c r="E2805" t="inlineStr">
        <is>
          <t>LJUSDAL</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50069-2020</t>
        </is>
      </c>
      <c r="B2806" s="1" t="n">
        <v>44109</v>
      </c>
      <c r="C2806" s="1" t="n">
        <v>45344</v>
      </c>
      <c r="D2806" t="inlineStr">
        <is>
          <t>GÄVLEBORGS LÄN</t>
        </is>
      </c>
      <c r="E2806" t="inlineStr">
        <is>
          <t>NORDANSTIG</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50116-2020</t>
        </is>
      </c>
      <c r="B2807" s="1" t="n">
        <v>44109</v>
      </c>
      <c r="C2807" s="1" t="n">
        <v>45344</v>
      </c>
      <c r="D2807" t="inlineStr">
        <is>
          <t>GÄVLEBORGS LÄN</t>
        </is>
      </c>
      <c r="E2807" t="inlineStr">
        <is>
          <t>HUDIKSVALL</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50243-2020</t>
        </is>
      </c>
      <c r="B2808" s="1" t="n">
        <v>44109</v>
      </c>
      <c r="C2808" s="1" t="n">
        <v>45344</v>
      </c>
      <c r="D2808" t="inlineStr">
        <is>
          <t>GÄVLEBORGS LÄN</t>
        </is>
      </c>
      <c r="E2808" t="inlineStr">
        <is>
          <t>OVANÅKER</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50141-2020</t>
        </is>
      </c>
      <c r="B2809" s="1" t="n">
        <v>44109</v>
      </c>
      <c r="C2809" s="1" t="n">
        <v>45344</v>
      </c>
      <c r="D2809" t="inlineStr">
        <is>
          <t>GÄVLEBORGS LÄN</t>
        </is>
      </c>
      <c r="E2809" t="inlineStr">
        <is>
          <t>HUDIKSVALL</t>
        </is>
      </c>
      <c r="F2809" t="inlineStr">
        <is>
          <t>Holmen skog AB</t>
        </is>
      </c>
      <c r="G2809" t="n">
        <v>28.6</v>
      </c>
      <c r="H2809" t="n">
        <v>0</v>
      </c>
      <c r="I2809" t="n">
        <v>0</v>
      </c>
      <c r="J2809" t="n">
        <v>0</v>
      </c>
      <c r="K2809" t="n">
        <v>0</v>
      </c>
      <c r="L2809" t="n">
        <v>0</v>
      </c>
      <c r="M2809" t="n">
        <v>0</v>
      </c>
      <c r="N2809" t="n">
        <v>0</v>
      </c>
      <c r="O2809" t="n">
        <v>0</v>
      </c>
      <c r="P2809" t="n">
        <v>0</v>
      </c>
      <c r="Q2809" t="n">
        <v>0</v>
      </c>
      <c r="R2809" s="2" t="inlineStr"/>
    </row>
    <row r="2810" ht="15" customHeight="1">
      <c r="A2810" t="inlineStr">
        <is>
          <t>A 50216-2020</t>
        </is>
      </c>
      <c r="B2810" s="1" t="n">
        <v>44109</v>
      </c>
      <c r="C2810" s="1" t="n">
        <v>45344</v>
      </c>
      <c r="D2810" t="inlineStr">
        <is>
          <t>GÄVLEBORGS LÄN</t>
        </is>
      </c>
      <c r="E2810" t="inlineStr">
        <is>
          <t>GÄVLE</t>
        </is>
      </c>
      <c r="G2810" t="n">
        <v>7.9</v>
      </c>
      <c r="H2810" t="n">
        <v>0</v>
      </c>
      <c r="I2810" t="n">
        <v>0</v>
      </c>
      <c r="J2810" t="n">
        <v>0</v>
      </c>
      <c r="K2810" t="n">
        <v>0</v>
      </c>
      <c r="L2810" t="n">
        <v>0</v>
      </c>
      <c r="M2810" t="n">
        <v>0</v>
      </c>
      <c r="N2810" t="n">
        <v>0</v>
      </c>
      <c r="O2810" t="n">
        <v>0</v>
      </c>
      <c r="P2810" t="n">
        <v>0</v>
      </c>
      <c r="Q2810" t="n">
        <v>0</v>
      </c>
      <c r="R2810" s="2" t="inlineStr"/>
    </row>
    <row r="2811" ht="15" customHeight="1">
      <c r="A2811" t="inlineStr">
        <is>
          <t>A 49924-2020</t>
        </is>
      </c>
      <c r="B2811" s="1" t="n">
        <v>44109</v>
      </c>
      <c r="C2811" s="1" t="n">
        <v>45344</v>
      </c>
      <c r="D2811" t="inlineStr">
        <is>
          <t>GÄVLEBORGS LÄN</t>
        </is>
      </c>
      <c r="E2811" t="inlineStr">
        <is>
          <t>LJUSDAL</t>
        </is>
      </c>
      <c r="F2811" t="inlineStr">
        <is>
          <t>Kommuner</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49991-2020</t>
        </is>
      </c>
      <c r="B2812" s="1" t="n">
        <v>44109</v>
      </c>
      <c r="C2812" s="1" t="n">
        <v>45344</v>
      </c>
      <c r="D2812" t="inlineStr">
        <is>
          <t>GÄVLEBORGS LÄN</t>
        </is>
      </c>
      <c r="E2812" t="inlineStr">
        <is>
          <t>OVANÅKER</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49913-2020</t>
        </is>
      </c>
      <c r="B2813" s="1" t="n">
        <v>44109</v>
      </c>
      <c r="C2813" s="1" t="n">
        <v>45344</v>
      </c>
      <c r="D2813" t="inlineStr">
        <is>
          <t>GÄVLEBORGS LÄN</t>
        </is>
      </c>
      <c r="E2813" t="inlineStr">
        <is>
          <t>LJUSDAL</t>
        </is>
      </c>
      <c r="F2813" t="inlineStr">
        <is>
          <t>Kommuner</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50244-2020</t>
        </is>
      </c>
      <c r="B2814" s="1" t="n">
        <v>44109</v>
      </c>
      <c r="C2814" s="1" t="n">
        <v>45344</v>
      </c>
      <c r="D2814" t="inlineStr">
        <is>
          <t>GÄVLEBORGS LÄN</t>
        </is>
      </c>
      <c r="E2814" t="inlineStr">
        <is>
          <t>OVANÅKER</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50376-2020</t>
        </is>
      </c>
      <c r="B2815" s="1" t="n">
        <v>44110</v>
      </c>
      <c r="C2815" s="1" t="n">
        <v>45344</v>
      </c>
      <c r="D2815" t="inlineStr">
        <is>
          <t>GÄVLEBORGS LÄN</t>
        </is>
      </c>
      <c r="E2815" t="inlineStr">
        <is>
          <t>BOLLNÄS</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50474-2020</t>
        </is>
      </c>
      <c r="B2816" s="1" t="n">
        <v>44110</v>
      </c>
      <c r="C2816" s="1" t="n">
        <v>45344</v>
      </c>
      <c r="D2816" t="inlineStr">
        <is>
          <t>GÄVLEBORGS LÄN</t>
        </is>
      </c>
      <c r="E2816" t="inlineStr">
        <is>
          <t>LJUSDAL</t>
        </is>
      </c>
      <c r="F2816" t="inlineStr">
        <is>
          <t>Kommuner</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50544-2020</t>
        </is>
      </c>
      <c r="B2817" s="1" t="n">
        <v>44110</v>
      </c>
      <c r="C2817" s="1" t="n">
        <v>45344</v>
      </c>
      <c r="D2817" t="inlineStr">
        <is>
          <t>GÄVLEBORGS LÄN</t>
        </is>
      </c>
      <c r="E2817" t="inlineStr">
        <is>
          <t>LJUSDAL</t>
        </is>
      </c>
      <c r="F2817" t="inlineStr">
        <is>
          <t>Sveaskog</t>
        </is>
      </c>
      <c r="G2817" t="n">
        <v>4.5</v>
      </c>
      <c r="H2817" t="n">
        <v>0</v>
      </c>
      <c r="I2817" t="n">
        <v>0</v>
      </c>
      <c r="J2817" t="n">
        <v>0</v>
      </c>
      <c r="K2817" t="n">
        <v>0</v>
      </c>
      <c r="L2817" t="n">
        <v>0</v>
      </c>
      <c r="M2817" t="n">
        <v>0</v>
      </c>
      <c r="N2817" t="n">
        <v>0</v>
      </c>
      <c r="O2817" t="n">
        <v>0</v>
      </c>
      <c r="P2817" t="n">
        <v>0</v>
      </c>
      <c r="Q2817" t="n">
        <v>0</v>
      </c>
      <c r="R2817" s="2" t="inlineStr"/>
    </row>
    <row r="2818" ht="15" customHeight="1">
      <c r="A2818" t="inlineStr">
        <is>
          <t>A 50571-2020</t>
        </is>
      </c>
      <c r="B2818" s="1" t="n">
        <v>44110</v>
      </c>
      <c r="C2818" s="1" t="n">
        <v>45344</v>
      </c>
      <c r="D2818" t="inlineStr">
        <is>
          <t>GÄVLEBORGS LÄN</t>
        </is>
      </c>
      <c r="E2818" t="inlineStr">
        <is>
          <t>BOLLNÄS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50689-2020</t>
        </is>
      </c>
      <c r="B2819" s="1" t="n">
        <v>44111</v>
      </c>
      <c r="C2819" s="1" t="n">
        <v>45344</v>
      </c>
      <c r="D2819" t="inlineStr">
        <is>
          <t>GÄVLEBORGS LÄN</t>
        </is>
      </c>
      <c r="E2819" t="inlineStr">
        <is>
          <t>LJUSDAL</t>
        </is>
      </c>
      <c r="F2819" t="inlineStr">
        <is>
          <t>Sveaskog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50888-2020</t>
        </is>
      </c>
      <c r="B2820" s="1" t="n">
        <v>44111</v>
      </c>
      <c r="C2820" s="1" t="n">
        <v>45344</v>
      </c>
      <c r="D2820" t="inlineStr">
        <is>
          <t>GÄVLEBORGS LÄN</t>
        </is>
      </c>
      <c r="E2820" t="inlineStr">
        <is>
          <t>SANDVIKEN</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50890-2020</t>
        </is>
      </c>
      <c r="B2821" s="1" t="n">
        <v>44111</v>
      </c>
      <c r="C2821" s="1" t="n">
        <v>45344</v>
      </c>
      <c r="D2821" t="inlineStr">
        <is>
          <t>GÄVLEBORGS LÄN</t>
        </is>
      </c>
      <c r="E2821" t="inlineStr">
        <is>
          <t>SANDVIKEN</t>
        </is>
      </c>
      <c r="F2821" t="inlineStr">
        <is>
          <t>Sveaskog</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50877-2020</t>
        </is>
      </c>
      <c r="B2822" s="1" t="n">
        <v>44111</v>
      </c>
      <c r="C2822" s="1" t="n">
        <v>45344</v>
      </c>
      <c r="D2822" t="inlineStr">
        <is>
          <t>GÄVLEBORGS LÄN</t>
        </is>
      </c>
      <c r="E2822" t="inlineStr">
        <is>
          <t>SANDVIKEN</t>
        </is>
      </c>
      <c r="F2822" t="inlineStr">
        <is>
          <t>Sveaskog</t>
        </is>
      </c>
      <c r="G2822" t="n">
        <v>1.7</v>
      </c>
      <c r="H2822" t="n">
        <v>0</v>
      </c>
      <c r="I2822" t="n">
        <v>0</v>
      </c>
      <c r="J2822" t="n">
        <v>0</v>
      </c>
      <c r="K2822" t="n">
        <v>0</v>
      </c>
      <c r="L2822" t="n">
        <v>0</v>
      </c>
      <c r="M2822" t="n">
        <v>0</v>
      </c>
      <c r="N2822" t="n">
        <v>0</v>
      </c>
      <c r="O2822" t="n">
        <v>0</v>
      </c>
      <c r="P2822" t="n">
        <v>0</v>
      </c>
      <c r="Q2822" t="n">
        <v>0</v>
      </c>
      <c r="R2822" s="2" t="inlineStr"/>
    </row>
    <row r="2823" ht="15" customHeight="1">
      <c r="A2823" t="inlineStr">
        <is>
          <t>A 51086-2020</t>
        </is>
      </c>
      <c r="B2823" s="1" t="n">
        <v>44112</v>
      </c>
      <c r="C2823" s="1" t="n">
        <v>45344</v>
      </c>
      <c r="D2823" t="inlineStr">
        <is>
          <t>GÄVLEBORGS LÄN</t>
        </is>
      </c>
      <c r="E2823" t="inlineStr">
        <is>
          <t>OVANÅKER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51121-2020</t>
        </is>
      </c>
      <c r="B2824" s="1" t="n">
        <v>44112</v>
      </c>
      <c r="C2824" s="1" t="n">
        <v>45344</v>
      </c>
      <c r="D2824" t="inlineStr">
        <is>
          <t>GÄVLEBORGS LÄN</t>
        </is>
      </c>
      <c r="E2824" t="inlineStr">
        <is>
          <t>GÄVLE</t>
        </is>
      </c>
      <c r="F2824" t="inlineStr">
        <is>
          <t>Bergvik skog öst AB</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51062-2020</t>
        </is>
      </c>
      <c r="B2825" s="1" t="n">
        <v>44112</v>
      </c>
      <c r="C2825" s="1" t="n">
        <v>45344</v>
      </c>
      <c r="D2825" t="inlineStr">
        <is>
          <t>GÄVLEBORGS LÄN</t>
        </is>
      </c>
      <c r="E2825" t="inlineStr">
        <is>
          <t>NORDANSTIG</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51083-2020</t>
        </is>
      </c>
      <c r="B2826" s="1" t="n">
        <v>44112</v>
      </c>
      <c r="C2826" s="1" t="n">
        <v>45344</v>
      </c>
      <c r="D2826" t="inlineStr">
        <is>
          <t>GÄVLEBORGS LÄN</t>
        </is>
      </c>
      <c r="E2826" t="inlineStr">
        <is>
          <t>OVANÅKER</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51126-2020</t>
        </is>
      </c>
      <c r="B2827" s="1" t="n">
        <v>44112</v>
      </c>
      <c r="C2827" s="1" t="n">
        <v>45344</v>
      </c>
      <c r="D2827" t="inlineStr">
        <is>
          <t>GÄVLEBORGS LÄN</t>
        </is>
      </c>
      <c r="E2827" t="inlineStr">
        <is>
          <t>GÄVLE</t>
        </is>
      </c>
      <c r="F2827" t="inlineStr">
        <is>
          <t>Bergvik skog öst AB</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51103-2020</t>
        </is>
      </c>
      <c r="B2828" s="1" t="n">
        <v>44112</v>
      </c>
      <c r="C2828" s="1" t="n">
        <v>45344</v>
      </c>
      <c r="D2828" t="inlineStr">
        <is>
          <t>GÄVLEBORGS LÄN</t>
        </is>
      </c>
      <c r="E2828" t="inlineStr">
        <is>
          <t>OVANÅKER</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51256-2020</t>
        </is>
      </c>
      <c r="B2829" s="1" t="n">
        <v>44112</v>
      </c>
      <c r="C2829" s="1" t="n">
        <v>45344</v>
      </c>
      <c r="D2829" t="inlineStr">
        <is>
          <t>GÄVLEBORGS LÄN</t>
        </is>
      </c>
      <c r="E2829" t="inlineStr">
        <is>
          <t>LJUSDAL</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51306-2020</t>
        </is>
      </c>
      <c r="B2830" s="1" t="n">
        <v>44112</v>
      </c>
      <c r="C2830" s="1" t="n">
        <v>45344</v>
      </c>
      <c r="D2830" t="inlineStr">
        <is>
          <t>GÄVLEBORGS LÄN</t>
        </is>
      </c>
      <c r="E2830" t="inlineStr">
        <is>
          <t>LJUSDAL</t>
        </is>
      </c>
      <c r="F2830" t="inlineStr">
        <is>
          <t>Kommuner</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51356-2020</t>
        </is>
      </c>
      <c r="B2831" s="1" t="n">
        <v>44112</v>
      </c>
      <c r="C2831" s="1" t="n">
        <v>45344</v>
      </c>
      <c r="D2831" t="inlineStr">
        <is>
          <t>GÄVLEBORGS LÄN</t>
        </is>
      </c>
      <c r="E2831" t="inlineStr">
        <is>
          <t>SANDVIKEN</t>
        </is>
      </c>
      <c r="F2831" t="inlineStr">
        <is>
          <t>Sveaskog</t>
        </is>
      </c>
      <c r="G2831" t="n">
        <v>10.3</v>
      </c>
      <c r="H2831" t="n">
        <v>0</v>
      </c>
      <c r="I2831" t="n">
        <v>0</v>
      </c>
      <c r="J2831" t="n">
        <v>0</v>
      </c>
      <c r="K2831" t="n">
        <v>0</v>
      </c>
      <c r="L2831" t="n">
        <v>0</v>
      </c>
      <c r="M2831" t="n">
        <v>0</v>
      </c>
      <c r="N2831" t="n">
        <v>0</v>
      </c>
      <c r="O2831" t="n">
        <v>0</v>
      </c>
      <c r="P2831" t="n">
        <v>0</v>
      </c>
      <c r="Q2831" t="n">
        <v>0</v>
      </c>
      <c r="R2831" s="2" t="inlineStr"/>
    </row>
    <row r="2832" ht="15" customHeight="1">
      <c r="A2832" t="inlineStr">
        <is>
          <t>A 51274-2020</t>
        </is>
      </c>
      <c r="B2832" s="1" t="n">
        <v>44112</v>
      </c>
      <c r="C2832" s="1" t="n">
        <v>45344</v>
      </c>
      <c r="D2832" t="inlineStr">
        <is>
          <t>GÄVLEBORGS LÄN</t>
        </is>
      </c>
      <c r="E2832" t="inlineStr">
        <is>
          <t>OVANÅKER</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52304-2020</t>
        </is>
      </c>
      <c r="B2833" s="1" t="n">
        <v>44112</v>
      </c>
      <c r="C2833" s="1" t="n">
        <v>45344</v>
      </c>
      <c r="D2833" t="inlineStr">
        <is>
          <t>GÄVLEBORGS LÄN</t>
        </is>
      </c>
      <c r="E2833" t="inlineStr">
        <is>
          <t>LJUSDAL</t>
        </is>
      </c>
      <c r="F2833" t="inlineStr">
        <is>
          <t>Sveaskog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51598-2020</t>
        </is>
      </c>
      <c r="B2834" s="1" t="n">
        <v>44113</v>
      </c>
      <c r="C2834" s="1" t="n">
        <v>45344</v>
      </c>
      <c r="D2834" t="inlineStr">
        <is>
          <t>GÄVLEBORGS LÄN</t>
        </is>
      </c>
      <c r="E2834" t="inlineStr">
        <is>
          <t>OCKELBO</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51454-2020</t>
        </is>
      </c>
      <c r="B2835" s="1" t="n">
        <v>44113</v>
      </c>
      <c r="C2835" s="1" t="n">
        <v>45344</v>
      </c>
      <c r="D2835" t="inlineStr">
        <is>
          <t>GÄVLEBORGS LÄN</t>
        </is>
      </c>
      <c r="E2835" t="inlineStr">
        <is>
          <t>HUDIKSVALL</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51573-2020</t>
        </is>
      </c>
      <c r="B2836" s="1" t="n">
        <v>44113</v>
      </c>
      <c r="C2836" s="1" t="n">
        <v>45344</v>
      </c>
      <c r="D2836" t="inlineStr">
        <is>
          <t>GÄVLEBORGS LÄN</t>
        </is>
      </c>
      <c r="E2836" t="inlineStr">
        <is>
          <t>SANDVIKEN</t>
        </is>
      </c>
      <c r="G2836" t="n">
        <v>10.1</v>
      </c>
      <c r="H2836" t="n">
        <v>0</v>
      </c>
      <c r="I2836" t="n">
        <v>0</v>
      </c>
      <c r="J2836" t="n">
        <v>0</v>
      </c>
      <c r="K2836" t="n">
        <v>0</v>
      </c>
      <c r="L2836" t="n">
        <v>0</v>
      </c>
      <c r="M2836" t="n">
        <v>0</v>
      </c>
      <c r="N2836" t="n">
        <v>0</v>
      </c>
      <c r="O2836" t="n">
        <v>0</v>
      </c>
      <c r="P2836" t="n">
        <v>0</v>
      </c>
      <c r="Q2836" t="n">
        <v>0</v>
      </c>
      <c r="R2836" s="2" t="inlineStr"/>
    </row>
    <row r="2837" ht="15" customHeight="1">
      <c r="A2837" t="inlineStr">
        <is>
          <t>A 51527-2020</t>
        </is>
      </c>
      <c r="B2837" s="1" t="n">
        <v>44113</v>
      </c>
      <c r="C2837" s="1" t="n">
        <v>45344</v>
      </c>
      <c r="D2837" t="inlineStr">
        <is>
          <t>GÄVLEBORGS LÄN</t>
        </is>
      </c>
      <c r="E2837" t="inlineStr">
        <is>
          <t>HUDIKSVALL</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51669-2020</t>
        </is>
      </c>
      <c r="B2838" s="1" t="n">
        <v>44113</v>
      </c>
      <c r="C2838" s="1" t="n">
        <v>45344</v>
      </c>
      <c r="D2838" t="inlineStr">
        <is>
          <t>GÄVLEBORGS LÄN</t>
        </is>
      </c>
      <c r="E2838" t="inlineStr">
        <is>
          <t>NORDANSTIG</t>
        </is>
      </c>
      <c r="G2838" t="n">
        <v>3.2</v>
      </c>
      <c r="H2838" t="n">
        <v>0</v>
      </c>
      <c r="I2838" t="n">
        <v>0</v>
      </c>
      <c r="J2838" t="n">
        <v>0</v>
      </c>
      <c r="K2838" t="n">
        <v>0</v>
      </c>
      <c r="L2838" t="n">
        <v>0</v>
      </c>
      <c r="M2838" t="n">
        <v>0</v>
      </c>
      <c r="N2838" t="n">
        <v>0</v>
      </c>
      <c r="O2838" t="n">
        <v>0</v>
      </c>
      <c r="P2838" t="n">
        <v>0</v>
      </c>
      <c r="Q2838" t="n">
        <v>0</v>
      </c>
      <c r="R2838" s="2" t="inlineStr"/>
    </row>
    <row r="2839" ht="15" customHeight="1">
      <c r="A2839" t="inlineStr">
        <is>
          <t>A 52448-2020</t>
        </is>
      </c>
      <c r="B2839" s="1" t="n">
        <v>44113</v>
      </c>
      <c r="C2839" s="1" t="n">
        <v>45344</v>
      </c>
      <c r="D2839" t="inlineStr">
        <is>
          <t>GÄVLEBORGS LÄN</t>
        </is>
      </c>
      <c r="E2839" t="inlineStr">
        <is>
          <t>OVANÅKER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51790-2020</t>
        </is>
      </c>
      <c r="B2840" s="1" t="n">
        <v>44116</v>
      </c>
      <c r="C2840" s="1" t="n">
        <v>45344</v>
      </c>
      <c r="D2840" t="inlineStr">
        <is>
          <t>GÄVLEBORGS LÄN</t>
        </is>
      </c>
      <c r="E2840" t="inlineStr">
        <is>
          <t>LJUSDAL</t>
        </is>
      </c>
      <c r="F2840" t="inlineStr">
        <is>
          <t>Holmen skog AB</t>
        </is>
      </c>
      <c r="G2840" t="n">
        <v>5.9</v>
      </c>
      <c r="H2840" t="n">
        <v>0</v>
      </c>
      <c r="I2840" t="n">
        <v>0</v>
      </c>
      <c r="J2840" t="n">
        <v>0</v>
      </c>
      <c r="K2840" t="n">
        <v>0</v>
      </c>
      <c r="L2840" t="n">
        <v>0</v>
      </c>
      <c r="M2840" t="n">
        <v>0</v>
      </c>
      <c r="N2840" t="n">
        <v>0</v>
      </c>
      <c r="O2840" t="n">
        <v>0</v>
      </c>
      <c r="P2840" t="n">
        <v>0</v>
      </c>
      <c r="Q2840" t="n">
        <v>0</v>
      </c>
      <c r="R2840" s="2" t="inlineStr"/>
    </row>
    <row r="2841" ht="15" customHeight="1">
      <c r="A2841" t="inlineStr">
        <is>
          <t>A 51874-2020</t>
        </is>
      </c>
      <c r="B2841" s="1" t="n">
        <v>44116</v>
      </c>
      <c r="C2841" s="1" t="n">
        <v>45344</v>
      </c>
      <c r="D2841" t="inlineStr">
        <is>
          <t>GÄVLEBORGS LÄN</t>
        </is>
      </c>
      <c r="E2841" t="inlineStr">
        <is>
          <t>NORDANSTIG</t>
        </is>
      </c>
      <c r="F2841" t="inlineStr">
        <is>
          <t>Holmen skog AB</t>
        </is>
      </c>
      <c r="G2841" t="n">
        <v>6.1</v>
      </c>
      <c r="H2841" t="n">
        <v>0</v>
      </c>
      <c r="I2841" t="n">
        <v>0</v>
      </c>
      <c r="J2841" t="n">
        <v>0</v>
      </c>
      <c r="K2841" t="n">
        <v>0</v>
      </c>
      <c r="L2841" t="n">
        <v>0</v>
      </c>
      <c r="M2841" t="n">
        <v>0</v>
      </c>
      <c r="N2841" t="n">
        <v>0</v>
      </c>
      <c r="O2841" t="n">
        <v>0</v>
      </c>
      <c r="P2841" t="n">
        <v>0</v>
      </c>
      <c r="Q2841" t="n">
        <v>0</v>
      </c>
      <c r="R2841" s="2" t="inlineStr"/>
    </row>
    <row r="2842" ht="15" customHeight="1">
      <c r="A2842" t="inlineStr">
        <is>
          <t>A 51983-2020</t>
        </is>
      </c>
      <c r="B2842" s="1" t="n">
        <v>44116</v>
      </c>
      <c r="C2842" s="1" t="n">
        <v>45344</v>
      </c>
      <c r="D2842" t="inlineStr">
        <is>
          <t>GÄVLEBORGS LÄN</t>
        </is>
      </c>
      <c r="E2842" t="inlineStr">
        <is>
          <t>OVANÅKER</t>
        </is>
      </c>
      <c r="G2842" t="n">
        <v>26.7</v>
      </c>
      <c r="H2842" t="n">
        <v>0</v>
      </c>
      <c r="I2842" t="n">
        <v>0</v>
      </c>
      <c r="J2842" t="n">
        <v>0</v>
      </c>
      <c r="K2842" t="n">
        <v>0</v>
      </c>
      <c r="L2842" t="n">
        <v>0</v>
      </c>
      <c r="M2842" t="n">
        <v>0</v>
      </c>
      <c r="N2842" t="n">
        <v>0</v>
      </c>
      <c r="O2842" t="n">
        <v>0</v>
      </c>
      <c r="P2842" t="n">
        <v>0</v>
      </c>
      <c r="Q2842" t="n">
        <v>0</v>
      </c>
      <c r="R2842" s="2" t="inlineStr"/>
    </row>
    <row r="2843" ht="15" customHeight="1">
      <c r="A2843" t="inlineStr">
        <is>
          <t>A 51780-2020</t>
        </is>
      </c>
      <c r="B2843" s="1" t="n">
        <v>44116</v>
      </c>
      <c r="C2843" s="1" t="n">
        <v>45344</v>
      </c>
      <c r="D2843" t="inlineStr">
        <is>
          <t>GÄVLEBORGS LÄN</t>
        </is>
      </c>
      <c r="E2843" t="inlineStr">
        <is>
          <t>LJUSDAL</t>
        </is>
      </c>
      <c r="F2843" t="inlineStr">
        <is>
          <t>Sveaskog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51918-2020</t>
        </is>
      </c>
      <c r="B2844" s="1" t="n">
        <v>44116</v>
      </c>
      <c r="C2844" s="1" t="n">
        <v>45344</v>
      </c>
      <c r="D2844" t="inlineStr">
        <is>
          <t>GÄVLEBORGS LÄN</t>
        </is>
      </c>
      <c r="E2844" t="inlineStr">
        <is>
          <t>LJUSDAL</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51779-2020</t>
        </is>
      </c>
      <c r="B2845" s="1" t="n">
        <v>44116</v>
      </c>
      <c r="C2845" s="1" t="n">
        <v>45344</v>
      </c>
      <c r="D2845" t="inlineStr">
        <is>
          <t>GÄVLEBORGS LÄN</t>
        </is>
      </c>
      <c r="E2845" t="inlineStr">
        <is>
          <t>LJUSDAL</t>
        </is>
      </c>
      <c r="F2845" t="inlineStr">
        <is>
          <t>Sveaskog</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52441-2020</t>
        </is>
      </c>
      <c r="B2846" s="1" t="n">
        <v>44116</v>
      </c>
      <c r="C2846" s="1" t="n">
        <v>45344</v>
      </c>
      <c r="D2846" t="inlineStr">
        <is>
          <t>GÄVLEBORGS LÄN</t>
        </is>
      </c>
      <c r="E2846" t="inlineStr">
        <is>
          <t>BOLLNÄS</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51781-2020</t>
        </is>
      </c>
      <c r="B2847" s="1" t="n">
        <v>44116</v>
      </c>
      <c r="C2847" s="1" t="n">
        <v>45344</v>
      </c>
      <c r="D2847" t="inlineStr">
        <is>
          <t>GÄVLEBORGS LÄN</t>
        </is>
      </c>
      <c r="E2847" t="inlineStr">
        <is>
          <t>LJUSDAL</t>
        </is>
      </c>
      <c r="F2847" t="inlineStr">
        <is>
          <t>Sveaskog</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51828-2020</t>
        </is>
      </c>
      <c r="B2848" s="1" t="n">
        <v>44116</v>
      </c>
      <c r="C2848" s="1" t="n">
        <v>45344</v>
      </c>
      <c r="D2848" t="inlineStr">
        <is>
          <t>GÄVLEBORGS LÄN</t>
        </is>
      </c>
      <c r="E2848" t="inlineStr">
        <is>
          <t>SANDVIKEN</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51868-2020</t>
        </is>
      </c>
      <c r="B2849" s="1" t="n">
        <v>44116</v>
      </c>
      <c r="C2849" s="1" t="n">
        <v>45344</v>
      </c>
      <c r="D2849" t="inlineStr">
        <is>
          <t>GÄVLEBORGS LÄN</t>
        </is>
      </c>
      <c r="E2849" t="inlineStr">
        <is>
          <t>SANDVIKEN</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52294-2020</t>
        </is>
      </c>
      <c r="B2850" s="1" t="n">
        <v>44117</v>
      </c>
      <c r="C2850" s="1" t="n">
        <v>45344</v>
      </c>
      <c r="D2850" t="inlineStr">
        <is>
          <t>GÄVLEBORGS LÄN</t>
        </is>
      </c>
      <c r="E2850" t="inlineStr">
        <is>
          <t>LJUSDAL</t>
        </is>
      </c>
      <c r="F2850" t="inlineStr">
        <is>
          <t>Sveaskog</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52438-2020</t>
        </is>
      </c>
      <c r="B2851" s="1" t="n">
        <v>44118</v>
      </c>
      <c r="C2851" s="1" t="n">
        <v>45344</v>
      </c>
      <c r="D2851" t="inlineStr">
        <is>
          <t>GÄVLEBORGS LÄN</t>
        </is>
      </c>
      <c r="E2851" t="inlineStr">
        <is>
          <t>SÖDERHAMN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52427-2020</t>
        </is>
      </c>
      <c r="B2852" s="1" t="n">
        <v>44118</v>
      </c>
      <c r="C2852" s="1" t="n">
        <v>45344</v>
      </c>
      <c r="D2852" t="inlineStr">
        <is>
          <t>GÄVLEBORGS LÄN</t>
        </is>
      </c>
      <c r="E2852" t="inlineStr">
        <is>
          <t>SÖDERHAMN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52435-2020</t>
        </is>
      </c>
      <c r="B2853" s="1" t="n">
        <v>44118</v>
      </c>
      <c r="C2853" s="1" t="n">
        <v>45344</v>
      </c>
      <c r="D2853" t="inlineStr">
        <is>
          <t>GÄVLEBORGS LÄN</t>
        </is>
      </c>
      <c r="E2853" t="inlineStr">
        <is>
          <t>SÖDERHAMN</t>
        </is>
      </c>
      <c r="G2853" t="n">
        <v>13.3</v>
      </c>
      <c r="H2853" t="n">
        <v>0</v>
      </c>
      <c r="I2853" t="n">
        <v>0</v>
      </c>
      <c r="J2853" t="n">
        <v>0</v>
      </c>
      <c r="K2853" t="n">
        <v>0</v>
      </c>
      <c r="L2853" t="n">
        <v>0</v>
      </c>
      <c r="M2853" t="n">
        <v>0</v>
      </c>
      <c r="N2853" t="n">
        <v>0</v>
      </c>
      <c r="O2853" t="n">
        <v>0</v>
      </c>
      <c r="P2853" t="n">
        <v>0</v>
      </c>
      <c r="Q2853" t="n">
        <v>0</v>
      </c>
      <c r="R2853" s="2" t="inlineStr"/>
    </row>
    <row r="2854" ht="15" customHeight="1">
      <c r="A2854" t="inlineStr">
        <is>
          <t>A 52790-2020</t>
        </is>
      </c>
      <c r="B2854" s="1" t="n">
        <v>44118</v>
      </c>
      <c r="C2854" s="1" t="n">
        <v>45344</v>
      </c>
      <c r="D2854" t="inlineStr">
        <is>
          <t>GÄVLEBORGS LÄN</t>
        </is>
      </c>
      <c r="E2854" t="inlineStr">
        <is>
          <t>GÄVLE</t>
        </is>
      </c>
      <c r="F2854" t="inlineStr">
        <is>
          <t>Bergvik skog väst AB</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52772-2020</t>
        </is>
      </c>
      <c r="B2855" s="1" t="n">
        <v>44119</v>
      </c>
      <c r="C2855" s="1" t="n">
        <v>45344</v>
      </c>
      <c r="D2855" t="inlineStr">
        <is>
          <t>GÄVLEBORGS LÄN</t>
        </is>
      </c>
      <c r="E2855" t="inlineStr">
        <is>
          <t>LJUSDAL</t>
        </is>
      </c>
      <c r="F2855" t="inlineStr">
        <is>
          <t>Sveaskog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52886-2020</t>
        </is>
      </c>
      <c r="B2856" s="1" t="n">
        <v>44119</v>
      </c>
      <c r="C2856" s="1" t="n">
        <v>45344</v>
      </c>
      <c r="D2856" t="inlineStr">
        <is>
          <t>GÄVLEBORGS LÄN</t>
        </is>
      </c>
      <c r="E2856" t="inlineStr">
        <is>
          <t>SÖDERHAMN</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52767-2020</t>
        </is>
      </c>
      <c r="B2857" s="1" t="n">
        <v>44119</v>
      </c>
      <c r="C2857" s="1" t="n">
        <v>45344</v>
      </c>
      <c r="D2857" t="inlineStr">
        <is>
          <t>GÄVLEBORGS LÄN</t>
        </is>
      </c>
      <c r="E2857" t="inlineStr">
        <is>
          <t>LJUSDAL</t>
        </is>
      </c>
      <c r="F2857" t="inlineStr">
        <is>
          <t>Sveaskog</t>
        </is>
      </c>
      <c r="G2857" t="n">
        <v>5.1</v>
      </c>
      <c r="H2857" t="n">
        <v>0</v>
      </c>
      <c r="I2857" t="n">
        <v>0</v>
      </c>
      <c r="J2857" t="n">
        <v>0</v>
      </c>
      <c r="K2857" t="n">
        <v>0</v>
      </c>
      <c r="L2857" t="n">
        <v>0</v>
      </c>
      <c r="M2857" t="n">
        <v>0</v>
      </c>
      <c r="N2857" t="n">
        <v>0</v>
      </c>
      <c r="O2857" t="n">
        <v>0</v>
      </c>
      <c r="P2857" t="n">
        <v>0</v>
      </c>
      <c r="Q2857" t="n">
        <v>0</v>
      </c>
      <c r="R2857" s="2" t="inlineStr"/>
    </row>
    <row r="2858" ht="15" customHeight="1">
      <c r="A2858" t="inlineStr">
        <is>
          <t>A 52774-2020</t>
        </is>
      </c>
      <c r="B2858" s="1" t="n">
        <v>44119</v>
      </c>
      <c r="C2858" s="1" t="n">
        <v>45344</v>
      </c>
      <c r="D2858" t="inlineStr">
        <is>
          <t>GÄVLEBORGS LÄN</t>
        </is>
      </c>
      <c r="E2858" t="inlineStr">
        <is>
          <t>LJUSDAL</t>
        </is>
      </c>
      <c r="F2858" t="inlineStr">
        <is>
          <t>Sveaskog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52907-2020</t>
        </is>
      </c>
      <c r="B2859" s="1" t="n">
        <v>44119</v>
      </c>
      <c r="C2859" s="1" t="n">
        <v>45344</v>
      </c>
      <c r="D2859" t="inlineStr">
        <is>
          <t>GÄVLEBORGS LÄN</t>
        </is>
      </c>
      <c r="E2859" t="inlineStr">
        <is>
          <t>BOLLNÄS</t>
        </is>
      </c>
      <c r="F2859" t="inlineStr">
        <is>
          <t>Bergvik skog väst AB</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52908-2020</t>
        </is>
      </c>
      <c r="B2860" s="1" t="n">
        <v>44119</v>
      </c>
      <c r="C2860" s="1" t="n">
        <v>45344</v>
      </c>
      <c r="D2860" t="inlineStr">
        <is>
          <t>GÄVLEBORGS LÄN</t>
        </is>
      </c>
      <c r="E2860" t="inlineStr">
        <is>
          <t>BOLLNÄS</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52776-2020</t>
        </is>
      </c>
      <c r="B2861" s="1" t="n">
        <v>44119</v>
      </c>
      <c r="C2861" s="1" t="n">
        <v>45344</v>
      </c>
      <c r="D2861" t="inlineStr">
        <is>
          <t>GÄVLEBORGS LÄN</t>
        </is>
      </c>
      <c r="E2861" t="inlineStr">
        <is>
          <t>BOLLNÄS</t>
        </is>
      </c>
      <c r="F2861" t="inlineStr">
        <is>
          <t>Holmen skog AB</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52934-2020</t>
        </is>
      </c>
      <c r="B2862" s="1" t="n">
        <v>44120</v>
      </c>
      <c r="C2862" s="1" t="n">
        <v>45344</v>
      </c>
      <c r="D2862" t="inlineStr">
        <is>
          <t>GÄVLEBORGS LÄN</t>
        </is>
      </c>
      <c r="E2862" t="inlineStr">
        <is>
          <t>HUDIKSVALL</t>
        </is>
      </c>
      <c r="G2862" t="n">
        <v>4.5</v>
      </c>
      <c r="H2862" t="n">
        <v>0</v>
      </c>
      <c r="I2862" t="n">
        <v>0</v>
      </c>
      <c r="J2862" t="n">
        <v>0</v>
      </c>
      <c r="K2862" t="n">
        <v>0</v>
      </c>
      <c r="L2862" t="n">
        <v>0</v>
      </c>
      <c r="M2862" t="n">
        <v>0</v>
      </c>
      <c r="N2862" t="n">
        <v>0</v>
      </c>
      <c r="O2862" t="n">
        <v>0</v>
      </c>
      <c r="P2862" t="n">
        <v>0</v>
      </c>
      <c r="Q2862" t="n">
        <v>0</v>
      </c>
      <c r="R2862" s="2" t="inlineStr"/>
    </row>
    <row r="2863" ht="15" customHeight="1">
      <c r="A2863" t="inlineStr">
        <is>
          <t>A 52962-2020</t>
        </is>
      </c>
      <c r="B2863" s="1" t="n">
        <v>44120</v>
      </c>
      <c r="C2863" s="1" t="n">
        <v>45344</v>
      </c>
      <c r="D2863" t="inlineStr">
        <is>
          <t>GÄVLEBORGS LÄN</t>
        </is>
      </c>
      <c r="E2863" t="inlineStr">
        <is>
          <t>OVANÅKER</t>
        </is>
      </c>
      <c r="G2863" t="n">
        <v>5.3</v>
      </c>
      <c r="H2863" t="n">
        <v>0</v>
      </c>
      <c r="I2863" t="n">
        <v>0</v>
      </c>
      <c r="J2863" t="n">
        <v>0</v>
      </c>
      <c r="K2863" t="n">
        <v>0</v>
      </c>
      <c r="L2863" t="n">
        <v>0</v>
      </c>
      <c r="M2863" t="n">
        <v>0</v>
      </c>
      <c r="N2863" t="n">
        <v>0</v>
      </c>
      <c r="O2863" t="n">
        <v>0</v>
      </c>
      <c r="P2863" t="n">
        <v>0</v>
      </c>
      <c r="Q2863" t="n">
        <v>0</v>
      </c>
      <c r="R2863" s="2" t="inlineStr"/>
    </row>
    <row r="2864" ht="15" customHeight="1">
      <c r="A2864" t="inlineStr">
        <is>
          <t>A 52950-2020</t>
        </is>
      </c>
      <c r="B2864" s="1" t="n">
        <v>44120</v>
      </c>
      <c r="C2864" s="1" t="n">
        <v>45344</v>
      </c>
      <c r="D2864" t="inlineStr">
        <is>
          <t>GÄVLEBORGS LÄN</t>
        </is>
      </c>
      <c r="E2864" t="inlineStr">
        <is>
          <t>BOLLNÄS</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52966-2020</t>
        </is>
      </c>
      <c r="B2865" s="1" t="n">
        <v>44120</v>
      </c>
      <c r="C2865" s="1" t="n">
        <v>45344</v>
      </c>
      <c r="D2865" t="inlineStr">
        <is>
          <t>GÄVLEBORGS LÄN</t>
        </is>
      </c>
      <c r="E2865" t="inlineStr">
        <is>
          <t>NORDANSTIG</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53071-2020</t>
        </is>
      </c>
      <c r="B2866" s="1" t="n">
        <v>44120</v>
      </c>
      <c r="C2866" s="1" t="n">
        <v>45344</v>
      </c>
      <c r="D2866" t="inlineStr">
        <is>
          <t>GÄVLEBORGS LÄN</t>
        </is>
      </c>
      <c r="E2866" t="inlineStr">
        <is>
          <t>LJUSDAL</t>
        </is>
      </c>
      <c r="F2866" t="inlineStr">
        <is>
          <t>Sveaskog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53218-2020</t>
        </is>
      </c>
      <c r="B2867" s="1" t="n">
        <v>44123</v>
      </c>
      <c r="C2867" s="1" t="n">
        <v>45344</v>
      </c>
      <c r="D2867" t="inlineStr">
        <is>
          <t>GÄVLEBORGS LÄN</t>
        </is>
      </c>
      <c r="E2867" t="inlineStr">
        <is>
          <t>LJUSDAL</t>
        </is>
      </c>
      <c r="F2867" t="inlineStr">
        <is>
          <t>Sveaskog</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53220-2020</t>
        </is>
      </c>
      <c r="B2868" s="1" t="n">
        <v>44123</v>
      </c>
      <c r="C2868" s="1" t="n">
        <v>45344</v>
      </c>
      <c r="D2868" t="inlineStr">
        <is>
          <t>GÄVLEBORGS LÄN</t>
        </is>
      </c>
      <c r="E2868" t="inlineStr">
        <is>
          <t>OCKELBO</t>
        </is>
      </c>
      <c r="F2868" t="inlineStr">
        <is>
          <t>Bergvik skog väst AB</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53381-2020</t>
        </is>
      </c>
      <c r="B2869" s="1" t="n">
        <v>44123</v>
      </c>
      <c r="C2869" s="1" t="n">
        <v>45344</v>
      </c>
      <c r="D2869" t="inlineStr">
        <is>
          <t>GÄVLEBORGS LÄN</t>
        </is>
      </c>
      <c r="E2869" t="inlineStr">
        <is>
          <t>OCKELBO</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53466-2020</t>
        </is>
      </c>
      <c r="B2870" s="1" t="n">
        <v>44123</v>
      </c>
      <c r="C2870" s="1" t="n">
        <v>45344</v>
      </c>
      <c r="D2870" t="inlineStr">
        <is>
          <t>GÄVLEBORGS LÄN</t>
        </is>
      </c>
      <c r="E2870" t="inlineStr">
        <is>
          <t>HUDIKSVALL</t>
        </is>
      </c>
      <c r="F2870" t="inlineStr">
        <is>
          <t>Holmen skog AB</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53467-2020</t>
        </is>
      </c>
      <c r="B2871" s="1" t="n">
        <v>44123</v>
      </c>
      <c r="C2871" s="1" t="n">
        <v>45344</v>
      </c>
      <c r="D2871" t="inlineStr">
        <is>
          <t>GÄVLEBORGS LÄN</t>
        </is>
      </c>
      <c r="E2871" t="inlineStr">
        <is>
          <t>HUDIKSVALL</t>
        </is>
      </c>
      <c r="F2871" t="inlineStr">
        <is>
          <t>Holmen skog AB</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53492-2020</t>
        </is>
      </c>
      <c r="B2872" s="1" t="n">
        <v>44123</v>
      </c>
      <c r="C2872" s="1" t="n">
        <v>45344</v>
      </c>
      <c r="D2872" t="inlineStr">
        <is>
          <t>GÄVLEBORGS LÄN</t>
        </is>
      </c>
      <c r="E2872" t="inlineStr">
        <is>
          <t>SANDVIKEN</t>
        </is>
      </c>
      <c r="F2872" t="inlineStr">
        <is>
          <t>Sveaskog</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53470-2020</t>
        </is>
      </c>
      <c r="B2873" s="1" t="n">
        <v>44123</v>
      </c>
      <c r="C2873" s="1" t="n">
        <v>45344</v>
      </c>
      <c r="D2873" t="inlineStr">
        <is>
          <t>GÄVLEBORGS LÄN</t>
        </is>
      </c>
      <c r="E2873" t="inlineStr">
        <is>
          <t>GÄVLE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54967-2020</t>
        </is>
      </c>
      <c r="B2874" s="1" t="n">
        <v>44123</v>
      </c>
      <c r="C2874" s="1" t="n">
        <v>45344</v>
      </c>
      <c r="D2874" t="inlineStr">
        <is>
          <t>GÄVLEBORGS LÄN</t>
        </is>
      </c>
      <c r="E2874" t="inlineStr">
        <is>
          <t>SÖDERHAMN</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53730-2020</t>
        </is>
      </c>
      <c r="B2875" s="1" t="n">
        <v>44123</v>
      </c>
      <c r="C2875" s="1" t="n">
        <v>45344</v>
      </c>
      <c r="D2875" t="inlineStr">
        <is>
          <t>GÄVLEBORGS LÄN</t>
        </is>
      </c>
      <c r="E2875" t="inlineStr">
        <is>
          <t>HUDIKSVALL</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53517-2020</t>
        </is>
      </c>
      <c r="B2876" s="1" t="n">
        <v>44124</v>
      </c>
      <c r="C2876" s="1" t="n">
        <v>45344</v>
      </c>
      <c r="D2876" t="inlineStr">
        <is>
          <t>GÄVLEBORGS LÄN</t>
        </is>
      </c>
      <c r="E2876" t="inlineStr">
        <is>
          <t>GÄVLE</t>
        </is>
      </c>
      <c r="F2876" t="inlineStr">
        <is>
          <t>Bergvik skog öst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53529-2020</t>
        </is>
      </c>
      <c r="B2877" s="1" t="n">
        <v>44124</v>
      </c>
      <c r="C2877" s="1" t="n">
        <v>45344</v>
      </c>
      <c r="D2877" t="inlineStr">
        <is>
          <t>GÄVLEBORGS LÄN</t>
        </is>
      </c>
      <c r="E2877" t="inlineStr">
        <is>
          <t>LJUSDAL</t>
        </is>
      </c>
      <c r="F2877" t="inlineStr">
        <is>
          <t>Sveaskog</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53508-2020</t>
        </is>
      </c>
      <c r="B2878" s="1" t="n">
        <v>44124</v>
      </c>
      <c r="C2878" s="1" t="n">
        <v>45344</v>
      </c>
      <c r="D2878" t="inlineStr">
        <is>
          <t>GÄVLEBORGS LÄN</t>
        </is>
      </c>
      <c r="E2878" t="inlineStr">
        <is>
          <t>LJUSDAL</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53612-2020</t>
        </is>
      </c>
      <c r="B2879" s="1" t="n">
        <v>44124</v>
      </c>
      <c r="C2879" s="1" t="n">
        <v>45344</v>
      </c>
      <c r="D2879" t="inlineStr">
        <is>
          <t>GÄVLEBORGS LÄN</t>
        </is>
      </c>
      <c r="E2879" t="inlineStr">
        <is>
          <t>HUDIKSVALL</t>
        </is>
      </c>
      <c r="F2879" t="inlineStr">
        <is>
          <t>Holmen skog AB</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53648-2020</t>
        </is>
      </c>
      <c r="B2880" s="1" t="n">
        <v>44124</v>
      </c>
      <c r="C2880" s="1" t="n">
        <v>45344</v>
      </c>
      <c r="D2880" t="inlineStr">
        <is>
          <t>GÄVLEBORGS LÄN</t>
        </is>
      </c>
      <c r="E2880" t="inlineStr">
        <is>
          <t>NORDANSTIG</t>
        </is>
      </c>
      <c r="F2880" t="inlineStr">
        <is>
          <t>Holmen skog AB</t>
        </is>
      </c>
      <c r="G2880" t="n">
        <v>5.1</v>
      </c>
      <c r="H2880" t="n">
        <v>0</v>
      </c>
      <c r="I2880" t="n">
        <v>0</v>
      </c>
      <c r="J2880" t="n">
        <v>0</v>
      </c>
      <c r="K2880" t="n">
        <v>0</v>
      </c>
      <c r="L2880" t="n">
        <v>0</v>
      </c>
      <c r="M2880" t="n">
        <v>0</v>
      </c>
      <c r="N2880" t="n">
        <v>0</v>
      </c>
      <c r="O2880" t="n">
        <v>0</v>
      </c>
      <c r="P2880" t="n">
        <v>0</v>
      </c>
      <c r="Q2880" t="n">
        <v>0</v>
      </c>
      <c r="R2880" s="2" t="inlineStr"/>
    </row>
    <row r="2881" ht="15" customHeight="1">
      <c r="A2881" t="inlineStr">
        <is>
          <t>A 54031-2020</t>
        </is>
      </c>
      <c r="B2881" s="1" t="n">
        <v>44125</v>
      </c>
      <c r="C2881" s="1" t="n">
        <v>45344</v>
      </c>
      <c r="D2881" t="inlineStr">
        <is>
          <t>GÄVLEBORGS LÄN</t>
        </is>
      </c>
      <c r="E2881" t="inlineStr">
        <is>
          <t>GÄVLE</t>
        </is>
      </c>
      <c r="F2881" t="inlineStr">
        <is>
          <t>Bergvik skog öst AB</t>
        </is>
      </c>
      <c r="G2881" t="n">
        <v>4.9</v>
      </c>
      <c r="H2881" t="n">
        <v>0</v>
      </c>
      <c r="I2881" t="n">
        <v>0</v>
      </c>
      <c r="J2881" t="n">
        <v>0</v>
      </c>
      <c r="K2881" t="n">
        <v>0</v>
      </c>
      <c r="L2881" t="n">
        <v>0</v>
      </c>
      <c r="M2881" t="n">
        <v>0</v>
      </c>
      <c r="N2881" t="n">
        <v>0</v>
      </c>
      <c r="O2881" t="n">
        <v>0</v>
      </c>
      <c r="P2881" t="n">
        <v>0</v>
      </c>
      <c r="Q2881" t="n">
        <v>0</v>
      </c>
      <c r="R2881" s="2" t="inlineStr"/>
    </row>
    <row r="2882" ht="15" customHeight="1">
      <c r="A2882" t="inlineStr">
        <is>
          <t>A 54004-2020</t>
        </is>
      </c>
      <c r="B2882" s="1" t="n">
        <v>44125</v>
      </c>
      <c r="C2882" s="1" t="n">
        <v>45344</v>
      </c>
      <c r="D2882" t="inlineStr">
        <is>
          <t>GÄVLEBORGS LÄN</t>
        </is>
      </c>
      <c r="E2882" t="inlineStr">
        <is>
          <t>BOLLNÄS</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54053-2020</t>
        </is>
      </c>
      <c r="B2883" s="1" t="n">
        <v>44125</v>
      </c>
      <c r="C2883" s="1" t="n">
        <v>45344</v>
      </c>
      <c r="D2883" t="inlineStr">
        <is>
          <t>GÄVLEBORGS LÄN</t>
        </is>
      </c>
      <c r="E2883" t="inlineStr">
        <is>
          <t>GÄVLE</t>
        </is>
      </c>
      <c r="F2883" t="inlineStr">
        <is>
          <t>Bergvik skog öst AB</t>
        </is>
      </c>
      <c r="G2883" t="n">
        <v>0.3</v>
      </c>
      <c r="H2883" t="n">
        <v>0</v>
      </c>
      <c r="I2883" t="n">
        <v>0</v>
      </c>
      <c r="J2883" t="n">
        <v>0</v>
      </c>
      <c r="K2883" t="n">
        <v>0</v>
      </c>
      <c r="L2883" t="n">
        <v>0</v>
      </c>
      <c r="M2883" t="n">
        <v>0</v>
      </c>
      <c r="N2883" t="n">
        <v>0</v>
      </c>
      <c r="O2883" t="n">
        <v>0</v>
      </c>
      <c r="P2883" t="n">
        <v>0</v>
      </c>
      <c r="Q2883" t="n">
        <v>0</v>
      </c>
      <c r="R2883" s="2" t="inlineStr"/>
    </row>
    <row r="2884" ht="15" customHeight="1">
      <c r="A2884" t="inlineStr">
        <is>
          <t>A 54065-2020</t>
        </is>
      </c>
      <c r="B2884" s="1" t="n">
        <v>44125</v>
      </c>
      <c r="C2884" s="1" t="n">
        <v>45344</v>
      </c>
      <c r="D2884" t="inlineStr">
        <is>
          <t>GÄVLEBORGS LÄN</t>
        </is>
      </c>
      <c r="E2884" t="inlineStr">
        <is>
          <t>GÄVLE</t>
        </is>
      </c>
      <c r="F2884" t="inlineStr">
        <is>
          <t>Bergvik skog öst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54136-2020</t>
        </is>
      </c>
      <c r="B2885" s="1" t="n">
        <v>44125</v>
      </c>
      <c r="C2885" s="1" t="n">
        <v>45344</v>
      </c>
      <c r="D2885" t="inlineStr">
        <is>
          <t>GÄVLEBORGS LÄN</t>
        </is>
      </c>
      <c r="E2885" t="inlineStr">
        <is>
          <t>LJUSDAL</t>
        </is>
      </c>
      <c r="F2885" t="inlineStr">
        <is>
          <t>Sveaskog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53970-2020</t>
        </is>
      </c>
      <c r="B2886" s="1" t="n">
        <v>44125</v>
      </c>
      <c r="C2886" s="1" t="n">
        <v>45344</v>
      </c>
      <c r="D2886" t="inlineStr">
        <is>
          <t>GÄVLEBORGS LÄN</t>
        </is>
      </c>
      <c r="E2886" t="inlineStr">
        <is>
          <t>LJUSDAL</t>
        </is>
      </c>
      <c r="G2886" t="n">
        <v>6.4</v>
      </c>
      <c r="H2886" t="n">
        <v>0</v>
      </c>
      <c r="I2886" t="n">
        <v>0</v>
      </c>
      <c r="J2886" t="n">
        <v>0</v>
      </c>
      <c r="K2886" t="n">
        <v>0</v>
      </c>
      <c r="L2886" t="n">
        <v>0</v>
      </c>
      <c r="M2886" t="n">
        <v>0</v>
      </c>
      <c r="N2886" t="n">
        <v>0</v>
      </c>
      <c r="O2886" t="n">
        <v>0</v>
      </c>
      <c r="P2886" t="n">
        <v>0</v>
      </c>
      <c r="Q2886" t="n">
        <v>0</v>
      </c>
      <c r="R2886" s="2" t="inlineStr"/>
    </row>
    <row r="2887" ht="15" customHeight="1">
      <c r="A2887" t="inlineStr">
        <is>
          <t>A 54070-2020</t>
        </is>
      </c>
      <c r="B2887" s="1" t="n">
        <v>44125</v>
      </c>
      <c r="C2887" s="1" t="n">
        <v>45344</v>
      </c>
      <c r="D2887" t="inlineStr">
        <is>
          <t>GÄVLEBORGS LÄN</t>
        </is>
      </c>
      <c r="E2887" t="inlineStr">
        <is>
          <t>OVANÅKER</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54133-2020</t>
        </is>
      </c>
      <c r="B2888" s="1" t="n">
        <v>44125</v>
      </c>
      <c r="C2888" s="1" t="n">
        <v>45344</v>
      </c>
      <c r="D2888" t="inlineStr">
        <is>
          <t>GÄVLEBORGS LÄN</t>
        </is>
      </c>
      <c r="E2888" t="inlineStr">
        <is>
          <t>LJUSDAL</t>
        </is>
      </c>
      <c r="F2888" t="inlineStr">
        <is>
          <t>Sveaskog</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53850-2020</t>
        </is>
      </c>
      <c r="B2889" s="1" t="n">
        <v>44125</v>
      </c>
      <c r="C2889" s="1" t="n">
        <v>45344</v>
      </c>
      <c r="D2889" t="inlineStr">
        <is>
          <t>GÄVLEBORGS LÄN</t>
        </is>
      </c>
      <c r="E2889" t="inlineStr">
        <is>
          <t>LJUSDAL</t>
        </is>
      </c>
      <c r="F2889" t="inlineStr">
        <is>
          <t>Sveaskog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53853-2020</t>
        </is>
      </c>
      <c r="B2890" s="1" t="n">
        <v>44125</v>
      </c>
      <c r="C2890" s="1" t="n">
        <v>45344</v>
      </c>
      <c r="D2890" t="inlineStr">
        <is>
          <t>GÄVLEBORGS LÄN</t>
        </is>
      </c>
      <c r="E2890" t="inlineStr">
        <is>
          <t>BOLLNÄS</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53939-2020</t>
        </is>
      </c>
      <c r="B2891" s="1" t="n">
        <v>44125</v>
      </c>
      <c r="C2891" s="1" t="n">
        <v>45344</v>
      </c>
      <c r="D2891" t="inlineStr">
        <is>
          <t>GÄVLEBORGS LÄN</t>
        </is>
      </c>
      <c r="E2891" t="inlineStr">
        <is>
          <t>NORDANSTIG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54475-2020</t>
        </is>
      </c>
      <c r="B2892" s="1" t="n">
        <v>44126</v>
      </c>
      <c r="C2892" s="1" t="n">
        <v>45344</v>
      </c>
      <c r="D2892" t="inlineStr">
        <is>
          <t>GÄVLEBORGS LÄN</t>
        </is>
      </c>
      <c r="E2892" t="inlineStr">
        <is>
          <t>LJUSDAL</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54434-2020</t>
        </is>
      </c>
      <c r="B2893" s="1" t="n">
        <v>44126</v>
      </c>
      <c r="C2893" s="1" t="n">
        <v>45344</v>
      </c>
      <c r="D2893" t="inlineStr">
        <is>
          <t>GÄVLEBORGS LÄN</t>
        </is>
      </c>
      <c r="E2893" t="inlineStr">
        <is>
          <t>HUDIKSVALL</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54249-2020</t>
        </is>
      </c>
      <c r="B2894" s="1" t="n">
        <v>44126</v>
      </c>
      <c r="C2894" s="1" t="n">
        <v>45344</v>
      </c>
      <c r="D2894" t="inlineStr">
        <is>
          <t>GÄVLEBORGS LÄN</t>
        </is>
      </c>
      <c r="E2894" t="inlineStr">
        <is>
          <t>GÄVLE</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54294-2020</t>
        </is>
      </c>
      <c r="B2895" s="1" t="n">
        <v>44126</v>
      </c>
      <c r="C2895" s="1" t="n">
        <v>45344</v>
      </c>
      <c r="D2895" t="inlineStr">
        <is>
          <t>GÄVLEBORGS LÄN</t>
        </is>
      </c>
      <c r="E2895" t="inlineStr">
        <is>
          <t>GÄVLE</t>
        </is>
      </c>
      <c r="F2895" t="inlineStr">
        <is>
          <t>Bergvik skog öst AB</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54472-2020</t>
        </is>
      </c>
      <c r="B2896" s="1" t="n">
        <v>44126</v>
      </c>
      <c r="C2896" s="1" t="n">
        <v>45344</v>
      </c>
      <c r="D2896" t="inlineStr">
        <is>
          <t>GÄVLEBORGS LÄN</t>
        </is>
      </c>
      <c r="E2896" t="inlineStr">
        <is>
          <t>LJUSDAL</t>
        </is>
      </c>
      <c r="F2896" t="inlineStr">
        <is>
          <t>Bergvik skog väst AB</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54324-2020</t>
        </is>
      </c>
      <c r="B2897" s="1" t="n">
        <v>44126</v>
      </c>
      <c r="C2897" s="1" t="n">
        <v>45344</v>
      </c>
      <c r="D2897" t="inlineStr">
        <is>
          <t>GÄVLEBORGS LÄN</t>
        </is>
      </c>
      <c r="E2897" t="inlineStr">
        <is>
          <t>LJUSDAL</t>
        </is>
      </c>
      <c r="F2897" t="inlineStr">
        <is>
          <t>Sveaskog</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54595-2020</t>
        </is>
      </c>
      <c r="B2898" s="1" t="n">
        <v>44126</v>
      </c>
      <c r="C2898" s="1" t="n">
        <v>45344</v>
      </c>
      <c r="D2898" t="inlineStr">
        <is>
          <t>GÄVLEBORGS LÄN</t>
        </is>
      </c>
      <c r="E2898" t="inlineStr">
        <is>
          <t>LJUSDAL</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54616-2020</t>
        </is>
      </c>
      <c r="B2899" s="1" t="n">
        <v>44127</v>
      </c>
      <c r="C2899" s="1" t="n">
        <v>45344</v>
      </c>
      <c r="D2899" t="inlineStr">
        <is>
          <t>GÄVLEBORGS LÄN</t>
        </is>
      </c>
      <c r="E2899" t="inlineStr">
        <is>
          <t>GÄVLE</t>
        </is>
      </c>
      <c r="F2899" t="inlineStr">
        <is>
          <t>Bergvik skog öst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54675-2020</t>
        </is>
      </c>
      <c r="B2900" s="1" t="n">
        <v>44127</v>
      </c>
      <c r="C2900" s="1" t="n">
        <v>45344</v>
      </c>
      <c r="D2900" t="inlineStr">
        <is>
          <t>GÄVLEBORGS LÄN</t>
        </is>
      </c>
      <c r="E2900" t="inlineStr">
        <is>
          <t>BOLLNÄS</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54704-2020</t>
        </is>
      </c>
      <c r="B2901" s="1" t="n">
        <v>44127</v>
      </c>
      <c r="C2901" s="1" t="n">
        <v>45344</v>
      </c>
      <c r="D2901" t="inlineStr">
        <is>
          <t>GÄVLEBORGS LÄN</t>
        </is>
      </c>
      <c r="E2901" t="inlineStr">
        <is>
          <t>BOLLNÄS</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54745-2020</t>
        </is>
      </c>
      <c r="B2902" s="1" t="n">
        <v>44127</v>
      </c>
      <c r="C2902" s="1" t="n">
        <v>45344</v>
      </c>
      <c r="D2902" t="inlineStr">
        <is>
          <t>GÄVLEBORGS LÄN</t>
        </is>
      </c>
      <c r="E2902" t="inlineStr">
        <is>
          <t>NORDANSTIG</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54624-2020</t>
        </is>
      </c>
      <c r="B2903" s="1" t="n">
        <v>44127</v>
      </c>
      <c r="C2903" s="1" t="n">
        <v>45344</v>
      </c>
      <c r="D2903" t="inlineStr">
        <is>
          <t>GÄVLEBORGS LÄN</t>
        </is>
      </c>
      <c r="E2903" t="inlineStr">
        <is>
          <t>GÄVLE</t>
        </is>
      </c>
      <c r="F2903" t="inlineStr">
        <is>
          <t>Bergvik skog öst AB</t>
        </is>
      </c>
      <c r="G2903" t="n">
        <v>0.3</v>
      </c>
      <c r="H2903" t="n">
        <v>0</v>
      </c>
      <c r="I2903" t="n">
        <v>0</v>
      </c>
      <c r="J2903" t="n">
        <v>0</v>
      </c>
      <c r="K2903" t="n">
        <v>0</v>
      </c>
      <c r="L2903" t="n">
        <v>0</v>
      </c>
      <c r="M2903" t="n">
        <v>0</v>
      </c>
      <c r="N2903" t="n">
        <v>0</v>
      </c>
      <c r="O2903" t="n">
        <v>0</v>
      </c>
      <c r="P2903" t="n">
        <v>0</v>
      </c>
      <c r="Q2903" t="n">
        <v>0</v>
      </c>
      <c r="R2903" s="2" t="inlineStr"/>
    </row>
    <row r="2904" ht="15" customHeight="1">
      <c r="A2904" t="inlineStr">
        <is>
          <t>A 54661-2020</t>
        </is>
      </c>
      <c r="B2904" s="1" t="n">
        <v>44127</v>
      </c>
      <c r="C2904" s="1" t="n">
        <v>45344</v>
      </c>
      <c r="D2904" t="inlineStr">
        <is>
          <t>GÄVLEBORGS LÄN</t>
        </is>
      </c>
      <c r="E2904" t="inlineStr">
        <is>
          <t>NORDANSTIG</t>
        </is>
      </c>
      <c r="G2904" t="n">
        <v>0.6</v>
      </c>
      <c r="H2904" t="n">
        <v>0</v>
      </c>
      <c r="I2904" t="n">
        <v>0</v>
      </c>
      <c r="J2904" t="n">
        <v>0</v>
      </c>
      <c r="K2904" t="n">
        <v>0</v>
      </c>
      <c r="L2904" t="n">
        <v>0</v>
      </c>
      <c r="M2904" t="n">
        <v>0</v>
      </c>
      <c r="N2904" t="n">
        <v>0</v>
      </c>
      <c r="O2904" t="n">
        <v>0</v>
      </c>
      <c r="P2904" t="n">
        <v>0</v>
      </c>
      <c r="Q2904" t="n">
        <v>0</v>
      </c>
      <c r="R2904" s="2" t="inlineStr"/>
    </row>
    <row r="2905" ht="15" customHeight="1">
      <c r="A2905" t="inlineStr">
        <is>
          <t>A 54699-2020</t>
        </is>
      </c>
      <c r="B2905" s="1" t="n">
        <v>44127</v>
      </c>
      <c r="C2905" s="1" t="n">
        <v>45344</v>
      </c>
      <c r="D2905" t="inlineStr">
        <is>
          <t>GÄVLEBORGS LÄN</t>
        </is>
      </c>
      <c r="E2905" t="inlineStr">
        <is>
          <t>BOLLNÄS</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54620-2020</t>
        </is>
      </c>
      <c r="B2906" s="1" t="n">
        <v>44127</v>
      </c>
      <c r="C2906" s="1" t="n">
        <v>45344</v>
      </c>
      <c r="D2906" t="inlineStr">
        <is>
          <t>GÄVLEBORGS LÄN</t>
        </is>
      </c>
      <c r="E2906" t="inlineStr">
        <is>
          <t>GÄVLE</t>
        </is>
      </c>
      <c r="F2906" t="inlineStr">
        <is>
          <t>Bergvik skog öst AB</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54638-2020</t>
        </is>
      </c>
      <c r="B2907" s="1" t="n">
        <v>44127</v>
      </c>
      <c r="C2907" s="1" t="n">
        <v>45344</v>
      </c>
      <c r="D2907" t="inlineStr">
        <is>
          <t>GÄVLEBORGS LÄN</t>
        </is>
      </c>
      <c r="E2907" t="inlineStr">
        <is>
          <t>GÄVLE</t>
        </is>
      </c>
      <c r="F2907" t="inlineStr">
        <is>
          <t>Bergvik skog öst AB</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54940-2020</t>
        </is>
      </c>
      <c r="B2908" s="1" t="n">
        <v>44129</v>
      </c>
      <c r="C2908" s="1" t="n">
        <v>45344</v>
      </c>
      <c r="D2908" t="inlineStr">
        <is>
          <t>GÄVLEBORGS LÄN</t>
        </is>
      </c>
      <c r="E2908" t="inlineStr">
        <is>
          <t>OCKELBO</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54969-2020</t>
        </is>
      </c>
      <c r="B2909" s="1" t="n">
        <v>44130</v>
      </c>
      <c r="C2909" s="1" t="n">
        <v>45344</v>
      </c>
      <c r="D2909" t="inlineStr">
        <is>
          <t>GÄVLEBORGS LÄN</t>
        </is>
      </c>
      <c r="E2909" t="inlineStr">
        <is>
          <t>BOLLNÄS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55131-2020</t>
        </is>
      </c>
      <c r="B2910" s="1" t="n">
        <v>44130</v>
      </c>
      <c r="C2910" s="1" t="n">
        <v>45344</v>
      </c>
      <c r="D2910" t="inlineStr">
        <is>
          <t>GÄVLEBORGS LÄN</t>
        </is>
      </c>
      <c r="E2910" t="inlineStr">
        <is>
          <t>NORDANSTIG</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55262-2020</t>
        </is>
      </c>
      <c r="B2911" s="1" t="n">
        <v>44130</v>
      </c>
      <c r="C2911" s="1" t="n">
        <v>45344</v>
      </c>
      <c r="D2911" t="inlineStr">
        <is>
          <t>GÄVLEBORGS LÄN</t>
        </is>
      </c>
      <c r="E2911" t="inlineStr">
        <is>
          <t>SÖDERHAMN</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55269-2020</t>
        </is>
      </c>
      <c r="B2912" s="1" t="n">
        <v>44130</v>
      </c>
      <c r="C2912" s="1" t="n">
        <v>45344</v>
      </c>
      <c r="D2912" t="inlineStr">
        <is>
          <t>GÄVLEBORGS LÄN</t>
        </is>
      </c>
      <c r="E2912" t="inlineStr">
        <is>
          <t>SÖDERHAMN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55301-2020</t>
        </is>
      </c>
      <c r="B2913" s="1" t="n">
        <v>44130</v>
      </c>
      <c r="C2913" s="1" t="n">
        <v>45344</v>
      </c>
      <c r="D2913" t="inlineStr">
        <is>
          <t>GÄVLEBORGS LÄN</t>
        </is>
      </c>
      <c r="E2913" t="inlineStr">
        <is>
          <t>HOFORS</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55147-2020</t>
        </is>
      </c>
      <c r="B2914" s="1" t="n">
        <v>44130</v>
      </c>
      <c r="C2914" s="1" t="n">
        <v>45344</v>
      </c>
      <c r="D2914" t="inlineStr">
        <is>
          <t>GÄVLEBORGS LÄN</t>
        </is>
      </c>
      <c r="E2914" t="inlineStr">
        <is>
          <t>NORDANSTIG</t>
        </is>
      </c>
      <c r="G2914" t="n">
        <v>0.2</v>
      </c>
      <c r="H2914" t="n">
        <v>0</v>
      </c>
      <c r="I2914" t="n">
        <v>0</v>
      </c>
      <c r="J2914" t="n">
        <v>0</v>
      </c>
      <c r="K2914" t="n">
        <v>0</v>
      </c>
      <c r="L2914" t="n">
        <v>0</v>
      </c>
      <c r="M2914" t="n">
        <v>0</v>
      </c>
      <c r="N2914" t="n">
        <v>0</v>
      </c>
      <c r="O2914" t="n">
        <v>0</v>
      </c>
      <c r="P2914" t="n">
        <v>0</v>
      </c>
      <c r="Q2914" t="n">
        <v>0</v>
      </c>
      <c r="R2914" s="2" t="inlineStr"/>
    </row>
    <row r="2915" ht="15" customHeight="1">
      <c r="A2915" t="inlineStr">
        <is>
          <t>A 55299-2020</t>
        </is>
      </c>
      <c r="B2915" s="1" t="n">
        <v>44130</v>
      </c>
      <c r="C2915" s="1" t="n">
        <v>45344</v>
      </c>
      <c r="D2915" t="inlineStr">
        <is>
          <t>GÄVLEBORGS LÄN</t>
        </is>
      </c>
      <c r="E2915" t="inlineStr">
        <is>
          <t>SÖDERHAMN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55606-2020</t>
        </is>
      </c>
      <c r="B2916" s="1" t="n">
        <v>44131</v>
      </c>
      <c r="C2916" s="1" t="n">
        <v>45344</v>
      </c>
      <c r="D2916" t="inlineStr">
        <is>
          <t>GÄVLEBORGS LÄN</t>
        </is>
      </c>
      <c r="E2916" t="inlineStr">
        <is>
          <t>OVANÅKER</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55600-2020</t>
        </is>
      </c>
      <c r="B2917" s="1" t="n">
        <v>44131</v>
      </c>
      <c r="C2917" s="1" t="n">
        <v>45344</v>
      </c>
      <c r="D2917" t="inlineStr">
        <is>
          <t>GÄVLEBORGS LÄN</t>
        </is>
      </c>
      <c r="E2917" t="inlineStr">
        <is>
          <t>OVANÅKER</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55446-2020</t>
        </is>
      </c>
      <c r="B2918" s="1" t="n">
        <v>44131</v>
      </c>
      <c r="C2918" s="1" t="n">
        <v>45344</v>
      </c>
      <c r="D2918" t="inlineStr">
        <is>
          <t>GÄVLEBORGS LÄN</t>
        </is>
      </c>
      <c r="E2918" t="inlineStr">
        <is>
          <t>HUDIKSVALL</t>
        </is>
      </c>
      <c r="F2918" t="inlineStr">
        <is>
          <t>Sveaskog</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55487-2020</t>
        </is>
      </c>
      <c r="B2919" s="1" t="n">
        <v>44131</v>
      </c>
      <c r="C2919" s="1" t="n">
        <v>45344</v>
      </c>
      <c r="D2919" t="inlineStr">
        <is>
          <t>GÄVLEBORGS LÄN</t>
        </is>
      </c>
      <c r="E2919" t="inlineStr">
        <is>
          <t>HUDIKSVALL</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55604-2020</t>
        </is>
      </c>
      <c r="B2920" s="1" t="n">
        <v>44131</v>
      </c>
      <c r="C2920" s="1" t="n">
        <v>45344</v>
      </c>
      <c r="D2920" t="inlineStr">
        <is>
          <t>GÄVLEBORGS LÄN</t>
        </is>
      </c>
      <c r="E2920" t="inlineStr">
        <is>
          <t>OVANÅKER</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55766-2020</t>
        </is>
      </c>
      <c r="B2921" s="1" t="n">
        <v>44132</v>
      </c>
      <c r="C2921" s="1" t="n">
        <v>45344</v>
      </c>
      <c r="D2921" t="inlineStr">
        <is>
          <t>GÄVLEBORGS LÄN</t>
        </is>
      </c>
      <c r="E2921" t="inlineStr">
        <is>
          <t>NORDANSTIG</t>
        </is>
      </c>
      <c r="F2921" t="inlineStr">
        <is>
          <t>Holmen skog AB</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55848-2020</t>
        </is>
      </c>
      <c r="B2922" s="1" t="n">
        <v>44132</v>
      </c>
      <c r="C2922" s="1" t="n">
        <v>45344</v>
      </c>
      <c r="D2922" t="inlineStr">
        <is>
          <t>GÄVLEBORGS LÄN</t>
        </is>
      </c>
      <c r="E2922" t="inlineStr">
        <is>
          <t>SANDVIKEN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55922-2020</t>
        </is>
      </c>
      <c r="B2923" s="1" t="n">
        <v>44132</v>
      </c>
      <c r="C2923" s="1" t="n">
        <v>45344</v>
      </c>
      <c r="D2923" t="inlineStr">
        <is>
          <t>GÄVLEBORGS LÄN</t>
        </is>
      </c>
      <c r="E2923" t="inlineStr">
        <is>
          <t>HUDIKSVALL</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56149-2020</t>
        </is>
      </c>
      <c r="B2924" s="1" t="n">
        <v>44133</v>
      </c>
      <c r="C2924" s="1" t="n">
        <v>45344</v>
      </c>
      <c r="D2924" t="inlineStr">
        <is>
          <t>GÄVLEBORGS LÄN</t>
        </is>
      </c>
      <c r="E2924" t="inlineStr">
        <is>
          <t>BOLLNÄS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56139-2020</t>
        </is>
      </c>
      <c r="B2925" s="1" t="n">
        <v>44133</v>
      </c>
      <c r="C2925" s="1" t="n">
        <v>45344</v>
      </c>
      <c r="D2925" t="inlineStr">
        <is>
          <t>GÄVLEBORGS LÄN</t>
        </is>
      </c>
      <c r="E2925" t="inlineStr">
        <is>
          <t>BOLLNÄS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56151-2020</t>
        </is>
      </c>
      <c r="B2926" s="1" t="n">
        <v>44133</v>
      </c>
      <c r="C2926" s="1" t="n">
        <v>45344</v>
      </c>
      <c r="D2926" t="inlineStr">
        <is>
          <t>GÄVLEBORGS LÄN</t>
        </is>
      </c>
      <c r="E2926" t="inlineStr">
        <is>
          <t>BOLLNÄS</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56123-2020</t>
        </is>
      </c>
      <c r="B2927" s="1" t="n">
        <v>44133</v>
      </c>
      <c r="C2927" s="1" t="n">
        <v>45344</v>
      </c>
      <c r="D2927" t="inlineStr">
        <is>
          <t>GÄVLEBORGS LÄN</t>
        </is>
      </c>
      <c r="E2927" t="inlineStr">
        <is>
          <t>HUDIKSVALL</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55993-2020</t>
        </is>
      </c>
      <c r="B2928" s="1" t="n">
        <v>44133</v>
      </c>
      <c r="C2928" s="1" t="n">
        <v>45344</v>
      </c>
      <c r="D2928" t="inlineStr">
        <is>
          <t>GÄVLEBORGS LÄN</t>
        </is>
      </c>
      <c r="E2928" t="inlineStr">
        <is>
          <t>HUDIKSVALL</t>
        </is>
      </c>
      <c r="F2928" t="inlineStr">
        <is>
          <t>Sveaskog</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56468-2020</t>
        </is>
      </c>
      <c r="B2929" s="1" t="n">
        <v>44133</v>
      </c>
      <c r="C2929" s="1" t="n">
        <v>45344</v>
      </c>
      <c r="D2929" t="inlineStr">
        <is>
          <t>GÄVLEBORGS LÄN</t>
        </is>
      </c>
      <c r="E2929" t="inlineStr">
        <is>
          <t>SÖDERHAMN</t>
        </is>
      </c>
      <c r="G2929" t="n">
        <v>12.8</v>
      </c>
      <c r="H2929" t="n">
        <v>0</v>
      </c>
      <c r="I2929" t="n">
        <v>0</v>
      </c>
      <c r="J2929" t="n">
        <v>0</v>
      </c>
      <c r="K2929" t="n">
        <v>0</v>
      </c>
      <c r="L2929" t="n">
        <v>0</v>
      </c>
      <c r="M2929" t="n">
        <v>0</v>
      </c>
      <c r="N2929" t="n">
        <v>0</v>
      </c>
      <c r="O2929" t="n">
        <v>0</v>
      </c>
      <c r="P2929" t="n">
        <v>0</v>
      </c>
      <c r="Q2929" t="n">
        <v>0</v>
      </c>
      <c r="R2929" s="2" t="inlineStr"/>
    </row>
    <row r="2930" ht="15" customHeight="1">
      <c r="A2930" t="inlineStr">
        <is>
          <t>A 56221-2020</t>
        </is>
      </c>
      <c r="B2930" s="1" t="n">
        <v>44134</v>
      </c>
      <c r="C2930" s="1" t="n">
        <v>45344</v>
      </c>
      <c r="D2930" t="inlineStr">
        <is>
          <t>GÄVLEBORGS LÄN</t>
        </is>
      </c>
      <c r="E2930" t="inlineStr">
        <is>
          <t>GÄVLE</t>
        </is>
      </c>
      <c r="G2930" t="n">
        <v>4.9</v>
      </c>
      <c r="H2930" t="n">
        <v>0</v>
      </c>
      <c r="I2930" t="n">
        <v>0</v>
      </c>
      <c r="J2930" t="n">
        <v>0</v>
      </c>
      <c r="K2930" t="n">
        <v>0</v>
      </c>
      <c r="L2930" t="n">
        <v>0</v>
      </c>
      <c r="M2930" t="n">
        <v>0</v>
      </c>
      <c r="N2930" t="n">
        <v>0</v>
      </c>
      <c r="O2930" t="n">
        <v>0</v>
      </c>
      <c r="P2930" t="n">
        <v>0</v>
      </c>
      <c r="Q2930" t="n">
        <v>0</v>
      </c>
      <c r="R2930" s="2" t="inlineStr"/>
    </row>
    <row r="2931" ht="15" customHeight="1">
      <c r="A2931" t="inlineStr">
        <is>
          <t>A 56458-2020</t>
        </is>
      </c>
      <c r="B2931" s="1" t="n">
        <v>44137</v>
      </c>
      <c r="C2931" s="1" t="n">
        <v>45344</v>
      </c>
      <c r="D2931" t="inlineStr">
        <is>
          <t>GÄVLEBORGS LÄN</t>
        </is>
      </c>
      <c r="E2931" t="inlineStr">
        <is>
          <t>HUDIKSVALL</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56597-2020</t>
        </is>
      </c>
      <c r="B2932" s="1" t="n">
        <v>44137</v>
      </c>
      <c r="C2932" s="1" t="n">
        <v>45344</v>
      </c>
      <c r="D2932" t="inlineStr">
        <is>
          <t>GÄVLEBORGS LÄN</t>
        </is>
      </c>
      <c r="E2932" t="inlineStr">
        <is>
          <t>HUDIKSVALL</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56641-2020</t>
        </is>
      </c>
      <c r="B2933" s="1" t="n">
        <v>44137</v>
      </c>
      <c r="C2933" s="1" t="n">
        <v>45344</v>
      </c>
      <c r="D2933" t="inlineStr">
        <is>
          <t>GÄVLEBORGS LÄN</t>
        </is>
      </c>
      <c r="E2933" t="inlineStr">
        <is>
          <t>BOLLNÄS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56671-2020</t>
        </is>
      </c>
      <c r="B2934" s="1" t="n">
        <v>44137</v>
      </c>
      <c r="C2934" s="1" t="n">
        <v>45344</v>
      </c>
      <c r="D2934" t="inlineStr">
        <is>
          <t>GÄVLEBORGS LÄN</t>
        </is>
      </c>
      <c r="E2934" t="inlineStr">
        <is>
          <t>HOFORS</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56503-2020</t>
        </is>
      </c>
      <c r="B2935" s="1" t="n">
        <v>44137</v>
      </c>
      <c r="C2935" s="1" t="n">
        <v>45344</v>
      </c>
      <c r="D2935" t="inlineStr">
        <is>
          <t>GÄVLEBORGS LÄN</t>
        </is>
      </c>
      <c r="E2935" t="inlineStr">
        <is>
          <t>OVANÅKER</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56603-2020</t>
        </is>
      </c>
      <c r="B2936" s="1" t="n">
        <v>44137</v>
      </c>
      <c r="C2936" s="1" t="n">
        <v>45344</v>
      </c>
      <c r="D2936" t="inlineStr">
        <is>
          <t>GÄVLEBORGS LÄN</t>
        </is>
      </c>
      <c r="E2936" t="inlineStr">
        <is>
          <t>HOFORS</t>
        </is>
      </c>
      <c r="F2936" t="inlineStr">
        <is>
          <t>Sveaskog</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56626-2020</t>
        </is>
      </c>
      <c r="B2937" s="1" t="n">
        <v>44137</v>
      </c>
      <c r="C2937" s="1" t="n">
        <v>45344</v>
      </c>
      <c r="D2937" t="inlineStr">
        <is>
          <t>GÄVLEBORGS LÄN</t>
        </is>
      </c>
      <c r="E2937" t="inlineStr">
        <is>
          <t>OVANÅKER</t>
        </is>
      </c>
      <c r="G2937" t="n">
        <v>11.4</v>
      </c>
      <c r="H2937" t="n">
        <v>0</v>
      </c>
      <c r="I2937" t="n">
        <v>0</v>
      </c>
      <c r="J2937" t="n">
        <v>0</v>
      </c>
      <c r="K2937" t="n">
        <v>0</v>
      </c>
      <c r="L2937" t="n">
        <v>0</v>
      </c>
      <c r="M2937" t="n">
        <v>0</v>
      </c>
      <c r="N2937" t="n">
        <v>0</v>
      </c>
      <c r="O2937" t="n">
        <v>0</v>
      </c>
      <c r="P2937" t="n">
        <v>0</v>
      </c>
      <c r="Q2937" t="n">
        <v>0</v>
      </c>
      <c r="R2937" s="2" t="inlineStr"/>
    </row>
    <row r="2938" ht="15" customHeight="1">
      <c r="A2938" t="inlineStr">
        <is>
          <t>A 56667-2020</t>
        </is>
      </c>
      <c r="B2938" s="1" t="n">
        <v>44137</v>
      </c>
      <c r="C2938" s="1" t="n">
        <v>45344</v>
      </c>
      <c r="D2938" t="inlineStr">
        <is>
          <t>GÄVLEBORGS LÄN</t>
        </is>
      </c>
      <c r="E2938" t="inlineStr">
        <is>
          <t>SANDVIKEN</t>
        </is>
      </c>
      <c r="F2938" t="inlineStr">
        <is>
          <t>Sveaskog</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56991-2020</t>
        </is>
      </c>
      <c r="B2939" s="1" t="n">
        <v>44138</v>
      </c>
      <c r="C2939" s="1" t="n">
        <v>45344</v>
      </c>
      <c r="D2939" t="inlineStr">
        <is>
          <t>GÄVLEBORGS LÄN</t>
        </is>
      </c>
      <c r="E2939" t="inlineStr">
        <is>
          <t>NORDANSTIG</t>
        </is>
      </c>
      <c r="G2939" t="n">
        <v>1.6</v>
      </c>
      <c r="H2939" t="n">
        <v>0</v>
      </c>
      <c r="I2939" t="n">
        <v>0</v>
      </c>
      <c r="J2939" t="n">
        <v>0</v>
      </c>
      <c r="K2939" t="n">
        <v>0</v>
      </c>
      <c r="L2939" t="n">
        <v>0</v>
      </c>
      <c r="M2939" t="n">
        <v>0</v>
      </c>
      <c r="N2939" t="n">
        <v>0</v>
      </c>
      <c r="O2939" t="n">
        <v>0</v>
      </c>
      <c r="P2939" t="n">
        <v>0</v>
      </c>
      <c r="Q2939" t="n">
        <v>0</v>
      </c>
      <c r="R2939" s="2" t="inlineStr"/>
    </row>
    <row r="2940" ht="15" customHeight="1">
      <c r="A2940" t="inlineStr">
        <is>
          <t>A 57205-2020</t>
        </is>
      </c>
      <c r="B2940" s="1" t="n">
        <v>44139</v>
      </c>
      <c r="C2940" s="1" t="n">
        <v>45344</v>
      </c>
      <c r="D2940" t="inlineStr">
        <is>
          <t>GÄVLEBORGS LÄN</t>
        </is>
      </c>
      <c r="E2940" t="inlineStr">
        <is>
          <t>SÖDERHAMN</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57194-2020</t>
        </is>
      </c>
      <c r="B2941" s="1" t="n">
        <v>44139</v>
      </c>
      <c r="C2941" s="1" t="n">
        <v>45344</v>
      </c>
      <c r="D2941" t="inlineStr">
        <is>
          <t>GÄVLEBORGS LÄN</t>
        </is>
      </c>
      <c r="E2941" t="inlineStr">
        <is>
          <t>NORDANSTIG</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57244-2020</t>
        </is>
      </c>
      <c r="B2942" s="1" t="n">
        <v>44139</v>
      </c>
      <c r="C2942" s="1" t="n">
        <v>45344</v>
      </c>
      <c r="D2942" t="inlineStr">
        <is>
          <t>GÄVLEBORGS LÄN</t>
        </is>
      </c>
      <c r="E2942" t="inlineStr">
        <is>
          <t>NORDANSTIG</t>
        </is>
      </c>
      <c r="F2942" t="inlineStr">
        <is>
          <t>Holmen skog AB</t>
        </is>
      </c>
      <c r="G2942" t="n">
        <v>8.300000000000001</v>
      </c>
      <c r="H2942" t="n">
        <v>0</v>
      </c>
      <c r="I2942" t="n">
        <v>0</v>
      </c>
      <c r="J2942" t="n">
        <v>0</v>
      </c>
      <c r="K2942" t="n">
        <v>0</v>
      </c>
      <c r="L2942" t="n">
        <v>0</v>
      </c>
      <c r="M2942" t="n">
        <v>0</v>
      </c>
      <c r="N2942" t="n">
        <v>0</v>
      </c>
      <c r="O2942" t="n">
        <v>0</v>
      </c>
      <c r="P2942" t="n">
        <v>0</v>
      </c>
      <c r="Q2942" t="n">
        <v>0</v>
      </c>
      <c r="R2942" s="2" t="inlineStr"/>
    </row>
    <row r="2943" ht="15" customHeight="1">
      <c r="A2943" t="inlineStr">
        <is>
          <t>A 57273-2020</t>
        </is>
      </c>
      <c r="B2943" s="1" t="n">
        <v>44139</v>
      </c>
      <c r="C2943" s="1" t="n">
        <v>45344</v>
      </c>
      <c r="D2943" t="inlineStr">
        <is>
          <t>GÄVLEBORGS LÄN</t>
        </is>
      </c>
      <c r="E2943" t="inlineStr">
        <is>
          <t>NORDANSTIG</t>
        </is>
      </c>
      <c r="F2943" t="inlineStr">
        <is>
          <t>Holmen skog AB</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57535-2020</t>
        </is>
      </c>
      <c r="B2944" s="1" t="n">
        <v>44140</v>
      </c>
      <c r="C2944" s="1" t="n">
        <v>45344</v>
      </c>
      <c r="D2944" t="inlineStr">
        <is>
          <t>GÄVLEBORGS LÄN</t>
        </is>
      </c>
      <c r="E2944" t="inlineStr">
        <is>
          <t>GÄVLE</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57702-2020</t>
        </is>
      </c>
      <c r="B2945" s="1" t="n">
        <v>44140</v>
      </c>
      <c r="C2945" s="1" t="n">
        <v>45344</v>
      </c>
      <c r="D2945" t="inlineStr">
        <is>
          <t>GÄVLEBORGS LÄN</t>
        </is>
      </c>
      <c r="E2945" t="inlineStr">
        <is>
          <t>GÄVLE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57706-2020</t>
        </is>
      </c>
      <c r="B2946" s="1" t="n">
        <v>44140</v>
      </c>
      <c r="C2946" s="1" t="n">
        <v>45344</v>
      </c>
      <c r="D2946" t="inlineStr">
        <is>
          <t>GÄVLEBORGS LÄN</t>
        </is>
      </c>
      <c r="E2946" t="inlineStr">
        <is>
          <t>GÄVLE</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57634-2020</t>
        </is>
      </c>
      <c r="B2947" s="1" t="n">
        <v>44140</v>
      </c>
      <c r="C2947" s="1" t="n">
        <v>45344</v>
      </c>
      <c r="D2947" t="inlineStr">
        <is>
          <t>GÄVLEBORGS LÄN</t>
        </is>
      </c>
      <c r="E2947" t="inlineStr">
        <is>
          <t>BOLLNÄS</t>
        </is>
      </c>
      <c r="F2947" t="inlineStr">
        <is>
          <t>Holmen skog AB</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57886-2020</t>
        </is>
      </c>
      <c r="B2948" s="1" t="n">
        <v>44140</v>
      </c>
      <c r="C2948" s="1" t="n">
        <v>45344</v>
      </c>
      <c r="D2948" t="inlineStr">
        <is>
          <t>GÄVLEBORGS LÄN</t>
        </is>
      </c>
      <c r="E2948" t="inlineStr">
        <is>
          <t>NORDANSTIG</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57826-2020</t>
        </is>
      </c>
      <c r="B2949" s="1" t="n">
        <v>44141</v>
      </c>
      <c r="C2949" s="1" t="n">
        <v>45344</v>
      </c>
      <c r="D2949" t="inlineStr">
        <is>
          <t>GÄVLEBORGS LÄN</t>
        </is>
      </c>
      <c r="E2949" t="inlineStr">
        <is>
          <t>LJUSDAL</t>
        </is>
      </c>
      <c r="F2949" t="inlineStr">
        <is>
          <t>Holmen skog AB</t>
        </is>
      </c>
      <c r="G2949" t="n">
        <v>16.8</v>
      </c>
      <c r="H2949" t="n">
        <v>0</v>
      </c>
      <c r="I2949" t="n">
        <v>0</v>
      </c>
      <c r="J2949" t="n">
        <v>0</v>
      </c>
      <c r="K2949" t="n">
        <v>0</v>
      </c>
      <c r="L2949" t="n">
        <v>0</v>
      </c>
      <c r="M2949" t="n">
        <v>0</v>
      </c>
      <c r="N2949" t="n">
        <v>0</v>
      </c>
      <c r="O2949" t="n">
        <v>0</v>
      </c>
      <c r="P2949" t="n">
        <v>0</v>
      </c>
      <c r="Q2949" t="n">
        <v>0</v>
      </c>
      <c r="R2949" s="2" t="inlineStr"/>
    </row>
    <row r="2950" ht="15" customHeight="1">
      <c r="A2950" t="inlineStr">
        <is>
          <t>A 57885-2020</t>
        </is>
      </c>
      <c r="B2950" s="1" t="n">
        <v>44141</v>
      </c>
      <c r="C2950" s="1" t="n">
        <v>45344</v>
      </c>
      <c r="D2950" t="inlineStr">
        <is>
          <t>GÄVLEBORGS LÄN</t>
        </is>
      </c>
      <c r="E2950" t="inlineStr">
        <is>
          <t>BOLLNÄS</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58001-2020</t>
        </is>
      </c>
      <c r="B2951" s="1" t="n">
        <v>44144</v>
      </c>
      <c r="C2951" s="1" t="n">
        <v>45344</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58030-2020</t>
        </is>
      </c>
      <c r="B2952" s="1" t="n">
        <v>44144</v>
      </c>
      <c r="C2952" s="1" t="n">
        <v>45344</v>
      </c>
      <c r="D2952" t="inlineStr">
        <is>
          <t>GÄVLEBORGS LÄN</t>
        </is>
      </c>
      <c r="E2952" t="inlineStr">
        <is>
          <t>BOLLNÄS</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58189-2020</t>
        </is>
      </c>
      <c r="B2953" s="1" t="n">
        <v>44144</v>
      </c>
      <c r="C2953" s="1" t="n">
        <v>45344</v>
      </c>
      <c r="D2953" t="inlineStr">
        <is>
          <t>GÄVLEBORGS LÄN</t>
        </is>
      </c>
      <c r="E2953" t="inlineStr">
        <is>
          <t>GÄVLE</t>
        </is>
      </c>
      <c r="G2953" t="n">
        <v>5</v>
      </c>
      <c r="H2953" t="n">
        <v>0</v>
      </c>
      <c r="I2953" t="n">
        <v>0</v>
      </c>
      <c r="J2953" t="n">
        <v>0</v>
      </c>
      <c r="K2953" t="n">
        <v>0</v>
      </c>
      <c r="L2953" t="n">
        <v>0</v>
      </c>
      <c r="M2953" t="n">
        <v>0</v>
      </c>
      <c r="N2953" t="n">
        <v>0</v>
      </c>
      <c r="O2953" t="n">
        <v>0</v>
      </c>
      <c r="P2953" t="n">
        <v>0</v>
      </c>
      <c r="Q2953" t="n">
        <v>0</v>
      </c>
      <c r="R2953" s="2" t="inlineStr"/>
    </row>
    <row r="2954" ht="15" customHeight="1">
      <c r="A2954" t="inlineStr">
        <is>
          <t>A 58122-2020</t>
        </is>
      </c>
      <c r="B2954" s="1" t="n">
        <v>44144</v>
      </c>
      <c r="C2954" s="1" t="n">
        <v>45344</v>
      </c>
      <c r="D2954" t="inlineStr">
        <is>
          <t>GÄVLEBORGS LÄN</t>
        </is>
      </c>
      <c r="E2954" t="inlineStr">
        <is>
          <t>LJUSDAL</t>
        </is>
      </c>
      <c r="F2954" t="inlineStr">
        <is>
          <t>Bergvik skog väst AB</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58375-2020</t>
        </is>
      </c>
      <c r="B2955" s="1" t="n">
        <v>44144</v>
      </c>
      <c r="C2955" s="1" t="n">
        <v>45344</v>
      </c>
      <c r="D2955" t="inlineStr">
        <is>
          <t>GÄVLEBORGS LÄN</t>
        </is>
      </c>
      <c r="E2955" t="inlineStr">
        <is>
          <t>HUDIKSVALL</t>
        </is>
      </c>
      <c r="G2955" t="n">
        <v>5.4</v>
      </c>
      <c r="H2955" t="n">
        <v>0</v>
      </c>
      <c r="I2955" t="n">
        <v>0</v>
      </c>
      <c r="J2955" t="n">
        <v>0</v>
      </c>
      <c r="K2955" t="n">
        <v>0</v>
      </c>
      <c r="L2955" t="n">
        <v>0</v>
      </c>
      <c r="M2955" t="n">
        <v>0</v>
      </c>
      <c r="N2955" t="n">
        <v>0</v>
      </c>
      <c r="O2955" t="n">
        <v>0</v>
      </c>
      <c r="P2955" t="n">
        <v>0</v>
      </c>
      <c r="Q2955" t="n">
        <v>0</v>
      </c>
      <c r="R2955" s="2" t="inlineStr"/>
    </row>
    <row r="2956" ht="15" customHeight="1">
      <c r="A2956" t="inlineStr">
        <is>
          <t>A 58377-2020</t>
        </is>
      </c>
      <c r="B2956" s="1" t="n">
        <v>44144</v>
      </c>
      <c r="C2956" s="1" t="n">
        <v>45344</v>
      </c>
      <c r="D2956" t="inlineStr">
        <is>
          <t>GÄVLEBORGS LÄN</t>
        </is>
      </c>
      <c r="E2956" t="inlineStr">
        <is>
          <t>HUDIKSVALL</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58352-2020</t>
        </is>
      </c>
      <c r="B2957" s="1" t="n">
        <v>44145</v>
      </c>
      <c r="C2957" s="1" t="n">
        <v>45344</v>
      </c>
      <c r="D2957" t="inlineStr">
        <is>
          <t>GÄVLEBORGS LÄN</t>
        </is>
      </c>
      <c r="E2957" t="inlineStr">
        <is>
          <t>OVANÅKER</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58387-2020</t>
        </is>
      </c>
      <c r="B2958" s="1" t="n">
        <v>44145</v>
      </c>
      <c r="C2958" s="1" t="n">
        <v>45344</v>
      </c>
      <c r="D2958" t="inlineStr">
        <is>
          <t>GÄVLEBORGS LÄN</t>
        </is>
      </c>
      <c r="E2958" t="inlineStr">
        <is>
          <t>BOLLNÄS</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58322-2020</t>
        </is>
      </c>
      <c r="B2959" s="1" t="n">
        <v>44145</v>
      </c>
      <c r="C2959" s="1" t="n">
        <v>45344</v>
      </c>
      <c r="D2959" t="inlineStr">
        <is>
          <t>GÄVLEBORGS LÄN</t>
        </is>
      </c>
      <c r="E2959" t="inlineStr">
        <is>
          <t>HOFORS</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58341-2020</t>
        </is>
      </c>
      <c r="B2960" s="1" t="n">
        <v>44145</v>
      </c>
      <c r="C2960" s="1" t="n">
        <v>45344</v>
      </c>
      <c r="D2960" t="inlineStr">
        <is>
          <t>GÄVLEBORGS LÄN</t>
        </is>
      </c>
      <c r="E2960" t="inlineStr">
        <is>
          <t>OVANÅKER</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58398-2020</t>
        </is>
      </c>
      <c r="B2961" s="1" t="n">
        <v>44145</v>
      </c>
      <c r="C2961" s="1" t="n">
        <v>45344</v>
      </c>
      <c r="D2961" t="inlineStr">
        <is>
          <t>GÄVLEBORGS LÄN</t>
        </is>
      </c>
      <c r="E2961" t="inlineStr">
        <is>
          <t>BOLLNÄS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58511-2020</t>
        </is>
      </c>
      <c r="B2962" s="1" t="n">
        <v>44145</v>
      </c>
      <c r="C2962" s="1" t="n">
        <v>45344</v>
      </c>
      <c r="D2962" t="inlineStr">
        <is>
          <t>GÄVLEBORGS LÄN</t>
        </is>
      </c>
      <c r="E2962" t="inlineStr">
        <is>
          <t>LJUSDAL</t>
        </is>
      </c>
      <c r="F2962" t="inlineStr">
        <is>
          <t>Holmen skog AB</t>
        </is>
      </c>
      <c r="G2962" t="n">
        <v>11.1</v>
      </c>
      <c r="H2962" t="n">
        <v>0</v>
      </c>
      <c r="I2962" t="n">
        <v>0</v>
      </c>
      <c r="J2962" t="n">
        <v>0</v>
      </c>
      <c r="K2962" t="n">
        <v>0</v>
      </c>
      <c r="L2962" t="n">
        <v>0</v>
      </c>
      <c r="M2962" t="n">
        <v>0</v>
      </c>
      <c r="N2962" t="n">
        <v>0</v>
      </c>
      <c r="O2962" t="n">
        <v>0</v>
      </c>
      <c r="P2962" t="n">
        <v>0</v>
      </c>
      <c r="Q2962" t="n">
        <v>0</v>
      </c>
      <c r="R2962" s="2" t="inlineStr"/>
    </row>
    <row r="2963" ht="15" customHeight="1">
      <c r="A2963" t="inlineStr">
        <is>
          <t>A 58338-2020</t>
        </is>
      </c>
      <c r="B2963" s="1" t="n">
        <v>44145</v>
      </c>
      <c r="C2963" s="1" t="n">
        <v>45344</v>
      </c>
      <c r="D2963" t="inlineStr">
        <is>
          <t>GÄVLEBORGS LÄN</t>
        </is>
      </c>
      <c r="E2963" t="inlineStr">
        <is>
          <t>HOFORS</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58684-2020</t>
        </is>
      </c>
      <c r="B2964" s="1" t="n">
        <v>44146</v>
      </c>
      <c r="C2964" s="1" t="n">
        <v>45344</v>
      </c>
      <c r="D2964" t="inlineStr">
        <is>
          <t>GÄVLEBORGS LÄN</t>
        </is>
      </c>
      <c r="E2964" t="inlineStr">
        <is>
          <t>LJUSDAL</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58690-2020</t>
        </is>
      </c>
      <c r="B2965" s="1" t="n">
        <v>44146</v>
      </c>
      <c r="C2965" s="1" t="n">
        <v>45344</v>
      </c>
      <c r="D2965" t="inlineStr">
        <is>
          <t>GÄVLEBORGS LÄN</t>
        </is>
      </c>
      <c r="E2965" t="inlineStr">
        <is>
          <t>GÄVLE</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58732-2020</t>
        </is>
      </c>
      <c r="B2966" s="1" t="n">
        <v>44146</v>
      </c>
      <c r="C2966" s="1" t="n">
        <v>45344</v>
      </c>
      <c r="D2966" t="inlineStr">
        <is>
          <t>GÄVLEBORGS LÄN</t>
        </is>
      </c>
      <c r="E2966" t="inlineStr">
        <is>
          <t>NORDANSTIG</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58814-2020</t>
        </is>
      </c>
      <c r="B2967" s="1" t="n">
        <v>44146</v>
      </c>
      <c r="C2967" s="1" t="n">
        <v>45344</v>
      </c>
      <c r="D2967" t="inlineStr">
        <is>
          <t>GÄVLEBORGS LÄN</t>
        </is>
      </c>
      <c r="E2967" t="inlineStr">
        <is>
          <t>OVANÅKER</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58853-2020</t>
        </is>
      </c>
      <c r="B2968" s="1" t="n">
        <v>44146</v>
      </c>
      <c r="C2968" s="1" t="n">
        <v>45344</v>
      </c>
      <c r="D2968" t="inlineStr">
        <is>
          <t>GÄVLEBORGS LÄN</t>
        </is>
      </c>
      <c r="E2968" t="inlineStr">
        <is>
          <t>OVANÅKER</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58883-2020</t>
        </is>
      </c>
      <c r="B2969" s="1" t="n">
        <v>44146</v>
      </c>
      <c r="C2969" s="1" t="n">
        <v>45344</v>
      </c>
      <c r="D2969" t="inlineStr">
        <is>
          <t>GÄVLEBORGS LÄN</t>
        </is>
      </c>
      <c r="E2969" t="inlineStr">
        <is>
          <t>BOLLNÄS</t>
        </is>
      </c>
      <c r="G2969" t="n">
        <v>6</v>
      </c>
      <c r="H2969" t="n">
        <v>0</v>
      </c>
      <c r="I2969" t="n">
        <v>0</v>
      </c>
      <c r="J2969" t="n">
        <v>0</v>
      </c>
      <c r="K2969" t="n">
        <v>0</v>
      </c>
      <c r="L2969" t="n">
        <v>0</v>
      </c>
      <c r="M2969" t="n">
        <v>0</v>
      </c>
      <c r="N2969" t="n">
        <v>0</v>
      </c>
      <c r="O2969" t="n">
        <v>0</v>
      </c>
      <c r="P2969" t="n">
        <v>0</v>
      </c>
      <c r="Q2969" t="n">
        <v>0</v>
      </c>
      <c r="R2969" s="2" t="inlineStr"/>
    </row>
    <row r="2970" ht="15" customHeight="1">
      <c r="A2970" t="inlineStr">
        <is>
          <t>A 58841-2020</t>
        </is>
      </c>
      <c r="B2970" s="1" t="n">
        <v>44146</v>
      </c>
      <c r="C2970" s="1" t="n">
        <v>45344</v>
      </c>
      <c r="D2970" t="inlineStr">
        <is>
          <t>GÄVLEBORGS LÄN</t>
        </is>
      </c>
      <c r="E2970" t="inlineStr">
        <is>
          <t>OVANÅKER</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59057-2020</t>
        </is>
      </c>
      <c r="B2971" s="1" t="n">
        <v>44147</v>
      </c>
      <c r="C2971" s="1" t="n">
        <v>45344</v>
      </c>
      <c r="D2971" t="inlineStr">
        <is>
          <t>GÄVLEBORGS LÄN</t>
        </is>
      </c>
      <c r="E2971" t="inlineStr">
        <is>
          <t>LJUSDAL</t>
        </is>
      </c>
      <c r="F2971" t="inlineStr">
        <is>
          <t>Holmen skog AB</t>
        </is>
      </c>
      <c r="G2971" t="n">
        <v>8.300000000000001</v>
      </c>
      <c r="H2971" t="n">
        <v>0</v>
      </c>
      <c r="I2971" t="n">
        <v>0</v>
      </c>
      <c r="J2971" t="n">
        <v>0</v>
      </c>
      <c r="K2971" t="n">
        <v>0</v>
      </c>
      <c r="L2971" t="n">
        <v>0</v>
      </c>
      <c r="M2971" t="n">
        <v>0</v>
      </c>
      <c r="N2971" t="n">
        <v>0</v>
      </c>
      <c r="O2971" t="n">
        <v>0</v>
      </c>
      <c r="P2971" t="n">
        <v>0</v>
      </c>
      <c r="Q2971" t="n">
        <v>0</v>
      </c>
      <c r="R2971" s="2" t="inlineStr"/>
    </row>
    <row r="2972" ht="15" customHeight="1">
      <c r="A2972" t="inlineStr">
        <is>
          <t>A 59065-2020</t>
        </is>
      </c>
      <c r="B2972" s="1" t="n">
        <v>44147</v>
      </c>
      <c r="C2972" s="1" t="n">
        <v>45344</v>
      </c>
      <c r="D2972" t="inlineStr">
        <is>
          <t>GÄVLEBORGS LÄN</t>
        </is>
      </c>
      <c r="E2972" t="inlineStr">
        <is>
          <t>SANDVIKEN</t>
        </is>
      </c>
      <c r="G2972" t="n">
        <v>2</v>
      </c>
      <c r="H2972" t="n">
        <v>0</v>
      </c>
      <c r="I2972" t="n">
        <v>0</v>
      </c>
      <c r="J2972" t="n">
        <v>0</v>
      </c>
      <c r="K2972" t="n">
        <v>0</v>
      </c>
      <c r="L2972" t="n">
        <v>0</v>
      </c>
      <c r="M2972" t="n">
        <v>0</v>
      </c>
      <c r="N2972" t="n">
        <v>0</v>
      </c>
      <c r="O2972" t="n">
        <v>0</v>
      </c>
      <c r="P2972" t="n">
        <v>0</v>
      </c>
      <c r="Q2972" t="n">
        <v>0</v>
      </c>
      <c r="R2972" s="2" t="inlineStr"/>
    </row>
    <row r="2973" ht="15" customHeight="1">
      <c r="A2973" t="inlineStr">
        <is>
          <t>A 59107-2020</t>
        </is>
      </c>
      <c r="B2973" s="1" t="n">
        <v>44147</v>
      </c>
      <c r="C2973" s="1" t="n">
        <v>45344</v>
      </c>
      <c r="D2973" t="inlineStr">
        <is>
          <t>GÄVLEBORGS LÄN</t>
        </is>
      </c>
      <c r="E2973" t="inlineStr">
        <is>
          <t>BOLLNÄS</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59072-2020</t>
        </is>
      </c>
      <c r="B2974" s="1" t="n">
        <v>44147</v>
      </c>
      <c r="C2974" s="1" t="n">
        <v>45344</v>
      </c>
      <c r="D2974" t="inlineStr">
        <is>
          <t>GÄVLEBORGS LÄN</t>
        </is>
      </c>
      <c r="E2974" t="inlineStr">
        <is>
          <t>GÄVLE</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59159-2020</t>
        </is>
      </c>
      <c r="B2975" s="1" t="n">
        <v>44147</v>
      </c>
      <c r="C2975" s="1" t="n">
        <v>45344</v>
      </c>
      <c r="D2975" t="inlineStr">
        <is>
          <t>GÄVLEBORGS LÄN</t>
        </is>
      </c>
      <c r="E2975" t="inlineStr">
        <is>
          <t>BOLLNÄS</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59154-2020</t>
        </is>
      </c>
      <c r="B2976" s="1" t="n">
        <v>44147</v>
      </c>
      <c r="C2976" s="1" t="n">
        <v>45344</v>
      </c>
      <c r="D2976" t="inlineStr">
        <is>
          <t>GÄVLEBORGS LÄN</t>
        </is>
      </c>
      <c r="E2976" t="inlineStr">
        <is>
          <t>BOLLNÄS</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59235-2020</t>
        </is>
      </c>
      <c r="B2977" s="1" t="n">
        <v>44147</v>
      </c>
      <c r="C2977" s="1" t="n">
        <v>45344</v>
      </c>
      <c r="D2977" t="inlineStr">
        <is>
          <t>GÄVLEBORGS LÄN</t>
        </is>
      </c>
      <c r="E2977" t="inlineStr">
        <is>
          <t>SÖDERHAMN</t>
        </is>
      </c>
      <c r="G2977" t="n">
        <v>5.8</v>
      </c>
      <c r="H2977" t="n">
        <v>0</v>
      </c>
      <c r="I2977" t="n">
        <v>0</v>
      </c>
      <c r="J2977" t="n">
        <v>0</v>
      </c>
      <c r="K2977" t="n">
        <v>0</v>
      </c>
      <c r="L2977" t="n">
        <v>0</v>
      </c>
      <c r="M2977" t="n">
        <v>0</v>
      </c>
      <c r="N2977" t="n">
        <v>0</v>
      </c>
      <c r="O2977" t="n">
        <v>0</v>
      </c>
      <c r="P2977" t="n">
        <v>0</v>
      </c>
      <c r="Q2977" t="n">
        <v>0</v>
      </c>
      <c r="R2977" s="2" t="inlineStr"/>
    </row>
    <row r="2978" ht="15" customHeight="1">
      <c r="A2978" t="inlineStr">
        <is>
          <t>A 59161-2020</t>
        </is>
      </c>
      <c r="B2978" s="1" t="n">
        <v>44147</v>
      </c>
      <c r="C2978" s="1" t="n">
        <v>45344</v>
      </c>
      <c r="D2978" t="inlineStr">
        <is>
          <t>GÄVLEBORGS LÄN</t>
        </is>
      </c>
      <c r="E2978" t="inlineStr">
        <is>
          <t>BOLLNÄS</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59213-2020</t>
        </is>
      </c>
      <c r="B2979" s="1" t="n">
        <v>44147</v>
      </c>
      <c r="C2979" s="1" t="n">
        <v>45344</v>
      </c>
      <c r="D2979" t="inlineStr">
        <is>
          <t>GÄVLEBORGS LÄN</t>
        </is>
      </c>
      <c r="E2979" t="inlineStr">
        <is>
          <t>NORDANSTIG</t>
        </is>
      </c>
      <c r="F2979" t="inlineStr">
        <is>
          <t>Holmen skog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59270-2020</t>
        </is>
      </c>
      <c r="B2980" s="1" t="n">
        <v>44147</v>
      </c>
      <c r="C2980" s="1" t="n">
        <v>45344</v>
      </c>
      <c r="D2980" t="inlineStr">
        <is>
          <t>GÄVLEBORGS LÄN</t>
        </is>
      </c>
      <c r="E2980" t="inlineStr">
        <is>
          <t>SÖDERHAMN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59311-2020</t>
        </is>
      </c>
      <c r="B2981" s="1" t="n">
        <v>44147</v>
      </c>
      <c r="C2981" s="1" t="n">
        <v>45344</v>
      </c>
      <c r="D2981" t="inlineStr">
        <is>
          <t>GÄVLEBORGS LÄN</t>
        </is>
      </c>
      <c r="E2981" t="inlineStr">
        <is>
          <t>BOLLNÄS</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59271-2020</t>
        </is>
      </c>
      <c r="B2982" s="1" t="n">
        <v>44147</v>
      </c>
      <c r="C2982" s="1" t="n">
        <v>45344</v>
      </c>
      <c r="D2982" t="inlineStr">
        <is>
          <t>GÄVLEBORGS LÄN</t>
        </is>
      </c>
      <c r="E2982" t="inlineStr">
        <is>
          <t>SÖDERHAMN</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59348-2020</t>
        </is>
      </c>
      <c r="B2983" s="1" t="n">
        <v>44148</v>
      </c>
      <c r="C2983" s="1" t="n">
        <v>45344</v>
      </c>
      <c r="D2983" t="inlineStr">
        <is>
          <t>GÄVLEBORGS LÄN</t>
        </is>
      </c>
      <c r="E2983" t="inlineStr">
        <is>
          <t>LJUSDAL</t>
        </is>
      </c>
      <c r="F2983" t="inlineStr">
        <is>
          <t>Sveaskog</t>
        </is>
      </c>
      <c r="G2983" t="n">
        <v>20.4</v>
      </c>
      <c r="H2983" t="n">
        <v>0</v>
      </c>
      <c r="I2983" t="n">
        <v>0</v>
      </c>
      <c r="J2983" t="n">
        <v>0</v>
      </c>
      <c r="K2983" t="n">
        <v>0</v>
      </c>
      <c r="L2983" t="n">
        <v>0</v>
      </c>
      <c r="M2983" t="n">
        <v>0</v>
      </c>
      <c r="N2983" t="n">
        <v>0</v>
      </c>
      <c r="O2983" t="n">
        <v>0</v>
      </c>
      <c r="P2983" t="n">
        <v>0</v>
      </c>
      <c r="Q2983" t="n">
        <v>0</v>
      </c>
      <c r="R2983" s="2" t="inlineStr"/>
    </row>
    <row r="2984" ht="15" customHeight="1">
      <c r="A2984" t="inlineStr">
        <is>
          <t>A 59463-2020</t>
        </is>
      </c>
      <c r="B2984" s="1" t="n">
        <v>44148</v>
      </c>
      <c r="C2984" s="1" t="n">
        <v>45344</v>
      </c>
      <c r="D2984" t="inlineStr">
        <is>
          <t>GÄVLEBORGS LÄN</t>
        </is>
      </c>
      <c r="E2984" t="inlineStr">
        <is>
          <t>BOLLNÄS</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59573-2020</t>
        </is>
      </c>
      <c r="B2985" s="1" t="n">
        <v>44148</v>
      </c>
      <c r="C2985" s="1" t="n">
        <v>45344</v>
      </c>
      <c r="D2985" t="inlineStr">
        <is>
          <t>GÄVLEBORGS LÄN</t>
        </is>
      </c>
      <c r="E2985" t="inlineStr">
        <is>
          <t>BOLLNÄS</t>
        </is>
      </c>
      <c r="F2985" t="inlineStr">
        <is>
          <t>Bergvik skog väst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59481-2020</t>
        </is>
      </c>
      <c r="B2986" s="1" t="n">
        <v>44148</v>
      </c>
      <c r="C2986" s="1" t="n">
        <v>45344</v>
      </c>
      <c r="D2986" t="inlineStr">
        <is>
          <t>GÄVLEBORGS LÄN</t>
        </is>
      </c>
      <c r="E2986" t="inlineStr">
        <is>
          <t>BOLLNÄS</t>
        </is>
      </c>
      <c r="G2986" t="n">
        <v>11.3</v>
      </c>
      <c r="H2986" t="n">
        <v>0</v>
      </c>
      <c r="I2986" t="n">
        <v>0</v>
      </c>
      <c r="J2986" t="n">
        <v>0</v>
      </c>
      <c r="K2986" t="n">
        <v>0</v>
      </c>
      <c r="L2986" t="n">
        <v>0</v>
      </c>
      <c r="M2986" t="n">
        <v>0</v>
      </c>
      <c r="N2986" t="n">
        <v>0</v>
      </c>
      <c r="O2986" t="n">
        <v>0</v>
      </c>
      <c r="P2986" t="n">
        <v>0</v>
      </c>
      <c r="Q2986" t="n">
        <v>0</v>
      </c>
      <c r="R2986" s="2" t="inlineStr"/>
    </row>
    <row r="2987" ht="15" customHeight="1">
      <c r="A2987" t="inlineStr">
        <is>
          <t>A 59581-2020</t>
        </is>
      </c>
      <c r="B2987" s="1" t="n">
        <v>44148</v>
      </c>
      <c r="C2987" s="1" t="n">
        <v>45344</v>
      </c>
      <c r="D2987" t="inlineStr">
        <is>
          <t>GÄVLEBORGS LÄN</t>
        </is>
      </c>
      <c r="E2987" t="inlineStr">
        <is>
          <t>SÖDERHAMN</t>
        </is>
      </c>
      <c r="F2987" t="inlineStr">
        <is>
          <t>Bergvik skog väst AB</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59803-2020</t>
        </is>
      </c>
      <c r="B2988" s="1" t="n">
        <v>44148</v>
      </c>
      <c r="C2988" s="1" t="n">
        <v>45344</v>
      </c>
      <c r="D2988" t="inlineStr">
        <is>
          <t>GÄVLEBORGS LÄN</t>
        </is>
      </c>
      <c r="E2988" t="inlineStr">
        <is>
          <t>LJUSDAL</t>
        </is>
      </c>
      <c r="F2988" t="inlineStr">
        <is>
          <t>Sveaskog</t>
        </is>
      </c>
      <c r="G2988" t="n">
        <v>3.5</v>
      </c>
      <c r="H2988" t="n">
        <v>0</v>
      </c>
      <c r="I2988" t="n">
        <v>0</v>
      </c>
      <c r="J2988" t="n">
        <v>0</v>
      </c>
      <c r="K2988" t="n">
        <v>0</v>
      </c>
      <c r="L2988" t="n">
        <v>0</v>
      </c>
      <c r="M2988" t="n">
        <v>0</v>
      </c>
      <c r="N2988" t="n">
        <v>0</v>
      </c>
      <c r="O2988" t="n">
        <v>0</v>
      </c>
      <c r="P2988" t="n">
        <v>0</v>
      </c>
      <c r="Q2988" t="n">
        <v>0</v>
      </c>
      <c r="R2988" s="2" t="inlineStr"/>
    </row>
    <row r="2989" ht="15" customHeight="1">
      <c r="A2989" t="inlineStr">
        <is>
          <t>A 59631-2020</t>
        </is>
      </c>
      <c r="B2989" s="1" t="n">
        <v>44150</v>
      </c>
      <c r="C2989" s="1" t="n">
        <v>45344</v>
      </c>
      <c r="D2989" t="inlineStr">
        <is>
          <t>GÄVLEBORGS LÄN</t>
        </is>
      </c>
      <c r="E2989" t="inlineStr">
        <is>
          <t>HUDIKSVALL</t>
        </is>
      </c>
      <c r="G2989" t="n">
        <v>4.7</v>
      </c>
      <c r="H2989" t="n">
        <v>0</v>
      </c>
      <c r="I2989" t="n">
        <v>0</v>
      </c>
      <c r="J2989" t="n">
        <v>0</v>
      </c>
      <c r="K2989" t="n">
        <v>0</v>
      </c>
      <c r="L2989" t="n">
        <v>0</v>
      </c>
      <c r="M2989" t="n">
        <v>0</v>
      </c>
      <c r="N2989" t="n">
        <v>0</v>
      </c>
      <c r="O2989" t="n">
        <v>0</v>
      </c>
      <c r="P2989" t="n">
        <v>0</v>
      </c>
      <c r="Q2989" t="n">
        <v>0</v>
      </c>
      <c r="R2989" s="2" t="inlineStr"/>
    </row>
    <row r="2990" ht="15" customHeight="1">
      <c r="A2990" t="inlineStr">
        <is>
          <t>A 59646-2020</t>
        </is>
      </c>
      <c r="B2990" s="1" t="n">
        <v>44150</v>
      </c>
      <c r="C2990" s="1" t="n">
        <v>45344</v>
      </c>
      <c r="D2990" t="inlineStr">
        <is>
          <t>GÄVLEBORGS LÄN</t>
        </is>
      </c>
      <c r="E2990" t="inlineStr">
        <is>
          <t>LJUSDAL</t>
        </is>
      </c>
      <c r="F2990" t="inlineStr">
        <is>
          <t>Bergvik skog väst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59728-2020</t>
        </is>
      </c>
      <c r="B2991" s="1" t="n">
        <v>44151</v>
      </c>
      <c r="C2991" s="1" t="n">
        <v>45344</v>
      </c>
      <c r="D2991" t="inlineStr">
        <is>
          <t>GÄVLEBORGS LÄN</t>
        </is>
      </c>
      <c r="E2991" t="inlineStr">
        <is>
          <t>BOLLNÄS</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59690-2020</t>
        </is>
      </c>
      <c r="B2992" s="1" t="n">
        <v>44151</v>
      </c>
      <c r="C2992" s="1" t="n">
        <v>45344</v>
      </c>
      <c r="D2992" t="inlineStr">
        <is>
          <t>GÄVLEBORGS LÄN</t>
        </is>
      </c>
      <c r="E2992" t="inlineStr">
        <is>
          <t>BOLLNÄS</t>
        </is>
      </c>
      <c r="G2992" t="n">
        <v>4</v>
      </c>
      <c r="H2992" t="n">
        <v>0</v>
      </c>
      <c r="I2992" t="n">
        <v>0</v>
      </c>
      <c r="J2992" t="n">
        <v>0</v>
      </c>
      <c r="K2992" t="n">
        <v>0</v>
      </c>
      <c r="L2992" t="n">
        <v>0</v>
      </c>
      <c r="M2992" t="n">
        <v>0</v>
      </c>
      <c r="N2992" t="n">
        <v>0</v>
      </c>
      <c r="O2992" t="n">
        <v>0</v>
      </c>
      <c r="P2992" t="n">
        <v>0</v>
      </c>
      <c r="Q2992" t="n">
        <v>0</v>
      </c>
      <c r="R2992" s="2" t="inlineStr"/>
    </row>
    <row r="2993" ht="15" customHeight="1">
      <c r="A2993" t="inlineStr">
        <is>
          <t>A 59754-2020</t>
        </is>
      </c>
      <c r="B2993" s="1" t="n">
        <v>44151</v>
      </c>
      <c r="C2993" s="1" t="n">
        <v>45344</v>
      </c>
      <c r="D2993" t="inlineStr">
        <is>
          <t>GÄVLEBORGS LÄN</t>
        </is>
      </c>
      <c r="E2993" t="inlineStr">
        <is>
          <t>BOLLNÄS</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59659-2020</t>
        </is>
      </c>
      <c r="B2994" s="1" t="n">
        <v>44151</v>
      </c>
      <c r="C2994" s="1" t="n">
        <v>45344</v>
      </c>
      <c r="D2994" t="inlineStr">
        <is>
          <t>GÄVLEBORGS LÄN</t>
        </is>
      </c>
      <c r="E2994" t="inlineStr">
        <is>
          <t>HUDIKSVALL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59723-2020</t>
        </is>
      </c>
      <c r="B2995" s="1" t="n">
        <v>44151</v>
      </c>
      <c r="C2995" s="1" t="n">
        <v>45344</v>
      </c>
      <c r="D2995" t="inlineStr">
        <is>
          <t>GÄVLEBORGS LÄN</t>
        </is>
      </c>
      <c r="E2995" t="inlineStr">
        <is>
          <t>BOLLNÄS</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59734-2020</t>
        </is>
      </c>
      <c r="B2996" s="1" t="n">
        <v>44151</v>
      </c>
      <c r="C2996" s="1" t="n">
        <v>45344</v>
      </c>
      <c r="D2996" t="inlineStr">
        <is>
          <t>GÄVLEBORGS LÄN</t>
        </is>
      </c>
      <c r="E2996" t="inlineStr">
        <is>
          <t>BOLLNÄS</t>
        </is>
      </c>
      <c r="G2996" t="n">
        <v>7.4</v>
      </c>
      <c r="H2996" t="n">
        <v>0</v>
      </c>
      <c r="I2996" t="n">
        <v>0</v>
      </c>
      <c r="J2996" t="n">
        <v>0</v>
      </c>
      <c r="K2996" t="n">
        <v>0</v>
      </c>
      <c r="L2996" t="n">
        <v>0</v>
      </c>
      <c r="M2996" t="n">
        <v>0</v>
      </c>
      <c r="N2996" t="n">
        <v>0</v>
      </c>
      <c r="O2996" t="n">
        <v>0</v>
      </c>
      <c r="P2996" t="n">
        <v>0</v>
      </c>
      <c r="Q2996" t="n">
        <v>0</v>
      </c>
      <c r="R2996" s="2" t="inlineStr"/>
    </row>
    <row r="2997" ht="15" customHeight="1">
      <c r="A2997" t="inlineStr">
        <is>
          <t>A 59910-2020</t>
        </is>
      </c>
      <c r="B2997" s="1" t="n">
        <v>44151</v>
      </c>
      <c r="C2997" s="1" t="n">
        <v>45344</v>
      </c>
      <c r="D2997" t="inlineStr">
        <is>
          <t>GÄVLEBORGS LÄN</t>
        </is>
      </c>
      <c r="E2997" t="inlineStr">
        <is>
          <t>BOLLNÄS</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60071-2020</t>
        </is>
      </c>
      <c r="B2998" s="1" t="n">
        <v>44151</v>
      </c>
      <c r="C2998" s="1" t="n">
        <v>45344</v>
      </c>
      <c r="D2998" t="inlineStr">
        <is>
          <t>GÄVLEBORGS LÄN</t>
        </is>
      </c>
      <c r="E2998" t="inlineStr">
        <is>
          <t>BOLLNÄS</t>
        </is>
      </c>
      <c r="F2998" t="inlineStr">
        <is>
          <t>Bergvik skog väst AB</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59924-2020</t>
        </is>
      </c>
      <c r="B2999" s="1" t="n">
        <v>44151</v>
      </c>
      <c r="C2999" s="1" t="n">
        <v>45344</v>
      </c>
      <c r="D2999" t="inlineStr">
        <is>
          <t>GÄVLEBORGS LÄN</t>
        </is>
      </c>
      <c r="E2999" t="inlineStr">
        <is>
          <t>LJUSDAL</t>
        </is>
      </c>
      <c r="F2999" t="inlineStr">
        <is>
          <t>Sveaskog</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60067-2020</t>
        </is>
      </c>
      <c r="B3000" s="1" t="n">
        <v>44151</v>
      </c>
      <c r="C3000" s="1" t="n">
        <v>45344</v>
      </c>
      <c r="D3000" t="inlineStr">
        <is>
          <t>GÄVLEBORGS LÄN</t>
        </is>
      </c>
      <c r="E3000" t="inlineStr">
        <is>
          <t>OCKELBO</t>
        </is>
      </c>
      <c r="F3000" t="inlineStr">
        <is>
          <t>Bergvik skog väst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60085-2020</t>
        </is>
      </c>
      <c r="B3001" s="1" t="n">
        <v>44152</v>
      </c>
      <c r="C3001" s="1" t="n">
        <v>45344</v>
      </c>
      <c r="D3001" t="inlineStr">
        <is>
          <t>GÄVLEBORGS LÄN</t>
        </is>
      </c>
      <c r="E3001" t="inlineStr">
        <is>
          <t>NORDANSTIG</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60075-2020</t>
        </is>
      </c>
      <c r="B3002" s="1" t="n">
        <v>44152</v>
      </c>
      <c r="C3002" s="1" t="n">
        <v>45344</v>
      </c>
      <c r="D3002" t="inlineStr">
        <is>
          <t>GÄVLEBORGS LÄN</t>
        </is>
      </c>
      <c r="E3002" t="inlineStr">
        <is>
          <t>BOLLNÄS</t>
        </is>
      </c>
      <c r="F3002" t="inlineStr">
        <is>
          <t>Bergvik skog väst AB</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60249-2020</t>
        </is>
      </c>
      <c r="B3003" s="1" t="n">
        <v>44152</v>
      </c>
      <c r="C3003" s="1" t="n">
        <v>45344</v>
      </c>
      <c r="D3003" t="inlineStr">
        <is>
          <t>GÄVLEBORGS LÄN</t>
        </is>
      </c>
      <c r="E3003" t="inlineStr">
        <is>
          <t>GÄVLE</t>
        </is>
      </c>
      <c r="F3003" t="inlineStr">
        <is>
          <t>Bergvik skog öst AB</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60414-2020</t>
        </is>
      </c>
      <c r="B3004" s="1" t="n">
        <v>44153</v>
      </c>
      <c r="C3004" s="1" t="n">
        <v>45344</v>
      </c>
      <c r="D3004" t="inlineStr">
        <is>
          <t>GÄVLEBORGS LÄN</t>
        </is>
      </c>
      <c r="E3004" t="inlineStr">
        <is>
          <t>HUDIKSVALL</t>
        </is>
      </c>
      <c r="F3004" t="inlineStr">
        <is>
          <t>Holmen skog AB</t>
        </is>
      </c>
      <c r="G3004" t="n">
        <v>9.1</v>
      </c>
      <c r="H3004" t="n">
        <v>0</v>
      </c>
      <c r="I3004" t="n">
        <v>0</v>
      </c>
      <c r="J3004" t="n">
        <v>0</v>
      </c>
      <c r="K3004" t="n">
        <v>0</v>
      </c>
      <c r="L3004" t="n">
        <v>0</v>
      </c>
      <c r="M3004" t="n">
        <v>0</v>
      </c>
      <c r="N3004" t="n">
        <v>0</v>
      </c>
      <c r="O3004" t="n">
        <v>0</v>
      </c>
      <c r="P3004" t="n">
        <v>0</v>
      </c>
      <c r="Q3004" t="n">
        <v>0</v>
      </c>
      <c r="R3004" s="2" t="inlineStr"/>
    </row>
    <row r="3005" ht="15" customHeight="1">
      <c r="A3005" t="inlineStr">
        <is>
          <t>A 60720-2020</t>
        </is>
      </c>
      <c r="B3005" s="1" t="n">
        <v>44153</v>
      </c>
      <c r="C3005" s="1" t="n">
        <v>45344</v>
      </c>
      <c r="D3005" t="inlineStr">
        <is>
          <t>GÄVLEBORGS LÄN</t>
        </is>
      </c>
      <c r="E3005" t="inlineStr">
        <is>
          <t>BOLLNÄS</t>
        </is>
      </c>
      <c r="F3005" t="inlineStr">
        <is>
          <t>Kommuner</t>
        </is>
      </c>
      <c r="G3005" t="n">
        <v>4.3</v>
      </c>
      <c r="H3005" t="n">
        <v>0</v>
      </c>
      <c r="I3005" t="n">
        <v>0</v>
      </c>
      <c r="J3005" t="n">
        <v>0</v>
      </c>
      <c r="K3005" t="n">
        <v>0</v>
      </c>
      <c r="L3005" t="n">
        <v>0</v>
      </c>
      <c r="M3005" t="n">
        <v>0</v>
      </c>
      <c r="N3005" t="n">
        <v>0</v>
      </c>
      <c r="O3005" t="n">
        <v>0</v>
      </c>
      <c r="P3005" t="n">
        <v>0</v>
      </c>
      <c r="Q3005" t="n">
        <v>0</v>
      </c>
      <c r="R3005" s="2" t="inlineStr"/>
    </row>
    <row r="3006" ht="15" customHeight="1">
      <c r="A3006" t="inlineStr">
        <is>
          <t>A 60729-2020</t>
        </is>
      </c>
      <c r="B3006" s="1" t="n">
        <v>44153</v>
      </c>
      <c r="C3006" s="1" t="n">
        <v>45344</v>
      </c>
      <c r="D3006" t="inlineStr">
        <is>
          <t>GÄVLEBORGS LÄN</t>
        </is>
      </c>
      <c r="E3006" t="inlineStr">
        <is>
          <t>BOLLNÄS</t>
        </is>
      </c>
      <c r="G3006" t="n">
        <v>2.6</v>
      </c>
      <c r="H3006" t="n">
        <v>0</v>
      </c>
      <c r="I3006" t="n">
        <v>0</v>
      </c>
      <c r="J3006" t="n">
        <v>0</v>
      </c>
      <c r="K3006" t="n">
        <v>0</v>
      </c>
      <c r="L3006" t="n">
        <v>0</v>
      </c>
      <c r="M3006" t="n">
        <v>0</v>
      </c>
      <c r="N3006" t="n">
        <v>0</v>
      </c>
      <c r="O3006" t="n">
        <v>0</v>
      </c>
      <c r="P3006" t="n">
        <v>0</v>
      </c>
      <c r="Q3006" t="n">
        <v>0</v>
      </c>
      <c r="R3006" s="2" t="inlineStr"/>
    </row>
    <row r="3007" ht="15" customHeight="1">
      <c r="A3007" t="inlineStr">
        <is>
          <t>A 60737-2020</t>
        </is>
      </c>
      <c r="B3007" s="1" t="n">
        <v>44153</v>
      </c>
      <c r="C3007" s="1" t="n">
        <v>45344</v>
      </c>
      <c r="D3007" t="inlineStr">
        <is>
          <t>GÄVLEBORGS LÄN</t>
        </is>
      </c>
      <c r="E3007" t="inlineStr">
        <is>
          <t>HUDIKSVALL</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60726-2020</t>
        </is>
      </c>
      <c r="B3008" s="1" t="n">
        <v>44153</v>
      </c>
      <c r="C3008" s="1" t="n">
        <v>45344</v>
      </c>
      <c r="D3008" t="inlineStr">
        <is>
          <t>GÄVLEBORGS LÄN</t>
        </is>
      </c>
      <c r="E3008" t="inlineStr">
        <is>
          <t>BOLLNÄS</t>
        </is>
      </c>
      <c r="F3008" t="inlineStr">
        <is>
          <t>Kommuner</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60717-2020</t>
        </is>
      </c>
      <c r="B3009" s="1" t="n">
        <v>44153</v>
      </c>
      <c r="C3009" s="1" t="n">
        <v>45344</v>
      </c>
      <c r="D3009" t="inlineStr">
        <is>
          <t>GÄVLEBORGS LÄN</t>
        </is>
      </c>
      <c r="E3009" t="inlineStr">
        <is>
          <t>BOLLNÄS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60743-2020</t>
        </is>
      </c>
      <c r="B3010" s="1" t="n">
        <v>44153</v>
      </c>
      <c r="C3010" s="1" t="n">
        <v>45344</v>
      </c>
      <c r="D3010" t="inlineStr">
        <is>
          <t>GÄVLEBORGS LÄN</t>
        </is>
      </c>
      <c r="E3010" t="inlineStr">
        <is>
          <t>OVANÅKER</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60908-2020</t>
        </is>
      </c>
      <c r="B3011" s="1" t="n">
        <v>44154</v>
      </c>
      <c r="C3011" s="1" t="n">
        <v>45344</v>
      </c>
      <c r="D3011" t="inlineStr">
        <is>
          <t>GÄVLEBORGS LÄN</t>
        </is>
      </c>
      <c r="E3011" t="inlineStr">
        <is>
          <t>NORDANSTIG</t>
        </is>
      </c>
      <c r="F3011" t="inlineStr">
        <is>
          <t>Holmen skog AB</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60951-2020</t>
        </is>
      </c>
      <c r="B3012" s="1" t="n">
        <v>44154</v>
      </c>
      <c r="C3012" s="1" t="n">
        <v>45344</v>
      </c>
      <c r="D3012" t="inlineStr">
        <is>
          <t>GÄVLEBORGS LÄN</t>
        </is>
      </c>
      <c r="E3012" t="inlineStr">
        <is>
          <t>GÄVLE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60953-2020</t>
        </is>
      </c>
      <c r="B3013" s="1" t="n">
        <v>44154</v>
      </c>
      <c r="C3013" s="1" t="n">
        <v>45344</v>
      </c>
      <c r="D3013" t="inlineStr">
        <is>
          <t>GÄVLEBORGS LÄN</t>
        </is>
      </c>
      <c r="E3013" t="inlineStr">
        <is>
          <t>GÄVLE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61313-2020</t>
        </is>
      </c>
      <c r="B3014" s="1" t="n">
        <v>44155</v>
      </c>
      <c r="C3014" s="1" t="n">
        <v>45344</v>
      </c>
      <c r="D3014" t="inlineStr">
        <is>
          <t>GÄVLEBORGS LÄN</t>
        </is>
      </c>
      <c r="E3014" t="inlineStr">
        <is>
          <t>SÖDERHAMN</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61668-2020</t>
        </is>
      </c>
      <c r="B3015" s="1" t="n">
        <v>44158</v>
      </c>
      <c r="C3015" s="1" t="n">
        <v>45344</v>
      </c>
      <c r="D3015" t="inlineStr">
        <is>
          <t>GÄVLEBORGS LÄN</t>
        </is>
      </c>
      <c r="E3015" t="inlineStr">
        <is>
          <t>HUDIKSVALL</t>
        </is>
      </c>
      <c r="F3015" t="inlineStr">
        <is>
          <t>Holmen skog AB</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61694-2020</t>
        </is>
      </c>
      <c r="B3016" s="1" t="n">
        <v>44158</v>
      </c>
      <c r="C3016" s="1" t="n">
        <v>45344</v>
      </c>
      <c r="D3016" t="inlineStr">
        <is>
          <t>GÄVLEBORGS LÄN</t>
        </is>
      </c>
      <c r="E3016" t="inlineStr">
        <is>
          <t>GÄVLE</t>
        </is>
      </c>
      <c r="G3016" t="n">
        <v>11.8</v>
      </c>
      <c r="H3016" t="n">
        <v>0</v>
      </c>
      <c r="I3016" t="n">
        <v>0</v>
      </c>
      <c r="J3016" t="n">
        <v>0</v>
      </c>
      <c r="K3016" t="n">
        <v>0</v>
      </c>
      <c r="L3016" t="n">
        <v>0</v>
      </c>
      <c r="M3016" t="n">
        <v>0</v>
      </c>
      <c r="N3016" t="n">
        <v>0</v>
      </c>
      <c r="O3016" t="n">
        <v>0</v>
      </c>
      <c r="P3016" t="n">
        <v>0</v>
      </c>
      <c r="Q3016" t="n">
        <v>0</v>
      </c>
      <c r="R3016" s="2" t="inlineStr"/>
    </row>
    <row r="3017" ht="15" customHeight="1">
      <c r="A3017" t="inlineStr">
        <is>
          <t>A 61704-2020</t>
        </is>
      </c>
      <c r="B3017" s="1" t="n">
        <v>44158</v>
      </c>
      <c r="C3017" s="1" t="n">
        <v>45344</v>
      </c>
      <c r="D3017" t="inlineStr">
        <is>
          <t>GÄVLEBORGS LÄN</t>
        </is>
      </c>
      <c r="E3017" t="inlineStr">
        <is>
          <t>GÄVLE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61747-2020</t>
        </is>
      </c>
      <c r="B3018" s="1" t="n">
        <v>44158</v>
      </c>
      <c r="C3018" s="1" t="n">
        <v>45344</v>
      </c>
      <c r="D3018" t="inlineStr">
        <is>
          <t>GÄVLEBORGS LÄN</t>
        </is>
      </c>
      <c r="E3018" t="inlineStr">
        <is>
          <t>HUDIKSVALL</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61760-2020</t>
        </is>
      </c>
      <c r="B3019" s="1" t="n">
        <v>44158</v>
      </c>
      <c r="C3019" s="1" t="n">
        <v>45344</v>
      </c>
      <c r="D3019" t="inlineStr">
        <is>
          <t>GÄVLEBORGS LÄN</t>
        </is>
      </c>
      <c r="E3019" t="inlineStr">
        <is>
          <t>SANDVIKEN</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62044-2020</t>
        </is>
      </c>
      <c r="B3020" s="1" t="n">
        <v>44158</v>
      </c>
      <c r="C3020" s="1" t="n">
        <v>45344</v>
      </c>
      <c r="D3020" t="inlineStr">
        <is>
          <t>GÄVLEBORGS LÄN</t>
        </is>
      </c>
      <c r="E3020" t="inlineStr">
        <is>
          <t>SÖDERHAMN</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61836-2020</t>
        </is>
      </c>
      <c r="B3021" s="1" t="n">
        <v>44159</v>
      </c>
      <c r="C3021" s="1" t="n">
        <v>45344</v>
      </c>
      <c r="D3021" t="inlineStr">
        <is>
          <t>GÄVLEBORGS LÄN</t>
        </is>
      </c>
      <c r="E3021" t="inlineStr">
        <is>
          <t>HOFORS</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61835-2020</t>
        </is>
      </c>
      <c r="B3022" s="1" t="n">
        <v>44159</v>
      </c>
      <c r="C3022" s="1" t="n">
        <v>45344</v>
      </c>
      <c r="D3022" t="inlineStr">
        <is>
          <t>GÄVLEBORGS LÄN</t>
        </is>
      </c>
      <c r="E3022" t="inlineStr">
        <is>
          <t>HOFORS</t>
        </is>
      </c>
      <c r="G3022" t="n">
        <v>9.4</v>
      </c>
      <c r="H3022" t="n">
        <v>0</v>
      </c>
      <c r="I3022" t="n">
        <v>0</v>
      </c>
      <c r="J3022" t="n">
        <v>0</v>
      </c>
      <c r="K3022" t="n">
        <v>0</v>
      </c>
      <c r="L3022" t="n">
        <v>0</v>
      </c>
      <c r="M3022" t="n">
        <v>0</v>
      </c>
      <c r="N3022" t="n">
        <v>0</v>
      </c>
      <c r="O3022" t="n">
        <v>0</v>
      </c>
      <c r="P3022" t="n">
        <v>0</v>
      </c>
      <c r="Q3022" t="n">
        <v>0</v>
      </c>
      <c r="R3022" s="2" t="inlineStr"/>
    </row>
    <row r="3023" ht="15" customHeight="1">
      <c r="A3023" t="inlineStr">
        <is>
          <t>A 61984-2020</t>
        </is>
      </c>
      <c r="B3023" s="1" t="n">
        <v>44159</v>
      </c>
      <c r="C3023" s="1" t="n">
        <v>45344</v>
      </c>
      <c r="D3023" t="inlineStr">
        <is>
          <t>GÄVLEBORGS LÄN</t>
        </is>
      </c>
      <c r="E3023" t="inlineStr">
        <is>
          <t>OVANÅKER</t>
        </is>
      </c>
      <c r="F3023" t="inlineStr">
        <is>
          <t>Bergvik skog öst AB</t>
        </is>
      </c>
      <c r="G3023" t="n">
        <v>8.6</v>
      </c>
      <c r="H3023" t="n">
        <v>0</v>
      </c>
      <c r="I3023" t="n">
        <v>0</v>
      </c>
      <c r="J3023" t="n">
        <v>0</v>
      </c>
      <c r="K3023" t="n">
        <v>0</v>
      </c>
      <c r="L3023" t="n">
        <v>0</v>
      </c>
      <c r="M3023" t="n">
        <v>0</v>
      </c>
      <c r="N3023" t="n">
        <v>0</v>
      </c>
      <c r="O3023" t="n">
        <v>0</v>
      </c>
      <c r="P3023" t="n">
        <v>0</v>
      </c>
      <c r="Q3023" t="n">
        <v>0</v>
      </c>
      <c r="R3023" s="2" t="inlineStr"/>
    </row>
    <row r="3024" ht="15" customHeight="1">
      <c r="A3024" t="inlineStr">
        <is>
          <t>A 62033-2020</t>
        </is>
      </c>
      <c r="B3024" s="1" t="n">
        <v>44159</v>
      </c>
      <c r="C3024" s="1" t="n">
        <v>45344</v>
      </c>
      <c r="D3024" t="inlineStr">
        <is>
          <t>GÄVLEBORGS LÄN</t>
        </is>
      </c>
      <c r="E3024" t="inlineStr">
        <is>
          <t>OVANÅKER</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62146-2020</t>
        </is>
      </c>
      <c r="B3025" s="1" t="n">
        <v>44159</v>
      </c>
      <c r="C3025" s="1" t="n">
        <v>45344</v>
      </c>
      <c r="D3025" t="inlineStr">
        <is>
          <t>GÄVLEBORGS LÄN</t>
        </is>
      </c>
      <c r="E3025" t="inlineStr">
        <is>
          <t>SÖDERHAMN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62191-2020</t>
        </is>
      </c>
      <c r="B3026" s="1" t="n">
        <v>44159</v>
      </c>
      <c r="C3026" s="1" t="n">
        <v>45344</v>
      </c>
      <c r="D3026" t="inlineStr">
        <is>
          <t>GÄVLEBORGS LÄN</t>
        </is>
      </c>
      <c r="E3026" t="inlineStr">
        <is>
          <t>LJUSDAL</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62426-2020</t>
        </is>
      </c>
      <c r="B3027" s="1" t="n">
        <v>44160</v>
      </c>
      <c r="C3027" s="1" t="n">
        <v>45344</v>
      </c>
      <c r="D3027" t="inlineStr">
        <is>
          <t>GÄVLEBORGS LÄN</t>
        </is>
      </c>
      <c r="E3027" t="inlineStr">
        <is>
          <t>LJUSDAL</t>
        </is>
      </c>
      <c r="F3027" t="inlineStr">
        <is>
          <t>Holmen skog AB</t>
        </is>
      </c>
      <c r="G3027" t="n">
        <v>14.7</v>
      </c>
      <c r="H3027" t="n">
        <v>0</v>
      </c>
      <c r="I3027" t="n">
        <v>0</v>
      </c>
      <c r="J3027" t="n">
        <v>0</v>
      </c>
      <c r="K3027" t="n">
        <v>0</v>
      </c>
      <c r="L3027" t="n">
        <v>0</v>
      </c>
      <c r="M3027" t="n">
        <v>0</v>
      </c>
      <c r="N3027" t="n">
        <v>0</v>
      </c>
      <c r="O3027" t="n">
        <v>0</v>
      </c>
      <c r="P3027" t="n">
        <v>0</v>
      </c>
      <c r="Q3027" t="n">
        <v>0</v>
      </c>
      <c r="R3027" s="2" t="inlineStr"/>
    </row>
    <row r="3028" ht="15" customHeight="1">
      <c r="A3028" t="inlineStr">
        <is>
          <t>A 62475-2020</t>
        </is>
      </c>
      <c r="B3028" s="1" t="n">
        <v>44160</v>
      </c>
      <c r="C3028" s="1" t="n">
        <v>45344</v>
      </c>
      <c r="D3028" t="inlineStr">
        <is>
          <t>GÄVLEBORGS LÄN</t>
        </is>
      </c>
      <c r="E3028" t="inlineStr">
        <is>
          <t>HOFORS</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62478-2020</t>
        </is>
      </c>
      <c r="B3029" s="1" t="n">
        <v>44160</v>
      </c>
      <c r="C3029" s="1" t="n">
        <v>45344</v>
      </c>
      <c r="D3029" t="inlineStr">
        <is>
          <t>GÄVLEBORGS LÄN</t>
        </is>
      </c>
      <c r="E3029" t="inlineStr">
        <is>
          <t>OVANÅKER</t>
        </is>
      </c>
      <c r="F3029" t="inlineStr">
        <is>
          <t>Bergvik skog väst AB</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62423-2020</t>
        </is>
      </c>
      <c r="B3030" s="1" t="n">
        <v>44160</v>
      </c>
      <c r="C3030" s="1" t="n">
        <v>45344</v>
      </c>
      <c r="D3030" t="inlineStr">
        <is>
          <t>GÄVLEBORGS LÄN</t>
        </is>
      </c>
      <c r="E3030" t="inlineStr">
        <is>
          <t>BOLLNÄS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62495-2020</t>
        </is>
      </c>
      <c r="B3031" s="1" t="n">
        <v>44160</v>
      </c>
      <c r="C3031" s="1" t="n">
        <v>45344</v>
      </c>
      <c r="D3031" t="inlineStr">
        <is>
          <t>GÄVLEBORGS LÄN</t>
        </is>
      </c>
      <c r="E3031" t="inlineStr">
        <is>
          <t>GÄVLE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62635-2020</t>
        </is>
      </c>
      <c r="B3032" s="1" t="n">
        <v>44161</v>
      </c>
      <c r="C3032" s="1" t="n">
        <v>45344</v>
      </c>
      <c r="D3032" t="inlineStr">
        <is>
          <t>GÄVLEBORGS LÄN</t>
        </is>
      </c>
      <c r="E3032" t="inlineStr">
        <is>
          <t>BOLLNÄS</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62654-2020</t>
        </is>
      </c>
      <c r="B3033" s="1" t="n">
        <v>44161</v>
      </c>
      <c r="C3033" s="1" t="n">
        <v>45344</v>
      </c>
      <c r="D3033" t="inlineStr">
        <is>
          <t>GÄVLEBORGS LÄN</t>
        </is>
      </c>
      <c r="E3033" t="inlineStr">
        <is>
          <t>GÄVLE</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62636-2020</t>
        </is>
      </c>
      <c r="B3034" s="1" t="n">
        <v>44161</v>
      </c>
      <c r="C3034" s="1" t="n">
        <v>45344</v>
      </c>
      <c r="D3034" t="inlineStr">
        <is>
          <t>GÄVLEBORGS LÄN</t>
        </is>
      </c>
      <c r="E3034" t="inlineStr">
        <is>
          <t>BOLLNÄS</t>
        </is>
      </c>
      <c r="F3034" t="inlineStr">
        <is>
          <t>Holmen skog AB</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62829-2020</t>
        </is>
      </c>
      <c r="B3035" s="1" t="n">
        <v>44161</v>
      </c>
      <c r="C3035" s="1" t="n">
        <v>45344</v>
      </c>
      <c r="D3035" t="inlineStr">
        <is>
          <t>GÄVLEBORGS LÄN</t>
        </is>
      </c>
      <c r="E3035" t="inlineStr">
        <is>
          <t>LJUSDAL</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62947-2020</t>
        </is>
      </c>
      <c r="B3036" s="1" t="n">
        <v>44162</v>
      </c>
      <c r="C3036" s="1" t="n">
        <v>45344</v>
      </c>
      <c r="D3036" t="inlineStr">
        <is>
          <t>GÄVLEBORGS LÄN</t>
        </is>
      </c>
      <c r="E3036" t="inlineStr">
        <is>
          <t>LJUSDAL</t>
        </is>
      </c>
      <c r="F3036" t="inlineStr">
        <is>
          <t>Holmen skog AB</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62986-2020</t>
        </is>
      </c>
      <c r="B3037" s="1" t="n">
        <v>44162</v>
      </c>
      <c r="C3037" s="1" t="n">
        <v>45344</v>
      </c>
      <c r="D3037" t="inlineStr">
        <is>
          <t>GÄVLEBORGS LÄN</t>
        </is>
      </c>
      <c r="E3037" t="inlineStr">
        <is>
          <t>GÄVLE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63108-2020</t>
        </is>
      </c>
      <c r="B3038" s="1" t="n">
        <v>44162</v>
      </c>
      <c r="C3038" s="1" t="n">
        <v>45344</v>
      </c>
      <c r="D3038" t="inlineStr">
        <is>
          <t>GÄVLEBORGS LÄN</t>
        </is>
      </c>
      <c r="E3038" t="inlineStr">
        <is>
          <t>HUDIKSVALL</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62959-2020</t>
        </is>
      </c>
      <c r="B3039" s="1" t="n">
        <v>44162</v>
      </c>
      <c r="C3039" s="1" t="n">
        <v>45344</v>
      </c>
      <c r="D3039" t="inlineStr">
        <is>
          <t>GÄVLEBORGS LÄN</t>
        </is>
      </c>
      <c r="E3039" t="inlineStr">
        <is>
          <t>BOLLNÄS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63128-2020</t>
        </is>
      </c>
      <c r="B3040" s="1" t="n">
        <v>44162</v>
      </c>
      <c r="C3040" s="1" t="n">
        <v>45344</v>
      </c>
      <c r="D3040" t="inlineStr">
        <is>
          <t>GÄVLEBORGS LÄN</t>
        </is>
      </c>
      <c r="E3040" t="inlineStr">
        <is>
          <t>OVANÅKER</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63081-2020</t>
        </is>
      </c>
      <c r="B3041" s="1" t="n">
        <v>44162</v>
      </c>
      <c r="C3041" s="1" t="n">
        <v>45344</v>
      </c>
      <c r="D3041" t="inlineStr">
        <is>
          <t>GÄVLEBORGS LÄN</t>
        </is>
      </c>
      <c r="E3041" t="inlineStr">
        <is>
          <t>LJUSDAL</t>
        </is>
      </c>
      <c r="F3041" t="inlineStr">
        <is>
          <t>Sveaskog</t>
        </is>
      </c>
      <c r="G3041" t="n">
        <v>2.5</v>
      </c>
      <c r="H3041" t="n">
        <v>0</v>
      </c>
      <c r="I3041" t="n">
        <v>0</v>
      </c>
      <c r="J3041" t="n">
        <v>0</v>
      </c>
      <c r="K3041" t="n">
        <v>0</v>
      </c>
      <c r="L3041" t="n">
        <v>0</v>
      </c>
      <c r="M3041" t="n">
        <v>0</v>
      </c>
      <c r="N3041" t="n">
        <v>0</v>
      </c>
      <c r="O3041" t="n">
        <v>0</v>
      </c>
      <c r="P3041" t="n">
        <v>0</v>
      </c>
      <c r="Q3041" t="n">
        <v>0</v>
      </c>
      <c r="R3041" s="2" t="inlineStr"/>
    </row>
    <row r="3042" ht="15" customHeight="1">
      <c r="A3042" t="inlineStr">
        <is>
          <t>A 63359-2020</t>
        </is>
      </c>
      <c r="B3042" s="1" t="n">
        <v>44165</v>
      </c>
      <c r="C3042" s="1" t="n">
        <v>45344</v>
      </c>
      <c r="D3042" t="inlineStr">
        <is>
          <t>GÄVLEBORGS LÄN</t>
        </is>
      </c>
      <c r="E3042" t="inlineStr">
        <is>
          <t>OCKELBO</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63370-2020</t>
        </is>
      </c>
      <c r="B3043" s="1" t="n">
        <v>44165</v>
      </c>
      <c r="C3043" s="1" t="n">
        <v>45344</v>
      </c>
      <c r="D3043" t="inlineStr">
        <is>
          <t>GÄVLEBORGS LÄN</t>
        </is>
      </c>
      <c r="E3043" t="inlineStr">
        <is>
          <t>OCKELBO</t>
        </is>
      </c>
      <c r="G3043" t="n">
        <v>3.8</v>
      </c>
      <c r="H3043" t="n">
        <v>0</v>
      </c>
      <c r="I3043" t="n">
        <v>0</v>
      </c>
      <c r="J3043" t="n">
        <v>0</v>
      </c>
      <c r="K3043" t="n">
        <v>0</v>
      </c>
      <c r="L3043" t="n">
        <v>0</v>
      </c>
      <c r="M3043" t="n">
        <v>0</v>
      </c>
      <c r="N3043" t="n">
        <v>0</v>
      </c>
      <c r="O3043" t="n">
        <v>0</v>
      </c>
      <c r="P3043" t="n">
        <v>0</v>
      </c>
      <c r="Q3043" t="n">
        <v>0</v>
      </c>
      <c r="R3043" s="2" t="inlineStr"/>
    </row>
    <row r="3044" ht="15" customHeight="1">
      <c r="A3044" t="inlineStr">
        <is>
          <t>A 63366-2020</t>
        </is>
      </c>
      <c r="B3044" s="1" t="n">
        <v>44165</v>
      </c>
      <c r="C3044" s="1" t="n">
        <v>45344</v>
      </c>
      <c r="D3044" t="inlineStr">
        <is>
          <t>GÄVLEBORGS LÄN</t>
        </is>
      </c>
      <c r="E3044" t="inlineStr">
        <is>
          <t>OCKELBO</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63361-2020</t>
        </is>
      </c>
      <c r="B3045" s="1" t="n">
        <v>44165</v>
      </c>
      <c r="C3045" s="1" t="n">
        <v>45344</v>
      </c>
      <c r="D3045" t="inlineStr">
        <is>
          <t>GÄVLEBORGS LÄN</t>
        </is>
      </c>
      <c r="E3045" t="inlineStr">
        <is>
          <t>BOLLNÄS</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63519-2020</t>
        </is>
      </c>
      <c r="B3046" s="1" t="n">
        <v>44165</v>
      </c>
      <c r="C3046" s="1" t="n">
        <v>45344</v>
      </c>
      <c r="D3046" t="inlineStr">
        <is>
          <t>GÄVLEBORGS LÄN</t>
        </is>
      </c>
      <c r="E3046" t="inlineStr">
        <is>
          <t>OCKELBO</t>
        </is>
      </c>
      <c r="F3046" t="inlineStr">
        <is>
          <t>Bergvik skog väst AB</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63877-2020</t>
        </is>
      </c>
      <c r="B3047" s="1" t="n">
        <v>44166</v>
      </c>
      <c r="C3047" s="1" t="n">
        <v>45344</v>
      </c>
      <c r="D3047" t="inlineStr">
        <is>
          <t>GÄVLEBORGS LÄN</t>
        </is>
      </c>
      <c r="E3047" t="inlineStr">
        <is>
          <t>BOLLNÄS</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63812-2020</t>
        </is>
      </c>
      <c r="B3048" s="1" t="n">
        <v>44166</v>
      </c>
      <c r="C3048" s="1" t="n">
        <v>45344</v>
      </c>
      <c r="D3048" t="inlineStr">
        <is>
          <t>GÄVLEBORGS LÄN</t>
        </is>
      </c>
      <c r="E3048" t="inlineStr">
        <is>
          <t>OCKELBO</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64307-2020</t>
        </is>
      </c>
      <c r="B3049" s="1" t="n">
        <v>44166</v>
      </c>
      <c r="C3049" s="1" t="n">
        <v>45344</v>
      </c>
      <c r="D3049" t="inlineStr">
        <is>
          <t>GÄVLEBORGS LÄN</t>
        </is>
      </c>
      <c r="E3049" t="inlineStr">
        <is>
          <t>LJUSDAL</t>
        </is>
      </c>
      <c r="G3049" t="n">
        <v>9.1</v>
      </c>
      <c r="H3049" t="n">
        <v>0</v>
      </c>
      <c r="I3049" t="n">
        <v>0</v>
      </c>
      <c r="J3049" t="n">
        <v>0</v>
      </c>
      <c r="K3049" t="n">
        <v>0</v>
      </c>
      <c r="L3049" t="n">
        <v>0</v>
      </c>
      <c r="M3049" t="n">
        <v>0</v>
      </c>
      <c r="N3049" t="n">
        <v>0</v>
      </c>
      <c r="O3049" t="n">
        <v>0</v>
      </c>
      <c r="P3049" t="n">
        <v>0</v>
      </c>
      <c r="Q3049" t="n">
        <v>0</v>
      </c>
      <c r="R3049" s="2" t="inlineStr"/>
    </row>
    <row r="3050" ht="15" customHeight="1">
      <c r="A3050" t="inlineStr">
        <is>
          <t>A 64088-2020</t>
        </is>
      </c>
      <c r="B3050" s="1" t="n">
        <v>44167</v>
      </c>
      <c r="C3050" s="1" t="n">
        <v>45344</v>
      </c>
      <c r="D3050" t="inlineStr">
        <is>
          <t>GÄVLEBORGS LÄN</t>
        </is>
      </c>
      <c r="E3050" t="inlineStr">
        <is>
          <t>OVANÅKER</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64117-2020</t>
        </is>
      </c>
      <c r="B3051" s="1" t="n">
        <v>44167</v>
      </c>
      <c r="C3051" s="1" t="n">
        <v>45344</v>
      </c>
      <c r="D3051" t="inlineStr">
        <is>
          <t>GÄVLEBORGS LÄN</t>
        </is>
      </c>
      <c r="E3051" t="inlineStr">
        <is>
          <t>OVANÅKER</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63951-2020</t>
        </is>
      </c>
      <c r="B3052" s="1" t="n">
        <v>44167</v>
      </c>
      <c r="C3052" s="1" t="n">
        <v>45344</v>
      </c>
      <c r="D3052" t="inlineStr">
        <is>
          <t>GÄVLEBORGS LÄN</t>
        </is>
      </c>
      <c r="E3052" t="inlineStr">
        <is>
          <t>HOFORS</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63963-2020</t>
        </is>
      </c>
      <c r="B3053" s="1" t="n">
        <v>44167</v>
      </c>
      <c r="C3053" s="1" t="n">
        <v>45344</v>
      </c>
      <c r="D3053" t="inlineStr">
        <is>
          <t>GÄVLEBORGS LÄN</t>
        </is>
      </c>
      <c r="E3053" t="inlineStr">
        <is>
          <t>OVANÅKER</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64008-2020</t>
        </is>
      </c>
      <c r="B3054" s="1" t="n">
        <v>44167</v>
      </c>
      <c r="C3054" s="1" t="n">
        <v>45344</v>
      </c>
      <c r="D3054" t="inlineStr">
        <is>
          <t>GÄVLEBORGS LÄN</t>
        </is>
      </c>
      <c r="E3054" t="inlineStr">
        <is>
          <t>OVANÅKER</t>
        </is>
      </c>
      <c r="G3054" t="n">
        <v>1.4</v>
      </c>
      <c r="H3054" t="n">
        <v>0</v>
      </c>
      <c r="I3054" t="n">
        <v>0</v>
      </c>
      <c r="J3054" t="n">
        <v>0</v>
      </c>
      <c r="K3054" t="n">
        <v>0</v>
      </c>
      <c r="L3054" t="n">
        <v>0</v>
      </c>
      <c r="M3054" t="n">
        <v>0</v>
      </c>
      <c r="N3054" t="n">
        <v>0</v>
      </c>
      <c r="O3054" t="n">
        <v>0</v>
      </c>
      <c r="P3054" t="n">
        <v>0</v>
      </c>
      <c r="Q3054" t="n">
        <v>0</v>
      </c>
      <c r="R3054" s="2" t="inlineStr"/>
    </row>
    <row r="3055" ht="15" customHeight="1">
      <c r="A3055" t="inlineStr">
        <is>
          <t>A 64044-2020</t>
        </is>
      </c>
      <c r="B3055" s="1" t="n">
        <v>44167</v>
      </c>
      <c r="C3055" s="1" t="n">
        <v>45344</v>
      </c>
      <c r="D3055" t="inlineStr">
        <is>
          <t>GÄVLEBORGS LÄN</t>
        </is>
      </c>
      <c r="E3055" t="inlineStr">
        <is>
          <t>OVANÅKER</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64010-2020</t>
        </is>
      </c>
      <c r="B3056" s="1" t="n">
        <v>44167</v>
      </c>
      <c r="C3056" s="1" t="n">
        <v>45344</v>
      </c>
      <c r="D3056" t="inlineStr">
        <is>
          <t>GÄVLEBORGS LÄN</t>
        </is>
      </c>
      <c r="E3056" t="inlineStr">
        <is>
          <t>OVANÅKER</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64040-2020</t>
        </is>
      </c>
      <c r="B3057" s="1" t="n">
        <v>44167</v>
      </c>
      <c r="C3057" s="1" t="n">
        <v>45344</v>
      </c>
      <c r="D3057" t="inlineStr">
        <is>
          <t>GÄVLEBORGS LÄN</t>
        </is>
      </c>
      <c r="E3057" t="inlineStr">
        <is>
          <t>LJUSDAL</t>
        </is>
      </c>
      <c r="F3057" t="inlineStr">
        <is>
          <t>Bergvik skog väst AB</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64175-2020</t>
        </is>
      </c>
      <c r="B3058" s="1" t="n">
        <v>44167</v>
      </c>
      <c r="C3058" s="1" t="n">
        <v>45344</v>
      </c>
      <c r="D3058" t="inlineStr">
        <is>
          <t>GÄVLEBORGS LÄN</t>
        </is>
      </c>
      <c r="E3058" t="inlineStr">
        <is>
          <t>BOLLNÄS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64173-2020</t>
        </is>
      </c>
      <c r="B3059" s="1" t="n">
        <v>44167</v>
      </c>
      <c r="C3059" s="1" t="n">
        <v>45344</v>
      </c>
      <c r="D3059" t="inlineStr">
        <is>
          <t>GÄVLEBORGS LÄN</t>
        </is>
      </c>
      <c r="E3059" t="inlineStr">
        <is>
          <t>NORDANSTIG</t>
        </is>
      </c>
      <c r="F3059" t="inlineStr">
        <is>
          <t>Holmen skog AB</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64284-2020</t>
        </is>
      </c>
      <c r="B3060" s="1" t="n">
        <v>44168</v>
      </c>
      <c r="C3060" s="1" t="n">
        <v>45344</v>
      </c>
      <c r="D3060" t="inlineStr">
        <is>
          <t>GÄVLEBORGS LÄN</t>
        </is>
      </c>
      <c r="E3060" t="inlineStr">
        <is>
          <t>OCKELBO</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64289-2020</t>
        </is>
      </c>
      <c r="B3061" s="1" t="n">
        <v>44168</v>
      </c>
      <c r="C3061" s="1" t="n">
        <v>45344</v>
      </c>
      <c r="D3061" t="inlineStr">
        <is>
          <t>GÄVLEBORGS LÄN</t>
        </is>
      </c>
      <c r="E3061" t="inlineStr">
        <is>
          <t>OCKELBO</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64350-2020</t>
        </is>
      </c>
      <c r="B3062" s="1" t="n">
        <v>44168</v>
      </c>
      <c r="C3062" s="1" t="n">
        <v>45344</v>
      </c>
      <c r="D3062" t="inlineStr">
        <is>
          <t>GÄVLEBORGS LÄN</t>
        </is>
      </c>
      <c r="E3062" t="inlineStr">
        <is>
          <t>HUDIKSVALL</t>
        </is>
      </c>
      <c r="F3062" t="inlineStr">
        <is>
          <t>Holmen skog AB</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64387-2020</t>
        </is>
      </c>
      <c r="B3063" s="1" t="n">
        <v>44168</v>
      </c>
      <c r="C3063" s="1" t="n">
        <v>45344</v>
      </c>
      <c r="D3063" t="inlineStr">
        <is>
          <t>GÄVLEBORGS LÄN</t>
        </is>
      </c>
      <c r="E3063" t="inlineStr">
        <is>
          <t>SANDVIKEN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64512-2020</t>
        </is>
      </c>
      <c r="B3064" s="1" t="n">
        <v>44168</v>
      </c>
      <c r="C3064" s="1" t="n">
        <v>45344</v>
      </c>
      <c r="D3064" t="inlineStr">
        <is>
          <t>GÄVLEBORGS LÄN</t>
        </is>
      </c>
      <c r="E3064" t="inlineStr">
        <is>
          <t>HUDIKSVALL</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64685-2020</t>
        </is>
      </c>
      <c r="B3065" s="1" t="n">
        <v>44169</v>
      </c>
      <c r="C3065" s="1" t="n">
        <v>45344</v>
      </c>
      <c r="D3065" t="inlineStr">
        <is>
          <t>GÄVLEBORGS LÄN</t>
        </is>
      </c>
      <c r="E3065" t="inlineStr">
        <is>
          <t>BOLLNÄS</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64654-2020</t>
        </is>
      </c>
      <c r="B3066" s="1" t="n">
        <v>44169</v>
      </c>
      <c r="C3066" s="1" t="n">
        <v>45344</v>
      </c>
      <c r="D3066" t="inlineStr">
        <is>
          <t>GÄVLEBORGS LÄN</t>
        </is>
      </c>
      <c r="E3066" t="inlineStr">
        <is>
          <t>OVANÅKER</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64730-2020</t>
        </is>
      </c>
      <c r="B3067" s="1" t="n">
        <v>44169</v>
      </c>
      <c r="C3067" s="1" t="n">
        <v>45344</v>
      </c>
      <c r="D3067" t="inlineStr">
        <is>
          <t>GÄVLEBORGS LÄN</t>
        </is>
      </c>
      <c r="E3067" t="inlineStr">
        <is>
          <t>OVANÅKER</t>
        </is>
      </c>
      <c r="G3067" t="n">
        <v>2.7</v>
      </c>
      <c r="H3067" t="n">
        <v>0</v>
      </c>
      <c r="I3067" t="n">
        <v>0</v>
      </c>
      <c r="J3067" t="n">
        <v>0</v>
      </c>
      <c r="K3067" t="n">
        <v>0</v>
      </c>
      <c r="L3067" t="n">
        <v>0</v>
      </c>
      <c r="M3067" t="n">
        <v>0</v>
      </c>
      <c r="N3067" t="n">
        <v>0</v>
      </c>
      <c r="O3067" t="n">
        <v>0</v>
      </c>
      <c r="P3067" t="n">
        <v>0</v>
      </c>
      <c r="Q3067" t="n">
        <v>0</v>
      </c>
      <c r="R3067" s="2" t="inlineStr"/>
    </row>
    <row r="3068" ht="15" customHeight="1">
      <c r="A3068" t="inlineStr">
        <is>
          <t>A 64860-2020</t>
        </is>
      </c>
      <c r="B3068" s="1" t="n">
        <v>44171</v>
      </c>
      <c r="C3068" s="1" t="n">
        <v>45344</v>
      </c>
      <c r="D3068" t="inlineStr">
        <is>
          <t>GÄVLEBORGS LÄN</t>
        </is>
      </c>
      <c r="E3068" t="inlineStr">
        <is>
          <t>SANDVIKEN</t>
        </is>
      </c>
      <c r="G3068" t="n">
        <v>4.2</v>
      </c>
      <c r="H3068" t="n">
        <v>0</v>
      </c>
      <c r="I3068" t="n">
        <v>0</v>
      </c>
      <c r="J3068" t="n">
        <v>0</v>
      </c>
      <c r="K3068" t="n">
        <v>0</v>
      </c>
      <c r="L3068" t="n">
        <v>0</v>
      </c>
      <c r="M3068" t="n">
        <v>0</v>
      </c>
      <c r="N3068" t="n">
        <v>0</v>
      </c>
      <c r="O3068" t="n">
        <v>0</v>
      </c>
      <c r="P3068" t="n">
        <v>0</v>
      </c>
      <c r="Q3068" t="n">
        <v>0</v>
      </c>
      <c r="R3068" s="2" t="inlineStr"/>
    </row>
    <row r="3069" ht="15" customHeight="1">
      <c r="A3069" t="inlineStr">
        <is>
          <t>A 64905-2020</t>
        </is>
      </c>
      <c r="B3069" s="1" t="n">
        <v>44172</v>
      </c>
      <c r="C3069" s="1" t="n">
        <v>45344</v>
      </c>
      <c r="D3069" t="inlineStr">
        <is>
          <t>GÄVLEBORGS LÄN</t>
        </is>
      </c>
      <c r="E3069" t="inlineStr">
        <is>
          <t>HUDIKSVALL</t>
        </is>
      </c>
      <c r="F3069" t="inlineStr">
        <is>
          <t>Holmen skog AB</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64967-2020</t>
        </is>
      </c>
      <c r="B3070" s="1" t="n">
        <v>44172</v>
      </c>
      <c r="C3070" s="1" t="n">
        <v>45344</v>
      </c>
      <c r="D3070" t="inlineStr">
        <is>
          <t>GÄVLEBORGS LÄN</t>
        </is>
      </c>
      <c r="E3070" t="inlineStr">
        <is>
          <t>HUDIKSVALL</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65221-2020</t>
        </is>
      </c>
      <c r="B3071" s="1" t="n">
        <v>44172</v>
      </c>
      <c r="C3071" s="1" t="n">
        <v>45344</v>
      </c>
      <c r="D3071" t="inlineStr">
        <is>
          <t>GÄVLEBORGS LÄN</t>
        </is>
      </c>
      <c r="E3071" t="inlineStr">
        <is>
          <t>SÖDERHAMN</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65025-2020</t>
        </is>
      </c>
      <c r="B3072" s="1" t="n">
        <v>44172</v>
      </c>
      <c r="C3072" s="1" t="n">
        <v>45344</v>
      </c>
      <c r="D3072" t="inlineStr">
        <is>
          <t>GÄVLEBORGS LÄN</t>
        </is>
      </c>
      <c r="E3072" t="inlineStr">
        <is>
          <t>SANDVIKEN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65038-2020</t>
        </is>
      </c>
      <c r="B3073" s="1" t="n">
        <v>44172</v>
      </c>
      <c r="C3073" s="1" t="n">
        <v>45344</v>
      </c>
      <c r="D3073" t="inlineStr">
        <is>
          <t>GÄVLEBORGS LÄN</t>
        </is>
      </c>
      <c r="E3073" t="inlineStr">
        <is>
          <t>HUDIKSVALL</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65089-2020</t>
        </is>
      </c>
      <c r="B3074" s="1" t="n">
        <v>44172</v>
      </c>
      <c r="C3074" s="1" t="n">
        <v>45344</v>
      </c>
      <c r="D3074" t="inlineStr">
        <is>
          <t>GÄVLEBORGS LÄN</t>
        </is>
      </c>
      <c r="E3074" t="inlineStr">
        <is>
          <t>NORDANSTIG</t>
        </is>
      </c>
      <c r="F3074" t="inlineStr">
        <is>
          <t>Holmen skog AB</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65259-2020</t>
        </is>
      </c>
      <c r="B3075" s="1" t="n">
        <v>44172</v>
      </c>
      <c r="C3075" s="1" t="n">
        <v>45344</v>
      </c>
      <c r="D3075" t="inlineStr">
        <is>
          <t>GÄVLEBORGS LÄN</t>
        </is>
      </c>
      <c r="E3075" t="inlineStr">
        <is>
          <t>NORDANSTIG</t>
        </is>
      </c>
      <c r="F3075" t="inlineStr">
        <is>
          <t>SCA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65684-2020</t>
        </is>
      </c>
      <c r="B3076" s="1" t="n">
        <v>44172</v>
      </c>
      <c r="C3076" s="1" t="n">
        <v>45344</v>
      </c>
      <c r="D3076" t="inlineStr">
        <is>
          <t>GÄVLEBORGS LÄN</t>
        </is>
      </c>
      <c r="E3076" t="inlineStr">
        <is>
          <t>OCKELBO</t>
        </is>
      </c>
      <c r="G3076" t="n">
        <v>2.8</v>
      </c>
      <c r="H3076" t="n">
        <v>0</v>
      </c>
      <c r="I3076" t="n">
        <v>0</v>
      </c>
      <c r="J3076" t="n">
        <v>0</v>
      </c>
      <c r="K3076" t="n">
        <v>0</v>
      </c>
      <c r="L3076" t="n">
        <v>0</v>
      </c>
      <c r="M3076" t="n">
        <v>0</v>
      </c>
      <c r="N3076" t="n">
        <v>0</v>
      </c>
      <c r="O3076" t="n">
        <v>0</v>
      </c>
      <c r="P3076" t="n">
        <v>0</v>
      </c>
      <c r="Q3076" t="n">
        <v>0</v>
      </c>
      <c r="R3076" s="2" t="inlineStr"/>
      <c r="U3076">
        <f>HYPERLINK("https://klasma.github.io/Logging_2101/knärot/A 65684-2020 karta knärot.png", "A 65684-2020")</f>
        <v/>
      </c>
      <c r="V3076">
        <f>HYPERLINK("https://klasma.github.io/Logging_2101/klagomål/A 65684-2020 FSC-klagomål.docx", "A 65684-2020")</f>
        <v/>
      </c>
      <c r="W3076">
        <f>HYPERLINK("https://klasma.github.io/Logging_2101/klagomålsmail/A 65684-2020 FSC-klagomål mail.docx", "A 65684-2020")</f>
        <v/>
      </c>
      <c r="X3076">
        <f>HYPERLINK("https://klasma.github.io/Logging_2101/tillsyn/A 65684-2020 tillsynsbegäran.docx", "A 65684-2020")</f>
        <v/>
      </c>
      <c r="Y3076">
        <f>HYPERLINK("https://klasma.github.io/Logging_2101/tillsynsmail/A 65684-2020 tillsynsbegäran mail.docx", "A 65684-2020")</f>
        <v/>
      </c>
    </row>
    <row r="3077" ht="15" customHeight="1">
      <c r="A3077" t="inlineStr">
        <is>
          <t>A 65531-2020</t>
        </is>
      </c>
      <c r="B3077" s="1" t="n">
        <v>44173</v>
      </c>
      <c r="C3077" s="1" t="n">
        <v>45344</v>
      </c>
      <c r="D3077" t="inlineStr">
        <is>
          <t>GÄVLEBORGS LÄN</t>
        </is>
      </c>
      <c r="E3077" t="inlineStr">
        <is>
          <t>HUDIKSVALL</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65806-2020</t>
        </is>
      </c>
      <c r="B3078" s="1" t="n">
        <v>44174</v>
      </c>
      <c r="C3078" s="1" t="n">
        <v>45344</v>
      </c>
      <c r="D3078" t="inlineStr">
        <is>
          <t>GÄVLEBORGS LÄN</t>
        </is>
      </c>
      <c r="E3078" t="inlineStr">
        <is>
          <t>OVANÅKER</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65835-2020</t>
        </is>
      </c>
      <c r="B3079" s="1" t="n">
        <v>44174</v>
      </c>
      <c r="C3079" s="1" t="n">
        <v>45344</v>
      </c>
      <c r="D3079" t="inlineStr">
        <is>
          <t>GÄVLEBORGS LÄN</t>
        </is>
      </c>
      <c r="E3079" t="inlineStr">
        <is>
          <t>HUDIKSVALL</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65689-2020</t>
        </is>
      </c>
      <c r="B3080" s="1" t="n">
        <v>44174</v>
      </c>
      <c r="C3080" s="1" t="n">
        <v>45344</v>
      </c>
      <c r="D3080" t="inlineStr">
        <is>
          <t>GÄVLEBORGS LÄN</t>
        </is>
      </c>
      <c r="E3080" t="inlineStr">
        <is>
          <t>OVANÅKER</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65802-2020</t>
        </is>
      </c>
      <c r="B3081" s="1" t="n">
        <v>44174</v>
      </c>
      <c r="C3081" s="1" t="n">
        <v>45344</v>
      </c>
      <c r="D3081" t="inlineStr">
        <is>
          <t>GÄVLEBORGS LÄN</t>
        </is>
      </c>
      <c r="E3081" t="inlineStr">
        <is>
          <t>HUDIKSVALL</t>
        </is>
      </c>
      <c r="F3081" t="inlineStr">
        <is>
          <t>Holmen skog AB</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65837-2020</t>
        </is>
      </c>
      <c r="B3082" s="1" t="n">
        <v>44174</v>
      </c>
      <c r="C3082" s="1" t="n">
        <v>45344</v>
      </c>
      <c r="D3082" t="inlineStr">
        <is>
          <t>GÄVLEBORGS LÄN</t>
        </is>
      </c>
      <c r="E3082" t="inlineStr">
        <is>
          <t>HUDIKSVALL</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65862-2020</t>
        </is>
      </c>
      <c r="B3083" s="1" t="n">
        <v>44174</v>
      </c>
      <c r="C3083" s="1" t="n">
        <v>45344</v>
      </c>
      <c r="D3083" t="inlineStr">
        <is>
          <t>GÄVLEBORGS LÄN</t>
        </is>
      </c>
      <c r="E3083" t="inlineStr">
        <is>
          <t>LJUSDAL</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65842-2020</t>
        </is>
      </c>
      <c r="B3084" s="1" t="n">
        <v>44174</v>
      </c>
      <c r="C3084" s="1" t="n">
        <v>45344</v>
      </c>
      <c r="D3084" t="inlineStr">
        <is>
          <t>GÄVLEBORGS LÄN</t>
        </is>
      </c>
      <c r="E3084" t="inlineStr">
        <is>
          <t>NORDANSTIG</t>
        </is>
      </c>
      <c r="G3084" t="n">
        <v>3.1</v>
      </c>
      <c r="H3084" t="n">
        <v>0</v>
      </c>
      <c r="I3084" t="n">
        <v>0</v>
      </c>
      <c r="J3084" t="n">
        <v>0</v>
      </c>
      <c r="K3084" t="n">
        <v>0</v>
      </c>
      <c r="L3084" t="n">
        <v>0</v>
      </c>
      <c r="M3084" t="n">
        <v>0</v>
      </c>
      <c r="N3084" t="n">
        <v>0</v>
      </c>
      <c r="O3084" t="n">
        <v>0</v>
      </c>
      <c r="P3084" t="n">
        <v>0</v>
      </c>
      <c r="Q3084" t="n">
        <v>0</v>
      </c>
      <c r="R3084" s="2" t="inlineStr"/>
    </row>
    <row r="3085" ht="15" customHeight="1">
      <c r="A3085" t="inlineStr">
        <is>
          <t>A 65841-2020</t>
        </is>
      </c>
      <c r="B3085" s="1" t="n">
        <v>44174</v>
      </c>
      <c r="C3085" s="1" t="n">
        <v>45344</v>
      </c>
      <c r="D3085" t="inlineStr">
        <is>
          <t>GÄVLEBORGS LÄN</t>
        </is>
      </c>
      <c r="E3085" t="inlineStr">
        <is>
          <t>HUDIKSVALL</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65865-2020</t>
        </is>
      </c>
      <c r="B3086" s="1" t="n">
        <v>44174</v>
      </c>
      <c r="C3086" s="1" t="n">
        <v>45344</v>
      </c>
      <c r="D3086" t="inlineStr">
        <is>
          <t>GÄVLEBORGS LÄN</t>
        </is>
      </c>
      <c r="E3086" t="inlineStr">
        <is>
          <t>LJUSDAL</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66101-2020</t>
        </is>
      </c>
      <c r="B3087" s="1" t="n">
        <v>44175</v>
      </c>
      <c r="C3087" s="1" t="n">
        <v>45344</v>
      </c>
      <c r="D3087" t="inlineStr">
        <is>
          <t>GÄVLEBORGS LÄN</t>
        </is>
      </c>
      <c r="E3087" t="inlineStr">
        <is>
          <t>SÖDERHAMN</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66006-2020</t>
        </is>
      </c>
      <c r="B3088" s="1" t="n">
        <v>44175</v>
      </c>
      <c r="C3088" s="1" t="n">
        <v>45344</v>
      </c>
      <c r="D3088" t="inlineStr">
        <is>
          <t>GÄVLEBORGS LÄN</t>
        </is>
      </c>
      <c r="E3088" t="inlineStr">
        <is>
          <t>GÄVLE</t>
        </is>
      </c>
      <c r="F3088" t="inlineStr">
        <is>
          <t>Bergvik skog väst AB</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66346-2020</t>
        </is>
      </c>
      <c r="B3089" s="1" t="n">
        <v>44176</v>
      </c>
      <c r="C3089" s="1" t="n">
        <v>45344</v>
      </c>
      <c r="D3089" t="inlineStr">
        <is>
          <t>GÄVLEBORGS LÄN</t>
        </is>
      </c>
      <c r="E3089" t="inlineStr">
        <is>
          <t>GÄVLE</t>
        </is>
      </c>
      <c r="F3089" t="inlineStr">
        <is>
          <t>Bergvik skog öst AB</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66343-2020</t>
        </is>
      </c>
      <c r="B3090" s="1" t="n">
        <v>44176</v>
      </c>
      <c r="C3090" s="1" t="n">
        <v>45344</v>
      </c>
      <c r="D3090" t="inlineStr">
        <is>
          <t>GÄVLEBORGS LÄN</t>
        </is>
      </c>
      <c r="E3090" t="inlineStr">
        <is>
          <t>GÄVLE</t>
        </is>
      </c>
      <c r="F3090" t="inlineStr">
        <is>
          <t>Bergvik skog öst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66442-2020</t>
        </is>
      </c>
      <c r="B3091" s="1" t="n">
        <v>44176</v>
      </c>
      <c r="C3091" s="1" t="n">
        <v>45344</v>
      </c>
      <c r="D3091" t="inlineStr">
        <is>
          <t>GÄVLEBORGS LÄN</t>
        </is>
      </c>
      <c r="E3091" t="inlineStr">
        <is>
          <t>OCKELBO</t>
        </is>
      </c>
      <c r="F3091" t="inlineStr">
        <is>
          <t>Bergvik skog väst AB</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66342-2020</t>
        </is>
      </c>
      <c r="B3092" s="1" t="n">
        <v>44176</v>
      </c>
      <c r="C3092" s="1" t="n">
        <v>45344</v>
      </c>
      <c r="D3092" t="inlineStr">
        <is>
          <t>GÄVLEBORGS LÄN</t>
        </is>
      </c>
      <c r="E3092" t="inlineStr">
        <is>
          <t>BOLLNÄS</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66279-2020</t>
        </is>
      </c>
      <c r="B3093" s="1" t="n">
        <v>44176</v>
      </c>
      <c r="C3093" s="1" t="n">
        <v>45344</v>
      </c>
      <c r="D3093" t="inlineStr">
        <is>
          <t>GÄVLEBORGS LÄN</t>
        </is>
      </c>
      <c r="E3093" t="inlineStr">
        <is>
          <t>LJUSDAL</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67015-2020</t>
        </is>
      </c>
      <c r="B3094" s="1" t="n">
        <v>44176</v>
      </c>
      <c r="C3094" s="1" t="n">
        <v>45344</v>
      </c>
      <c r="D3094" t="inlineStr">
        <is>
          <t>GÄVLEBORGS LÄN</t>
        </is>
      </c>
      <c r="E3094" t="inlineStr">
        <is>
          <t>OCKELBO</t>
        </is>
      </c>
      <c r="G3094" t="n">
        <v>21.8</v>
      </c>
      <c r="H3094" t="n">
        <v>0</v>
      </c>
      <c r="I3094" t="n">
        <v>0</v>
      </c>
      <c r="J3094" t="n">
        <v>0</v>
      </c>
      <c r="K3094" t="n">
        <v>0</v>
      </c>
      <c r="L3094" t="n">
        <v>0</v>
      </c>
      <c r="M3094" t="n">
        <v>0</v>
      </c>
      <c r="N3094" t="n">
        <v>0</v>
      </c>
      <c r="O3094" t="n">
        <v>0</v>
      </c>
      <c r="P3094" t="n">
        <v>0</v>
      </c>
      <c r="Q3094" t="n">
        <v>0</v>
      </c>
      <c r="R3094" s="2" t="inlineStr"/>
    </row>
    <row r="3095" ht="15" customHeight="1">
      <c r="A3095" t="inlineStr">
        <is>
          <t>A 66458-2020</t>
        </is>
      </c>
      <c r="B3095" s="1" t="n">
        <v>44176</v>
      </c>
      <c r="C3095" s="1" t="n">
        <v>45344</v>
      </c>
      <c r="D3095" t="inlineStr">
        <is>
          <t>GÄVLEBORGS LÄN</t>
        </is>
      </c>
      <c r="E3095" t="inlineStr">
        <is>
          <t>SÖDERHAMN</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66468-2020</t>
        </is>
      </c>
      <c r="B3096" s="1" t="n">
        <v>44176</v>
      </c>
      <c r="C3096" s="1" t="n">
        <v>45344</v>
      </c>
      <c r="D3096" t="inlineStr">
        <is>
          <t>GÄVLEBORGS LÄN</t>
        </is>
      </c>
      <c r="E3096" t="inlineStr">
        <is>
          <t>HUDIKSVALL</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66274-2020</t>
        </is>
      </c>
      <c r="B3097" s="1" t="n">
        <v>44176</v>
      </c>
      <c r="C3097" s="1" t="n">
        <v>45344</v>
      </c>
      <c r="D3097" t="inlineStr">
        <is>
          <t>GÄVLEBORGS LÄN</t>
        </is>
      </c>
      <c r="E3097" t="inlineStr">
        <is>
          <t>OCKELBO</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66490-2020</t>
        </is>
      </c>
      <c r="B3098" s="1" t="n">
        <v>44177</v>
      </c>
      <c r="C3098" s="1" t="n">
        <v>45344</v>
      </c>
      <c r="D3098" t="inlineStr">
        <is>
          <t>GÄVLEBORGS LÄN</t>
        </is>
      </c>
      <c r="E3098" t="inlineStr">
        <is>
          <t>HUDIKSVALL</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66491-2020</t>
        </is>
      </c>
      <c r="B3099" s="1" t="n">
        <v>44177</v>
      </c>
      <c r="C3099" s="1" t="n">
        <v>45344</v>
      </c>
      <c r="D3099" t="inlineStr">
        <is>
          <t>GÄVLEBORGS LÄN</t>
        </is>
      </c>
      <c r="E3099" t="inlineStr">
        <is>
          <t>HUDIKSVALL</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66577-2020</t>
        </is>
      </c>
      <c r="B3100" s="1" t="n">
        <v>44179</v>
      </c>
      <c r="C3100" s="1" t="n">
        <v>45344</v>
      </c>
      <c r="D3100" t="inlineStr">
        <is>
          <t>GÄVLEBORGS LÄN</t>
        </is>
      </c>
      <c r="E3100" t="inlineStr">
        <is>
          <t>HUDIKSVALL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66584-2020</t>
        </is>
      </c>
      <c r="B3101" s="1" t="n">
        <v>44179</v>
      </c>
      <c r="C3101" s="1" t="n">
        <v>45344</v>
      </c>
      <c r="D3101" t="inlineStr">
        <is>
          <t>GÄVLEBORGS LÄN</t>
        </is>
      </c>
      <c r="E3101" t="inlineStr">
        <is>
          <t>HUDIKSVALL</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66611-2020</t>
        </is>
      </c>
      <c r="B3102" s="1" t="n">
        <v>44179</v>
      </c>
      <c r="C3102" s="1" t="n">
        <v>45344</v>
      </c>
      <c r="D3102" t="inlineStr">
        <is>
          <t>GÄVLEBORGS LÄN</t>
        </is>
      </c>
      <c r="E3102" t="inlineStr">
        <is>
          <t>OCKELBO</t>
        </is>
      </c>
      <c r="F3102" t="inlineStr">
        <is>
          <t>Bergvik skog väst AB</t>
        </is>
      </c>
      <c r="G3102" t="n">
        <v>4</v>
      </c>
      <c r="H3102" t="n">
        <v>0</v>
      </c>
      <c r="I3102" t="n">
        <v>0</v>
      </c>
      <c r="J3102" t="n">
        <v>0</v>
      </c>
      <c r="K3102" t="n">
        <v>0</v>
      </c>
      <c r="L3102" t="n">
        <v>0</v>
      </c>
      <c r="M3102" t="n">
        <v>0</v>
      </c>
      <c r="N3102" t="n">
        <v>0</v>
      </c>
      <c r="O3102" t="n">
        <v>0</v>
      </c>
      <c r="P3102" t="n">
        <v>0</v>
      </c>
      <c r="Q3102" t="n">
        <v>0</v>
      </c>
      <c r="R3102" s="2" t="inlineStr"/>
    </row>
    <row r="3103" ht="15" customHeight="1">
      <c r="A3103" t="inlineStr">
        <is>
          <t>A 66690-2020</t>
        </is>
      </c>
      <c r="B3103" s="1" t="n">
        <v>44179</v>
      </c>
      <c r="C3103" s="1" t="n">
        <v>45344</v>
      </c>
      <c r="D3103" t="inlineStr">
        <is>
          <t>GÄVLEBORGS LÄN</t>
        </is>
      </c>
      <c r="E3103" t="inlineStr">
        <is>
          <t>HUDIKSVALL</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66735-2020</t>
        </is>
      </c>
      <c r="B3104" s="1" t="n">
        <v>44179</v>
      </c>
      <c r="C3104" s="1" t="n">
        <v>45344</v>
      </c>
      <c r="D3104" t="inlineStr">
        <is>
          <t>GÄVLEBORGS LÄN</t>
        </is>
      </c>
      <c r="E3104" t="inlineStr">
        <is>
          <t>LJUSDAL</t>
        </is>
      </c>
      <c r="F3104" t="inlineStr">
        <is>
          <t>Holmen skog AB</t>
        </is>
      </c>
      <c r="G3104" t="n">
        <v>12.6</v>
      </c>
      <c r="H3104" t="n">
        <v>0</v>
      </c>
      <c r="I3104" t="n">
        <v>0</v>
      </c>
      <c r="J3104" t="n">
        <v>0</v>
      </c>
      <c r="K3104" t="n">
        <v>0</v>
      </c>
      <c r="L3104" t="n">
        <v>0</v>
      </c>
      <c r="M3104" t="n">
        <v>0</v>
      </c>
      <c r="N3104" t="n">
        <v>0</v>
      </c>
      <c r="O3104" t="n">
        <v>0</v>
      </c>
      <c r="P3104" t="n">
        <v>0</v>
      </c>
      <c r="Q3104" t="n">
        <v>0</v>
      </c>
      <c r="R3104" s="2" t="inlineStr"/>
    </row>
    <row r="3105" ht="15" customHeight="1">
      <c r="A3105" t="inlineStr">
        <is>
          <t>A 66800-2020</t>
        </is>
      </c>
      <c r="B3105" s="1" t="n">
        <v>44179</v>
      </c>
      <c r="C3105" s="1" t="n">
        <v>45344</v>
      </c>
      <c r="D3105" t="inlineStr">
        <is>
          <t>GÄVLEBORGS LÄN</t>
        </is>
      </c>
      <c r="E3105" t="inlineStr">
        <is>
          <t>SÖDERHAMN</t>
        </is>
      </c>
      <c r="F3105" t="inlineStr">
        <is>
          <t>Bergvik skog väst AB</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67069-2020</t>
        </is>
      </c>
      <c r="B3106" s="1" t="n">
        <v>44180</v>
      </c>
      <c r="C3106" s="1" t="n">
        <v>45344</v>
      </c>
      <c r="D3106" t="inlineStr">
        <is>
          <t>GÄVLEBORGS LÄN</t>
        </is>
      </c>
      <c r="E3106" t="inlineStr">
        <is>
          <t>BOLLNÄS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67128-2020</t>
        </is>
      </c>
      <c r="B3107" s="1" t="n">
        <v>44180</v>
      </c>
      <c r="C3107" s="1" t="n">
        <v>45344</v>
      </c>
      <c r="D3107" t="inlineStr">
        <is>
          <t>GÄVLEBORGS LÄN</t>
        </is>
      </c>
      <c r="E3107" t="inlineStr">
        <is>
          <t>BOLLNÄS</t>
        </is>
      </c>
      <c r="F3107" t="inlineStr">
        <is>
          <t>Sveaskog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66902-2020</t>
        </is>
      </c>
      <c r="B3108" s="1" t="n">
        <v>44180</v>
      </c>
      <c r="C3108" s="1" t="n">
        <v>45344</v>
      </c>
      <c r="D3108" t="inlineStr">
        <is>
          <t>GÄVLEBORGS LÄN</t>
        </is>
      </c>
      <c r="E3108" t="inlineStr">
        <is>
          <t>SANDVIKEN</t>
        </is>
      </c>
      <c r="G3108" t="n">
        <v>2.6</v>
      </c>
      <c r="H3108" t="n">
        <v>0</v>
      </c>
      <c r="I3108" t="n">
        <v>0</v>
      </c>
      <c r="J3108" t="n">
        <v>0</v>
      </c>
      <c r="K3108" t="n">
        <v>0</v>
      </c>
      <c r="L3108" t="n">
        <v>0</v>
      </c>
      <c r="M3108" t="n">
        <v>0</v>
      </c>
      <c r="N3108" t="n">
        <v>0</v>
      </c>
      <c r="O3108" t="n">
        <v>0</v>
      </c>
      <c r="P3108" t="n">
        <v>0</v>
      </c>
      <c r="Q3108" t="n">
        <v>0</v>
      </c>
      <c r="R3108" s="2" t="inlineStr"/>
    </row>
    <row r="3109" ht="15" customHeight="1">
      <c r="A3109" t="inlineStr">
        <is>
          <t>A 66980-2020</t>
        </is>
      </c>
      <c r="B3109" s="1" t="n">
        <v>44180</v>
      </c>
      <c r="C3109" s="1" t="n">
        <v>45344</v>
      </c>
      <c r="D3109" t="inlineStr">
        <is>
          <t>GÄVLEBORGS LÄN</t>
        </is>
      </c>
      <c r="E3109" t="inlineStr">
        <is>
          <t>BOLLNÄS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66995-2020</t>
        </is>
      </c>
      <c r="B3110" s="1" t="n">
        <v>44180</v>
      </c>
      <c r="C3110" s="1" t="n">
        <v>45344</v>
      </c>
      <c r="D3110" t="inlineStr">
        <is>
          <t>GÄVLEBORGS LÄN</t>
        </is>
      </c>
      <c r="E3110" t="inlineStr">
        <is>
          <t>HUDIKSVALL</t>
        </is>
      </c>
      <c r="F3110" t="inlineStr">
        <is>
          <t>Holmen skog AB</t>
        </is>
      </c>
      <c r="G3110" t="n">
        <v>2.2</v>
      </c>
      <c r="H3110" t="n">
        <v>0</v>
      </c>
      <c r="I3110" t="n">
        <v>0</v>
      </c>
      <c r="J3110" t="n">
        <v>0</v>
      </c>
      <c r="K3110" t="n">
        <v>0</v>
      </c>
      <c r="L3110" t="n">
        <v>0</v>
      </c>
      <c r="M3110" t="n">
        <v>0</v>
      </c>
      <c r="N3110" t="n">
        <v>0</v>
      </c>
      <c r="O3110" t="n">
        <v>0</v>
      </c>
      <c r="P3110" t="n">
        <v>0</v>
      </c>
      <c r="Q3110" t="n">
        <v>0</v>
      </c>
      <c r="R3110" s="2" t="inlineStr"/>
    </row>
    <row r="3111" ht="15" customHeight="1">
      <c r="A3111" t="inlineStr">
        <is>
          <t>A 67064-2020</t>
        </is>
      </c>
      <c r="B3111" s="1" t="n">
        <v>44180</v>
      </c>
      <c r="C3111" s="1" t="n">
        <v>45344</v>
      </c>
      <c r="D3111" t="inlineStr">
        <is>
          <t>GÄVLEBORGS LÄN</t>
        </is>
      </c>
      <c r="E3111" t="inlineStr">
        <is>
          <t>BOLLNÄS</t>
        </is>
      </c>
      <c r="G3111" t="n">
        <v>3.2</v>
      </c>
      <c r="H3111" t="n">
        <v>0</v>
      </c>
      <c r="I3111" t="n">
        <v>0</v>
      </c>
      <c r="J3111" t="n">
        <v>0</v>
      </c>
      <c r="K3111" t="n">
        <v>0</v>
      </c>
      <c r="L3111" t="n">
        <v>0</v>
      </c>
      <c r="M3111" t="n">
        <v>0</v>
      </c>
      <c r="N3111" t="n">
        <v>0</v>
      </c>
      <c r="O3111" t="n">
        <v>0</v>
      </c>
      <c r="P3111" t="n">
        <v>0</v>
      </c>
      <c r="Q3111" t="n">
        <v>0</v>
      </c>
      <c r="R3111" s="2" t="inlineStr"/>
    </row>
    <row r="3112" ht="15" customHeight="1">
      <c r="A3112" t="inlineStr">
        <is>
          <t>A 67146-2020</t>
        </is>
      </c>
      <c r="B3112" s="1" t="n">
        <v>44180</v>
      </c>
      <c r="C3112" s="1" t="n">
        <v>45344</v>
      </c>
      <c r="D3112" t="inlineStr">
        <is>
          <t>GÄVLEBORGS LÄN</t>
        </is>
      </c>
      <c r="E3112" t="inlineStr">
        <is>
          <t>HUDIKSVALL</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67152-2020</t>
        </is>
      </c>
      <c r="B3113" s="1" t="n">
        <v>44180</v>
      </c>
      <c r="C3113" s="1" t="n">
        <v>45344</v>
      </c>
      <c r="D3113" t="inlineStr">
        <is>
          <t>GÄVLEBORGS LÄN</t>
        </is>
      </c>
      <c r="E3113" t="inlineStr">
        <is>
          <t>HUDIKSVALL</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67171-2020</t>
        </is>
      </c>
      <c r="B3114" s="1" t="n">
        <v>44180</v>
      </c>
      <c r="C3114" s="1" t="n">
        <v>45344</v>
      </c>
      <c r="D3114" t="inlineStr">
        <is>
          <t>GÄVLEBORGS LÄN</t>
        </is>
      </c>
      <c r="E3114" t="inlineStr">
        <is>
          <t>LJUSDAL</t>
        </is>
      </c>
      <c r="F3114" t="inlineStr">
        <is>
          <t>Sveaskog</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67475-2020</t>
        </is>
      </c>
      <c r="B3115" s="1" t="n">
        <v>44181</v>
      </c>
      <c r="C3115" s="1" t="n">
        <v>45344</v>
      </c>
      <c r="D3115" t="inlineStr">
        <is>
          <t>GÄVLEBORGS LÄN</t>
        </is>
      </c>
      <c r="E3115" t="inlineStr">
        <is>
          <t>OVANÅKER</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67558-2020</t>
        </is>
      </c>
      <c r="B3116" s="1" t="n">
        <v>44181</v>
      </c>
      <c r="C3116" s="1" t="n">
        <v>45344</v>
      </c>
      <c r="D3116" t="inlineStr">
        <is>
          <t>GÄVLEBORGS LÄN</t>
        </is>
      </c>
      <c r="E3116" t="inlineStr">
        <is>
          <t>HUDIKSVALL</t>
        </is>
      </c>
      <c r="G3116" t="n">
        <v>0.1</v>
      </c>
      <c r="H3116" t="n">
        <v>0</v>
      </c>
      <c r="I3116" t="n">
        <v>0</v>
      </c>
      <c r="J3116" t="n">
        <v>0</v>
      </c>
      <c r="K3116" t="n">
        <v>0</v>
      </c>
      <c r="L3116" t="n">
        <v>0</v>
      </c>
      <c r="M3116" t="n">
        <v>0</v>
      </c>
      <c r="N3116" t="n">
        <v>0</v>
      </c>
      <c r="O3116" t="n">
        <v>0</v>
      </c>
      <c r="P3116" t="n">
        <v>0</v>
      </c>
      <c r="Q3116" t="n">
        <v>0</v>
      </c>
      <c r="R3116" s="2" t="inlineStr"/>
    </row>
    <row r="3117" ht="15" customHeight="1">
      <c r="A3117" t="inlineStr">
        <is>
          <t>A 67779-2020</t>
        </is>
      </c>
      <c r="B3117" s="1" t="n">
        <v>44182</v>
      </c>
      <c r="C3117" s="1" t="n">
        <v>45344</v>
      </c>
      <c r="D3117" t="inlineStr">
        <is>
          <t>GÄVLEBORGS LÄN</t>
        </is>
      </c>
      <c r="E3117" t="inlineStr">
        <is>
          <t>OCKELBO</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67761-2020</t>
        </is>
      </c>
      <c r="B3118" s="1" t="n">
        <v>44182</v>
      </c>
      <c r="C3118" s="1" t="n">
        <v>45344</v>
      </c>
      <c r="D3118" t="inlineStr">
        <is>
          <t>GÄVLEBORGS LÄN</t>
        </is>
      </c>
      <c r="E3118" t="inlineStr">
        <is>
          <t>OCKELBO</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68137-2020</t>
        </is>
      </c>
      <c r="B3119" s="1" t="n">
        <v>44183</v>
      </c>
      <c r="C3119" s="1" t="n">
        <v>45344</v>
      </c>
      <c r="D3119" t="inlineStr">
        <is>
          <t>GÄVLEBORGS LÄN</t>
        </is>
      </c>
      <c r="E3119" t="inlineStr">
        <is>
          <t>HUDIKSVALL</t>
        </is>
      </c>
      <c r="F3119" t="inlineStr">
        <is>
          <t>Holmen skog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68228-2020</t>
        </is>
      </c>
      <c r="B3120" s="1" t="n">
        <v>44183</v>
      </c>
      <c r="C3120" s="1" t="n">
        <v>45344</v>
      </c>
      <c r="D3120" t="inlineStr">
        <is>
          <t>GÄVLEBORGS LÄN</t>
        </is>
      </c>
      <c r="E3120" t="inlineStr">
        <is>
          <t>OVANÅKER</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68382-2020</t>
        </is>
      </c>
      <c r="B3121" s="1" t="n">
        <v>44186</v>
      </c>
      <c r="C3121" s="1" t="n">
        <v>45344</v>
      </c>
      <c r="D3121" t="inlineStr">
        <is>
          <t>GÄVLEBORGS LÄN</t>
        </is>
      </c>
      <c r="E3121" t="inlineStr">
        <is>
          <t>BOLLNÄS</t>
        </is>
      </c>
      <c r="G3121" t="n">
        <v>3</v>
      </c>
      <c r="H3121" t="n">
        <v>0</v>
      </c>
      <c r="I3121" t="n">
        <v>0</v>
      </c>
      <c r="J3121" t="n">
        <v>0</v>
      </c>
      <c r="K3121" t="n">
        <v>0</v>
      </c>
      <c r="L3121" t="n">
        <v>0</v>
      </c>
      <c r="M3121" t="n">
        <v>0</v>
      </c>
      <c r="N3121" t="n">
        <v>0</v>
      </c>
      <c r="O3121" t="n">
        <v>0</v>
      </c>
      <c r="P3121" t="n">
        <v>0</v>
      </c>
      <c r="Q3121" t="n">
        <v>0</v>
      </c>
      <c r="R3121" s="2" t="inlineStr"/>
    </row>
    <row r="3122" ht="15" customHeight="1">
      <c r="A3122" t="inlineStr">
        <is>
          <t>A 68397-2020</t>
        </is>
      </c>
      <c r="B3122" s="1" t="n">
        <v>44186</v>
      </c>
      <c r="C3122" s="1" t="n">
        <v>45344</v>
      </c>
      <c r="D3122" t="inlineStr">
        <is>
          <t>GÄVLEBORGS LÄN</t>
        </is>
      </c>
      <c r="E3122" t="inlineStr">
        <is>
          <t>HOFORS</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68599-2020</t>
        </is>
      </c>
      <c r="B3123" s="1" t="n">
        <v>44186</v>
      </c>
      <c r="C3123" s="1" t="n">
        <v>45344</v>
      </c>
      <c r="D3123" t="inlineStr">
        <is>
          <t>GÄVLEBORGS LÄN</t>
        </is>
      </c>
      <c r="E3123" t="inlineStr">
        <is>
          <t>HUDIKSVALL</t>
        </is>
      </c>
      <c r="F3123" t="inlineStr">
        <is>
          <t>Kommuner</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68578-2020</t>
        </is>
      </c>
      <c r="B3124" s="1" t="n">
        <v>44186</v>
      </c>
      <c r="C3124" s="1" t="n">
        <v>45344</v>
      </c>
      <c r="D3124" t="inlineStr">
        <is>
          <t>GÄVLEBORGS LÄN</t>
        </is>
      </c>
      <c r="E3124" t="inlineStr">
        <is>
          <t>OCKELBO</t>
        </is>
      </c>
      <c r="G3124" t="n">
        <v>3.3</v>
      </c>
      <c r="H3124" t="n">
        <v>0</v>
      </c>
      <c r="I3124" t="n">
        <v>0</v>
      </c>
      <c r="J3124" t="n">
        <v>0</v>
      </c>
      <c r="K3124" t="n">
        <v>0</v>
      </c>
      <c r="L3124" t="n">
        <v>0</v>
      </c>
      <c r="M3124" t="n">
        <v>0</v>
      </c>
      <c r="N3124" t="n">
        <v>0</v>
      </c>
      <c r="O3124" t="n">
        <v>0</v>
      </c>
      <c r="P3124" t="n">
        <v>0</v>
      </c>
      <c r="Q3124" t="n">
        <v>0</v>
      </c>
      <c r="R3124" s="2" t="inlineStr"/>
    </row>
    <row r="3125" ht="15" customHeight="1">
      <c r="A3125" t="inlineStr">
        <is>
          <t>A 68574-2020</t>
        </is>
      </c>
      <c r="B3125" s="1" t="n">
        <v>44186</v>
      </c>
      <c r="C3125" s="1" t="n">
        <v>45344</v>
      </c>
      <c r="D3125" t="inlineStr">
        <is>
          <t>GÄVLEBORGS LÄN</t>
        </is>
      </c>
      <c r="E3125" t="inlineStr">
        <is>
          <t>OCKELBO</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68728-2020</t>
        </is>
      </c>
      <c r="B3126" s="1" t="n">
        <v>44187</v>
      </c>
      <c r="C3126" s="1" t="n">
        <v>45344</v>
      </c>
      <c r="D3126" t="inlineStr">
        <is>
          <t>GÄVLEBORGS LÄN</t>
        </is>
      </c>
      <c r="E3126" t="inlineStr">
        <is>
          <t>HUDIKSVALL</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68723-2020</t>
        </is>
      </c>
      <c r="B3127" s="1" t="n">
        <v>44187</v>
      </c>
      <c r="C3127" s="1" t="n">
        <v>45344</v>
      </c>
      <c r="D3127" t="inlineStr">
        <is>
          <t>GÄVLEBORGS LÄN</t>
        </is>
      </c>
      <c r="E3127" t="inlineStr">
        <is>
          <t>BOLLNÄS</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68735-2020</t>
        </is>
      </c>
      <c r="B3128" s="1" t="n">
        <v>44187</v>
      </c>
      <c r="C3128" s="1" t="n">
        <v>45344</v>
      </c>
      <c r="D3128" t="inlineStr">
        <is>
          <t>GÄVLEBORGS LÄN</t>
        </is>
      </c>
      <c r="E3128" t="inlineStr">
        <is>
          <t>BOLLNÄS</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68781-2020</t>
        </is>
      </c>
      <c r="B3129" s="1" t="n">
        <v>44187</v>
      </c>
      <c r="C3129" s="1" t="n">
        <v>45344</v>
      </c>
      <c r="D3129" t="inlineStr">
        <is>
          <t>GÄVLEBORGS LÄN</t>
        </is>
      </c>
      <c r="E3129" t="inlineStr">
        <is>
          <t>SÖDERHAMN</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68791-2020</t>
        </is>
      </c>
      <c r="B3130" s="1" t="n">
        <v>44187</v>
      </c>
      <c r="C3130" s="1" t="n">
        <v>45344</v>
      </c>
      <c r="D3130" t="inlineStr">
        <is>
          <t>GÄVLEBORGS LÄN</t>
        </is>
      </c>
      <c r="E3130" t="inlineStr">
        <is>
          <t>SANDVIKEN</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68734-2020</t>
        </is>
      </c>
      <c r="B3131" s="1" t="n">
        <v>44187</v>
      </c>
      <c r="C3131" s="1" t="n">
        <v>45344</v>
      </c>
      <c r="D3131" t="inlineStr">
        <is>
          <t>GÄVLEBORGS LÄN</t>
        </is>
      </c>
      <c r="E3131" t="inlineStr">
        <is>
          <t>BOLLNÄS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68787-2020</t>
        </is>
      </c>
      <c r="B3132" s="1" t="n">
        <v>44187</v>
      </c>
      <c r="C3132" s="1" t="n">
        <v>45344</v>
      </c>
      <c r="D3132" t="inlineStr">
        <is>
          <t>GÄVLEBORGS LÄN</t>
        </is>
      </c>
      <c r="E3132" t="inlineStr">
        <is>
          <t>SANDVIKEN</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69304-2020</t>
        </is>
      </c>
      <c r="B3133" s="1" t="n">
        <v>44188</v>
      </c>
      <c r="C3133" s="1" t="n">
        <v>45344</v>
      </c>
      <c r="D3133" t="inlineStr">
        <is>
          <t>GÄVLEBORGS LÄN</t>
        </is>
      </c>
      <c r="E3133" t="inlineStr">
        <is>
          <t>OVANÅKER</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69010-2020</t>
        </is>
      </c>
      <c r="B3134" s="1" t="n">
        <v>44188</v>
      </c>
      <c r="C3134" s="1" t="n">
        <v>45344</v>
      </c>
      <c r="D3134" t="inlineStr">
        <is>
          <t>GÄVLEBORGS LÄN</t>
        </is>
      </c>
      <c r="E3134" t="inlineStr">
        <is>
          <t>OCKELBO</t>
        </is>
      </c>
      <c r="F3134" t="inlineStr">
        <is>
          <t>Bergvik skog väst AB</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69086-2020</t>
        </is>
      </c>
      <c r="B3135" s="1" t="n">
        <v>44188</v>
      </c>
      <c r="C3135" s="1" t="n">
        <v>45344</v>
      </c>
      <c r="D3135" t="inlineStr">
        <is>
          <t>GÄVLEBORGS LÄN</t>
        </is>
      </c>
      <c r="E3135" t="inlineStr">
        <is>
          <t>NORDANSTIG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68989-2020</t>
        </is>
      </c>
      <c r="B3136" s="1" t="n">
        <v>44188</v>
      </c>
      <c r="C3136" s="1" t="n">
        <v>45344</v>
      </c>
      <c r="D3136" t="inlineStr">
        <is>
          <t>GÄVLEBORGS LÄN</t>
        </is>
      </c>
      <c r="E3136" t="inlineStr">
        <is>
          <t>BOLLNÄS</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69185-2020</t>
        </is>
      </c>
      <c r="B3137" s="1" t="n">
        <v>44190</v>
      </c>
      <c r="C3137" s="1" t="n">
        <v>45344</v>
      </c>
      <c r="D3137" t="inlineStr">
        <is>
          <t>GÄVLEBORGS LÄN</t>
        </is>
      </c>
      <c r="E3137" t="inlineStr">
        <is>
          <t>NORDANSTIG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69186-2020</t>
        </is>
      </c>
      <c r="B3138" s="1" t="n">
        <v>44190</v>
      </c>
      <c r="C3138" s="1" t="n">
        <v>45344</v>
      </c>
      <c r="D3138" t="inlineStr">
        <is>
          <t>GÄVLEBORGS LÄN</t>
        </is>
      </c>
      <c r="E3138" t="inlineStr">
        <is>
          <t>NORDANSTIG</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69187-2020</t>
        </is>
      </c>
      <c r="B3139" s="1" t="n">
        <v>44190</v>
      </c>
      <c r="C3139" s="1" t="n">
        <v>45344</v>
      </c>
      <c r="D3139" t="inlineStr">
        <is>
          <t>GÄVLEBORGS LÄN</t>
        </is>
      </c>
      <c r="E3139" t="inlineStr">
        <is>
          <t>NORDANSTIG</t>
        </is>
      </c>
      <c r="G3139" t="n">
        <v>15.6</v>
      </c>
      <c r="H3139" t="n">
        <v>0</v>
      </c>
      <c r="I3139" t="n">
        <v>0</v>
      </c>
      <c r="J3139" t="n">
        <v>0</v>
      </c>
      <c r="K3139" t="n">
        <v>0</v>
      </c>
      <c r="L3139" t="n">
        <v>0</v>
      </c>
      <c r="M3139" t="n">
        <v>0</v>
      </c>
      <c r="N3139" t="n">
        <v>0</v>
      </c>
      <c r="O3139" t="n">
        <v>0</v>
      </c>
      <c r="P3139" t="n">
        <v>0</v>
      </c>
      <c r="Q3139" t="n">
        <v>0</v>
      </c>
      <c r="R3139" s="2" t="inlineStr"/>
    </row>
    <row r="3140" ht="15" customHeight="1">
      <c r="A3140" t="inlineStr">
        <is>
          <t>A 69184-2020</t>
        </is>
      </c>
      <c r="B3140" s="1" t="n">
        <v>44190</v>
      </c>
      <c r="C3140" s="1" t="n">
        <v>45344</v>
      </c>
      <c r="D3140" t="inlineStr">
        <is>
          <t>GÄVLEBORGS LÄN</t>
        </is>
      </c>
      <c r="E3140" t="inlineStr">
        <is>
          <t>NORDANSTIG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69210-2020</t>
        </is>
      </c>
      <c r="B3141" s="1" t="n">
        <v>44191</v>
      </c>
      <c r="C3141" s="1" t="n">
        <v>45344</v>
      </c>
      <c r="D3141" t="inlineStr">
        <is>
          <t>GÄVLEBORGS LÄN</t>
        </is>
      </c>
      <c r="E3141" t="inlineStr">
        <is>
          <t>GÄVLE</t>
        </is>
      </c>
      <c r="F3141" t="inlineStr">
        <is>
          <t>Kommuner</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69206-2020</t>
        </is>
      </c>
      <c r="B3142" s="1" t="n">
        <v>44191</v>
      </c>
      <c r="C3142" s="1" t="n">
        <v>45344</v>
      </c>
      <c r="D3142" t="inlineStr">
        <is>
          <t>GÄVLEBORGS LÄN</t>
        </is>
      </c>
      <c r="E3142" t="inlineStr">
        <is>
          <t>GÄVLE</t>
        </is>
      </c>
      <c r="F3142" t="inlineStr">
        <is>
          <t>Kommuner</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69216-2020</t>
        </is>
      </c>
      <c r="B3143" s="1" t="n">
        <v>44192</v>
      </c>
      <c r="C3143" s="1" t="n">
        <v>45344</v>
      </c>
      <c r="D3143" t="inlineStr">
        <is>
          <t>GÄVLEBORGS LÄN</t>
        </is>
      </c>
      <c r="E3143" t="inlineStr">
        <is>
          <t>GÄVLE</t>
        </is>
      </c>
      <c r="F3143" t="inlineStr">
        <is>
          <t>Kommuner</t>
        </is>
      </c>
      <c r="G3143" t="n">
        <v>4.9</v>
      </c>
      <c r="H3143" t="n">
        <v>0</v>
      </c>
      <c r="I3143" t="n">
        <v>0</v>
      </c>
      <c r="J3143" t="n">
        <v>0</v>
      </c>
      <c r="K3143" t="n">
        <v>0</v>
      </c>
      <c r="L3143" t="n">
        <v>0</v>
      </c>
      <c r="M3143" t="n">
        <v>0</v>
      </c>
      <c r="N3143" t="n">
        <v>0</v>
      </c>
      <c r="O3143" t="n">
        <v>0</v>
      </c>
      <c r="P3143" t="n">
        <v>0</v>
      </c>
      <c r="Q3143" t="n">
        <v>0</v>
      </c>
      <c r="R3143" s="2" t="inlineStr"/>
    </row>
    <row r="3144" ht="15" customHeight="1">
      <c r="A3144" t="inlineStr">
        <is>
          <t>A 69254-2020</t>
        </is>
      </c>
      <c r="B3144" s="1" t="n">
        <v>44192</v>
      </c>
      <c r="C3144" s="1" t="n">
        <v>45344</v>
      </c>
      <c r="D3144" t="inlineStr">
        <is>
          <t>GÄVLEBORGS LÄN</t>
        </is>
      </c>
      <c r="E3144" t="inlineStr">
        <is>
          <t>GÄVLE</t>
        </is>
      </c>
      <c r="F3144" t="inlineStr">
        <is>
          <t>Kommuner</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69252-2020</t>
        </is>
      </c>
      <c r="B3145" s="1" t="n">
        <v>44192</v>
      </c>
      <c r="C3145" s="1" t="n">
        <v>45344</v>
      </c>
      <c r="D3145" t="inlineStr">
        <is>
          <t>GÄVLEBORGS LÄN</t>
        </is>
      </c>
      <c r="E3145" t="inlineStr">
        <is>
          <t>GÄVLE</t>
        </is>
      </c>
      <c r="F3145" t="inlineStr">
        <is>
          <t>Kommuner</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69262-2020</t>
        </is>
      </c>
      <c r="B3146" s="1" t="n">
        <v>44192</v>
      </c>
      <c r="C3146" s="1" t="n">
        <v>45344</v>
      </c>
      <c r="D3146" t="inlineStr">
        <is>
          <t>GÄVLEBORGS LÄN</t>
        </is>
      </c>
      <c r="E3146" t="inlineStr">
        <is>
          <t>SÖDERHAMN</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69215-2020</t>
        </is>
      </c>
      <c r="B3147" s="1" t="n">
        <v>44192</v>
      </c>
      <c r="C3147" s="1" t="n">
        <v>45344</v>
      </c>
      <c r="D3147" t="inlineStr">
        <is>
          <t>GÄVLEBORGS LÄN</t>
        </is>
      </c>
      <c r="E3147" t="inlineStr">
        <is>
          <t>GÄVLE</t>
        </is>
      </c>
      <c r="F3147" t="inlineStr">
        <is>
          <t>Kommuner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69253-2020</t>
        </is>
      </c>
      <c r="B3148" s="1" t="n">
        <v>44192</v>
      </c>
      <c r="C3148" s="1" t="n">
        <v>45344</v>
      </c>
      <c r="D3148" t="inlineStr">
        <is>
          <t>GÄVLEBORGS LÄN</t>
        </is>
      </c>
      <c r="E3148" t="inlineStr">
        <is>
          <t>GÄVLE</t>
        </is>
      </c>
      <c r="F3148" t="inlineStr">
        <is>
          <t>Kommuner</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69219-2020</t>
        </is>
      </c>
      <c r="B3149" s="1" t="n">
        <v>44192</v>
      </c>
      <c r="C3149" s="1" t="n">
        <v>45344</v>
      </c>
      <c r="D3149" t="inlineStr">
        <is>
          <t>GÄVLEBORGS LÄN</t>
        </is>
      </c>
      <c r="E3149" t="inlineStr">
        <is>
          <t>GÄVLE</t>
        </is>
      </c>
      <c r="F3149" t="inlineStr">
        <is>
          <t>Kommuner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69251-2020</t>
        </is>
      </c>
      <c r="B3150" s="1" t="n">
        <v>44192</v>
      </c>
      <c r="C3150" s="1" t="n">
        <v>45344</v>
      </c>
      <c r="D3150" t="inlineStr">
        <is>
          <t>GÄVLEBORGS LÄN</t>
        </is>
      </c>
      <c r="E3150" t="inlineStr">
        <is>
          <t>GÄVLE</t>
        </is>
      </c>
      <c r="F3150" t="inlineStr">
        <is>
          <t>Kommuner</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69255-2020</t>
        </is>
      </c>
      <c r="B3151" s="1" t="n">
        <v>44192</v>
      </c>
      <c r="C3151" s="1" t="n">
        <v>45344</v>
      </c>
      <c r="D3151" t="inlineStr">
        <is>
          <t>GÄVLEBORGS LÄN</t>
        </is>
      </c>
      <c r="E3151" t="inlineStr">
        <is>
          <t>GÄVLE</t>
        </is>
      </c>
      <c r="F3151" t="inlineStr">
        <is>
          <t>Kommuner</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69302-2020</t>
        </is>
      </c>
      <c r="B3152" s="1" t="n">
        <v>44193</v>
      </c>
      <c r="C3152" s="1" t="n">
        <v>45344</v>
      </c>
      <c r="D3152" t="inlineStr">
        <is>
          <t>GÄVLEBORGS LÄN</t>
        </is>
      </c>
      <c r="E3152" t="inlineStr">
        <is>
          <t>HUDIKSVALL</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69432-2020</t>
        </is>
      </c>
      <c r="B3153" s="1" t="n">
        <v>44194</v>
      </c>
      <c r="C3153" s="1" t="n">
        <v>45344</v>
      </c>
      <c r="D3153" t="inlineStr">
        <is>
          <t>GÄVLEBORGS LÄN</t>
        </is>
      </c>
      <c r="E3153" t="inlineStr">
        <is>
          <t>BOLLNÄS</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69571-2020</t>
        </is>
      </c>
      <c r="B3154" s="1" t="n">
        <v>44194</v>
      </c>
      <c r="C3154" s="1" t="n">
        <v>45344</v>
      </c>
      <c r="D3154" t="inlineStr">
        <is>
          <t>GÄVLEBORGS LÄN</t>
        </is>
      </c>
      <c r="E3154" t="inlineStr">
        <is>
          <t>LJUSDAL</t>
        </is>
      </c>
      <c r="G3154" t="n">
        <v>2.2</v>
      </c>
      <c r="H3154" t="n">
        <v>0</v>
      </c>
      <c r="I3154" t="n">
        <v>0</v>
      </c>
      <c r="J3154" t="n">
        <v>0</v>
      </c>
      <c r="K3154" t="n">
        <v>0</v>
      </c>
      <c r="L3154" t="n">
        <v>0</v>
      </c>
      <c r="M3154" t="n">
        <v>0</v>
      </c>
      <c r="N3154" t="n">
        <v>0</v>
      </c>
      <c r="O3154" t="n">
        <v>0</v>
      </c>
      <c r="P3154" t="n">
        <v>0</v>
      </c>
      <c r="Q3154" t="n">
        <v>0</v>
      </c>
      <c r="R3154" s="2" t="inlineStr"/>
      <c r="U3154">
        <f>HYPERLINK("https://klasma.github.io/Logging_2161/knärot/A 69571-2020 karta knärot.png", "A 69571-2020")</f>
        <v/>
      </c>
      <c r="V3154">
        <f>HYPERLINK("https://klasma.github.io/Logging_2161/klagomål/A 69571-2020 FSC-klagomål.docx", "A 69571-2020")</f>
        <v/>
      </c>
      <c r="W3154">
        <f>HYPERLINK("https://klasma.github.io/Logging_2161/klagomålsmail/A 69571-2020 FSC-klagomål mail.docx", "A 69571-2020")</f>
        <v/>
      </c>
      <c r="X3154">
        <f>HYPERLINK("https://klasma.github.io/Logging_2161/tillsyn/A 69571-2020 tillsynsbegäran.docx", "A 69571-2020")</f>
        <v/>
      </c>
      <c r="Y3154">
        <f>HYPERLINK("https://klasma.github.io/Logging_2161/tillsynsmail/A 69571-2020 tillsynsbegäran mail.docx", "A 69571-2020")</f>
        <v/>
      </c>
    </row>
    <row r="3155" ht="15" customHeight="1">
      <c r="A3155" t="inlineStr">
        <is>
          <t>A 69569-2020</t>
        </is>
      </c>
      <c r="B3155" s="1" t="n">
        <v>44194</v>
      </c>
      <c r="C3155" s="1" t="n">
        <v>45344</v>
      </c>
      <c r="D3155" t="inlineStr">
        <is>
          <t>GÄVLEBORGS LÄN</t>
        </is>
      </c>
      <c r="E3155" t="inlineStr">
        <is>
          <t>LJUSDAL</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69627-2020</t>
        </is>
      </c>
      <c r="B3156" s="1" t="n">
        <v>44195</v>
      </c>
      <c r="C3156" s="1" t="n">
        <v>45344</v>
      </c>
      <c r="D3156" t="inlineStr">
        <is>
          <t>GÄVLEBORGS LÄN</t>
        </is>
      </c>
      <c r="E3156" t="inlineStr">
        <is>
          <t>BOLLNÄS</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69656-2020</t>
        </is>
      </c>
      <c r="B3157" s="1" t="n">
        <v>44195</v>
      </c>
      <c r="C3157" s="1" t="n">
        <v>45344</v>
      </c>
      <c r="D3157" t="inlineStr">
        <is>
          <t>GÄVLEBORGS LÄN</t>
        </is>
      </c>
      <c r="E3157" t="inlineStr">
        <is>
          <t>HUDIKSVALL</t>
        </is>
      </c>
      <c r="F3157" t="inlineStr">
        <is>
          <t>Holmen skog AB</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69660-2020</t>
        </is>
      </c>
      <c r="B3158" s="1" t="n">
        <v>44195</v>
      </c>
      <c r="C3158" s="1" t="n">
        <v>45344</v>
      </c>
      <c r="D3158" t="inlineStr">
        <is>
          <t>GÄVLEBORGS LÄN</t>
        </is>
      </c>
      <c r="E3158" t="inlineStr">
        <is>
          <t>HUDIKSVALL</t>
        </is>
      </c>
      <c r="F3158" t="inlineStr">
        <is>
          <t>Holmen skog AB</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69675-2020</t>
        </is>
      </c>
      <c r="B3159" s="1" t="n">
        <v>44196</v>
      </c>
      <c r="C3159" s="1" t="n">
        <v>45344</v>
      </c>
      <c r="D3159" t="inlineStr">
        <is>
          <t>GÄVLEBORGS LÄN</t>
        </is>
      </c>
      <c r="E3159" t="inlineStr">
        <is>
          <t>GÄVLE</t>
        </is>
      </c>
      <c r="F3159" t="inlineStr">
        <is>
          <t>Bergvik skog öst AB</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54-2021</t>
        </is>
      </c>
      <c r="B3160" s="1" t="n">
        <v>44199</v>
      </c>
      <c r="C3160" s="1" t="n">
        <v>45344</v>
      </c>
      <c r="D3160" t="inlineStr">
        <is>
          <t>GÄVLEBORGS LÄN</t>
        </is>
      </c>
      <c r="E3160" t="inlineStr">
        <is>
          <t>LJUSDAL</t>
        </is>
      </c>
      <c r="G3160" t="n">
        <v>5.8</v>
      </c>
      <c r="H3160" t="n">
        <v>0</v>
      </c>
      <c r="I3160" t="n">
        <v>0</v>
      </c>
      <c r="J3160" t="n">
        <v>0</v>
      </c>
      <c r="K3160" t="n">
        <v>0</v>
      </c>
      <c r="L3160" t="n">
        <v>0</v>
      </c>
      <c r="M3160" t="n">
        <v>0</v>
      </c>
      <c r="N3160" t="n">
        <v>0</v>
      </c>
      <c r="O3160" t="n">
        <v>0</v>
      </c>
      <c r="P3160" t="n">
        <v>0</v>
      </c>
      <c r="Q3160" t="n">
        <v>0</v>
      </c>
      <c r="R3160" s="2" t="inlineStr"/>
    </row>
    <row r="3161" ht="15" customHeight="1">
      <c r="A3161" t="inlineStr">
        <is>
          <t>A 219-2021</t>
        </is>
      </c>
      <c r="B3161" s="1" t="n">
        <v>44200</v>
      </c>
      <c r="C3161" s="1" t="n">
        <v>45344</v>
      </c>
      <c r="D3161" t="inlineStr">
        <is>
          <t>GÄVLEBORGS LÄN</t>
        </is>
      </c>
      <c r="E3161" t="inlineStr">
        <is>
          <t>LJUSDAL</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237-2021</t>
        </is>
      </c>
      <c r="B3162" s="1" t="n">
        <v>44200</v>
      </c>
      <c r="C3162" s="1" t="n">
        <v>45344</v>
      </c>
      <c r="D3162" t="inlineStr">
        <is>
          <t>GÄVLEBORGS LÄN</t>
        </is>
      </c>
      <c r="E3162" t="inlineStr">
        <is>
          <t>SÖDERHAMN</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242-2021</t>
        </is>
      </c>
      <c r="B3163" s="1" t="n">
        <v>44200</v>
      </c>
      <c r="C3163" s="1" t="n">
        <v>45344</v>
      </c>
      <c r="D3163" t="inlineStr">
        <is>
          <t>GÄVLEBORGS LÄN</t>
        </is>
      </c>
      <c r="E3163" t="inlineStr">
        <is>
          <t>GÄVLE</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220-2021</t>
        </is>
      </c>
      <c r="B3164" s="1" t="n">
        <v>44200</v>
      </c>
      <c r="C3164" s="1" t="n">
        <v>45344</v>
      </c>
      <c r="D3164" t="inlineStr">
        <is>
          <t>GÄVLEBORGS LÄN</t>
        </is>
      </c>
      <c r="E3164" t="inlineStr">
        <is>
          <t>SANDVIKEN</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247-2021</t>
        </is>
      </c>
      <c r="B3165" s="1" t="n">
        <v>44200</v>
      </c>
      <c r="C3165" s="1" t="n">
        <v>45344</v>
      </c>
      <c r="D3165" t="inlineStr">
        <is>
          <t>GÄVLEBORGS LÄN</t>
        </is>
      </c>
      <c r="E3165" t="inlineStr">
        <is>
          <t>GÄVLE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404-2021</t>
        </is>
      </c>
      <c r="B3166" s="1" t="n">
        <v>44201</v>
      </c>
      <c r="C3166" s="1" t="n">
        <v>45344</v>
      </c>
      <c r="D3166" t="inlineStr">
        <is>
          <t>GÄVLEBORGS LÄN</t>
        </is>
      </c>
      <c r="E3166" t="inlineStr">
        <is>
          <t>HUDIKSVALL</t>
        </is>
      </c>
      <c r="G3166" t="n">
        <v>5.3</v>
      </c>
      <c r="H3166" t="n">
        <v>0</v>
      </c>
      <c r="I3166" t="n">
        <v>0</v>
      </c>
      <c r="J3166" t="n">
        <v>0</v>
      </c>
      <c r="K3166" t="n">
        <v>0</v>
      </c>
      <c r="L3166" t="n">
        <v>0</v>
      </c>
      <c r="M3166" t="n">
        <v>0</v>
      </c>
      <c r="N3166" t="n">
        <v>0</v>
      </c>
      <c r="O3166" t="n">
        <v>0</v>
      </c>
      <c r="P3166" t="n">
        <v>0</v>
      </c>
      <c r="Q3166" t="n">
        <v>0</v>
      </c>
      <c r="R3166" s="2" t="inlineStr"/>
    </row>
    <row r="3167" ht="15" customHeight="1">
      <c r="A3167" t="inlineStr">
        <is>
          <t>A 399-2021</t>
        </is>
      </c>
      <c r="B3167" s="1" t="n">
        <v>44201</v>
      </c>
      <c r="C3167" s="1" t="n">
        <v>45344</v>
      </c>
      <c r="D3167" t="inlineStr">
        <is>
          <t>GÄVLEBORGS LÄN</t>
        </is>
      </c>
      <c r="E3167" t="inlineStr">
        <is>
          <t>SÖDERHAMN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580-2021</t>
        </is>
      </c>
      <c r="B3168" s="1" t="n">
        <v>44201</v>
      </c>
      <c r="C3168" s="1" t="n">
        <v>45344</v>
      </c>
      <c r="D3168" t="inlineStr">
        <is>
          <t>GÄVLEBORGS LÄN</t>
        </is>
      </c>
      <c r="E3168" t="inlineStr">
        <is>
          <t>SÖDERHAMN</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541-2021</t>
        </is>
      </c>
      <c r="B3169" s="1" t="n">
        <v>44203</v>
      </c>
      <c r="C3169" s="1" t="n">
        <v>45344</v>
      </c>
      <c r="D3169" t="inlineStr">
        <is>
          <t>GÄVLEBORGS LÄN</t>
        </is>
      </c>
      <c r="E3169" t="inlineStr">
        <is>
          <t>BOLLNÄS</t>
        </is>
      </c>
      <c r="F3169" t="inlineStr">
        <is>
          <t>Bergvik skog väst AB</t>
        </is>
      </c>
      <c r="G3169" t="n">
        <v>14.5</v>
      </c>
      <c r="H3169" t="n">
        <v>0</v>
      </c>
      <c r="I3169" t="n">
        <v>0</v>
      </c>
      <c r="J3169" t="n">
        <v>0</v>
      </c>
      <c r="K3169" t="n">
        <v>0</v>
      </c>
      <c r="L3169" t="n">
        <v>0</v>
      </c>
      <c r="M3169" t="n">
        <v>0</v>
      </c>
      <c r="N3169" t="n">
        <v>0</v>
      </c>
      <c r="O3169" t="n">
        <v>0</v>
      </c>
      <c r="P3169" t="n">
        <v>0</v>
      </c>
      <c r="Q3169" t="n">
        <v>0</v>
      </c>
      <c r="R3169" s="2" t="inlineStr"/>
    </row>
    <row r="3170" ht="15" customHeight="1">
      <c r="A3170" t="inlineStr">
        <is>
          <t>A 605-2021</t>
        </is>
      </c>
      <c r="B3170" s="1" t="n">
        <v>44203</v>
      </c>
      <c r="C3170" s="1" t="n">
        <v>45344</v>
      </c>
      <c r="D3170" t="inlineStr">
        <is>
          <t>GÄVLEBORGS LÄN</t>
        </is>
      </c>
      <c r="E3170" t="inlineStr">
        <is>
          <t>NORDANSTIG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629-2021</t>
        </is>
      </c>
      <c r="B3171" s="1" t="n">
        <v>44203</v>
      </c>
      <c r="C3171" s="1" t="n">
        <v>45344</v>
      </c>
      <c r="D3171" t="inlineStr">
        <is>
          <t>GÄVLEBORGS LÄN</t>
        </is>
      </c>
      <c r="E3171" t="inlineStr">
        <is>
          <t>BOLLNÄS</t>
        </is>
      </c>
      <c r="F3171" t="inlineStr">
        <is>
          <t>Bergvik skog väst AB</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545-2021</t>
        </is>
      </c>
      <c r="B3172" s="1" t="n">
        <v>44203</v>
      </c>
      <c r="C3172" s="1" t="n">
        <v>45344</v>
      </c>
      <c r="D3172" t="inlineStr">
        <is>
          <t>GÄVLEBORGS LÄN</t>
        </is>
      </c>
      <c r="E3172" t="inlineStr">
        <is>
          <t>BOLLNÄS</t>
        </is>
      </c>
      <c r="F3172" t="inlineStr">
        <is>
          <t>Bergvik skog väst AB</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652-2021</t>
        </is>
      </c>
      <c r="B3173" s="1" t="n">
        <v>44203</v>
      </c>
      <c r="C3173" s="1" t="n">
        <v>45344</v>
      </c>
      <c r="D3173" t="inlineStr">
        <is>
          <t>GÄVLEBORGS LÄN</t>
        </is>
      </c>
      <c r="E3173" t="inlineStr">
        <is>
          <t>BOLLNÄS</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546-2021</t>
        </is>
      </c>
      <c r="B3174" s="1" t="n">
        <v>44203</v>
      </c>
      <c r="C3174" s="1" t="n">
        <v>45344</v>
      </c>
      <c r="D3174" t="inlineStr">
        <is>
          <t>GÄVLEBORGS LÄN</t>
        </is>
      </c>
      <c r="E3174" t="inlineStr">
        <is>
          <t>BOLLNÄS</t>
        </is>
      </c>
      <c r="F3174" t="inlineStr">
        <is>
          <t>Bergvik skog väst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783-2021</t>
        </is>
      </c>
      <c r="B3175" s="1" t="n">
        <v>44203</v>
      </c>
      <c r="C3175" s="1" t="n">
        <v>45344</v>
      </c>
      <c r="D3175" t="inlineStr">
        <is>
          <t>GÄVLEBORGS LÄN</t>
        </is>
      </c>
      <c r="E3175" t="inlineStr">
        <is>
          <t>LJUSDAL</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777-2021</t>
        </is>
      </c>
      <c r="B3176" s="1" t="n">
        <v>44203</v>
      </c>
      <c r="C3176" s="1" t="n">
        <v>45344</v>
      </c>
      <c r="D3176" t="inlineStr">
        <is>
          <t>GÄVLEBORGS LÄN</t>
        </is>
      </c>
      <c r="E3176" t="inlineStr">
        <is>
          <t>HUDIKSVALL</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748-2021</t>
        </is>
      </c>
      <c r="B3177" s="1" t="n">
        <v>44204</v>
      </c>
      <c r="C3177" s="1" t="n">
        <v>45344</v>
      </c>
      <c r="D3177" t="inlineStr">
        <is>
          <t>GÄVLEBORGS LÄN</t>
        </is>
      </c>
      <c r="E3177" t="inlineStr">
        <is>
          <t>OVANÅKER</t>
        </is>
      </c>
      <c r="G3177" t="n">
        <v>0.5</v>
      </c>
      <c r="H3177" t="n">
        <v>0</v>
      </c>
      <c r="I3177" t="n">
        <v>0</v>
      </c>
      <c r="J3177" t="n">
        <v>0</v>
      </c>
      <c r="K3177" t="n">
        <v>0</v>
      </c>
      <c r="L3177" t="n">
        <v>0</v>
      </c>
      <c r="M3177" t="n">
        <v>0</v>
      </c>
      <c r="N3177" t="n">
        <v>0</v>
      </c>
      <c r="O3177" t="n">
        <v>0</v>
      </c>
      <c r="P3177" t="n">
        <v>0</v>
      </c>
      <c r="Q3177" t="n">
        <v>0</v>
      </c>
      <c r="R3177" s="2" t="inlineStr"/>
    </row>
    <row r="3178" ht="15" customHeight="1">
      <c r="A3178" t="inlineStr">
        <is>
          <t>A 795-2021</t>
        </is>
      </c>
      <c r="B3178" s="1" t="n">
        <v>44204</v>
      </c>
      <c r="C3178" s="1" t="n">
        <v>45344</v>
      </c>
      <c r="D3178" t="inlineStr">
        <is>
          <t>GÄVLEBORGS LÄN</t>
        </is>
      </c>
      <c r="E3178" t="inlineStr">
        <is>
          <t>GÄVLE</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730-2021</t>
        </is>
      </c>
      <c r="B3179" s="1" t="n">
        <v>44204</v>
      </c>
      <c r="C3179" s="1" t="n">
        <v>45344</v>
      </c>
      <c r="D3179" t="inlineStr">
        <is>
          <t>GÄVLEBORGS LÄN</t>
        </is>
      </c>
      <c r="E3179" t="inlineStr">
        <is>
          <t>BOLLNÄS</t>
        </is>
      </c>
      <c r="F3179" t="inlineStr">
        <is>
          <t>Bergvik skog väst AB</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840-2021</t>
        </is>
      </c>
      <c r="B3180" s="1" t="n">
        <v>44204</v>
      </c>
      <c r="C3180" s="1" t="n">
        <v>45344</v>
      </c>
      <c r="D3180" t="inlineStr">
        <is>
          <t>GÄVLEBORGS LÄN</t>
        </is>
      </c>
      <c r="E3180" t="inlineStr">
        <is>
          <t>BOLLNÄS</t>
        </is>
      </c>
      <c r="F3180" t="inlineStr">
        <is>
          <t>Bergvik skog väst AB</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955-2021</t>
        </is>
      </c>
      <c r="B3181" s="1" t="n">
        <v>44207</v>
      </c>
      <c r="C3181" s="1" t="n">
        <v>45344</v>
      </c>
      <c r="D3181" t="inlineStr">
        <is>
          <t>GÄVLEBORGS LÄN</t>
        </is>
      </c>
      <c r="E3181" t="inlineStr">
        <is>
          <t>BOLLNÄS</t>
        </is>
      </c>
      <c r="F3181" t="inlineStr">
        <is>
          <t>Bergvik skog väst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1024-2021</t>
        </is>
      </c>
      <c r="B3182" s="1" t="n">
        <v>44207</v>
      </c>
      <c r="C3182" s="1" t="n">
        <v>45344</v>
      </c>
      <c r="D3182" t="inlineStr">
        <is>
          <t>GÄVLEBORGS LÄN</t>
        </is>
      </c>
      <c r="E3182" t="inlineStr">
        <is>
          <t>NORDANSTIG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1081-2021</t>
        </is>
      </c>
      <c r="B3183" s="1" t="n">
        <v>44207</v>
      </c>
      <c r="C3183" s="1" t="n">
        <v>45344</v>
      </c>
      <c r="D3183" t="inlineStr">
        <is>
          <t>GÄVLEBORGS LÄN</t>
        </is>
      </c>
      <c r="E3183" t="inlineStr">
        <is>
          <t>BOLLNÄS</t>
        </is>
      </c>
      <c r="F3183" t="inlineStr">
        <is>
          <t>Bergvik skog väst AB</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1196-2021</t>
        </is>
      </c>
      <c r="B3184" s="1" t="n">
        <v>44208</v>
      </c>
      <c r="C3184" s="1" t="n">
        <v>45344</v>
      </c>
      <c r="D3184" t="inlineStr">
        <is>
          <t>GÄVLEBORGS LÄN</t>
        </is>
      </c>
      <c r="E3184" t="inlineStr">
        <is>
          <t>LJUSDAL</t>
        </is>
      </c>
      <c r="F3184" t="inlineStr">
        <is>
          <t>Holmen skog AB</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1236-2021</t>
        </is>
      </c>
      <c r="B3185" s="1" t="n">
        <v>44208</v>
      </c>
      <c r="C3185" s="1" t="n">
        <v>45344</v>
      </c>
      <c r="D3185" t="inlineStr">
        <is>
          <t>GÄVLEBORGS LÄN</t>
        </is>
      </c>
      <c r="E3185" t="inlineStr">
        <is>
          <t>NORDANSTIG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1204-2021</t>
        </is>
      </c>
      <c r="B3186" s="1" t="n">
        <v>44208</v>
      </c>
      <c r="C3186" s="1" t="n">
        <v>45344</v>
      </c>
      <c r="D3186" t="inlineStr">
        <is>
          <t>GÄVLEBORGS LÄN</t>
        </is>
      </c>
      <c r="E3186" t="inlineStr">
        <is>
          <t>BOLLNÄS</t>
        </is>
      </c>
      <c r="F3186" t="inlineStr">
        <is>
          <t>Bergvik skog väst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1190-2021</t>
        </is>
      </c>
      <c r="B3187" s="1" t="n">
        <v>44208</v>
      </c>
      <c r="C3187" s="1" t="n">
        <v>45344</v>
      </c>
      <c r="D3187" t="inlineStr">
        <is>
          <t>GÄVLEBORGS LÄN</t>
        </is>
      </c>
      <c r="E3187" t="inlineStr">
        <is>
          <t>NORDANSTIG</t>
        </is>
      </c>
      <c r="F3187" t="inlineStr">
        <is>
          <t>Holmen skog AB</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1373-2021</t>
        </is>
      </c>
      <c r="B3188" s="1" t="n">
        <v>44208</v>
      </c>
      <c r="C3188" s="1" t="n">
        <v>45344</v>
      </c>
      <c r="D3188" t="inlineStr">
        <is>
          <t>GÄVLEBORGS LÄN</t>
        </is>
      </c>
      <c r="E3188" t="inlineStr">
        <is>
          <t>NORDANSTIG</t>
        </is>
      </c>
      <c r="F3188" t="inlineStr">
        <is>
          <t>Holmen skog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1354-2021</t>
        </is>
      </c>
      <c r="B3189" s="1" t="n">
        <v>44208</v>
      </c>
      <c r="C3189" s="1" t="n">
        <v>45344</v>
      </c>
      <c r="D3189" t="inlineStr">
        <is>
          <t>GÄVLEBORGS LÄN</t>
        </is>
      </c>
      <c r="E3189" t="inlineStr">
        <is>
          <t>OCKELBO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1408-2021</t>
        </is>
      </c>
      <c r="B3190" s="1" t="n">
        <v>44208</v>
      </c>
      <c r="C3190" s="1" t="n">
        <v>45344</v>
      </c>
      <c r="D3190" t="inlineStr">
        <is>
          <t>GÄVLEBORGS LÄN</t>
        </is>
      </c>
      <c r="E3190" t="inlineStr">
        <is>
          <t>BOLLNÄS</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1569-2021</t>
        </is>
      </c>
      <c r="B3191" s="1" t="n">
        <v>44208</v>
      </c>
      <c r="C3191" s="1" t="n">
        <v>45344</v>
      </c>
      <c r="D3191" t="inlineStr">
        <is>
          <t>GÄVLEBORGS LÄN</t>
        </is>
      </c>
      <c r="E3191" t="inlineStr">
        <is>
          <t>NORDANSTIG</t>
        </is>
      </c>
      <c r="F3191" t="inlineStr">
        <is>
          <t>Holmen skog AB</t>
        </is>
      </c>
      <c r="G3191" t="n">
        <v>2.9</v>
      </c>
      <c r="H3191" t="n">
        <v>0</v>
      </c>
      <c r="I3191" t="n">
        <v>0</v>
      </c>
      <c r="J3191" t="n">
        <v>0</v>
      </c>
      <c r="K3191" t="n">
        <v>0</v>
      </c>
      <c r="L3191" t="n">
        <v>0</v>
      </c>
      <c r="M3191" t="n">
        <v>0</v>
      </c>
      <c r="N3191" t="n">
        <v>0</v>
      </c>
      <c r="O3191" t="n">
        <v>0</v>
      </c>
      <c r="P3191" t="n">
        <v>0</v>
      </c>
      <c r="Q3191" t="n">
        <v>0</v>
      </c>
      <c r="R3191" s="2" t="inlineStr"/>
    </row>
    <row r="3192" ht="15" customHeight="1">
      <c r="A3192" t="inlineStr">
        <is>
          <t>A 1358-2021</t>
        </is>
      </c>
      <c r="B3192" s="1" t="n">
        <v>44208</v>
      </c>
      <c r="C3192" s="1" t="n">
        <v>45344</v>
      </c>
      <c r="D3192" t="inlineStr">
        <is>
          <t>GÄVLEBORGS LÄN</t>
        </is>
      </c>
      <c r="E3192" t="inlineStr">
        <is>
          <t>BOLLNÄS</t>
        </is>
      </c>
      <c r="F3192" t="inlineStr">
        <is>
          <t>Bergvik skog väst AB</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1509-2021</t>
        </is>
      </c>
      <c r="B3193" s="1" t="n">
        <v>44209</v>
      </c>
      <c r="C3193" s="1" t="n">
        <v>45344</v>
      </c>
      <c r="D3193" t="inlineStr">
        <is>
          <t>GÄVLEBORGS LÄN</t>
        </is>
      </c>
      <c r="E3193" t="inlineStr">
        <is>
          <t>SÖDERHAMN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1520-2021</t>
        </is>
      </c>
      <c r="B3194" s="1" t="n">
        <v>44209</v>
      </c>
      <c r="C3194" s="1" t="n">
        <v>45344</v>
      </c>
      <c r="D3194" t="inlineStr">
        <is>
          <t>GÄVLEBORGS LÄN</t>
        </is>
      </c>
      <c r="E3194" t="inlineStr">
        <is>
          <t>BOLLNÄS</t>
        </is>
      </c>
      <c r="F3194" t="inlineStr">
        <is>
          <t>Bergvik skog väst AB</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1537-2021</t>
        </is>
      </c>
      <c r="B3195" s="1" t="n">
        <v>44209</v>
      </c>
      <c r="C3195" s="1" t="n">
        <v>45344</v>
      </c>
      <c r="D3195" t="inlineStr">
        <is>
          <t>GÄVLEBORGS LÄN</t>
        </is>
      </c>
      <c r="E3195" t="inlineStr">
        <is>
          <t>SÖDERHAMN</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1850-2021</t>
        </is>
      </c>
      <c r="B3196" s="1" t="n">
        <v>44210</v>
      </c>
      <c r="C3196" s="1" t="n">
        <v>45344</v>
      </c>
      <c r="D3196" t="inlineStr">
        <is>
          <t>GÄVLEBORGS LÄN</t>
        </is>
      </c>
      <c r="E3196" t="inlineStr">
        <is>
          <t>BOLLNÄS</t>
        </is>
      </c>
      <c r="F3196" t="inlineStr">
        <is>
          <t>Bergvik skog väst AB</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1842-2021</t>
        </is>
      </c>
      <c r="B3197" s="1" t="n">
        <v>44210</v>
      </c>
      <c r="C3197" s="1" t="n">
        <v>45344</v>
      </c>
      <c r="D3197" t="inlineStr">
        <is>
          <t>GÄVLEBORGS LÄN</t>
        </is>
      </c>
      <c r="E3197" t="inlineStr">
        <is>
          <t>HUDIKSVALL</t>
        </is>
      </c>
      <c r="F3197" t="inlineStr">
        <is>
          <t>Holmen skog AB</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2158-2021</t>
        </is>
      </c>
      <c r="B3198" s="1" t="n">
        <v>44211</v>
      </c>
      <c r="C3198" s="1" t="n">
        <v>45344</v>
      </c>
      <c r="D3198" t="inlineStr">
        <is>
          <t>GÄVLEBORGS LÄN</t>
        </is>
      </c>
      <c r="E3198" t="inlineStr">
        <is>
          <t>BOLLNÄS</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2152-2021</t>
        </is>
      </c>
      <c r="B3199" s="1" t="n">
        <v>44211</v>
      </c>
      <c r="C3199" s="1" t="n">
        <v>45344</v>
      </c>
      <c r="D3199" t="inlineStr">
        <is>
          <t>GÄVLEBORGS LÄN</t>
        </is>
      </c>
      <c r="E3199" t="inlineStr">
        <is>
          <t>HUDIKSVALL</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2167-2021</t>
        </is>
      </c>
      <c r="B3200" s="1" t="n">
        <v>44211</v>
      </c>
      <c r="C3200" s="1" t="n">
        <v>45344</v>
      </c>
      <c r="D3200" t="inlineStr">
        <is>
          <t>GÄVLEBORGS LÄN</t>
        </is>
      </c>
      <c r="E3200" t="inlineStr">
        <is>
          <t>BOLLNÄS</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2450-2021</t>
        </is>
      </c>
      <c r="B3201" s="1" t="n">
        <v>44214</v>
      </c>
      <c r="C3201" s="1" t="n">
        <v>45344</v>
      </c>
      <c r="D3201" t="inlineStr">
        <is>
          <t>GÄVLEBORGS LÄN</t>
        </is>
      </c>
      <c r="E3201" t="inlineStr">
        <is>
          <t>SÖDERHAMN</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2901-2021</t>
        </is>
      </c>
      <c r="B3202" s="1" t="n">
        <v>44216</v>
      </c>
      <c r="C3202" s="1" t="n">
        <v>45344</v>
      </c>
      <c r="D3202" t="inlineStr">
        <is>
          <t>GÄVLEBORGS LÄN</t>
        </is>
      </c>
      <c r="E3202" t="inlineStr">
        <is>
          <t>GÄVLE</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2993-2021</t>
        </is>
      </c>
      <c r="B3203" s="1" t="n">
        <v>44216</v>
      </c>
      <c r="C3203" s="1" t="n">
        <v>45344</v>
      </c>
      <c r="D3203" t="inlineStr">
        <is>
          <t>GÄVLEBORGS LÄN</t>
        </is>
      </c>
      <c r="E3203" t="inlineStr">
        <is>
          <t>HUDIKSVALL</t>
        </is>
      </c>
      <c r="F3203" t="inlineStr">
        <is>
          <t>Naturvårdsverket</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2994-2021</t>
        </is>
      </c>
      <c r="B3204" s="1" t="n">
        <v>44216</v>
      </c>
      <c r="C3204" s="1" t="n">
        <v>45344</v>
      </c>
      <c r="D3204" t="inlineStr">
        <is>
          <t>GÄVLEBORGS LÄN</t>
        </is>
      </c>
      <c r="E3204" t="inlineStr">
        <is>
          <t>HUDIKSVALL</t>
        </is>
      </c>
      <c r="F3204" t="inlineStr">
        <is>
          <t>Naturvårdsverket</t>
        </is>
      </c>
      <c r="G3204" t="n">
        <v>5.2</v>
      </c>
      <c r="H3204" t="n">
        <v>0</v>
      </c>
      <c r="I3204" t="n">
        <v>0</v>
      </c>
      <c r="J3204" t="n">
        <v>0</v>
      </c>
      <c r="K3204" t="n">
        <v>0</v>
      </c>
      <c r="L3204" t="n">
        <v>0</v>
      </c>
      <c r="M3204" t="n">
        <v>0</v>
      </c>
      <c r="N3204" t="n">
        <v>0</v>
      </c>
      <c r="O3204" t="n">
        <v>0</v>
      </c>
      <c r="P3204" t="n">
        <v>0</v>
      </c>
      <c r="Q3204" t="n">
        <v>0</v>
      </c>
      <c r="R3204" s="2" t="inlineStr"/>
    </row>
    <row r="3205" ht="15" customHeight="1">
      <c r="A3205" t="inlineStr">
        <is>
          <t>A 3121-2021</t>
        </is>
      </c>
      <c r="B3205" s="1" t="n">
        <v>44217</v>
      </c>
      <c r="C3205" s="1" t="n">
        <v>45344</v>
      </c>
      <c r="D3205" t="inlineStr">
        <is>
          <t>GÄVLEBORGS LÄN</t>
        </is>
      </c>
      <c r="E3205" t="inlineStr">
        <is>
          <t>SÖDERHAMN</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3207-2021</t>
        </is>
      </c>
      <c r="B3206" s="1" t="n">
        <v>44217</v>
      </c>
      <c r="C3206" s="1" t="n">
        <v>45344</v>
      </c>
      <c r="D3206" t="inlineStr">
        <is>
          <t>GÄVLEBORGS LÄN</t>
        </is>
      </c>
      <c r="E3206" t="inlineStr">
        <is>
          <t>LJUSDAL</t>
        </is>
      </c>
      <c r="G3206" t="n">
        <v>3.6</v>
      </c>
      <c r="H3206" t="n">
        <v>0</v>
      </c>
      <c r="I3206" t="n">
        <v>0</v>
      </c>
      <c r="J3206" t="n">
        <v>0</v>
      </c>
      <c r="K3206" t="n">
        <v>0</v>
      </c>
      <c r="L3206" t="n">
        <v>0</v>
      </c>
      <c r="M3206" t="n">
        <v>0</v>
      </c>
      <c r="N3206" t="n">
        <v>0</v>
      </c>
      <c r="O3206" t="n">
        <v>0</v>
      </c>
      <c r="P3206" t="n">
        <v>0</v>
      </c>
      <c r="Q3206" t="n">
        <v>0</v>
      </c>
      <c r="R3206" s="2" t="inlineStr"/>
    </row>
    <row r="3207" ht="15" customHeight="1">
      <c r="A3207" t="inlineStr">
        <is>
          <t>A 3136-2021</t>
        </is>
      </c>
      <c r="B3207" s="1" t="n">
        <v>44217</v>
      </c>
      <c r="C3207" s="1" t="n">
        <v>45344</v>
      </c>
      <c r="D3207" t="inlineStr">
        <is>
          <t>GÄVLEBORGS LÄN</t>
        </is>
      </c>
      <c r="E3207" t="inlineStr">
        <is>
          <t>SÖDERHAMN</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3400-2021</t>
        </is>
      </c>
      <c r="B3208" s="1" t="n">
        <v>44218</v>
      </c>
      <c r="C3208" s="1" t="n">
        <v>45344</v>
      </c>
      <c r="D3208" t="inlineStr">
        <is>
          <t>GÄVLEBORGS LÄN</t>
        </is>
      </c>
      <c r="E3208" t="inlineStr">
        <is>
          <t>BOLLNÄS</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3427-2021</t>
        </is>
      </c>
      <c r="B3209" s="1" t="n">
        <v>44218</v>
      </c>
      <c r="C3209" s="1" t="n">
        <v>45344</v>
      </c>
      <c r="D3209" t="inlineStr">
        <is>
          <t>GÄVLEBORGS LÄN</t>
        </is>
      </c>
      <c r="E3209" t="inlineStr">
        <is>
          <t>SÖDERHAMN</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3401-2021</t>
        </is>
      </c>
      <c r="B3210" s="1" t="n">
        <v>44218</v>
      </c>
      <c r="C3210" s="1" t="n">
        <v>45344</v>
      </c>
      <c r="D3210" t="inlineStr">
        <is>
          <t>GÄVLEBORGS LÄN</t>
        </is>
      </c>
      <c r="E3210" t="inlineStr">
        <is>
          <t>SÖDERHAMN</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3411-2021</t>
        </is>
      </c>
      <c r="B3211" s="1" t="n">
        <v>44218</v>
      </c>
      <c r="C3211" s="1" t="n">
        <v>45344</v>
      </c>
      <c r="D3211" t="inlineStr">
        <is>
          <t>GÄVLEBORGS LÄN</t>
        </is>
      </c>
      <c r="E3211" t="inlineStr">
        <is>
          <t>BOLLNÄS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3418-2021</t>
        </is>
      </c>
      <c r="B3212" s="1" t="n">
        <v>44218</v>
      </c>
      <c r="C3212" s="1" t="n">
        <v>45344</v>
      </c>
      <c r="D3212" t="inlineStr">
        <is>
          <t>GÄVLEBORGS LÄN</t>
        </is>
      </c>
      <c r="E3212" t="inlineStr">
        <is>
          <t>SÖDERHAMN</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3456-2021</t>
        </is>
      </c>
      <c r="B3213" s="1" t="n">
        <v>44218</v>
      </c>
      <c r="C3213" s="1" t="n">
        <v>45344</v>
      </c>
      <c r="D3213" t="inlineStr">
        <is>
          <t>GÄVLEBORGS LÄN</t>
        </is>
      </c>
      <c r="E3213" t="inlineStr">
        <is>
          <t>NORDANSTIG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3509-2021</t>
        </is>
      </c>
      <c r="B3214" s="1" t="n">
        <v>44218</v>
      </c>
      <c r="C3214" s="1" t="n">
        <v>45344</v>
      </c>
      <c r="D3214" t="inlineStr">
        <is>
          <t>GÄVLEBORGS LÄN</t>
        </is>
      </c>
      <c r="E3214" t="inlineStr">
        <is>
          <t>NORDANSTIG</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4040-2021</t>
        </is>
      </c>
      <c r="B3215" s="1" t="n">
        <v>44218</v>
      </c>
      <c r="C3215" s="1" t="n">
        <v>45344</v>
      </c>
      <c r="D3215" t="inlineStr">
        <is>
          <t>GÄVLEBORGS LÄN</t>
        </is>
      </c>
      <c r="E3215" t="inlineStr">
        <is>
          <t>SÖDERHAMN</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4042-2021</t>
        </is>
      </c>
      <c r="B3216" s="1" t="n">
        <v>44218</v>
      </c>
      <c r="C3216" s="1" t="n">
        <v>45344</v>
      </c>
      <c r="D3216" t="inlineStr">
        <is>
          <t>GÄVLEBORGS LÄN</t>
        </is>
      </c>
      <c r="E3216" t="inlineStr">
        <is>
          <t>SÖDERHAMN</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4045-2021</t>
        </is>
      </c>
      <c r="B3217" s="1" t="n">
        <v>44218</v>
      </c>
      <c r="C3217" s="1" t="n">
        <v>45344</v>
      </c>
      <c r="D3217" t="inlineStr">
        <is>
          <t>GÄVLEBORGS LÄN</t>
        </is>
      </c>
      <c r="E3217" t="inlineStr">
        <is>
          <t>SÖDERHAMN</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4035-2021</t>
        </is>
      </c>
      <c r="B3218" s="1" t="n">
        <v>44218</v>
      </c>
      <c r="C3218" s="1" t="n">
        <v>45344</v>
      </c>
      <c r="D3218" t="inlineStr">
        <is>
          <t>GÄVLEBORGS LÄN</t>
        </is>
      </c>
      <c r="E3218" t="inlineStr">
        <is>
          <t>SÖDERHAMN</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4047-2021</t>
        </is>
      </c>
      <c r="B3219" s="1" t="n">
        <v>44218</v>
      </c>
      <c r="C3219" s="1" t="n">
        <v>45344</v>
      </c>
      <c r="D3219" t="inlineStr">
        <is>
          <t>GÄVLEBORGS LÄN</t>
        </is>
      </c>
      <c r="E3219" t="inlineStr">
        <is>
          <t>SÖDERHAMN</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3663-2021</t>
        </is>
      </c>
      <c r="B3220" s="1" t="n">
        <v>44221</v>
      </c>
      <c r="C3220" s="1" t="n">
        <v>45344</v>
      </c>
      <c r="D3220" t="inlineStr">
        <is>
          <t>GÄVLEBORGS LÄN</t>
        </is>
      </c>
      <c r="E3220" t="inlineStr">
        <is>
          <t>LJUSDAL</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3698-2021</t>
        </is>
      </c>
      <c r="B3221" s="1" t="n">
        <v>44221</v>
      </c>
      <c r="C3221" s="1" t="n">
        <v>45344</v>
      </c>
      <c r="D3221" t="inlineStr">
        <is>
          <t>GÄVLEBORGS LÄN</t>
        </is>
      </c>
      <c r="E3221" t="inlineStr">
        <is>
          <t>HUDIKSVALL</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3705-2021</t>
        </is>
      </c>
      <c r="B3222" s="1" t="n">
        <v>44221</v>
      </c>
      <c r="C3222" s="1" t="n">
        <v>45344</v>
      </c>
      <c r="D3222" t="inlineStr">
        <is>
          <t>GÄVLEBORGS LÄN</t>
        </is>
      </c>
      <c r="E3222" t="inlineStr">
        <is>
          <t>NORDANSTIG</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3802-2021</t>
        </is>
      </c>
      <c r="B3223" s="1" t="n">
        <v>44221</v>
      </c>
      <c r="C3223" s="1" t="n">
        <v>45344</v>
      </c>
      <c r="D3223" t="inlineStr">
        <is>
          <t>GÄVLEBORGS LÄN</t>
        </is>
      </c>
      <c r="E3223" t="inlineStr">
        <is>
          <t>HOFORS</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3828-2021</t>
        </is>
      </c>
      <c r="B3224" s="1" t="n">
        <v>44222</v>
      </c>
      <c r="C3224" s="1" t="n">
        <v>45344</v>
      </c>
      <c r="D3224" t="inlineStr">
        <is>
          <t>GÄVLEBORGS LÄN</t>
        </is>
      </c>
      <c r="E3224" t="inlineStr">
        <is>
          <t>OVANÅKER</t>
        </is>
      </c>
      <c r="G3224" t="n">
        <v>4.2</v>
      </c>
      <c r="H3224" t="n">
        <v>0</v>
      </c>
      <c r="I3224" t="n">
        <v>0</v>
      </c>
      <c r="J3224" t="n">
        <v>0</v>
      </c>
      <c r="K3224" t="n">
        <v>0</v>
      </c>
      <c r="L3224" t="n">
        <v>0</v>
      </c>
      <c r="M3224" t="n">
        <v>0</v>
      </c>
      <c r="N3224" t="n">
        <v>0</v>
      </c>
      <c r="O3224" t="n">
        <v>0</v>
      </c>
      <c r="P3224" t="n">
        <v>0</v>
      </c>
      <c r="Q3224" t="n">
        <v>0</v>
      </c>
      <c r="R3224" s="2" t="inlineStr"/>
    </row>
    <row r="3225" ht="15" customHeight="1">
      <c r="A3225" t="inlineStr">
        <is>
          <t>A 4287-2021</t>
        </is>
      </c>
      <c r="B3225" s="1" t="n">
        <v>44223</v>
      </c>
      <c r="C3225" s="1" t="n">
        <v>45344</v>
      </c>
      <c r="D3225" t="inlineStr">
        <is>
          <t>GÄVLEBORGS LÄN</t>
        </is>
      </c>
      <c r="E3225" t="inlineStr">
        <is>
          <t>OVANÅKER</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4137-2021</t>
        </is>
      </c>
      <c r="B3226" s="1" t="n">
        <v>44223</v>
      </c>
      <c r="C3226" s="1" t="n">
        <v>45344</v>
      </c>
      <c r="D3226" t="inlineStr">
        <is>
          <t>GÄVLEBORGS LÄN</t>
        </is>
      </c>
      <c r="E3226" t="inlineStr">
        <is>
          <t>HUDIKSVALL</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4341-2021</t>
        </is>
      </c>
      <c r="B3227" s="1" t="n">
        <v>44223</v>
      </c>
      <c r="C3227" s="1" t="n">
        <v>45344</v>
      </c>
      <c r="D3227" t="inlineStr">
        <is>
          <t>GÄVLEBORGS LÄN</t>
        </is>
      </c>
      <c r="E3227" t="inlineStr">
        <is>
          <t>LJUSDAL</t>
        </is>
      </c>
      <c r="F3227" t="inlineStr">
        <is>
          <t>Kommuner</t>
        </is>
      </c>
      <c r="G3227" t="n">
        <v>7.9</v>
      </c>
      <c r="H3227" t="n">
        <v>0</v>
      </c>
      <c r="I3227" t="n">
        <v>0</v>
      </c>
      <c r="J3227" t="n">
        <v>0</v>
      </c>
      <c r="K3227" t="n">
        <v>0</v>
      </c>
      <c r="L3227" t="n">
        <v>0</v>
      </c>
      <c r="M3227" t="n">
        <v>0</v>
      </c>
      <c r="N3227" t="n">
        <v>0</v>
      </c>
      <c r="O3227" t="n">
        <v>0</v>
      </c>
      <c r="P3227" t="n">
        <v>0</v>
      </c>
      <c r="Q3227" t="n">
        <v>0</v>
      </c>
      <c r="R3227" s="2" t="inlineStr"/>
    </row>
    <row r="3228" ht="15" customHeight="1">
      <c r="A3228" t="inlineStr">
        <is>
          <t>A 4277-2021</t>
        </is>
      </c>
      <c r="B3228" s="1" t="n">
        <v>44223</v>
      </c>
      <c r="C3228" s="1" t="n">
        <v>45344</v>
      </c>
      <c r="D3228" t="inlineStr">
        <is>
          <t>GÄVLEBORGS LÄN</t>
        </is>
      </c>
      <c r="E3228" t="inlineStr">
        <is>
          <t>GÄVLE</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4366-2021</t>
        </is>
      </c>
      <c r="B3229" s="1" t="n">
        <v>44223</v>
      </c>
      <c r="C3229" s="1" t="n">
        <v>45344</v>
      </c>
      <c r="D3229" t="inlineStr">
        <is>
          <t>GÄVLEBORGS LÄN</t>
        </is>
      </c>
      <c r="E3229" t="inlineStr">
        <is>
          <t>NORDANSTIG</t>
        </is>
      </c>
      <c r="F3229" t="inlineStr">
        <is>
          <t>Holmen skog AB</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4421-2021</t>
        </is>
      </c>
      <c r="B3230" s="1" t="n">
        <v>44224</v>
      </c>
      <c r="C3230" s="1" t="n">
        <v>45344</v>
      </c>
      <c r="D3230" t="inlineStr">
        <is>
          <t>GÄVLEBORGS LÄN</t>
        </is>
      </c>
      <c r="E3230" t="inlineStr">
        <is>
          <t>BOLLNÄS</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4866-2021</t>
        </is>
      </c>
      <c r="B3231" s="1" t="n">
        <v>44225</v>
      </c>
      <c r="C3231" s="1" t="n">
        <v>45344</v>
      </c>
      <c r="D3231" t="inlineStr">
        <is>
          <t>GÄVLEBORGS LÄN</t>
        </is>
      </c>
      <c r="E3231" t="inlineStr">
        <is>
          <t>HUDIKSVALL</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5029-2021</t>
        </is>
      </c>
      <c r="B3232" s="1" t="n">
        <v>44228</v>
      </c>
      <c r="C3232" s="1" t="n">
        <v>45344</v>
      </c>
      <c r="D3232" t="inlineStr">
        <is>
          <t>GÄVLEBORGS LÄN</t>
        </is>
      </c>
      <c r="E3232" t="inlineStr">
        <is>
          <t>LJUSDAL</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5035-2021</t>
        </is>
      </c>
      <c r="B3233" s="1" t="n">
        <v>44228</v>
      </c>
      <c r="C3233" s="1" t="n">
        <v>45344</v>
      </c>
      <c r="D3233" t="inlineStr">
        <is>
          <t>GÄVLEBORGS LÄN</t>
        </is>
      </c>
      <c r="E3233" t="inlineStr">
        <is>
          <t>SÖDERHAMN</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5207-2021</t>
        </is>
      </c>
      <c r="B3234" s="1" t="n">
        <v>44228</v>
      </c>
      <c r="C3234" s="1" t="n">
        <v>45344</v>
      </c>
      <c r="D3234" t="inlineStr">
        <is>
          <t>GÄVLEBORGS LÄN</t>
        </is>
      </c>
      <c r="E3234" t="inlineStr">
        <is>
          <t>GÄVLE</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4954-2021</t>
        </is>
      </c>
      <c r="B3235" s="1" t="n">
        <v>44228</v>
      </c>
      <c r="C3235" s="1" t="n">
        <v>45344</v>
      </c>
      <c r="D3235" t="inlineStr">
        <is>
          <t>GÄVLEBORGS LÄN</t>
        </is>
      </c>
      <c r="E3235" t="inlineStr">
        <is>
          <t>NORDANSTIG</t>
        </is>
      </c>
      <c r="F3235" t="inlineStr">
        <is>
          <t>Holmen skog AB</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5219-2021</t>
        </is>
      </c>
      <c r="B3236" s="1" t="n">
        <v>44229</v>
      </c>
      <c r="C3236" s="1" t="n">
        <v>45344</v>
      </c>
      <c r="D3236" t="inlineStr">
        <is>
          <t>GÄVLEBORGS LÄN</t>
        </is>
      </c>
      <c r="E3236" t="inlineStr">
        <is>
          <t>SÖDERHAMN</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5431-2021</t>
        </is>
      </c>
      <c r="B3237" s="1" t="n">
        <v>44229</v>
      </c>
      <c r="C3237" s="1" t="n">
        <v>45344</v>
      </c>
      <c r="D3237" t="inlineStr">
        <is>
          <t>GÄVLEBORGS LÄN</t>
        </is>
      </c>
      <c r="E3237" t="inlineStr">
        <is>
          <t>LJUSDAL</t>
        </is>
      </c>
      <c r="G3237" t="n">
        <v>5.8</v>
      </c>
      <c r="H3237" t="n">
        <v>0</v>
      </c>
      <c r="I3237" t="n">
        <v>0</v>
      </c>
      <c r="J3237" t="n">
        <v>0</v>
      </c>
      <c r="K3237" t="n">
        <v>0</v>
      </c>
      <c r="L3237" t="n">
        <v>0</v>
      </c>
      <c r="M3237" t="n">
        <v>0</v>
      </c>
      <c r="N3237" t="n">
        <v>0</v>
      </c>
      <c r="O3237" t="n">
        <v>0</v>
      </c>
      <c r="P3237" t="n">
        <v>0</v>
      </c>
      <c r="Q3237" t="n">
        <v>0</v>
      </c>
      <c r="R3237" s="2" t="inlineStr"/>
    </row>
    <row r="3238" ht="15" customHeight="1">
      <c r="A3238" t="inlineStr">
        <is>
          <t>A 5557-2021</t>
        </is>
      </c>
      <c r="B3238" s="1" t="n">
        <v>44230</v>
      </c>
      <c r="C3238" s="1" t="n">
        <v>45344</v>
      </c>
      <c r="D3238" t="inlineStr">
        <is>
          <t>GÄVLEBORGS LÄN</t>
        </is>
      </c>
      <c r="E3238" t="inlineStr">
        <is>
          <t>HOFORS</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5533-2021</t>
        </is>
      </c>
      <c r="B3239" s="1" t="n">
        <v>44230</v>
      </c>
      <c r="C3239" s="1" t="n">
        <v>45344</v>
      </c>
      <c r="D3239" t="inlineStr">
        <is>
          <t>GÄVLEBORGS LÄN</t>
        </is>
      </c>
      <c r="E3239" t="inlineStr">
        <is>
          <t>SANDVIKEN</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5843-2021</t>
        </is>
      </c>
      <c r="B3240" s="1" t="n">
        <v>44231</v>
      </c>
      <c r="C3240" s="1" t="n">
        <v>45344</v>
      </c>
      <c r="D3240" t="inlineStr">
        <is>
          <t>GÄVLEBORGS LÄN</t>
        </is>
      </c>
      <c r="E3240" t="inlineStr">
        <is>
          <t>NORDANSTIG</t>
        </is>
      </c>
      <c r="F3240" t="inlineStr">
        <is>
          <t>Holmen skog AB</t>
        </is>
      </c>
      <c r="G3240" t="n">
        <v>9.1</v>
      </c>
      <c r="H3240" t="n">
        <v>0</v>
      </c>
      <c r="I3240" t="n">
        <v>0</v>
      </c>
      <c r="J3240" t="n">
        <v>0</v>
      </c>
      <c r="K3240" t="n">
        <v>0</v>
      </c>
      <c r="L3240" t="n">
        <v>0</v>
      </c>
      <c r="M3240" t="n">
        <v>0</v>
      </c>
      <c r="N3240" t="n">
        <v>0</v>
      </c>
      <c r="O3240" t="n">
        <v>0</v>
      </c>
      <c r="P3240" t="n">
        <v>0</v>
      </c>
      <c r="Q3240" t="n">
        <v>0</v>
      </c>
      <c r="R3240" s="2" t="inlineStr"/>
    </row>
    <row r="3241" ht="15" customHeight="1">
      <c r="A3241" t="inlineStr">
        <is>
          <t>A 5903-2021</t>
        </is>
      </c>
      <c r="B3241" s="1" t="n">
        <v>44231</v>
      </c>
      <c r="C3241" s="1" t="n">
        <v>45344</v>
      </c>
      <c r="D3241" t="inlineStr">
        <is>
          <t>GÄVLEBORGS LÄN</t>
        </is>
      </c>
      <c r="E3241" t="inlineStr">
        <is>
          <t>OVANÅKER</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5924-2021</t>
        </is>
      </c>
      <c r="B3242" s="1" t="n">
        <v>44231</v>
      </c>
      <c r="C3242" s="1" t="n">
        <v>45344</v>
      </c>
      <c r="D3242" t="inlineStr">
        <is>
          <t>GÄVLEBORGS LÄN</t>
        </is>
      </c>
      <c r="E3242" t="inlineStr">
        <is>
          <t>SÖDERHAMN</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5916-2021</t>
        </is>
      </c>
      <c r="B3243" s="1" t="n">
        <v>44231</v>
      </c>
      <c r="C3243" s="1" t="n">
        <v>45344</v>
      </c>
      <c r="D3243" t="inlineStr">
        <is>
          <t>GÄVLEBORGS LÄN</t>
        </is>
      </c>
      <c r="E3243" t="inlineStr">
        <is>
          <t>NORDANSTIG</t>
        </is>
      </c>
      <c r="F3243" t="inlineStr">
        <is>
          <t>Holmen skog AB</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5841-2021</t>
        </is>
      </c>
      <c r="B3244" s="1" t="n">
        <v>44231</v>
      </c>
      <c r="C3244" s="1" t="n">
        <v>45344</v>
      </c>
      <c r="D3244" t="inlineStr">
        <is>
          <t>GÄVLEBORGS LÄN</t>
        </is>
      </c>
      <c r="E3244" t="inlineStr">
        <is>
          <t>HUDIKSVALL</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5949-2021</t>
        </is>
      </c>
      <c r="B3245" s="1" t="n">
        <v>44231</v>
      </c>
      <c r="C3245" s="1" t="n">
        <v>45344</v>
      </c>
      <c r="D3245" t="inlineStr">
        <is>
          <t>GÄVLEBORGS LÄN</t>
        </is>
      </c>
      <c r="E3245" t="inlineStr">
        <is>
          <t>NORDANSTIG</t>
        </is>
      </c>
      <c r="F3245" t="inlineStr">
        <is>
          <t>Holmen skog AB</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5972-2021</t>
        </is>
      </c>
      <c r="B3246" s="1" t="n">
        <v>44231</v>
      </c>
      <c r="C3246" s="1" t="n">
        <v>45344</v>
      </c>
      <c r="D3246" t="inlineStr">
        <is>
          <t>GÄVLEBORGS LÄN</t>
        </is>
      </c>
      <c r="E3246" t="inlineStr">
        <is>
          <t>GÄVLE</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6077-2021</t>
        </is>
      </c>
      <c r="B3247" s="1" t="n">
        <v>44232</v>
      </c>
      <c r="C3247" s="1" t="n">
        <v>45344</v>
      </c>
      <c r="D3247" t="inlineStr">
        <is>
          <t>GÄVLEBORGS LÄN</t>
        </is>
      </c>
      <c r="E3247" t="inlineStr">
        <is>
          <t>HUDIKSVALL</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6166-2021</t>
        </is>
      </c>
      <c r="B3248" s="1" t="n">
        <v>44232</v>
      </c>
      <c r="C3248" s="1" t="n">
        <v>45344</v>
      </c>
      <c r="D3248" t="inlineStr">
        <is>
          <t>GÄVLEBORGS LÄN</t>
        </is>
      </c>
      <c r="E3248" t="inlineStr">
        <is>
          <t>BOLLNÄS</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6349-2021</t>
        </is>
      </c>
      <c r="B3249" s="1" t="n">
        <v>44235</v>
      </c>
      <c r="C3249" s="1" t="n">
        <v>45344</v>
      </c>
      <c r="D3249" t="inlineStr">
        <is>
          <t>GÄVLEBORGS LÄN</t>
        </is>
      </c>
      <c r="E3249" t="inlineStr">
        <is>
          <t>SANDVIKEN</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6468-2021</t>
        </is>
      </c>
      <c r="B3250" s="1" t="n">
        <v>44235</v>
      </c>
      <c r="C3250" s="1" t="n">
        <v>45344</v>
      </c>
      <c r="D3250" t="inlineStr">
        <is>
          <t>GÄVLEBORGS LÄN</t>
        </is>
      </c>
      <c r="E3250" t="inlineStr">
        <is>
          <t>GÄVLE</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6344-2021</t>
        </is>
      </c>
      <c r="B3251" s="1" t="n">
        <v>44235</v>
      </c>
      <c r="C3251" s="1" t="n">
        <v>45344</v>
      </c>
      <c r="D3251" t="inlineStr">
        <is>
          <t>GÄVLEBORGS LÄN</t>
        </is>
      </c>
      <c r="E3251" t="inlineStr">
        <is>
          <t>NORDANSTIG</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6467-2021</t>
        </is>
      </c>
      <c r="B3252" s="1" t="n">
        <v>44235</v>
      </c>
      <c r="C3252" s="1" t="n">
        <v>45344</v>
      </c>
      <c r="D3252" t="inlineStr">
        <is>
          <t>GÄVLEBORGS LÄN</t>
        </is>
      </c>
      <c r="E3252" t="inlineStr">
        <is>
          <t>GÄVLE</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6587-2021</t>
        </is>
      </c>
      <c r="B3253" s="1" t="n">
        <v>44236</v>
      </c>
      <c r="C3253" s="1" t="n">
        <v>45344</v>
      </c>
      <c r="D3253" t="inlineStr">
        <is>
          <t>GÄVLEBORGS LÄN</t>
        </is>
      </c>
      <c r="E3253" t="inlineStr">
        <is>
          <t>LJUSDAL</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6512-2021</t>
        </is>
      </c>
      <c r="B3254" s="1" t="n">
        <v>44236</v>
      </c>
      <c r="C3254" s="1" t="n">
        <v>45344</v>
      </c>
      <c r="D3254" t="inlineStr">
        <is>
          <t>GÄVLEBORGS LÄN</t>
        </is>
      </c>
      <c r="E3254" t="inlineStr">
        <is>
          <t>HUDIKSVALL</t>
        </is>
      </c>
      <c r="G3254" t="n">
        <v>46.5</v>
      </c>
      <c r="H3254" t="n">
        <v>0</v>
      </c>
      <c r="I3254" t="n">
        <v>0</v>
      </c>
      <c r="J3254" t="n">
        <v>0</v>
      </c>
      <c r="K3254" t="n">
        <v>0</v>
      </c>
      <c r="L3254" t="n">
        <v>0</v>
      </c>
      <c r="M3254" t="n">
        <v>0</v>
      </c>
      <c r="N3254" t="n">
        <v>0</v>
      </c>
      <c r="O3254" t="n">
        <v>0</v>
      </c>
      <c r="P3254" t="n">
        <v>0</v>
      </c>
      <c r="Q3254" t="n">
        <v>0</v>
      </c>
      <c r="R3254" s="2" t="inlineStr"/>
    </row>
    <row r="3255" ht="15" customHeight="1">
      <c r="A3255" t="inlineStr">
        <is>
          <t>A 6529-2021</t>
        </is>
      </c>
      <c r="B3255" s="1" t="n">
        <v>44236</v>
      </c>
      <c r="C3255" s="1" t="n">
        <v>45344</v>
      </c>
      <c r="D3255" t="inlineStr">
        <is>
          <t>GÄVLEBORGS LÄN</t>
        </is>
      </c>
      <c r="E3255" t="inlineStr">
        <is>
          <t>NORDANSTIG</t>
        </is>
      </c>
      <c r="F3255" t="inlineStr">
        <is>
          <t>Holmen skog AB</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6561-2021</t>
        </is>
      </c>
      <c r="B3256" s="1" t="n">
        <v>44236</v>
      </c>
      <c r="C3256" s="1" t="n">
        <v>45344</v>
      </c>
      <c r="D3256" t="inlineStr">
        <is>
          <t>GÄVLEBORGS LÄN</t>
        </is>
      </c>
      <c r="E3256" t="inlineStr">
        <is>
          <t>NORDANSTIG</t>
        </is>
      </c>
      <c r="F3256" t="inlineStr">
        <is>
          <t>Holmen skog AB</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6673-2021</t>
        </is>
      </c>
      <c r="B3257" s="1" t="n">
        <v>44236</v>
      </c>
      <c r="C3257" s="1" t="n">
        <v>45344</v>
      </c>
      <c r="D3257" t="inlineStr">
        <is>
          <t>GÄVLEBORGS LÄN</t>
        </is>
      </c>
      <c r="E3257" t="inlineStr">
        <is>
          <t>SANDVIKEN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6678-2021</t>
        </is>
      </c>
      <c r="B3258" s="1" t="n">
        <v>44236</v>
      </c>
      <c r="C3258" s="1" t="n">
        <v>45344</v>
      </c>
      <c r="D3258" t="inlineStr">
        <is>
          <t>GÄVLEBORGS LÄN</t>
        </is>
      </c>
      <c r="E3258" t="inlineStr">
        <is>
          <t>SANDVIKEN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6718-2021</t>
        </is>
      </c>
      <c r="B3259" s="1" t="n">
        <v>44236</v>
      </c>
      <c r="C3259" s="1" t="n">
        <v>45344</v>
      </c>
      <c r="D3259" t="inlineStr">
        <is>
          <t>GÄVLEBORGS LÄN</t>
        </is>
      </c>
      <c r="E3259" t="inlineStr">
        <is>
          <t>NORDANSTIG</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6816-2021</t>
        </is>
      </c>
      <c r="B3260" s="1" t="n">
        <v>44237</v>
      </c>
      <c r="C3260" s="1" t="n">
        <v>45344</v>
      </c>
      <c r="D3260" t="inlineStr">
        <is>
          <t>GÄVLEBORGS LÄN</t>
        </is>
      </c>
      <c r="E3260" t="inlineStr">
        <is>
          <t>SÖDERHAMN</t>
        </is>
      </c>
      <c r="F3260" t="inlineStr">
        <is>
          <t>Bergvik skog väst AB</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6983-2021</t>
        </is>
      </c>
      <c r="B3261" s="1" t="n">
        <v>44237</v>
      </c>
      <c r="C3261" s="1" t="n">
        <v>45344</v>
      </c>
      <c r="D3261" t="inlineStr">
        <is>
          <t>GÄVLEBORGS LÄN</t>
        </is>
      </c>
      <c r="E3261" t="inlineStr">
        <is>
          <t>NORDANSTIG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7080-2021</t>
        </is>
      </c>
      <c r="B3262" s="1" t="n">
        <v>44237</v>
      </c>
      <c r="C3262" s="1" t="n">
        <v>45344</v>
      </c>
      <c r="D3262" t="inlineStr">
        <is>
          <t>GÄVLEBORGS LÄN</t>
        </is>
      </c>
      <c r="E3262" t="inlineStr">
        <is>
          <t>NORDANSTIG</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6989-2021</t>
        </is>
      </c>
      <c r="B3263" s="1" t="n">
        <v>44237</v>
      </c>
      <c r="C3263" s="1" t="n">
        <v>45344</v>
      </c>
      <c r="D3263" t="inlineStr">
        <is>
          <t>GÄVLEBORGS LÄN</t>
        </is>
      </c>
      <c r="E3263" t="inlineStr">
        <is>
          <t>HUDIKSVALL</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7020-2021</t>
        </is>
      </c>
      <c r="B3264" s="1" t="n">
        <v>44237</v>
      </c>
      <c r="C3264" s="1" t="n">
        <v>45344</v>
      </c>
      <c r="D3264" t="inlineStr">
        <is>
          <t>GÄVLEBORGS LÄN</t>
        </is>
      </c>
      <c r="E3264" t="inlineStr">
        <is>
          <t>HUDIKSVALL</t>
        </is>
      </c>
      <c r="G3264" t="n">
        <v>12.8</v>
      </c>
      <c r="H3264" t="n">
        <v>0</v>
      </c>
      <c r="I3264" t="n">
        <v>0</v>
      </c>
      <c r="J3264" t="n">
        <v>0</v>
      </c>
      <c r="K3264" t="n">
        <v>0</v>
      </c>
      <c r="L3264" t="n">
        <v>0</v>
      </c>
      <c r="M3264" t="n">
        <v>0</v>
      </c>
      <c r="N3264" t="n">
        <v>0</v>
      </c>
      <c r="O3264" t="n">
        <v>0</v>
      </c>
      <c r="P3264" t="n">
        <v>0</v>
      </c>
      <c r="Q3264" t="n">
        <v>0</v>
      </c>
      <c r="R3264" s="2" t="inlineStr"/>
    </row>
    <row r="3265" ht="15" customHeight="1">
      <c r="A3265" t="inlineStr">
        <is>
          <t>A 7102-2021</t>
        </is>
      </c>
      <c r="B3265" s="1" t="n">
        <v>44238</v>
      </c>
      <c r="C3265" s="1" t="n">
        <v>45344</v>
      </c>
      <c r="D3265" t="inlineStr">
        <is>
          <t>GÄVLEBORGS LÄN</t>
        </is>
      </c>
      <c r="E3265" t="inlineStr">
        <is>
          <t>HUDIKSVALL</t>
        </is>
      </c>
      <c r="G3265" t="n">
        <v>23.6</v>
      </c>
      <c r="H3265" t="n">
        <v>0</v>
      </c>
      <c r="I3265" t="n">
        <v>0</v>
      </c>
      <c r="J3265" t="n">
        <v>0</v>
      </c>
      <c r="K3265" t="n">
        <v>0</v>
      </c>
      <c r="L3265" t="n">
        <v>0</v>
      </c>
      <c r="M3265" t="n">
        <v>0</v>
      </c>
      <c r="N3265" t="n">
        <v>0</v>
      </c>
      <c r="O3265" t="n">
        <v>0</v>
      </c>
      <c r="P3265" t="n">
        <v>0</v>
      </c>
      <c r="Q3265" t="n">
        <v>0</v>
      </c>
      <c r="R3265" s="2" t="inlineStr"/>
    </row>
    <row r="3266" ht="15" customHeight="1">
      <c r="A3266" t="inlineStr">
        <is>
          <t>A 7146-2021</t>
        </is>
      </c>
      <c r="B3266" s="1" t="n">
        <v>44238</v>
      </c>
      <c r="C3266" s="1" t="n">
        <v>45344</v>
      </c>
      <c r="D3266" t="inlineStr">
        <is>
          <t>GÄVLEBORGS LÄN</t>
        </is>
      </c>
      <c r="E3266" t="inlineStr">
        <is>
          <t>HUDIKSVALL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7358-2021</t>
        </is>
      </c>
      <c r="B3267" s="1" t="n">
        <v>44239</v>
      </c>
      <c r="C3267" s="1" t="n">
        <v>45344</v>
      </c>
      <c r="D3267" t="inlineStr">
        <is>
          <t>GÄVLEBORGS LÄN</t>
        </is>
      </c>
      <c r="E3267" t="inlineStr">
        <is>
          <t>LJUSDAL</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7410-2021</t>
        </is>
      </c>
      <c r="B3268" s="1" t="n">
        <v>44239</v>
      </c>
      <c r="C3268" s="1" t="n">
        <v>45344</v>
      </c>
      <c r="D3268" t="inlineStr">
        <is>
          <t>GÄVLEBORGS LÄN</t>
        </is>
      </c>
      <c r="E3268" t="inlineStr">
        <is>
          <t>HUDIKSVALL</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7425-2021</t>
        </is>
      </c>
      <c r="B3269" s="1" t="n">
        <v>44239</v>
      </c>
      <c r="C3269" s="1" t="n">
        <v>45344</v>
      </c>
      <c r="D3269" t="inlineStr">
        <is>
          <t>GÄVLEBORGS LÄN</t>
        </is>
      </c>
      <c r="E3269" t="inlineStr">
        <is>
          <t>OCKELBO</t>
        </is>
      </c>
      <c r="F3269" t="inlineStr">
        <is>
          <t>Bergvik skog väst AB</t>
        </is>
      </c>
      <c r="G3269" t="n">
        <v>5.7</v>
      </c>
      <c r="H3269" t="n">
        <v>0</v>
      </c>
      <c r="I3269" t="n">
        <v>0</v>
      </c>
      <c r="J3269" t="n">
        <v>0</v>
      </c>
      <c r="K3269" t="n">
        <v>0</v>
      </c>
      <c r="L3269" t="n">
        <v>0</v>
      </c>
      <c r="M3269" t="n">
        <v>0</v>
      </c>
      <c r="N3269" t="n">
        <v>0</v>
      </c>
      <c r="O3269" t="n">
        <v>0</v>
      </c>
      <c r="P3269" t="n">
        <v>0</v>
      </c>
      <c r="Q3269" t="n">
        <v>0</v>
      </c>
      <c r="R3269" s="2" t="inlineStr"/>
    </row>
    <row r="3270" ht="15" customHeight="1">
      <c r="A3270" t="inlineStr">
        <is>
          <t>A 7504-2021</t>
        </is>
      </c>
      <c r="B3270" s="1" t="n">
        <v>44239</v>
      </c>
      <c r="C3270" s="1" t="n">
        <v>45344</v>
      </c>
      <c r="D3270" t="inlineStr">
        <is>
          <t>GÄVLEBORGS LÄN</t>
        </is>
      </c>
      <c r="E3270" t="inlineStr">
        <is>
          <t>HUDIKSVALL</t>
        </is>
      </c>
      <c r="G3270" t="n">
        <v>16.5</v>
      </c>
      <c r="H3270" t="n">
        <v>0</v>
      </c>
      <c r="I3270" t="n">
        <v>0</v>
      </c>
      <c r="J3270" t="n">
        <v>0</v>
      </c>
      <c r="K3270" t="n">
        <v>0</v>
      </c>
      <c r="L3270" t="n">
        <v>0</v>
      </c>
      <c r="M3270" t="n">
        <v>0</v>
      </c>
      <c r="N3270" t="n">
        <v>0</v>
      </c>
      <c r="O3270" t="n">
        <v>0</v>
      </c>
      <c r="P3270" t="n">
        <v>0</v>
      </c>
      <c r="Q3270" t="n">
        <v>0</v>
      </c>
      <c r="R3270" s="2" t="inlineStr"/>
    </row>
    <row r="3271" ht="15" customHeight="1">
      <c r="A3271" t="inlineStr">
        <is>
          <t>A 7356-2021</t>
        </is>
      </c>
      <c r="B3271" s="1" t="n">
        <v>44239</v>
      </c>
      <c r="C3271" s="1" t="n">
        <v>45344</v>
      </c>
      <c r="D3271" t="inlineStr">
        <is>
          <t>GÄVLEBORGS LÄN</t>
        </is>
      </c>
      <c r="E3271" t="inlineStr">
        <is>
          <t>SÖDERHAMN</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7420-2021</t>
        </is>
      </c>
      <c r="B3272" s="1" t="n">
        <v>44239</v>
      </c>
      <c r="C3272" s="1" t="n">
        <v>45344</v>
      </c>
      <c r="D3272" t="inlineStr">
        <is>
          <t>GÄVLEBORGS LÄN</t>
        </is>
      </c>
      <c r="E3272" t="inlineStr">
        <is>
          <t>OCKELBO</t>
        </is>
      </c>
      <c r="F3272" t="inlineStr">
        <is>
          <t>Bergvik skog väst AB</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7464-2021</t>
        </is>
      </c>
      <c r="B3273" s="1" t="n">
        <v>44239</v>
      </c>
      <c r="C3273" s="1" t="n">
        <v>45344</v>
      </c>
      <c r="D3273" t="inlineStr">
        <is>
          <t>GÄVLEBORGS LÄN</t>
        </is>
      </c>
      <c r="E3273" t="inlineStr">
        <is>
          <t>BOLLNÄS</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7344-2021</t>
        </is>
      </c>
      <c r="B3274" s="1" t="n">
        <v>44239</v>
      </c>
      <c r="C3274" s="1" t="n">
        <v>45344</v>
      </c>
      <c r="D3274" t="inlineStr">
        <is>
          <t>GÄVLEBORGS LÄN</t>
        </is>
      </c>
      <c r="E3274" t="inlineStr">
        <is>
          <t>OCKELBO</t>
        </is>
      </c>
      <c r="F3274" t="inlineStr">
        <is>
          <t>Bergvik skog väst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7379-2021</t>
        </is>
      </c>
      <c r="B3275" s="1" t="n">
        <v>44239</v>
      </c>
      <c r="C3275" s="1" t="n">
        <v>45344</v>
      </c>
      <c r="D3275" t="inlineStr">
        <is>
          <t>GÄVLEBORGS LÄN</t>
        </is>
      </c>
      <c r="E3275" t="inlineStr">
        <is>
          <t>OCKELBO</t>
        </is>
      </c>
      <c r="F3275" t="inlineStr">
        <is>
          <t>Bergvik skog väst AB</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7461-2021</t>
        </is>
      </c>
      <c r="B3276" s="1" t="n">
        <v>44239</v>
      </c>
      <c r="C3276" s="1" t="n">
        <v>45344</v>
      </c>
      <c r="D3276" t="inlineStr">
        <is>
          <t>GÄVLEBORGS LÄN</t>
        </is>
      </c>
      <c r="E3276" t="inlineStr">
        <is>
          <t>BOLLNÄS</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7525-2021</t>
        </is>
      </c>
      <c r="B3277" s="1" t="n">
        <v>44239</v>
      </c>
      <c r="C3277" s="1" t="n">
        <v>45344</v>
      </c>
      <c r="D3277" t="inlineStr">
        <is>
          <t>GÄVLEBORGS LÄN</t>
        </is>
      </c>
      <c r="E3277" t="inlineStr">
        <is>
          <t>HUDIKSVALL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7533-2021</t>
        </is>
      </c>
      <c r="B3278" s="1" t="n">
        <v>44239</v>
      </c>
      <c r="C3278" s="1" t="n">
        <v>45344</v>
      </c>
      <c r="D3278" t="inlineStr">
        <is>
          <t>GÄVLEBORGS LÄN</t>
        </is>
      </c>
      <c r="E3278" t="inlineStr">
        <is>
          <t>HUDIKSVALL</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7529-2021</t>
        </is>
      </c>
      <c r="B3279" s="1" t="n">
        <v>44239</v>
      </c>
      <c r="C3279" s="1" t="n">
        <v>45344</v>
      </c>
      <c r="D3279" t="inlineStr">
        <is>
          <t>GÄVLEBORGS LÄN</t>
        </is>
      </c>
      <c r="E3279" t="inlineStr">
        <is>
          <t>HUDIKSVALL</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7801-2021</t>
        </is>
      </c>
      <c r="B3280" s="1" t="n">
        <v>44242</v>
      </c>
      <c r="C3280" s="1" t="n">
        <v>45344</v>
      </c>
      <c r="D3280" t="inlineStr">
        <is>
          <t>GÄVLEBORGS LÄN</t>
        </is>
      </c>
      <c r="E3280" t="inlineStr">
        <is>
          <t>BOLLNÄS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7767-2021</t>
        </is>
      </c>
      <c r="B3281" s="1" t="n">
        <v>44242</v>
      </c>
      <c r="C3281" s="1" t="n">
        <v>45344</v>
      </c>
      <c r="D3281" t="inlineStr">
        <is>
          <t>GÄVLEBORGS LÄN</t>
        </is>
      </c>
      <c r="E3281" t="inlineStr">
        <is>
          <t>BOLLNÄS</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7804-2021</t>
        </is>
      </c>
      <c r="B3282" s="1" t="n">
        <v>44242</v>
      </c>
      <c r="C3282" s="1" t="n">
        <v>45344</v>
      </c>
      <c r="D3282" t="inlineStr">
        <is>
          <t>GÄVLEBORGS LÄN</t>
        </is>
      </c>
      <c r="E3282" t="inlineStr">
        <is>
          <t>NORDANSTIG</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7925-2021</t>
        </is>
      </c>
      <c r="B3283" s="1" t="n">
        <v>44243</v>
      </c>
      <c r="C3283" s="1" t="n">
        <v>45344</v>
      </c>
      <c r="D3283" t="inlineStr">
        <is>
          <t>GÄVLEBORGS LÄN</t>
        </is>
      </c>
      <c r="E3283" t="inlineStr">
        <is>
          <t>LJUSDAL</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8038-2021</t>
        </is>
      </c>
      <c r="B3284" s="1" t="n">
        <v>44243</v>
      </c>
      <c r="C3284" s="1" t="n">
        <v>45344</v>
      </c>
      <c r="D3284" t="inlineStr">
        <is>
          <t>GÄVLEBORGS LÄN</t>
        </is>
      </c>
      <c r="E3284" t="inlineStr">
        <is>
          <t>BOLLNÄS</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8031-2021</t>
        </is>
      </c>
      <c r="B3285" s="1" t="n">
        <v>44243</v>
      </c>
      <c r="C3285" s="1" t="n">
        <v>45344</v>
      </c>
      <c r="D3285" t="inlineStr">
        <is>
          <t>GÄVLEBORGS LÄN</t>
        </is>
      </c>
      <c r="E3285" t="inlineStr">
        <is>
          <t>BOLLNÄS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8039-2021</t>
        </is>
      </c>
      <c r="B3286" s="1" t="n">
        <v>44243</v>
      </c>
      <c r="C3286" s="1" t="n">
        <v>45344</v>
      </c>
      <c r="D3286" t="inlineStr">
        <is>
          <t>GÄVLEBORGS LÄN</t>
        </is>
      </c>
      <c r="E3286" t="inlineStr">
        <is>
          <t>NORDANSTIG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8572-2021</t>
        </is>
      </c>
      <c r="B3287" s="1" t="n">
        <v>44244</v>
      </c>
      <c r="C3287" s="1" t="n">
        <v>45344</v>
      </c>
      <c r="D3287" t="inlineStr">
        <is>
          <t>GÄVLEBORGS LÄN</t>
        </is>
      </c>
      <c r="E3287" t="inlineStr">
        <is>
          <t>HUDIKSVALL</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8570-2021</t>
        </is>
      </c>
      <c r="B3288" s="1" t="n">
        <v>44244</v>
      </c>
      <c r="C3288" s="1" t="n">
        <v>45344</v>
      </c>
      <c r="D3288" t="inlineStr">
        <is>
          <t>GÄVLEBORGS LÄN</t>
        </is>
      </c>
      <c r="E3288" t="inlineStr">
        <is>
          <t>HUDIKSVALL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8569-2021</t>
        </is>
      </c>
      <c r="B3289" s="1" t="n">
        <v>44245</v>
      </c>
      <c r="C3289" s="1" t="n">
        <v>45344</v>
      </c>
      <c r="D3289" t="inlineStr">
        <is>
          <t>GÄVLEBORGS LÄN</t>
        </is>
      </c>
      <c r="E3289" t="inlineStr">
        <is>
          <t>HUDIKSVALL</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8432-2021</t>
        </is>
      </c>
      <c r="B3290" s="1" t="n">
        <v>44245</v>
      </c>
      <c r="C3290" s="1" t="n">
        <v>45344</v>
      </c>
      <c r="D3290" t="inlineStr">
        <is>
          <t>GÄVLEBORGS LÄN</t>
        </is>
      </c>
      <c r="E3290" t="inlineStr">
        <is>
          <t>OVANÅKER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8881-2021</t>
        </is>
      </c>
      <c r="B3291" s="1" t="n">
        <v>44247</v>
      </c>
      <c r="C3291" s="1" t="n">
        <v>45344</v>
      </c>
      <c r="D3291" t="inlineStr">
        <is>
          <t>GÄVLEBORGS LÄN</t>
        </is>
      </c>
      <c r="E3291" t="inlineStr">
        <is>
          <t>SANDVIKEN</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8942-2021</t>
        </is>
      </c>
      <c r="B3292" s="1" t="n">
        <v>44249</v>
      </c>
      <c r="C3292" s="1" t="n">
        <v>45344</v>
      </c>
      <c r="D3292" t="inlineStr">
        <is>
          <t>GÄVLEBORGS LÄN</t>
        </is>
      </c>
      <c r="E3292" t="inlineStr">
        <is>
          <t>NORDANSTIG</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8924-2021</t>
        </is>
      </c>
      <c r="B3293" s="1" t="n">
        <v>44249</v>
      </c>
      <c r="C3293" s="1" t="n">
        <v>45344</v>
      </c>
      <c r="D3293" t="inlineStr">
        <is>
          <t>GÄVLEBORGS LÄN</t>
        </is>
      </c>
      <c r="E3293" t="inlineStr">
        <is>
          <t>NORDANSTIG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9094-2021</t>
        </is>
      </c>
      <c r="B3294" s="1" t="n">
        <v>44249</v>
      </c>
      <c r="C3294" s="1" t="n">
        <v>45344</v>
      </c>
      <c r="D3294" t="inlineStr">
        <is>
          <t>GÄVLEBORGS LÄN</t>
        </is>
      </c>
      <c r="E3294" t="inlineStr">
        <is>
          <t>HUDIKSVALL</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9288-2021</t>
        </is>
      </c>
      <c r="B3295" s="1" t="n">
        <v>44250</v>
      </c>
      <c r="C3295" s="1" t="n">
        <v>45344</v>
      </c>
      <c r="D3295" t="inlineStr">
        <is>
          <t>GÄVLEBORGS LÄN</t>
        </is>
      </c>
      <c r="E3295" t="inlineStr">
        <is>
          <t>LJUSDAL</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9287-2021</t>
        </is>
      </c>
      <c r="B3296" s="1" t="n">
        <v>44250</v>
      </c>
      <c r="C3296" s="1" t="n">
        <v>45344</v>
      </c>
      <c r="D3296" t="inlineStr">
        <is>
          <t>GÄVLEBORGS LÄN</t>
        </is>
      </c>
      <c r="E3296" t="inlineStr">
        <is>
          <t>OCKELBO</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9540-2021</t>
        </is>
      </c>
      <c r="B3297" s="1" t="n">
        <v>44251</v>
      </c>
      <c r="C3297" s="1" t="n">
        <v>45344</v>
      </c>
      <c r="D3297" t="inlineStr">
        <is>
          <t>GÄVLEBORGS LÄN</t>
        </is>
      </c>
      <c r="E3297" t="inlineStr">
        <is>
          <t>LJUSDAL</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9506-2021</t>
        </is>
      </c>
      <c r="B3298" s="1" t="n">
        <v>44251</v>
      </c>
      <c r="C3298" s="1" t="n">
        <v>45344</v>
      </c>
      <c r="D3298" t="inlineStr">
        <is>
          <t>GÄVLEBORGS LÄN</t>
        </is>
      </c>
      <c r="E3298" t="inlineStr">
        <is>
          <t>OVANÅKER</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9714-2021</t>
        </is>
      </c>
      <c r="B3299" s="1" t="n">
        <v>44252</v>
      </c>
      <c r="C3299" s="1" t="n">
        <v>45344</v>
      </c>
      <c r="D3299" t="inlineStr">
        <is>
          <t>GÄVLEBORGS LÄN</t>
        </is>
      </c>
      <c r="E3299" t="inlineStr">
        <is>
          <t>LJUSDAL</t>
        </is>
      </c>
      <c r="F3299" t="inlineStr">
        <is>
          <t>Bergvik skog väst AB</t>
        </is>
      </c>
      <c r="G3299" t="n">
        <v>20.7</v>
      </c>
      <c r="H3299" t="n">
        <v>0</v>
      </c>
      <c r="I3299" t="n">
        <v>0</v>
      </c>
      <c r="J3299" t="n">
        <v>0</v>
      </c>
      <c r="K3299" t="n">
        <v>0</v>
      </c>
      <c r="L3299" t="n">
        <v>0</v>
      </c>
      <c r="M3299" t="n">
        <v>0</v>
      </c>
      <c r="N3299" t="n">
        <v>0</v>
      </c>
      <c r="O3299" t="n">
        <v>0</v>
      </c>
      <c r="P3299" t="n">
        <v>0</v>
      </c>
      <c r="Q3299" t="n">
        <v>0</v>
      </c>
      <c r="R3299" s="2" t="inlineStr"/>
    </row>
    <row r="3300" ht="15" customHeight="1">
      <c r="A3300" t="inlineStr">
        <is>
          <t>A 9738-2021</t>
        </is>
      </c>
      <c r="B3300" s="1" t="n">
        <v>44252</v>
      </c>
      <c r="C3300" s="1" t="n">
        <v>45344</v>
      </c>
      <c r="D3300" t="inlineStr">
        <is>
          <t>GÄVLEBORGS LÄN</t>
        </is>
      </c>
      <c r="E3300" t="inlineStr">
        <is>
          <t>GÄVLE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9736-2021</t>
        </is>
      </c>
      <c r="B3301" s="1" t="n">
        <v>44252</v>
      </c>
      <c r="C3301" s="1" t="n">
        <v>45344</v>
      </c>
      <c r="D3301" t="inlineStr">
        <is>
          <t>GÄVLEBORGS LÄN</t>
        </is>
      </c>
      <c r="E3301" t="inlineStr">
        <is>
          <t>SANDVIKEN</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9733-2021</t>
        </is>
      </c>
      <c r="B3302" s="1" t="n">
        <v>44252</v>
      </c>
      <c r="C3302" s="1" t="n">
        <v>45344</v>
      </c>
      <c r="D3302" t="inlineStr">
        <is>
          <t>GÄVLEBORGS LÄN</t>
        </is>
      </c>
      <c r="E3302" t="inlineStr">
        <is>
          <t>GÄVLE</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9982-2021</t>
        </is>
      </c>
      <c r="B3303" s="1" t="n">
        <v>44253</v>
      </c>
      <c r="C3303" s="1" t="n">
        <v>45344</v>
      </c>
      <c r="D3303" t="inlineStr">
        <is>
          <t>GÄVLEBORGS LÄN</t>
        </is>
      </c>
      <c r="E3303" t="inlineStr">
        <is>
          <t>LJUSDAL</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10030-2021</t>
        </is>
      </c>
      <c r="B3304" s="1" t="n">
        <v>44256</v>
      </c>
      <c r="C3304" s="1" t="n">
        <v>45344</v>
      </c>
      <c r="D3304" t="inlineStr">
        <is>
          <t>GÄVLEBORGS LÄN</t>
        </is>
      </c>
      <c r="E3304" t="inlineStr">
        <is>
          <t>HUDIKSVALL</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10100-2021</t>
        </is>
      </c>
      <c r="B3305" s="1" t="n">
        <v>44256</v>
      </c>
      <c r="C3305" s="1" t="n">
        <v>45344</v>
      </c>
      <c r="D3305" t="inlineStr">
        <is>
          <t>GÄVLEBORGS LÄN</t>
        </is>
      </c>
      <c r="E3305" t="inlineStr">
        <is>
          <t>OCKELBO</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10542-2021</t>
        </is>
      </c>
      <c r="B3306" s="1" t="n">
        <v>44258</v>
      </c>
      <c r="C3306" s="1" t="n">
        <v>45344</v>
      </c>
      <c r="D3306" t="inlineStr">
        <is>
          <t>GÄVLEBORGS LÄN</t>
        </is>
      </c>
      <c r="E3306" t="inlineStr">
        <is>
          <t>OVANÅKER</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10548-2021</t>
        </is>
      </c>
      <c r="B3307" s="1" t="n">
        <v>44258</v>
      </c>
      <c r="C3307" s="1" t="n">
        <v>45344</v>
      </c>
      <c r="D3307" t="inlineStr">
        <is>
          <t>GÄVLEBORGS LÄN</t>
        </is>
      </c>
      <c r="E3307" t="inlineStr">
        <is>
          <t>NORDANSTIG</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10632-2021</t>
        </is>
      </c>
      <c r="B3308" s="1" t="n">
        <v>44258</v>
      </c>
      <c r="C3308" s="1" t="n">
        <v>45344</v>
      </c>
      <c r="D3308" t="inlineStr">
        <is>
          <t>GÄVLEBORGS LÄN</t>
        </is>
      </c>
      <c r="E3308" t="inlineStr">
        <is>
          <t>OVANÅKER</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10612-2021</t>
        </is>
      </c>
      <c r="B3309" s="1" t="n">
        <v>44258</v>
      </c>
      <c r="C3309" s="1" t="n">
        <v>45344</v>
      </c>
      <c r="D3309" t="inlineStr">
        <is>
          <t>GÄVLEBORGS LÄN</t>
        </is>
      </c>
      <c r="E3309" t="inlineStr">
        <is>
          <t>NORDANSTIG</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10641-2021</t>
        </is>
      </c>
      <c r="B3310" s="1" t="n">
        <v>44258</v>
      </c>
      <c r="C3310" s="1" t="n">
        <v>45344</v>
      </c>
      <c r="D3310" t="inlineStr">
        <is>
          <t>GÄVLEBORGS LÄN</t>
        </is>
      </c>
      <c r="E3310" t="inlineStr">
        <is>
          <t>OVANÅKER</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10708-2021</t>
        </is>
      </c>
      <c r="B3311" s="1" t="n">
        <v>44258</v>
      </c>
      <c r="C3311" s="1" t="n">
        <v>45344</v>
      </c>
      <c r="D3311" t="inlineStr">
        <is>
          <t>GÄVLEBORGS LÄN</t>
        </is>
      </c>
      <c r="E3311" t="inlineStr">
        <is>
          <t>OVANÅKER</t>
        </is>
      </c>
      <c r="G3311" t="n">
        <v>22.6</v>
      </c>
      <c r="H3311" t="n">
        <v>0</v>
      </c>
      <c r="I3311" t="n">
        <v>0</v>
      </c>
      <c r="J3311" t="n">
        <v>0</v>
      </c>
      <c r="K3311" t="n">
        <v>0</v>
      </c>
      <c r="L3311" t="n">
        <v>0</v>
      </c>
      <c r="M3311" t="n">
        <v>0</v>
      </c>
      <c r="N3311" t="n">
        <v>0</v>
      </c>
      <c r="O3311" t="n">
        <v>0</v>
      </c>
      <c r="P3311" t="n">
        <v>0</v>
      </c>
      <c r="Q3311" t="n">
        <v>0</v>
      </c>
      <c r="R3311" s="2" t="inlineStr"/>
    </row>
    <row r="3312" ht="15" customHeight="1">
      <c r="A3312" t="inlineStr">
        <is>
          <t>A 10704-2021</t>
        </is>
      </c>
      <c r="B3312" s="1" t="n">
        <v>44258</v>
      </c>
      <c r="C3312" s="1" t="n">
        <v>45344</v>
      </c>
      <c r="D3312" t="inlineStr">
        <is>
          <t>GÄVLEBORGS LÄN</t>
        </is>
      </c>
      <c r="E3312" t="inlineStr">
        <is>
          <t>GÄVLE</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10683-2021</t>
        </is>
      </c>
      <c r="B3313" s="1" t="n">
        <v>44258</v>
      </c>
      <c r="C3313" s="1" t="n">
        <v>45344</v>
      </c>
      <c r="D3313" t="inlineStr">
        <is>
          <t>GÄVLEBORGS LÄN</t>
        </is>
      </c>
      <c r="E3313" t="inlineStr">
        <is>
          <t>HUDIKSVALL</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10709-2021</t>
        </is>
      </c>
      <c r="B3314" s="1" t="n">
        <v>44258</v>
      </c>
      <c r="C3314" s="1" t="n">
        <v>45344</v>
      </c>
      <c r="D3314" t="inlineStr">
        <is>
          <t>GÄVLEBORGS LÄN</t>
        </is>
      </c>
      <c r="E3314" t="inlineStr">
        <is>
          <t>GÄVLE</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10781-2021</t>
        </is>
      </c>
      <c r="B3315" s="1" t="n">
        <v>44259</v>
      </c>
      <c r="C3315" s="1" t="n">
        <v>45344</v>
      </c>
      <c r="D3315" t="inlineStr">
        <is>
          <t>GÄVLEBORGS LÄN</t>
        </is>
      </c>
      <c r="E3315" t="inlineStr">
        <is>
          <t>SÖDERHAMN</t>
        </is>
      </c>
      <c r="F3315" t="inlineStr">
        <is>
          <t>Bergvik skog väst AB</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10851-2021</t>
        </is>
      </c>
      <c r="B3316" s="1" t="n">
        <v>44259</v>
      </c>
      <c r="C3316" s="1" t="n">
        <v>45344</v>
      </c>
      <c r="D3316" t="inlineStr">
        <is>
          <t>GÄVLEBORGS LÄN</t>
        </is>
      </c>
      <c r="E3316" t="inlineStr">
        <is>
          <t>HUDIKSVALL</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10883-2021</t>
        </is>
      </c>
      <c r="B3317" s="1" t="n">
        <v>44259</v>
      </c>
      <c r="C3317" s="1" t="n">
        <v>45344</v>
      </c>
      <c r="D3317" t="inlineStr">
        <is>
          <t>GÄVLEBORGS LÄN</t>
        </is>
      </c>
      <c r="E3317" t="inlineStr">
        <is>
          <t>LJUSDAL</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11020-2021</t>
        </is>
      </c>
      <c r="B3318" s="1" t="n">
        <v>44260</v>
      </c>
      <c r="C3318" s="1" t="n">
        <v>45344</v>
      </c>
      <c r="D3318" t="inlineStr">
        <is>
          <t>GÄVLEBORGS LÄN</t>
        </is>
      </c>
      <c r="E3318" t="inlineStr">
        <is>
          <t>GÄVLE</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11051-2021</t>
        </is>
      </c>
      <c r="B3319" s="1" t="n">
        <v>44260</v>
      </c>
      <c r="C3319" s="1" t="n">
        <v>45344</v>
      </c>
      <c r="D3319" t="inlineStr">
        <is>
          <t>GÄVLEBORGS LÄN</t>
        </is>
      </c>
      <c r="E3319" t="inlineStr">
        <is>
          <t>HUDIKSVALL</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11214-2021</t>
        </is>
      </c>
      <c r="B3320" s="1" t="n">
        <v>44263</v>
      </c>
      <c r="C3320" s="1" t="n">
        <v>45344</v>
      </c>
      <c r="D3320" t="inlineStr">
        <is>
          <t>GÄVLEBORGS LÄN</t>
        </is>
      </c>
      <c r="E3320" t="inlineStr">
        <is>
          <t>NORDANSTIG</t>
        </is>
      </c>
      <c r="F3320" t="inlineStr">
        <is>
          <t>Holmen skog AB</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11188-2021</t>
        </is>
      </c>
      <c r="B3321" s="1" t="n">
        <v>44263</v>
      </c>
      <c r="C3321" s="1" t="n">
        <v>45344</v>
      </c>
      <c r="D3321" t="inlineStr">
        <is>
          <t>GÄVLEBORGS LÄN</t>
        </is>
      </c>
      <c r="E3321" t="inlineStr">
        <is>
          <t>GÄVLE</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11393-2021</t>
        </is>
      </c>
      <c r="B3322" s="1" t="n">
        <v>44263</v>
      </c>
      <c r="C3322" s="1" t="n">
        <v>45344</v>
      </c>
      <c r="D3322" t="inlineStr">
        <is>
          <t>GÄVLEBORGS LÄN</t>
        </is>
      </c>
      <c r="E3322" t="inlineStr">
        <is>
          <t>BOLLNÄS</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11190-2021</t>
        </is>
      </c>
      <c r="B3323" s="1" t="n">
        <v>44263</v>
      </c>
      <c r="C3323" s="1" t="n">
        <v>45344</v>
      </c>
      <c r="D3323" t="inlineStr">
        <is>
          <t>GÄVLEBORGS LÄN</t>
        </is>
      </c>
      <c r="E3323" t="inlineStr">
        <is>
          <t>GÄVLE</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11308-2021</t>
        </is>
      </c>
      <c r="B3324" s="1" t="n">
        <v>44263</v>
      </c>
      <c r="C3324" s="1" t="n">
        <v>45344</v>
      </c>
      <c r="D3324" t="inlineStr">
        <is>
          <t>GÄVLEBORGS LÄN</t>
        </is>
      </c>
      <c r="E3324" t="inlineStr">
        <is>
          <t>NORDANSTIG</t>
        </is>
      </c>
      <c r="G3324" t="n">
        <v>15.6</v>
      </c>
      <c r="H3324" t="n">
        <v>0</v>
      </c>
      <c r="I3324" t="n">
        <v>0</v>
      </c>
      <c r="J3324" t="n">
        <v>0</v>
      </c>
      <c r="K3324" t="n">
        <v>0</v>
      </c>
      <c r="L3324" t="n">
        <v>0</v>
      </c>
      <c r="M3324" t="n">
        <v>0</v>
      </c>
      <c r="N3324" t="n">
        <v>0</v>
      </c>
      <c r="O3324" t="n">
        <v>0</v>
      </c>
      <c r="P3324" t="n">
        <v>0</v>
      </c>
      <c r="Q3324" t="n">
        <v>0</v>
      </c>
      <c r="R3324" s="2" t="inlineStr"/>
    </row>
    <row r="3325" ht="15" customHeight="1">
      <c r="A3325" t="inlineStr">
        <is>
          <t>A 11366-2021</t>
        </is>
      </c>
      <c r="B3325" s="1" t="n">
        <v>44263</v>
      </c>
      <c r="C3325" s="1" t="n">
        <v>45344</v>
      </c>
      <c r="D3325" t="inlineStr">
        <is>
          <t>GÄVLEBORGS LÄN</t>
        </is>
      </c>
      <c r="E3325" t="inlineStr">
        <is>
          <t>NORDANSTIG</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11423-2021</t>
        </is>
      </c>
      <c r="B3326" s="1" t="n">
        <v>44263</v>
      </c>
      <c r="C3326" s="1" t="n">
        <v>45344</v>
      </c>
      <c r="D3326" t="inlineStr">
        <is>
          <t>GÄVLEBORGS LÄN</t>
        </is>
      </c>
      <c r="E3326" t="inlineStr">
        <is>
          <t>HUDIKSVALL</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11422-2021</t>
        </is>
      </c>
      <c r="B3327" s="1" t="n">
        <v>44263</v>
      </c>
      <c r="C3327" s="1" t="n">
        <v>45344</v>
      </c>
      <c r="D3327" t="inlineStr">
        <is>
          <t>GÄVLEBORGS LÄN</t>
        </is>
      </c>
      <c r="E3327" t="inlineStr">
        <is>
          <t>HUDIKSVALL</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11533-2021</t>
        </is>
      </c>
      <c r="B3328" s="1" t="n">
        <v>44264</v>
      </c>
      <c r="C3328" s="1" t="n">
        <v>45344</v>
      </c>
      <c r="D3328" t="inlineStr">
        <is>
          <t>GÄVLEBORGS LÄN</t>
        </is>
      </c>
      <c r="E3328" t="inlineStr">
        <is>
          <t>OVANÅKER</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11543-2021</t>
        </is>
      </c>
      <c r="B3329" s="1" t="n">
        <v>44264</v>
      </c>
      <c r="C3329" s="1" t="n">
        <v>45344</v>
      </c>
      <c r="D3329" t="inlineStr">
        <is>
          <t>GÄVLEBORGS LÄN</t>
        </is>
      </c>
      <c r="E3329" t="inlineStr">
        <is>
          <t>OVANÅKER</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11540-2021</t>
        </is>
      </c>
      <c r="B3330" s="1" t="n">
        <v>44264</v>
      </c>
      <c r="C3330" s="1" t="n">
        <v>45344</v>
      </c>
      <c r="D3330" t="inlineStr">
        <is>
          <t>GÄVLEBORGS LÄN</t>
        </is>
      </c>
      <c r="E3330" t="inlineStr">
        <is>
          <t>OVANÅKER</t>
        </is>
      </c>
      <c r="G3330" t="n">
        <v>0</v>
      </c>
      <c r="H3330" t="n">
        <v>0</v>
      </c>
      <c r="I3330" t="n">
        <v>0</v>
      </c>
      <c r="J3330" t="n">
        <v>0</v>
      </c>
      <c r="K3330" t="n">
        <v>0</v>
      </c>
      <c r="L3330" t="n">
        <v>0</v>
      </c>
      <c r="M3330" t="n">
        <v>0</v>
      </c>
      <c r="N3330" t="n">
        <v>0</v>
      </c>
      <c r="O3330" t="n">
        <v>0</v>
      </c>
      <c r="P3330" t="n">
        <v>0</v>
      </c>
      <c r="Q3330" t="n">
        <v>0</v>
      </c>
      <c r="R3330" s="2" t="inlineStr"/>
    </row>
    <row r="3331" ht="15" customHeight="1">
      <c r="A3331" t="inlineStr">
        <is>
          <t>A 11536-2021</t>
        </is>
      </c>
      <c r="B3331" s="1" t="n">
        <v>44264</v>
      </c>
      <c r="C3331" s="1" t="n">
        <v>45344</v>
      </c>
      <c r="D3331" t="inlineStr">
        <is>
          <t>GÄVLEBORGS LÄN</t>
        </is>
      </c>
      <c r="E3331" t="inlineStr">
        <is>
          <t>OVANÅKER</t>
        </is>
      </c>
      <c r="G3331" t="n">
        <v>0.1</v>
      </c>
      <c r="H3331" t="n">
        <v>0</v>
      </c>
      <c r="I3331" t="n">
        <v>0</v>
      </c>
      <c r="J3331" t="n">
        <v>0</v>
      </c>
      <c r="K3331" t="n">
        <v>0</v>
      </c>
      <c r="L3331" t="n">
        <v>0</v>
      </c>
      <c r="M3331" t="n">
        <v>0</v>
      </c>
      <c r="N3331" t="n">
        <v>0</v>
      </c>
      <c r="O3331" t="n">
        <v>0</v>
      </c>
      <c r="P3331" t="n">
        <v>0</v>
      </c>
      <c r="Q3331" t="n">
        <v>0</v>
      </c>
      <c r="R3331" s="2" t="inlineStr"/>
    </row>
    <row r="3332" ht="15" customHeight="1">
      <c r="A3332" t="inlineStr">
        <is>
          <t>A 11586-2021</t>
        </is>
      </c>
      <c r="B3332" s="1" t="n">
        <v>44264</v>
      </c>
      <c r="C3332" s="1" t="n">
        <v>45344</v>
      </c>
      <c r="D3332" t="inlineStr">
        <is>
          <t>GÄVLEBORGS LÄN</t>
        </is>
      </c>
      <c r="E3332" t="inlineStr">
        <is>
          <t>SÖDERHAMN</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11766-2021</t>
        </is>
      </c>
      <c r="B3333" s="1" t="n">
        <v>44265</v>
      </c>
      <c r="C3333" s="1" t="n">
        <v>45344</v>
      </c>
      <c r="D3333" t="inlineStr">
        <is>
          <t>GÄVLEBORGS LÄN</t>
        </is>
      </c>
      <c r="E3333" t="inlineStr">
        <is>
          <t>LJUSDAL</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11770-2021</t>
        </is>
      </c>
      <c r="B3334" s="1" t="n">
        <v>44265</v>
      </c>
      <c r="C3334" s="1" t="n">
        <v>45344</v>
      </c>
      <c r="D3334" t="inlineStr">
        <is>
          <t>GÄVLEBORGS LÄN</t>
        </is>
      </c>
      <c r="E3334" t="inlineStr">
        <is>
          <t>LJUSDAL</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11828-2021</t>
        </is>
      </c>
      <c r="B3335" s="1" t="n">
        <v>44265</v>
      </c>
      <c r="C3335" s="1" t="n">
        <v>45344</v>
      </c>
      <c r="D3335" t="inlineStr">
        <is>
          <t>GÄVLEBORGS LÄN</t>
        </is>
      </c>
      <c r="E3335" t="inlineStr">
        <is>
          <t>SANDVIKEN</t>
        </is>
      </c>
      <c r="F3335" t="inlineStr">
        <is>
          <t>Bergvik skog öst AB</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11795-2021</t>
        </is>
      </c>
      <c r="B3336" s="1" t="n">
        <v>44265</v>
      </c>
      <c r="C3336" s="1" t="n">
        <v>45344</v>
      </c>
      <c r="D3336" t="inlineStr">
        <is>
          <t>GÄVLEBORGS LÄN</t>
        </is>
      </c>
      <c r="E3336" t="inlineStr">
        <is>
          <t>NORDANSTIG</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11821-2021</t>
        </is>
      </c>
      <c r="B3337" s="1" t="n">
        <v>44265</v>
      </c>
      <c r="C3337" s="1" t="n">
        <v>45344</v>
      </c>
      <c r="D3337" t="inlineStr">
        <is>
          <t>GÄVLEBORGS LÄN</t>
        </is>
      </c>
      <c r="E3337" t="inlineStr">
        <is>
          <t>SÖDERHAMN</t>
        </is>
      </c>
      <c r="G3337" t="n">
        <v>3.7</v>
      </c>
      <c r="H3337" t="n">
        <v>0</v>
      </c>
      <c r="I3337" t="n">
        <v>0</v>
      </c>
      <c r="J3337" t="n">
        <v>0</v>
      </c>
      <c r="K3337" t="n">
        <v>0</v>
      </c>
      <c r="L3337" t="n">
        <v>0</v>
      </c>
      <c r="M3337" t="n">
        <v>0</v>
      </c>
      <c r="N3337" t="n">
        <v>0</v>
      </c>
      <c r="O3337" t="n">
        <v>0</v>
      </c>
      <c r="P3337" t="n">
        <v>0</v>
      </c>
      <c r="Q3337" t="n">
        <v>0</v>
      </c>
      <c r="R3337" s="2" t="inlineStr"/>
    </row>
    <row r="3338" ht="15" customHeight="1">
      <c r="A3338" t="inlineStr">
        <is>
          <t>A 11826-2021</t>
        </is>
      </c>
      <c r="B3338" s="1" t="n">
        <v>44265</v>
      </c>
      <c r="C3338" s="1" t="n">
        <v>45344</v>
      </c>
      <c r="D3338" t="inlineStr">
        <is>
          <t>GÄVLEBORGS LÄN</t>
        </is>
      </c>
      <c r="E3338" t="inlineStr">
        <is>
          <t>SÖDERHAMN</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12012-2021</t>
        </is>
      </c>
      <c r="B3339" s="1" t="n">
        <v>44266</v>
      </c>
      <c r="C3339" s="1" t="n">
        <v>45344</v>
      </c>
      <c r="D3339" t="inlineStr">
        <is>
          <t>GÄVLEBORGS LÄN</t>
        </is>
      </c>
      <c r="E3339" t="inlineStr">
        <is>
          <t>LJUSDAL</t>
        </is>
      </c>
      <c r="F3339" t="inlineStr">
        <is>
          <t>Bergvik skog väst AB</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12057-2021</t>
        </is>
      </c>
      <c r="B3340" s="1" t="n">
        <v>44266</v>
      </c>
      <c r="C3340" s="1" t="n">
        <v>45344</v>
      </c>
      <c r="D3340" t="inlineStr">
        <is>
          <t>GÄVLEBORGS LÄN</t>
        </is>
      </c>
      <c r="E3340" t="inlineStr">
        <is>
          <t>HOFORS</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12142-2021</t>
        </is>
      </c>
      <c r="B3341" s="1" t="n">
        <v>44266</v>
      </c>
      <c r="C3341" s="1" t="n">
        <v>45344</v>
      </c>
      <c r="D3341" t="inlineStr">
        <is>
          <t>GÄVLEBORGS LÄN</t>
        </is>
      </c>
      <c r="E3341" t="inlineStr">
        <is>
          <t>HUDIKSVALL</t>
        </is>
      </c>
      <c r="F3341" t="inlineStr">
        <is>
          <t>Holmen skog AB</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12196-2021</t>
        </is>
      </c>
      <c r="B3342" s="1" t="n">
        <v>44266</v>
      </c>
      <c r="C3342" s="1" t="n">
        <v>45344</v>
      </c>
      <c r="D3342" t="inlineStr">
        <is>
          <t>GÄVLEBORGS LÄN</t>
        </is>
      </c>
      <c r="E3342" t="inlineStr">
        <is>
          <t>OVANÅKER</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12139-2021</t>
        </is>
      </c>
      <c r="B3343" s="1" t="n">
        <v>44266</v>
      </c>
      <c r="C3343" s="1" t="n">
        <v>45344</v>
      </c>
      <c r="D3343" t="inlineStr">
        <is>
          <t>GÄVLEBORGS LÄN</t>
        </is>
      </c>
      <c r="E3343" t="inlineStr">
        <is>
          <t>OVANÅKER</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12146-2021</t>
        </is>
      </c>
      <c r="B3344" s="1" t="n">
        <v>44266</v>
      </c>
      <c r="C3344" s="1" t="n">
        <v>45344</v>
      </c>
      <c r="D3344" t="inlineStr">
        <is>
          <t>GÄVLEBORGS LÄN</t>
        </is>
      </c>
      <c r="E3344" t="inlineStr">
        <is>
          <t>OVANÅKER</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12226-2021</t>
        </is>
      </c>
      <c r="B3345" s="1" t="n">
        <v>44266</v>
      </c>
      <c r="C3345" s="1" t="n">
        <v>45344</v>
      </c>
      <c r="D3345" t="inlineStr">
        <is>
          <t>GÄVLEBORGS LÄN</t>
        </is>
      </c>
      <c r="E3345" t="inlineStr">
        <is>
          <t>BOLLNÄS</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12265-2021</t>
        </is>
      </c>
      <c r="B3346" s="1" t="n">
        <v>44266</v>
      </c>
      <c r="C3346" s="1" t="n">
        <v>45344</v>
      </c>
      <c r="D3346" t="inlineStr">
        <is>
          <t>GÄVLEBORGS LÄN</t>
        </is>
      </c>
      <c r="E3346" t="inlineStr">
        <is>
          <t>SÖDERHAMN</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12140-2021</t>
        </is>
      </c>
      <c r="B3347" s="1" t="n">
        <v>44266</v>
      </c>
      <c r="C3347" s="1" t="n">
        <v>45344</v>
      </c>
      <c r="D3347" t="inlineStr">
        <is>
          <t>GÄVLEBORGS LÄN</t>
        </is>
      </c>
      <c r="E3347" t="inlineStr">
        <is>
          <t>OVANÅKER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12207-2021</t>
        </is>
      </c>
      <c r="B3348" s="1" t="n">
        <v>44266</v>
      </c>
      <c r="C3348" s="1" t="n">
        <v>45344</v>
      </c>
      <c r="D3348" t="inlineStr">
        <is>
          <t>GÄVLEBORGS LÄN</t>
        </is>
      </c>
      <c r="E3348" t="inlineStr">
        <is>
          <t>OVANÅKER</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12229-2021</t>
        </is>
      </c>
      <c r="B3349" s="1" t="n">
        <v>44266</v>
      </c>
      <c r="C3349" s="1" t="n">
        <v>45344</v>
      </c>
      <c r="D3349" t="inlineStr">
        <is>
          <t>GÄVLEBORGS LÄN</t>
        </is>
      </c>
      <c r="E3349" t="inlineStr">
        <is>
          <t>BOLLNÄS</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12330-2021</t>
        </is>
      </c>
      <c r="B3350" s="1" t="n">
        <v>44267</v>
      </c>
      <c r="C3350" s="1" t="n">
        <v>45344</v>
      </c>
      <c r="D3350" t="inlineStr">
        <is>
          <t>GÄVLEBORGS LÄN</t>
        </is>
      </c>
      <c r="E3350" t="inlineStr">
        <is>
          <t>LJUSDAL</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12300-2021</t>
        </is>
      </c>
      <c r="B3351" s="1" t="n">
        <v>44267</v>
      </c>
      <c r="C3351" s="1" t="n">
        <v>45344</v>
      </c>
      <c r="D3351" t="inlineStr">
        <is>
          <t>GÄVLEBORGS LÄN</t>
        </is>
      </c>
      <c r="E3351" t="inlineStr">
        <is>
          <t>LJUSDAL</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12371-2021</t>
        </is>
      </c>
      <c r="B3352" s="1" t="n">
        <v>44267</v>
      </c>
      <c r="C3352" s="1" t="n">
        <v>45344</v>
      </c>
      <c r="D3352" t="inlineStr">
        <is>
          <t>GÄVLEBORGS LÄN</t>
        </is>
      </c>
      <c r="E3352" t="inlineStr">
        <is>
          <t>OCKELBO</t>
        </is>
      </c>
      <c r="F3352" t="inlineStr">
        <is>
          <t>Bergvik skog väst AB</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12390-2021</t>
        </is>
      </c>
      <c r="B3353" s="1" t="n">
        <v>44267</v>
      </c>
      <c r="C3353" s="1" t="n">
        <v>45344</v>
      </c>
      <c r="D3353" t="inlineStr">
        <is>
          <t>GÄVLEBORGS LÄN</t>
        </is>
      </c>
      <c r="E3353" t="inlineStr">
        <is>
          <t>LJUSDAL</t>
        </is>
      </c>
      <c r="F3353" t="inlineStr">
        <is>
          <t>Bergvik skog väst AB</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12358-2021</t>
        </is>
      </c>
      <c r="B3354" s="1" t="n">
        <v>44267</v>
      </c>
      <c r="C3354" s="1" t="n">
        <v>45344</v>
      </c>
      <c r="D3354" t="inlineStr">
        <is>
          <t>GÄVLEBORGS LÄN</t>
        </is>
      </c>
      <c r="E3354" t="inlineStr">
        <is>
          <t>SÖDERHAMN</t>
        </is>
      </c>
      <c r="F3354" t="inlineStr">
        <is>
          <t>Bergvik skog väst AB</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12399-2021</t>
        </is>
      </c>
      <c r="B3355" s="1" t="n">
        <v>44267</v>
      </c>
      <c r="C3355" s="1" t="n">
        <v>45344</v>
      </c>
      <c r="D3355" t="inlineStr">
        <is>
          <t>GÄVLEBORGS LÄN</t>
        </is>
      </c>
      <c r="E3355" t="inlineStr">
        <is>
          <t>HOFORS</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12391-2021</t>
        </is>
      </c>
      <c r="B3356" s="1" t="n">
        <v>44267</v>
      </c>
      <c r="C3356" s="1" t="n">
        <v>45344</v>
      </c>
      <c r="D3356" t="inlineStr">
        <is>
          <t>GÄVLEBORGS LÄN</t>
        </is>
      </c>
      <c r="E3356" t="inlineStr">
        <is>
          <t>LJUSDAL</t>
        </is>
      </c>
      <c r="F3356" t="inlineStr">
        <is>
          <t>Bergvik skog väst AB</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12469-2021</t>
        </is>
      </c>
      <c r="B3357" s="1" t="n">
        <v>44267</v>
      </c>
      <c r="C3357" s="1" t="n">
        <v>45344</v>
      </c>
      <c r="D3357" t="inlineStr">
        <is>
          <t>GÄVLEBORGS LÄN</t>
        </is>
      </c>
      <c r="E3357" t="inlineStr">
        <is>
          <t>SÖDERHAMN</t>
        </is>
      </c>
      <c r="G3357" t="n">
        <v>4.6</v>
      </c>
      <c r="H3357" t="n">
        <v>0</v>
      </c>
      <c r="I3357" t="n">
        <v>0</v>
      </c>
      <c r="J3357" t="n">
        <v>0</v>
      </c>
      <c r="K3357" t="n">
        <v>0</v>
      </c>
      <c r="L3357" t="n">
        <v>0</v>
      </c>
      <c r="M3357" t="n">
        <v>0</v>
      </c>
      <c r="N3357" t="n">
        <v>0</v>
      </c>
      <c r="O3357" t="n">
        <v>0</v>
      </c>
      <c r="P3357" t="n">
        <v>0</v>
      </c>
      <c r="Q3357" t="n">
        <v>0</v>
      </c>
      <c r="R3357" s="2" t="inlineStr"/>
    </row>
    <row r="3358" ht="15" customHeight="1">
      <c r="A3358" t="inlineStr">
        <is>
          <t>A 12474-2021</t>
        </is>
      </c>
      <c r="B3358" s="1" t="n">
        <v>44267</v>
      </c>
      <c r="C3358" s="1" t="n">
        <v>45344</v>
      </c>
      <c r="D3358" t="inlineStr">
        <is>
          <t>GÄVLEBORGS LÄN</t>
        </is>
      </c>
      <c r="E3358" t="inlineStr">
        <is>
          <t>BOLLNÄS</t>
        </is>
      </c>
      <c r="G3358" t="n">
        <v>0.1</v>
      </c>
      <c r="H3358" t="n">
        <v>0</v>
      </c>
      <c r="I3358" t="n">
        <v>0</v>
      </c>
      <c r="J3358" t="n">
        <v>0</v>
      </c>
      <c r="K3358" t="n">
        <v>0</v>
      </c>
      <c r="L3358" t="n">
        <v>0</v>
      </c>
      <c r="M3358" t="n">
        <v>0</v>
      </c>
      <c r="N3358" t="n">
        <v>0</v>
      </c>
      <c r="O3358" t="n">
        <v>0</v>
      </c>
      <c r="P3358" t="n">
        <v>0</v>
      </c>
      <c r="Q3358" t="n">
        <v>0</v>
      </c>
      <c r="R3358" s="2" t="inlineStr"/>
    </row>
    <row r="3359" ht="15" customHeight="1">
      <c r="A3359" t="inlineStr">
        <is>
          <t>A 12476-2021</t>
        </is>
      </c>
      <c r="B3359" s="1" t="n">
        <v>44267</v>
      </c>
      <c r="C3359" s="1" t="n">
        <v>45344</v>
      </c>
      <c r="D3359" t="inlineStr">
        <is>
          <t>GÄVLEBORGS LÄN</t>
        </is>
      </c>
      <c r="E3359" t="inlineStr">
        <is>
          <t>BOLLNÄS</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12480-2021</t>
        </is>
      </c>
      <c r="B3360" s="1" t="n">
        <v>44267</v>
      </c>
      <c r="C3360" s="1" t="n">
        <v>45344</v>
      </c>
      <c r="D3360" t="inlineStr">
        <is>
          <t>GÄVLEBORGS LÄN</t>
        </is>
      </c>
      <c r="E3360" t="inlineStr">
        <is>
          <t>OCKELBO</t>
        </is>
      </c>
      <c r="F3360" t="inlineStr">
        <is>
          <t>Bergvik skog väst AB</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12648-2021</t>
        </is>
      </c>
      <c r="B3361" s="1" t="n">
        <v>44270</v>
      </c>
      <c r="C3361" s="1" t="n">
        <v>45344</v>
      </c>
      <c r="D3361" t="inlineStr">
        <is>
          <t>GÄVLEBORGS LÄN</t>
        </is>
      </c>
      <c r="E3361" t="inlineStr">
        <is>
          <t>LJUSDAL</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12723-2021</t>
        </is>
      </c>
      <c r="B3362" s="1" t="n">
        <v>44270</v>
      </c>
      <c r="C3362" s="1" t="n">
        <v>45344</v>
      </c>
      <c r="D3362" t="inlineStr">
        <is>
          <t>GÄVLEBORGS LÄN</t>
        </is>
      </c>
      <c r="E3362" t="inlineStr">
        <is>
          <t>BOLLNÄS</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12775-2021</t>
        </is>
      </c>
      <c r="B3363" s="1" t="n">
        <v>44270</v>
      </c>
      <c r="C3363" s="1" t="n">
        <v>45344</v>
      </c>
      <c r="D3363" t="inlineStr">
        <is>
          <t>GÄVLEBORGS LÄN</t>
        </is>
      </c>
      <c r="E3363" t="inlineStr">
        <is>
          <t>GÄVLE</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12825-2021</t>
        </is>
      </c>
      <c r="B3364" s="1" t="n">
        <v>44270</v>
      </c>
      <c r="C3364" s="1" t="n">
        <v>45344</v>
      </c>
      <c r="D3364" t="inlineStr">
        <is>
          <t>GÄVLEBORGS LÄN</t>
        </is>
      </c>
      <c r="E3364" t="inlineStr">
        <is>
          <t>OVANÅKER</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12824-2021</t>
        </is>
      </c>
      <c r="B3365" s="1" t="n">
        <v>44271</v>
      </c>
      <c r="C3365" s="1" t="n">
        <v>45344</v>
      </c>
      <c r="D3365" t="inlineStr">
        <is>
          <t>GÄVLEBORGS LÄN</t>
        </is>
      </c>
      <c r="E3365" t="inlineStr">
        <is>
          <t>OVANÅKER</t>
        </is>
      </c>
      <c r="F3365" t="inlineStr">
        <is>
          <t>Bergvik skog väst AB</t>
        </is>
      </c>
      <c r="G3365" t="n">
        <v>11.5</v>
      </c>
      <c r="H3365" t="n">
        <v>0</v>
      </c>
      <c r="I3365" t="n">
        <v>0</v>
      </c>
      <c r="J3365" t="n">
        <v>0</v>
      </c>
      <c r="K3365" t="n">
        <v>0</v>
      </c>
      <c r="L3365" t="n">
        <v>0</v>
      </c>
      <c r="M3365" t="n">
        <v>0</v>
      </c>
      <c r="N3365" t="n">
        <v>0</v>
      </c>
      <c r="O3365" t="n">
        <v>0</v>
      </c>
      <c r="P3365" t="n">
        <v>0</v>
      </c>
      <c r="Q3365" t="n">
        <v>0</v>
      </c>
      <c r="R3365" s="2" t="inlineStr"/>
    </row>
    <row r="3366" ht="15" customHeight="1">
      <c r="A3366" t="inlineStr">
        <is>
          <t>A 12841-2021</t>
        </is>
      </c>
      <c r="B3366" s="1" t="n">
        <v>44271</v>
      </c>
      <c r="C3366" s="1" t="n">
        <v>45344</v>
      </c>
      <c r="D3366" t="inlineStr">
        <is>
          <t>GÄVLEBORGS LÄN</t>
        </is>
      </c>
      <c r="E3366" t="inlineStr">
        <is>
          <t>GÄVLE</t>
        </is>
      </c>
      <c r="F3366" t="inlineStr">
        <is>
          <t>Bergvik skog öst AB</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12971-2021</t>
        </is>
      </c>
      <c r="B3367" s="1" t="n">
        <v>44271</v>
      </c>
      <c r="C3367" s="1" t="n">
        <v>45344</v>
      </c>
      <c r="D3367" t="inlineStr">
        <is>
          <t>GÄVLEBORGS LÄN</t>
        </is>
      </c>
      <c r="E3367" t="inlineStr">
        <is>
          <t>SANDVIKEN</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13030-2021</t>
        </is>
      </c>
      <c r="B3368" s="1" t="n">
        <v>44271</v>
      </c>
      <c r="C3368" s="1" t="n">
        <v>45344</v>
      </c>
      <c r="D3368" t="inlineStr">
        <is>
          <t>GÄVLEBORGS LÄN</t>
        </is>
      </c>
      <c r="E3368" t="inlineStr">
        <is>
          <t>GÄVLE</t>
        </is>
      </c>
      <c r="F3368" t="inlineStr">
        <is>
          <t>Bergvik skog öst AB</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13084-2021</t>
        </is>
      </c>
      <c r="B3369" s="1" t="n">
        <v>44272</v>
      </c>
      <c r="C3369" s="1" t="n">
        <v>45344</v>
      </c>
      <c r="D3369" t="inlineStr">
        <is>
          <t>GÄVLEBORGS LÄN</t>
        </is>
      </c>
      <c r="E3369" t="inlineStr">
        <is>
          <t>SANDVIKEN</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13276-2021</t>
        </is>
      </c>
      <c r="B3370" s="1" t="n">
        <v>44272</v>
      </c>
      <c r="C3370" s="1" t="n">
        <v>45344</v>
      </c>
      <c r="D3370" t="inlineStr">
        <is>
          <t>GÄVLEBORGS LÄN</t>
        </is>
      </c>
      <c r="E3370" t="inlineStr">
        <is>
          <t>OVANÅKER</t>
        </is>
      </c>
      <c r="G3370" t="n">
        <v>7.7</v>
      </c>
      <c r="H3370" t="n">
        <v>0</v>
      </c>
      <c r="I3370" t="n">
        <v>0</v>
      </c>
      <c r="J3370" t="n">
        <v>0</v>
      </c>
      <c r="K3370" t="n">
        <v>0</v>
      </c>
      <c r="L3370" t="n">
        <v>0</v>
      </c>
      <c r="M3370" t="n">
        <v>0</v>
      </c>
      <c r="N3370" t="n">
        <v>0</v>
      </c>
      <c r="O3370" t="n">
        <v>0</v>
      </c>
      <c r="P3370" t="n">
        <v>0</v>
      </c>
      <c r="Q3370" t="n">
        <v>0</v>
      </c>
      <c r="R3370" s="2" t="inlineStr"/>
    </row>
    <row r="3371" ht="15" customHeight="1">
      <c r="A3371" t="inlineStr">
        <is>
          <t>A 13297-2021</t>
        </is>
      </c>
      <c r="B3371" s="1" t="n">
        <v>44272</v>
      </c>
      <c r="C3371" s="1" t="n">
        <v>45344</v>
      </c>
      <c r="D3371" t="inlineStr">
        <is>
          <t>GÄVLEBORGS LÄN</t>
        </is>
      </c>
      <c r="E3371" t="inlineStr">
        <is>
          <t>GÄVLE</t>
        </is>
      </c>
      <c r="F3371" t="inlineStr">
        <is>
          <t>Bergvik skog öst AB</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13259-2021</t>
        </is>
      </c>
      <c r="B3372" s="1" t="n">
        <v>44272</v>
      </c>
      <c r="C3372" s="1" t="n">
        <v>45344</v>
      </c>
      <c r="D3372" t="inlineStr">
        <is>
          <t>GÄVLEBORGS LÄN</t>
        </is>
      </c>
      <c r="E3372" t="inlineStr">
        <is>
          <t>GÄVLE</t>
        </is>
      </c>
      <c r="F3372" t="inlineStr">
        <is>
          <t>Bergvik skog öst AB</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13404-2021</t>
        </is>
      </c>
      <c r="B3373" s="1" t="n">
        <v>44273</v>
      </c>
      <c r="C3373" s="1" t="n">
        <v>45344</v>
      </c>
      <c r="D3373" t="inlineStr">
        <is>
          <t>GÄVLEBORGS LÄN</t>
        </is>
      </c>
      <c r="E3373" t="inlineStr">
        <is>
          <t>OVANÅKER</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13348-2021</t>
        </is>
      </c>
      <c r="B3374" s="1" t="n">
        <v>44273</v>
      </c>
      <c r="C3374" s="1" t="n">
        <v>45344</v>
      </c>
      <c r="D3374" t="inlineStr">
        <is>
          <t>GÄVLEBORGS LÄN</t>
        </is>
      </c>
      <c r="E3374" t="inlineStr">
        <is>
          <t>SANDVIKEN</t>
        </is>
      </c>
      <c r="F3374" t="inlineStr">
        <is>
          <t>Bergvik skog öst AB</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13369-2021</t>
        </is>
      </c>
      <c r="B3375" s="1" t="n">
        <v>44273</v>
      </c>
      <c r="C3375" s="1" t="n">
        <v>45344</v>
      </c>
      <c r="D3375" t="inlineStr">
        <is>
          <t>GÄVLEBORGS LÄN</t>
        </is>
      </c>
      <c r="E3375" t="inlineStr">
        <is>
          <t>LJUSDAL</t>
        </is>
      </c>
      <c r="G3375" t="n">
        <v>8.699999999999999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13519-2021</t>
        </is>
      </c>
      <c r="B3376" s="1" t="n">
        <v>44273</v>
      </c>
      <c r="C3376" s="1" t="n">
        <v>45344</v>
      </c>
      <c r="D3376" t="inlineStr">
        <is>
          <t>GÄVLEBORGS LÄN</t>
        </is>
      </c>
      <c r="E3376" t="inlineStr">
        <is>
          <t>LJUSDAL</t>
        </is>
      </c>
      <c r="F3376" t="inlineStr">
        <is>
          <t>Sveaskog</t>
        </is>
      </c>
      <c r="G3376" t="n">
        <v>17.2</v>
      </c>
      <c r="H3376" t="n">
        <v>0</v>
      </c>
      <c r="I3376" t="n">
        <v>0</v>
      </c>
      <c r="J3376" t="n">
        <v>0</v>
      </c>
      <c r="K3376" t="n">
        <v>0</v>
      </c>
      <c r="L3376" t="n">
        <v>0</v>
      </c>
      <c r="M3376" t="n">
        <v>0</v>
      </c>
      <c r="N3376" t="n">
        <v>0</v>
      </c>
      <c r="O3376" t="n">
        <v>0</v>
      </c>
      <c r="P3376" t="n">
        <v>0</v>
      </c>
      <c r="Q3376" t="n">
        <v>0</v>
      </c>
      <c r="R3376" s="2" t="inlineStr"/>
    </row>
    <row r="3377" ht="15" customHeight="1">
      <c r="A3377" t="inlineStr">
        <is>
          <t>A 13521-2021</t>
        </is>
      </c>
      <c r="B3377" s="1" t="n">
        <v>44273</v>
      </c>
      <c r="C3377" s="1" t="n">
        <v>45344</v>
      </c>
      <c r="D3377" t="inlineStr">
        <is>
          <t>GÄVLEBORGS LÄN</t>
        </is>
      </c>
      <c r="E3377" t="inlineStr">
        <is>
          <t>LJUSDAL</t>
        </is>
      </c>
      <c r="F3377" t="inlineStr">
        <is>
          <t>Sveaskog</t>
        </is>
      </c>
      <c r="G3377" t="n">
        <v>11.6</v>
      </c>
      <c r="H3377" t="n">
        <v>0</v>
      </c>
      <c r="I3377" t="n">
        <v>0</v>
      </c>
      <c r="J3377" t="n">
        <v>0</v>
      </c>
      <c r="K3377" t="n">
        <v>0</v>
      </c>
      <c r="L3377" t="n">
        <v>0</v>
      </c>
      <c r="M3377" t="n">
        <v>0</v>
      </c>
      <c r="N3377" t="n">
        <v>0</v>
      </c>
      <c r="O3377" t="n">
        <v>0</v>
      </c>
      <c r="P3377" t="n">
        <v>0</v>
      </c>
      <c r="Q3377" t="n">
        <v>0</v>
      </c>
      <c r="R3377" s="2" t="inlineStr"/>
    </row>
    <row r="3378" ht="15" customHeight="1">
      <c r="A3378" t="inlineStr">
        <is>
          <t>A 13531-2021</t>
        </is>
      </c>
      <c r="B3378" s="1" t="n">
        <v>44273</v>
      </c>
      <c r="C3378" s="1" t="n">
        <v>45344</v>
      </c>
      <c r="D3378" t="inlineStr">
        <is>
          <t>GÄVLEBORGS LÄN</t>
        </is>
      </c>
      <c r="E3378" t="inlineStr">
        <is>
          <t>SANDVIKEN</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13581-2021</t>
        </is>
      </c>
      <c r="B3379" s="1" t="n">
        <v>44274</v>
      </c>
      <c r="C3379" s="1" t="n">
        <v>45344</v>
      </c>
      <c r="D3379" t="inlineStr">
        <is>
          <t>GÄVLEBORGS LÄN</t>
        </is>
      </c>
      <c r="E3379" t="inlineStr">
        <is>
          <t>SÖDERHAMN</t>
        </is>
      </c>
      <c r="F3379" t="inlineStr">
        <is>
          <t>Bergvik skog väst AB</t>
        </is>
      </c>
      <c r="G3379" t="n">
        <v>3.4</v>
      </c>
      <c r="H3379" t="n">
        <v>0</v>
      </c>
      <c r="I3379" t="n">
        <v>0</v>
      </c>
      <c r="J3379" t="n">
        <v>0</v>
      </c>
      <c r="K3379" t="n">
        <v>0</v>
      </c>
      <c r="L3379" t="n">
        <v>0</v>
      </c>
      <c r="M3379" t="n">
        <v>0</v>
      </c>
      <c r="N3379" t="n">
        <v>0</v>
      </c>
      <c r="O3379" t="n">
        <v>0</v>
      </c>
      <c r="P3379" t="n">
        <v>0</v>
      </c>
      <c r="Q3379" t="n">
        <v>0</v>
      </c>
      <c r="R3379" s="2" t="inlineStr"/>
    </row>
    <row r="3380" ht="15" customHeight="1">
      <c r="A3380" t="inlineStr">
        <is>
          <t>A 13594-2021</t>
        </is>
      </c>
      <c r="B3380" s="1" t="n">
        <v>44274</v>
      </c>
      <c r="C3380" s="1" t="n">
        <v>45344</v>
      </c>
      <c r="D3380" t="inlineStr">
        <is>
          <t>GÄVLEBORGS LÄN</t>
        </is>
      </c>
      <c r="E3380" t="inlineStr">
        <is>
          <t>GÄVLE</t>
        </is>
      </c>
      <c r="F3380" t="inlineStr">
        <is>
          <t>Bergvik skog öst AB</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13600-2021</t>
        </is>
      </c>
      <c r="B3381" s="1" t="n">
        <v>44274</v>
      </c>
      <c r="C3381" s="1" t="n">
        <v>45344</v>
      </c>
      <c r="D3381" t="inlineStr">
        <is>
          <t>GÄVLEBORGS LÄN</t>
        </is>
      </c>
      <c r="E3381" t="inlineStr">
        <is>
          <t>GÄVLE</t>
        </is>
      </c>
      <c r="F3381" t="inlineStr">
        <is>
          <t>Bergvik skog öst AB</t>
        </is>
      </c>
      <c r="G3381" t="n">
        <v>4.6</v>
      </c>
      <c r="H3381" t="n">
        <v>0</v>
      </c>
      <c r="I3381" t="n">
        <v>0</v>
      </c>
      <c r="J3381" t="n">
        <v>0</v>
      </c>
      <c r="K3381" t="n">
        <v>0</v>
      </c>
      <c r="L3381" t="n">
        <v>0</v>
      </c>
      <c r="M3381" t="n">
        <v>0</v>
      </c>
      <c r="N3381" t="n">
        <v>0</v>
      </c>
      <c r="O3381" t="n">
        <v>0</v>
      </c>
      <c r="P3381" t="n">
        <v>0</v>
      </c>
      <c r="Q3381" t="n">
        <v>0</v>
      </c>
      <c r="R3381" s="2" t="inlineStr"/>
    </row>
    <row r="3382" ht="15" customHeight="1">
      <c r="A3382" t="inlineStr">
        <is>
          <t>A 13582-2021</t>
        </is>
      </c>
      <c r="B3382" s="1" t="n">
        <v>44274</v>
      </c>
      <c r="C3382" s="1" t="n">
        <v>45344</v>
      </c>
      <c r="D3382" t="inlineStr">
        <is>
          <t>GÄVLEBORGS LÄN</t>
        </is>
      </c>
      <c r="E3382" t="inlineStr">
        <is>
          <t>SÖDERHAMN</t>
        </is>
      </c>
      <c r="F3382" t="inlineStr">
        <is>
          <t>Bergvik skog väst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13901-2021</t>
        </is>
      </c>
      <c r="B3383" s="1" t="n">
        <v>44277</v>
      </c>
      <c r="C3383" s="1" t="n">
        <v>45344</v>
      </c>
      <c r="D3383" t="inlineStr">
        <is>
          <t>GÄVLEBORGS LÄN</t>
        </is>
      </c>
      <c r="E3383" t="inlineStr">
        <is>
          <t>OVANÅKER</t>
        </is>
      </c>
      <c r="F3383" t="inlineStr">
        <is>
          <t>Bergvik skog väst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13838-2021</t>
        </is>
      </c>
      <c r="B3384" s="1" t="n">
        <v>44277</v>
      </c>
      <c r="C3384" s="1" t="n">
        <v>45344</v>
      </c>
      <c r="D3384" t="inlineStr">
        <is>
          <t>GÄVLEBORGS LÄN</t>
        </is>
      </c>
      <c r="E3384" t="inlineStr">
        <is>
          <t>HUDIKSVALL</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14057-2021</t>
        </is>
      </c>
      <c r="B3385" s="1" t="n">
        <v>44277</v>
      </c>
      <c r="C3385" s="1" t="n">
        <v>45344</v>
      </c>
      <c r="D3385" t="inlineStr">
        <is>
          <t>GÄVLEBORGS LÄN</t>
        </is>
      </c>
      <c r="E3385" t="inlineStr">
        <is>
          <t>LJUSDAL</t>
        </is>
      </c>
      <c r="G3385" t="n">
        <v>7.4</v>
      </c>
      <c r="H3385" t="n">
        <v>0</v>
      </c>
      <c r="I3385" t="n">
        <v>0</v>
      </c>
      <c r="J3385" t="n">
        <v>0</v>
      </c>
      <c r="K3385" t="n">
        <v>0</v>
      </c>
      <c r="L3385" t="n">
        <v>0</v>
      </c>
      <c r="M3385" t="n">
        <v>0</v>
      </c>
      <c r="N3385" t="n">
        <v>0</v>
      </c>
      <c r="O3385" t="n">
        <v>0</v>
      </c>
      <c r="P3385" t="n">
        <v>0</v>
      </c>
      <c r="Q3385" t="n">
        <v>0</v>
      </c>
      <c r="R3385" s="2" t="inlineStr"/>
    </row>
    <row r="3386" ht="15" customHeight="1">
      <c r="A3386" t="inlineStr">
        <is>
          <t>A 14056-2021</t>
        </is>
      </c>
      <c r="B3386" s="1" t="n">
        <v>44277</v>
      </c>
      <c r="C3386" s="1" t="n">
        <v>45344</v>
      </c>
      <c r="D3386" t="inlineStr">
        <is>
          <t>GÄVLEBORGS LÄN</t>
        </is>
      </c>
      <c r="E3386" t="inlineStr">
        <is>
          <t>LJUSDAL</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14032-2021</t>
        </is>
      </c>
      <c r="B3387" s="1" t="n">
        <v>44277</v>
      </c>
      <c r="C3387" s="1" t="n">
        <v>45344</v>
      </c>
      <c r="D3387" t="inlineStr">
        <is>
          <t>GÄVLEBORGS LÄN</t>
        </is>
      </c>
      <c r="E3387" t="inlineStr">
        <is>
          <t>GÄVLE</t>
        </is>
      </c>
      <c r="F3387" t="inlineStr">
        <is>
          <t>Bergvik skog öst AB</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14118-2021</t>
        </is>
      </c>
      <c r="B3388" s="1" t="n">
        <v>44278</v>
      </c>
      <c r="C3388" s="1" t="n">
        <v>45344</v>
      </c>
      <c r="D3388" t="inlineStr">
        <is>
          <t>GÄVLEBORGS LÄN</t>
        </is>
      </c>
      <c r="E3388" t="inlineStr">
        <is>
          <t>BOLLNÄS</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14261-2021</t>
        </is>
      </c>
      <c r="B3389" s="1" t="n">
        <v>44278</v>
      </c>
      <c r="C3389" s="1" t="n">
        <v>45344</v>
      </c>
      <c r="D3389" t="inlineStr">
        <is>
          <t>GÄVLEBORGS LÄN</t>
        </is>
      </c>
      <c r="E3389" t="inlineStr">
        <is>
          <t>OVANÅKER</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14119-2021</t>
        </is>
      </c>
      <c r="B3390" s="1" t="n">
        <v>44278</v>
      </c>
      <c r="C3390" s="1" t="n">
        <v>45344</v>
      </c>
      <c r="D3390" t="inlineStr">
        <is>
          <t>GÄVLEBORGS LÄN</t>
        </is>
      </c>
      <c r="E3390" t="inlineStr">
        <is>
          <t>BOLLNÄS</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14212-2021</t>
        </is>
      </c>
      <c r="B3391" s="1" t="n">
        <v>44278</v>
      </c>
      <c r="C3391" s="1" t="n">
        <v>45344</v>
      </c>
      <c r="D3391" t="inlineStr">
        <is>
          <t>GÄVLEBORGS LÄN</t>
        </is>
      </c>
      <c r="E3391" t="inlineStr">
        <is>
          <t>GÄVLE</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14277-2021</t>
        </is>
      </c>
      <c r="B3392" s="1" t="n">
        <v>44278</v>
      </c>
      <c r="C3392" s="1" t="n">
        <v>45344</v>
      </c>
      <c r="D3392" t="inlineStr">
        <is>
          <t>GÄVLEBORGS LÄN</t>
        </is>
      </c>
      <c r="E3392" t="inlineStr">
        <is>
          <t>SANDVIKEN</t>
        </is>
      </c>
      <c r="G3392" t="n">
        <v>3.3</v>
      </c>
      <c r="H3392" t="n">
        <v>0</v>
      </c>
      <c r="I3392" t="n">
        <v>0</v>
      </c>
      <c r="J3392" t="n">
        <v>0</v>
      </c>
      <c r="K3392" t="n">
        <v>0</v>
      </c>
      <c r="L3392" t="n">
        <v>0</v>
      </c>
      <c r="M3392" t="n">
        <v>0</v>
      </c>
      <c r="N3392" t="n">
        <v>0</v>
      </c>
      <c r="O3392" t="n">
        <v>0</v>
      </c>
      <c r="P3392" t="n">
        <v>0</v>
      </c>
      <c r="Q3392" t="n">
        <v>0</v>
      </c>
      <c r="R3392" s="2" t="inlineStr"/>
    </row>
    <row r="3393" ht="15" customHeight="1">
      <c r="A3393" t="inlineStr">
        <is>
          <t>A 14449-2021</t>
        </is>
      </c>
      <c r="B3393" s="1" t="n">
        <v>44279</v>
      </c>
      <c r="C3393" s="1" t="n">
        <v>45344</v>
      </c>
      <c r="D3393" t="inlineStr">
        <is>
          <t>GÄVLEBORGS LÄN</t>
        </is>
      </c>
      <c r="E3393" t="inlineStr">
        <is>
          <t>GÄVLE</t>
        </is>
      </c>
      <c r="F3393" t="inlineStr">
        <is>
          <t>Bergvik skog öst AB</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14462-2021</t>
        </is>
      </c>
      <c r="B3394" s="1" t="n">
        <v>44279</v>
      </c>
      <c r="C3394" s="1" t="n">
        <v>45344</v>
      </c>
      <c r="D3394" t="inlineStr">
        <is>
          <t>GÄVLEBORGS LÄN</t>
        </is>
      </c>
      <c r="E3394" t="inlineStr">
        <is>
          <t>BOLLNÄS</t>
        </is>
      </c>
      <c r="F3394" t="inlineStr">
        <is>
          <t>Kommuner</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14413-2021</t>
        </is>
      </c>
      <c r="B3395" s="1" t="n">
        <v>44279</v>
      </c>
      <c r="C3395" s="1" t="n">
        <v>45344</v>
      </c>
      <c r="D3395" t="inlineStr">
        <is>
          <t>GÄVLEBORGS LÄN</t>
        </is>
      </c>
      <c r="E3395" t="inlineStr">
        <is>
          <t>OVANÅKER</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14463-2021</t>
        </is>
      </c>
      <c r="B3396" s="1" t="n">
        <v>44279</v>
      </c>
      <c r="C3396" s="1" t="n">
        <v>45344</v>
      </c>
      <c r="D3396" t="inlineStr">
        <is>
          <t>GÄVLEBORGS LÄN</t>
        </is>
      </c>
      <c r="E3396" t="inlineStr">
        <is>
          <t>OCKELBO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14500-2021</t>
        </is>
      </c>
      <c r="B3397" s="1" t="n">
        <v>44279</v>
      </c>
      <c r="C3397" s="1" t="n">
        <v>45344</v>
      </c>
      <c r="D3397" t="inlineStr">
        <is>
          <t>GÄVLEBORGS LÄN</t>
        </is>
      </c>
      <c r="E3397" t="inlineStr">
        <is>
          <t>OVANÅKER</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14482-2021</t>
        </is>
      </c>
      <c r="B3398" s="1" t="n">
        <v>44279</v>
      </c>
      <c r="C3398" s="1" t="n">
        <v>45344</v>
      </c>
      <c r="D3398" t="inlineStr">
        <is>
          <t>GÄVLEBORGS LÄN</t>
        </is>
      </c>
      <c r="E3398" t="inlineStr">
        <is>
          <t>BOLLNÄS</t>
        </is>
      </c>
      <c r="F3398" t="inlineStr">
        <is>
          <t>Kommuner</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14470-2021</t>
        </is>
      </c>
      <c r="B3399" s="1" t="n">
        <v>44279</v>
      </c>
      <c r="C3399" s="1" t="n">
        <v>45344</v>
      </c>
      <c r="D3399" t="inlineStr">
        <is>
          <t>GÄVLEBORGS LÄN</t>
        </is>
      </c>
      <c r="E3399" t="inlineStr">
        <is>
          <t>BOLLNÄS</t>
        </is>
      </c>
      <c r="F3399" t="inlineStr">
        <is>
          <t>Kommuner</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14498-2021</t>
        </is>
      </c>
      <c r="B3400" s="1" t="n">
        <v>44279</v>
      </c>
      <c r="C3400" s="1" t="n">
        <v>45344</v>
      </c>
      <c r="D3400" t="inlineStr">
        <is>
          <t>GÄVLEBORGS LÄN</t>
        </is>
      </c>
      <c r="E3400" t="inlineStr">
        <is>
          <t>SANDVIKEN</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14594-2021</t>
        </is>
      </c>
      <c r="B3401" s="1" t="n">
        <v>44279</v>
      </c>
      <c r="C3401" s="1" t="n">
        <v>45344</v>
      </c>
      <c r="D3401" t="inlineStr">
        <is>
          <t>GÄVLEBORGS LÄN</t>
        </is>
      </c>
      <c r="E3401" t="inlineStr">
        <is>
          <t>GÄVLE</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15047-2021</t>
        </is>
      </c>
      <c r="B3402" s="1" t="n">
        <v>44281</v>
      </c>
      <c r="C3402" s="1" t="n">
        <v>45344</v>
      </c>
      <c r="D3402" t="inlineStr">
        <is>
          <t>GÄVLEBORGS LÄN</t>
        </is>
      </c>
      <c r="E3402" t="inlineStr">
        <is>
          <t>GÄVLE</t>
        </is>
      </c>
      <c r="F3402" t="inlineStr">
        <is>
          <t>Bergvik skog öst AB</t>
        </is>
      </c>
      <c r="G3402" t="n">
        <v>3.4</v>
      </c>
      <c r="H3402" t="n">
        <v>0</v>
      </c>
      <c r="I3402" t="n">
        <v>0</v>
      </c>
      <c r="J3402" t="n">
        <v>0</v>
      </c>
      <c r="K3402" t="n">
        <v>0</v>
      </c>
      <c r="L3402" t="n">
        <v>0</v>
      </c>
      <c r="M3402" t="n">
        <v>0</v>
      </c>
      <c r="N3402" t="n">
        <v>0</v>
      </c>
      <c r="O3402" t="n">
        <v>0</v>
      </c>
      <c r="P3402" t="n">
        <v>0</v>
      </c>
      <c r="Q3402" t="n">
        <v>0</v>
      </c>
      <c r="R3402" s="2" t="inlineStr"/>
    </row>
    <row r="3403" ht="15" customHeight="1">
      <c r="A3403" t="inlineStr">
        <is>
          <t>A 15173-2021</t>
        </is>
      </c>
      <c r="B3403" s="1" t="n">
        <v>44284</v>
      </c>
      <c r="C3403" s="1" t="n">
        <v>45344</v>
      </c>
      <c r="D3403" t="inlineStr">
        <is>
          <t>GÄVLEBORGS LÄN</t>
        </is>
      </c>
      <c r="E3403" t="inlineStr">
        <is>
          <t>NORDANSTIG</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15292-2021</t>
        </is>
      </c>
      <c r="B3404" s="1" t="n">
        <v>44284</v>
      </c>
      <c r="C3404" s="1" t="n">
        <v>45344</v>
      </c>
      <c r="D3404" t="inlineStr">
        <is>
          <t>GÄVLEBORGS LÄN</t>
        </is>
      </c>
      <c r="E3404" t="inlineStr">
        <is>
          <t>NORDANSTIG</t>
        </is>
      </c>
      <c r="G3404" t="n">
        <v>7</v>
      </c>
      <c r="H3404" t="n">
        <v>0</v>
      </c>
      <c r="I3404" t="n">
        <v>0</v>
      </c>
      <c r="J3404" t="n">
        <v>0</v>
      </c>
      <c r="K3404" t="n">
        <v>0</v>
      </c>
      <c r="L3404" t="n">
        <v>0</v>
      </c>
      <c r="M3404" t="n">
        <v>0</v>
      </c>
      <c r="N3404" t="n">
        <v>0</v>
      </c>
      <c r="O3404" t="n">
        <v>0</v>
      </c>
      <c r="P3404" t="n">
        <v>0</v>
      </c>
      <c r="Q3404" t="n">
        <v>0</v>
      </c>
      <c r="R3404" s="2" t="inlineStr"/>
    </row>
    <row r="3405" ht="15" customHeight="1">
      <c r="A3405" t="inlineStr">
        <is>
          <t>A 15304-2021</t>
        </is>
      </c>
      <c r="B3405" s="1" t="n">
        <v>44284</v>
      </c>
      <c r="C3405" s="1" t="n">
        <v>45344</v>
      </c>
      <c r="D3405" t="inlineStr">
        <is>
          <t>GÄVLEBORGS LÄN</t>
        </is>
      </c>
      <c r="E3405" t="inlineStr">
        <is>
          <t>NORDANSTIG</t>
        </is>
      </c>
      <c r="G3405" t="n">
        <v>5.3</v>
      </c>
      <c r="H3405" t="n">
        <v>0</v>
      </c>
      <c r="I3405" t="n">
        <v>0</v>
      </c>
      <c r="J3405" t="n">
        <v>0</v>
      </c>
      <c r="K3405" t="n">
        <v>0</v>
      </c>
      <c r="L3405" t="n">
        <v>0</v>
      </c>
      <c r="M3405" t="n">
        <v>0</v>
      </c>
      <c r="N3405" t="n">
        <v>0</v>
      </c>
      <c r="O3405" t="n">
        <v>0</v>
      </c>
      <c r="P3405" t="n">
        <v>0</v>
      </c>
      <c r="Q3405" t="n">
        <v>0</v>
      </c>
      <c r="R3405" s="2" t="inlineStr"/>
    </row>
    <row r="3406" ht="15" customHeight="1">
      <c r="A3406" t="inlineStr">
        <is>
          <t>A 15280-2021</t>
        </is>
      </c>
      <c r="B3406" s="1" t="n">
        <v>44284</v>
      </c>
      <c r="C3406" s="1" t="n">
        <v>45344</v>
      </c>
      <c r="D3406" t="inlineStr">
        <is>
          <t>GÄVLEBORGS LÄN</t>
        </is>
      </c>
      <c r="E3406" t="inlineStr">
        <is>
          <t>GÄVLE</t>
        </is>
      </c>
      <c r="F3406" t="inlineStr">
        <is>
          <t>Bergvik skog öst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15372-2021</t>
        </is>
      </c>
      <c r="B3407" s="1" t="n">
        <v>44284</v>
      </c>
      <c r="C3407" s="1" t="n">
        <v>45344</v>
      </c>
      <c r="D3407" t="inlineStr">
        <is>
          <t>GÄVLEBORGS LÄN</t>
        </is>
      </c>
      <c r="E3407" t="inlineStr">
        <is>
          <t>GÄVLE</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15615-2021</t>
        </is>
      </c>
      <c r="B3408" s="1" t="n">
        <v>44285</v>
      </c>
      <c r="C3408" s="1" t="n">
        <v>45344</v>
      </c>
      <c r="D3408" t="inlineStr">
        <is>
          <t>GÄVLEBORGS LÄN</t>
        </is>
      </c>
      <c r="E3408" t="inlineStr">
        <is>
          <t>HUDIKSVALL</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15534-2021</t>
        </is>
      </c>
      <c r="B3409" s="1" t="n">
        <v>44285</v>
      </c>
      <c r="C3409" s="1" t="n">
        <v>45344</v>
      </c>
      <c r="D3409" t="inlineStr">
        <is>
          <t>GÄVLEBORGS LÄN</t>
        </is>
      </c>
      <c r="E3409" t="inlineStr">
        <is>
          <t>OVANÅKER</t>
        </is>
      </c>
      <c r="F3409" t="inlineStr">
        <is>
          <t>Bergvik skog väst AB</t>
        </is>
      </c>
      <c r="G3409" t="n">
        <v>4</v>
      </c>
      <c r="H3409" t="n">
        <v>0</v>
      </c>
      <c r="I3409" t="n">
        <v>0</v>
      </c>
      <c r="J3409" t="n">
        <v>0</v>
      </c>
      <c r="K3409" t="n">
        <v>0</v>
      </c>
      <c r="L3409" t="n">
        <v>0</v>
      </c>
      <c r="M3409" t="n">
        <v>0</v>
      </c>
      <c r="N3409" t="n">
        <v>0</v>
      </c>
      <c r="O3409" t="n">
        <v>0</v>
      </c>
      <c r="P3409" t="n">
        <v>0</v>
      </c>
      <c r="Q3409" t="n">
        <v>0</v>
      </c>
      <c r="R3409" s="2" t="inlineStr"/>
    </row>
    <row r="3410" ht="15" customHeight="1">
      <c r="A3410" t="inlineStr">
        <is>
          <t>A 15763-2021</t>
        </is>
      </c>
      <c r="B3410" s="1" t="n">
        <v>44286</v>
      </c>
      <c r="C3410" s="1" t="n">
        <v>45344</v>
      </c>
      <c r="D3410" t="inlineStr">
        <is>
          <t>GÄVLEBORGS LÄN</t>
        </is>
      </c>
      <c r="E3410" t="inlineStr">
        <is>
          <t>GÄVLE</t>
        </is>
      </c>
      <c r="F3410" t="inlineStr">
        <is>
          <t>Bergvik skog väst AB</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15824-2021</t>
        </is>
      </c>
      <c r="B3411" s="1" t="n">
        <v>44286</v>
      </c>
      <c r="C3411" s="1" t="n">
        <v>45344</v>
      </c>
      <c r="D3411" t="inlineStr">
        <is>
          <t>GÄVLEBORGS LÄN</t>
        </is>
      </c>
      <c r="E3411" t="inlineStr">
        <is>
          <t>GÄVLE</t>
        </is>
      </c>
      <c r="F3411" t="inlineStr">
        <is>
          <t>Bergvik skog väst AB</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15738-2021</t>
        </is>
      </c>
      <c r="B3412" s="1" t="n">
        <v>44286</v>
      </c>
      <c r="C3412" s="1" t="n">
        <v>45344</v>
      </c>
      <c r="D3412" t="inlineStr">
        <is>
          <t>GÄVLEBORGS LÄN</t>
        </is>
      </c>
      <c r="E3412" t="inlineStr">
        <is>
          <t>GÄVLE</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15904-2021</t>
        </is>
      </c>
      <c r="B3413" s="1" t="n">
        <v>44286</v>
      </c>
      <c r="C3413" s="1" t="n">
        <v>45344</v>
      </c>
      <c r="D3413" t="inlineStr">
        <is>
          <t>GÄVLEBORGS LÄN</t>
        </is>
      </c>
      <c r="E3413" t="inlineStr">
        <is>
          <t>GÄVLE</t>
        </is>
      </c>
      <c r="F3413" t="inlineStr">
        <is>
          <t>Bergvik skog väst AB</t>
        </is>
      </c>
      <c r="G3413" t="n">
        <v>6.3</v>
      </c>
      <c r="H3413" t="n">
        <v>0</v>
      </c>
      <c r="I3413" t="n">
        <v>0</v>
      </c>
      <c r="J3413" t="n">
        <v>0</v>
      </c>
      <c r="K3413" t="n">
        <v>0</v>
      </c>
      <c r="L3413" t="n">
        <v>0</v>
      </c>
      <c r="M3413" t="n">
        <v>0</v>
      </c>
      <c r="N3413" t="n">
        <v>0</v>
      </c>
      <c r="O3413" t="n">
        <v>0</v>
      </c>
      <c r="P3413" t="n">
        <v>0</v>
      </c>
      <c r="Q3413" t="n">
        <v>0</v>
      </c>
      <c r="R3413" s="2" t="inlineStr"/>
    </row>
    <row r="3414" ht="15" customHeight="1">
      <c r="A3414" t="inlineStr">
        <is>
          <t>A 15982-2021</t>
        </is>
      </c>
      <c r="B3414" s="1" t="n">
        <v>44287</v>
      </c>
      <c r="C3414" s="1" t="n">
        <v>45344</v>
      </c>
      <c r="D3414" t="inlineStr">
        <is>
          <t>GÄVLEBORGS LÄN</t>
        </is>
      </c>
      <c r="E3414" t="inlineStr">
        <is>
          <t>NORDANSTIG</t>
        </is>
      </c>
      <c r="G3414" t="n">
        <v>5</v>
      </c>
      <c r="H3414" t="n">
        <v>0</v>
      </c>
      <c r="I3414" t="n">
        <v>0</v>
      </c>
      <c r="J3414" t="n">
        <v>0</v>
      </c>
      <c r="K3414" t="n">
        <v>0</v>
      </c>
      <c r="L3414" t="n">
        <v>0</v>
      </c>
      <c r="M3414" t="n">
        <v>0</v>
      </c>
      <c r="N3414" t="n">
        <v>0</v>
      </c>
      <c r="O3414" t="n">
        <v>0</v>
      </c>
      <c r="P3414" t="n">
        <v>0</v>
      </c>
      <c r="Q3414" t="n">
        <v>0</v>
      </c>
      <c r="R3414" s="2" t="inlineStr"/>
    </row>
    <row r="3415" ht="15" customHeight="1">
      <c r="A3415" t="inlineStr">
        <is>
          <t>A 15902-2021</t>
        </is>
      </c>
      <c r="B3415" s="1" t="n">
        <v>44287</v>
      </c>
      <c r="C3415" s="1" t="n">
        <v>45344</v>
      </c>
      <c r="D3415" t="inlineStr">
        <is>
          <t>GÄVLEBORGS LÄN</t>
        </is>
      </c>
      <c r="E3415" t="inlineStr">
        <is>
          <t>OVANÅKER</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15929-2021</t>
        </is>
      </c>
      <c r="B3416" s="1" t="n">
        <v>44287</v>
      </c>
      <c r="C3416" s="1" t="n">
        <v>45344</v>
      </c>
      <c r="D3416" t="inlineStr">
        <is>
          <t>GÄVLEBORGS LÄN</t>
        </is>
      </c>
      <c r="E3416" t="inlineStr">
        <is>
          <t>SÖDERHAMN</t>
        </is>
      </c>
      <c r="G3416" t="n">
        <v>0.3</v>
      </c>
      <c r="H3416" t="n">
        <v>0</v>
      </c>
      <c r="I3416" t="n">
        <v>0</v>
      </c>
      <c r="J3416" t="n">
        <v>0</v>
      </c>
      <c r="K3416" t="n">
        <v>0</v>
      </c>
      <c r="L3416" t="n">
        <v>0</v>
      </c>
      <c r="M3416" t="n">
        <v>0</v>
      </c>
      <c r="N3416" t="n">
        <v>0</v>
      </c>
      <c r="O3416" t="n">
        <v>0</v>
      </c>
      <c r="P3416" t="n">
        <v>0</v>
      </c>
      <c r="Q3416" t="n">
        <v>0</v>
      </c>
      <c r="R3416" s="2" t="inlineStr"/>
    </row>
    <row r="3417" ht="15" customHeight="1">
      <c r="A3417" t="inlineStr">
        <is>
          <t>A 16154-2021</t>
        </is>
      </c>
      <c r="B3417" s="1" t="n">
        <v>44292</v>
      </c>
      <c r="C3417" s="1" t="n">
        <v>45344</v>
      </c>
      <c r="D3417" t="inlineStr">
        <is>
          <t>GÄVLEBORGS LÄN</t>
        </is>
      </c>
      <c r="E3417" t="inlineStr">
        <is>
          <t>LJUSDAL</t>
        </is>
      </c>
      <c r="F3417" t="inlineStr">
        <is>
          <t>Holmen skog AB</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16307-2021</t>
        </is>
      </c>
      <c r="B3418" s="1" t="n">
        <v>44292</v>
      </c>
      <c r="C3418" s="1" t="n">
        <v>45344</v>
      </c>
      <c r="D3418" t="inlineStr">
        <is>
          <t>GÄVLEBORGS LÄN</t>
        </is>
      </c>
      <c r="E3418" t="inlineStr">
        <is>
          <t>SÖDERHAMN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16312-2021</t>
        </is>
      </c>
      <c r="B3419" s="1" t="n">
        <v>44292</v>
      </c>
      <c r="C3419" s="1" t="n">
        <v>45344</v>
      </c>
      <c r="D3419" t="inlineStr">
        <is>
          <t>GÄVLEBORGS LÄN</t>
        </is>
      </c>
      <c r="E3419" t="inlineStr">
        <is>
          <t>SÖDERHAMN</t>
        </is>
      </c>
      <c r="G3419" t="n">
        <v>6.4</v>
      </c>
      <c r="H3419" t="n">
        <v>0</v>
      </c>
      <c r="I3419" t="n">
        <v>0</v>
      </c>
      <c r="J3419" t="n">
        <v>0</v>
      </c>
      <c r="K3419" t="n">
        <v>0</v>
      </c>
      <c r="L3419" t="n">
        <v>0</v>
      </c>
      <c r="M3419" t="n">
        <v>0</v>
      </c>
      <c r="N3419" t="n">
        <v>0</v>
      </c>
      <c r="O3419" t="n">
        <v>0</v>
      </c>
      <c r="P3419" t="n">
        <v>0</v>
      </c>
      <c r="Q3419" t="n">
        <v>0</v>
      </c>
      <c r="R3419" s="2" t="inlineStr"/>
    </row>
    <row r="3420" ht="15" customHeight="1">
      <c r="A3420" t="inlineStr">
        <is>
          <t>A 16305-2021</t>
        </is>
      </c>
      <c r="B3420" s="1" t="n">
        <v>44292</v>
      </c>
      <c r="C3420" s="1" t="n">
        <v>45344</v>
      </c>
      <c r="D3420" t="inlineStr">
        <is>
          <t>GÄVLEBORGS LÄN</t>
        </is>
      </c>
      <c r="E3420" t="inlineStr">
        <is>
          <t>SÖDERHAMN</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16532-2021</t>
        </is>
      </c>
      <c r="B3421" s="1" t="n">
        <v>44293</v>
      </c>
      <c r="C3421" s="1" t="n">
        <v>45344</v>
      </c>
      <c r="D3421" t="inlineStr">
        <is>
          <t>GÄVLEBORGS LÄN</t>
        </is>
      </c>
      <c r="E3421" t="inlineStr">
        <is>
          <t>SÖDERHAMN</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16559-2021</t>
        </is>
      </c>
      <c r="B3422" s="1" t="n">
        <v>44294</v>
      </c>
      <c r="C3422" s="1" t="n">
        <v>45344</v>
      </c>
      <c r="D3422" t="inlineStr">
        <is>
          <t>GÄVLEBORGS LÄN</t>
        </is>
      </c>
      <c r="E3422" t="inlineStr">
        <is>
          <t>HUDIKSVALL</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16584-2021</t>
        </is>
      </c>
      <c r="B3423" s="1" t="n">
        <v>44293</v>
      </c>
      <c r="C3423" s="1" t="n">
        <v>45344</v>
      </c>
      <c r="D3423" t="inlineStr">
        <is>
          <t>GÄVLEBORGS LÄN</t>
        </is>
      </c>
      <c r="E3423" t="inlineStr">
        <is>
          <t>SANDVIKEN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16574-2021</t>
        </is>
      </c>
      <c r="B3424" s="1" t="n">
        <v>44294</v>
      </c>
      <c r="C3424" s="1" t="n">
        <v>45344</v>
      </c>
      <c r="D3424" t="inlineStr">
        <is>
          <t>GÄVLEBORGS LÄN</t>
        </is>
      </c>
      <c r="E3424" t="inlineStr">
        <is>
          <t>GÄVLE</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16699-2021</t>
        </is>
      </c>
      <c r="B3425" s="1" t="n">
        <v>44294</v>
      </c>
      <c r="C3425" s="1" t="n">
        <v>45344</v>
      </c>
      <c r="D3425" t="inlineStr">
        <is>
          <t>GÄVLEBORGS LÄN</t>
        </is>
      </c>
      <c r="E3425" t="inlineStr">
        <is>
          <t>LJUSDAL</t>
        </is>
      </c>
      <c r="F3425" t="inlineStr">
        <is>
          <t>Kyrkan</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16717-2021</t>
        </is>
      </c>
      <c r="B3426" s="1" t="n">
        <v>44294</v>
      </c>
      <c r="C3426" s="1" t="n">
        <v>45344</v>
      </c>
      <c r="D3426" t="inlineStr">
        <is>
          <t>GÄVLEBORGS LÄN</t>
        </is>
      </c>
      <c r="E3426" t="inlineStr">
        <is>
          <t>OCKELBO</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16709-2021</t>
        </is>
      </c>
      <c r="B3427" s="1" t="n">
        <v>44294</v>
      </c>
      <c r="C3427" s="1" t="n">
        <v>45344</v>
      </c>
      <c r="D3427" t="inlineStr">
        <is>
          <t>GÄVLEBORGS LÄN</t>
        </is>
      </c>
      <c r="E3427" t="inlineStr">
        <is>
          <t>LJUSDAL</t>
        </is>
      </c>
      <c r="F3427" t="inlineStr">
        <is>
          <t>Kyrkan</t>
        </is>
      </c>
      <c r="G3427" t="n">
        <v>6.6</v>
      </c>
      <c r="H3427" t="n">
        <v>0</v>
      </c>
      <c r="I3427" t="n">
        <v>0</v>
      </c>
      <c r="J3427" t="n">
        <v>0</v>
      </c>
      <c r="K3427" t="n">
        <v>0</v>
      </c>
      <c r="L3427" t="n">
        <v>0</v>
      </c>
      <c r="M3427" t="n">
        <v>0</v>
      </c>
      <c r="N3427" t="n">
        <v>0</v>
      </c>
      <c r="O3427" t="n">
        <v>0</v>
      </c>
      <c r="P3427" t="n">
        <v>0</v>
      </c>
      <c r="Q3427" t="n">
        <v>0</v>
      </c>
      <c r="R3427" s="2" t="inlineStr"/>
    </row>
    <row r="3428" ht="15" customHeight="1">
      <c r="A3428" t="inlineStr">
        <is>
          <t>A 16581-2021</t>
        </is>
      </c>
      <c r="B3428" s="1" t="n">
        <v>44294</v>
      </c>
      <c r="C3428" s="1" t="n">
        <v>45344</v>
      </c>
      <c r="D3428" t="inlineStr">
        <is>
          <t>GÄVLEBORGS LÄN</t>
        </is>
      </c>
      <c r="E3428" t="inlineStr">
        <is>
          <t>GÄVLE</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16713-2021</t>
        </is>
      </c>
      <c r="B3429" s="1" t="n">
        <v>44294</v>
      </c>
      <c r="C3429" s="1" t="n">
        <v>45344</v>
      </c>
      <c r="D3429" t="inlineStr">
        <is>
          <t>GÄVLEBORGS LÄN</t>
        </is>
      </c>
      <c r="E3429" t="inlineStr">
        <is>
          <t>GÄVLE</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16714-2021</t>
        </is>
      </c>
      <c r="B3430" s="1" t="n">
        <v>44294</v>
      </c>
      <c r="C3430" s="1" t="n">
        <v>45344</v>
      </c>
      <c r="D3430" t="inlineStr">
        <is>
          <t>GÄVLEBORGS LÄN</t>
        </is>
      </c>
      <c r="E3430" t="inlineStr">
        <is>
          <t>HUDIKSVALL</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16980-2021</t>
        </is>
      </c>
      <c r="B3431" s="1" t="n">
        <v>44295</v>
      </c>
      <c r="C3431" s="1" t="n">
        <v>45344</v>
      </c>
      <c r="D3431" t="inlineStr">
        <is>
          <t>GÄVLEBORGS LÄN</t>
        </is>
      </c>
      <c r="E3431" t="inlineStr">
        <is>
          <t>BOLLNÄS</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16925-2021</t>
        </is>
      </c>
      <c r="B3432" s="1" t="n">
        <v>44295</v>
      </c>
      <c r="C3432" s="1" t="n">
        <v>45344</v>
      </c>
      <c r="D3432" t="inlineStr">
        <is>
          <t>GÄVLEBORGS LÄN</t>
        </is>
      </c>
      <c r="E3432" t="inlineStr">
        <is>
          <t>LJUSDAL</t>
        </is>
      </c>
      <c r="F3432" t="inlineStr">
        <is>
          <t>Bergvik skog väst AB</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16931-2021</t>
        </is>
      </c>
      <c r="B3433" s="1" t="n">
        <v>44295</v>
      </c>
      <c r="C3433" s="1" t="n">
        <v>45344</v>
      </c>
      <c r="D3433" t="inlineStr">
        <is>
          <t>GÄVLEBORGS LÄN</t>
        </is>
      </c>
      <c r="E3433" t="inlineStr">
        <is>
          <t>GÄVLE</t>
        </is>
      </c>
      <c r="F3433" t="inlineStr">
        <is>
          <t>Kyrkan</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16985-2021</t>
        </is>
      </c>
      <c r="B3434" s="1" t="n">
        <v>44295</v>
      </c>
      <c r="C3434" s="1" t="n">
        <v>45344</v>
      </c>
      <c r="D3434" t="inlineStr">
        <is>
          <t>GÄVLEBORGS LÄN</t>
        </is>
      </c>
      <c r="E3434" t="inlineStr">
        <is>
          <t>HOFORS</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16913-2021</t>
        </is>
      </c>
      <c r="B3435" s="1" t="n">
        <v>44295</v>
      </c>
      <c r="C3435" s="1" t="n">
        <v>45344</v>
      </c>
      <c r="D3435" t="inlineStr">
        <is>
          <t>GÄVLEBORGS LÄN</t>
        </is>
      </c>
      <c r="E3435" t="inlineStr">
        <is>
          <t>HUDIKSVALL</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17064-2021</t>
        </is>
      </c>
      <c r="B3436" s="1" t="n">
        <v>44297</v>
      </c>
      <c r="C3436" s="1" t="n">
        <v>45344</v>
      </c>
      <c r="D3436" t="inlineStr">
        <is>
          <t>GÄVLEBORGS LÄN</t>
        </is>
      </c>
      <c r="E3436" t="inlineStr">
        <is>
          <t>BOLLNÄS</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17114-2021</t>
        </is>
      </c>
      <c r="B3437" s="1" t="n">
        <v>44298</v>
      </c>
      <c r="C3437" s="1" t="n">
        <v>45344</v>
      </c>
      <c r="D3437" t="inlineStr">
        <is>
          <t>GÄVLEBORGS LÄN</t>
        </is>
      </c>
      <c r="E3437" t="inlineStr">
        <is>
          <t>LJUSDAL</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17215-2021</t>
        </is>
      </c>
      <c r="B3438" s="1" t="n">
        <v>44298</v>
      </c>
      <c r="C3438" s="1" t="n">
        <v>45344</v>
      </c>
      <c r="D3438" t="inlineStr">
        <is>
          <t>GÄVLEBORGS LÄN</t>
        </is>
      </c>
      <c r="E3438" t="inlineStr">
        <is>
          <t>OVANÅKER</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17236-2021</t>
        </is>
      </c>
      <c r="B3439" s="1" t="n">
        <v>44298</v>
      </c>
      <c r="C3439" s="1" t="n">
        <v>45344</v>
      </c>
      <c r="D3439" t="inlineStr">
        <is>
          <t>GÄVLEBORGS LÄN</t>
        </is>
      </c>
      <c r="E3439" t="inlineStr">
        <is>
          <t>BOLLNÄS</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17290-2021</t>
        </is>
      </c>
      <c r="B3440" s="1" t="n">
        <v>44298</v>
      </c>
      <c r="C3440" s="1" t="n">
        <v>45344</v>
      </c>
      <c r="D3440" t="inlineStr">
        <is>
          <t>GÄVLEBORGS LÄN</t>
        </is>
      </c>
      <c r="E3440" t="inlineStr">
        <is>
          <t>OVANÅKER</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17172-2021</t>
        </is>
      </c>
      <c r="B3441" s="1" t="n">
        <v>44298</v>
      </c>
      <c r="C3441" s="1" t="n">
        <v>45344</v>
      </c>
      <c r="D3441" t="inlineStr">
        <is>
          <t>GÄVLEBORGS LÄN</t>
        </is>
      </c>
      <c r="E3441" t="inlineStr">
        <is>
          <t>SÖDERHAMN</t>
        </is>
      </c>
      <c r="F3441" t="inlineStr">
        <is>
          <t>Bergvik skog väst AB</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17117-2021</t>
        </is>
      </c>
      <c r="B3442" s="1" t="n">
        <v>44298</v>
      </c>
      <c r="C3442" s="1" t="n">
        <v>45344</v>
      </c>
      <c r="D3442" t="inlineStr">
        <is>
          <t>GÄVLEBORGS LÄN</t>
        </is>
      </c>
      <c r="E3442" t="inlineStr">
        <is>
          <t>LJUSDAL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17557-2021</t>
        </is>
      </c>
      <c r="B3443" s="1" t="n">
        <v>44299</v>
      </c>
      <c r="C3443" s="1" t="n">
        <v>45344</v>
      </c>
      <c r="D3443" t="inlineStr">
        <is>
          <t>GÄVLEBORGS LÄN</t>
        </is>
      </c>
      <c r="E3443" t="inlineStr">
        <is>
          <t>BOLLNÄS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17544-2021</t>
        </is>
      </c>
      <c r="B3444" s="1" t="n">
        <v>44299</v>
      </c>
      <c r="C3444" s="1" t="n">
        <v>45344</v>
      </c>
      <c r="D3444" t="inlineStr">
        <is>
          <t>GÄVLEBORGS LÄN</t>
        </is>
      </c>
      <c r="E3444" t="inlineStr">
        <is>
          <t>SANDVIKEN</t>
        </is>
      </c>
      <c r="G3444" t="n">
        <v>3.4</v>
      </c>
      <c r="H3444" t="n">
        <v>0</v>
      </c>
      <c r="I3444" t="n">
        <v>0</v>
      </c>
      <c r="J3444" t="n">
        <v>0</v>
      </c>
      <c r="K3444" t="n">
        <v>0</v>
      </c>
      <c r="L3444" t="n">
        <v>0</v>
      </c>
      <c r="M3444" t="n">
        <v>0</v>
      </c>
      <c r="N3444" t="n">
        <v>0</v>
      </c>
      <c r="O3444" t="n">
        <v>0</v>
      </c>
      <c r="P3444" t="n">
        <v>0</v>
      </c>
      <c r="Q3444" t="n">
        <v>0</v>
      </c>
      <c r="R3444" s="2" t="inlineStr"/>
    </row>
    <row r="3445" ht="15" customHeight="1">
      <c r="A3445" t="inlineStr">
        <is>
          <t>A 17555-2021</t>
        </is>
      </c>
      <c r="B3445" s="1" t="n">
        <v>44299</v>
      </c>
      <c r="C3445" s="1" t="n">
        <v>45344</v>
      </c>
      <c r="D3445" t="inlineStr">
        <is>
          <t>GÄVLEBORGS LÄN</t>
        </is>
      </c>
      <c r="E3445" t="inlineStr">
        <is>
          <t>BOLLNÄS</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17593-2021</t>
        </is>
      </c>
      <c r="B3446" s="1" t="n">
        <v>44300</v>
      </c>
      <c r="C3446" s="1" t="n">
        <v>45344</v>
      </c>
      <c r="D3446" t="inlineStr">
        <is>
          <t>GÄVLEBORGS LÄN</t>
        </is>
      </c>
      <c r="E3446" t="inlineStr">
        <is>
          <t>GÄVLE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17656-2021</t>
        </is>
      </c>
      <c r="B3447" s="1" t="n">
        <v>44300</v>
      </c>
      <c r="C3447" s="1" t="n">
        <v>45344</v>
      </c>
      <c r="D3447" t="inlineStr">
        <is>
          <t>GÄVLEBORGS LÄN</t>
        </is>
      </c>
      <c r="E3447" t="inlineStr">
        <is>
          <t>GÄVLE</t>
        </is>
      </c>
      <c r="F3447" t="inlineStr">
        <is>
          <t>Bergvik skog väst AB</t>
        </is>
      </c>
      <c r="G3447" t="n">
        <v>0.2</v>
      </c>
      <c r="H3447" t="n">
        <v>0</v>
      </c>
      <c r="I3447" t="n">
        <v>0</v>
      </c>
      <c r="J3447" t="n">
        <v>0</v>
      </c>
      <c r="K3447" t="n">
        <v>0</v>
      </c>
      <c r="L3447" t="n">
        <v>0</v>
      </c>
      <c r="M3447" t="n">
        <v>0</v>
      </c>
      <c r="N3447" t="n">
        <v>0</v>
      </c>
      <c r="O3447" t="n">
        <v>0</v>
      </c>
      <c r="P3447" t="n">
        <v>0</v>
      </c>
      <c r="Q3447" t="n">
        <v>0</v>
      </c>
      <c r="R3447" s="2" t="inlineStr"/>
    </row>
    <row r="3448" ht="15" customHeight="1">
      <c r="A3448" t="inlineStr">
        <is>
          <t>A 17834-2021</t>
        </is>
      </c>
      <c r="B3448" s="1" t="n">
        <v>44300</v>
      </c>
      <c r="C3448" s="1" t="n">
        <v>45344</v>
      </c>
      <c r="D3448" t="inlineStr">
        <is>
          <t>GÄVLEBORGS LÄN</t>
        </is>
      </c>
      <c r="E3448" t="inlineStr">
        <is>
          <t>GÄVLE</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17935-2021</t>
        </is>
      </c>
      <c r="B3449" s="1" t="n">
        <v>44301</v>
      </c>
      <c r="C3449" s="1" t="n">
        <v>45344</v>
      </c>
      <c r="D3449" t="inlineStr">
        <is>
          <t>GÄVLEBORGS LÄN</t>
        </is>
      </c>
      <c r="E3449" t="inlineStr">
        <is>
          <t>BOLLNÄS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17959-2021</t>
        </is>
      </c>
      <c r="B3450" s="1" t="n">
        <v>44301</v>
      </c>
      <c r="C3450" s="1" t="n">
        <v>45344</v>
      </c>
      <c r="D3450" t="inlineStr">
        <is>
          <t>GÄVLEBORGS LÄN</t>
        </is>
      </c>
      <c r="E3450" t="inlineStr">
        <is>
          <t>OVANÅKER</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17983-2021</t>
        </is>
      </c>
      <c r="B3451" s="1" t="n">
        <v>44301</v>
      </c>
      <c r="C3451" s="1" t="n">
        <v>45344</v>
      </c>
      <c r="D3451" t="inlineStr">
        <is>
          <t>GÄVLEBORGS LÄN</t>
        </is>
      </c>
      <c r="E3451" t="inlineStr">
        <is>
          <t>NORDANSTIG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18082-2021</t>
        </is>
      </c>
      <c r="B3452" s="1" t="n">
        <v>44302</v>
      </c>
      <c r="C3452" s="1" t="n">
        <v>45344</v>
      </c>
      <c r="D3452" t="inlineStr">
        <is>
          <t>GÄVLEBORGS LÄN</t>
        </is>
      </c>
      <c r="E3452" t="inlineStr">
        <is>
          <t>HUDIKSVALL</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18096-2021</t>
        </is>
      </c>
      <c r="B3453" s="1" t="n">
        <v>44302</v>
      </c>
      <c r="C3453" s="1" t="n">
        <v>45344</v>
      </c>
      <c r="D3453" t="inlineStr">
        <is>
          <t>GÄVLEBORGS LÄN</t>
        </is>
      </c>
      <c r="E3453" t="inlineStr">
        <is>
          <t>LJUSDAL</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18108-2021</t>
        </is>
      </c>
      <c r="B3454" s="1" t="n">
        <v>44302</v>
      </c>
      <c r="C3454" s="1" t="n">
        <v>45344</v>
      </c>
      <c r="D3454" t="inlineStr">
        <is>
          <t>GÄVLEBORGS LÄN</t>
        </is>
      </c>
      <c r="E3454" t="inlineStr">
        <is>
          <t>LJUSDAL</t>
        </is>
      </c>
      <c r="G3454" t="n">
        <v>3.9</v>
      </c>
      <c r="H3454" t="n">
        <v>0</v>
      </c>
      <c r="I3454" t="n">
        <v>0</v>
      </c>
      <c r="J3454" t="n">
        <v>0</v>
      </c>
      <c r="K3454" t="n">
        <v>0</v>
      </c>
      <c r="L3454" t="n">
        <v>0</v>
      </c>
      <c r="M3454" t="n">
        <v>0</v>
      </c>
      <c r="N3454" t="n">
        <v>0</v>
      </c>
      <c r="O3454" t="n">
        <v>0</v>
      </c>
      <c r="P3454" t="n">
        <v>0</v>
      </c>
      <c r="Q3454" t="n">
        <v>0</v>
      </c>
      <c r="R3454" s="2" t="inlineStr"/>
    </row>
    <row r="3455" ht="15" customHeight="1">
      <c r="A3455" t="inlineStr">
        <is>
          <t>A 18151-2021</t>
        </is>
      </c>
      <c r="B3455" s="1" t="n">
        <v>44302</v>
      </c>
      <c r="C3455" s="1" t="n">
        <v>45344</v>
      </c>
      <c r="D3455" t="inlineStr">
        <is>
          <t>GÄVLEBORGS LÄN</t>
        </is>
      </c>
      <c r="E3455" t="inlineStr">
        <is>
          <t>LJUSDAL</t>
        </is>
      </c>
      <c r="F3455" t="inlineStr">
        <is>
          <t>Sveaskog</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18078-2021</t>
        </is>
      </c>
      <c r="B3456" s="1" t="n">
        <v>44302</v>
      </c>
      <c r="C3456" s="1" t="n">
        <v>45344</v>
      </c>
      <c r="D3456" t="inlineStr">
        <is>
          <t>GÄVLEBORGS LÄN</t>
        </is>
      </c>
      <c r="E3456" t="inlineStr">
        <is>
          <t>LJUSDAL</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18084-2021</t>
        </is>
      </c>
      <c r="B3457" s="1" t="n">
        <v>44302</v>
      </c>
      <c r="C3457" s="1" t="n">
        <v>45344</v>
      </c>
      <c r="D3457" t="inlineStr">
        <is>
          <t>GÄVLEBORGS LÄN</t>
        </is>
      </c>
      <c r="E3457" t="inlineStr">
        <is>
          <t>HUDIKSVALL</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18112-2021</t>
        </is>
      </c>
      <c r="B3458" s="1" t="n">
        <v>44302</v>
      </c>
      <c r="C3458" s="1" t="n">
        <v>45344</v>
      </c>
      <c r="D3458" t="inlineStr">
        <is>
          <t>GÄVLEBORGS LÄN</t>
        </is>
      </c>
      <c r="E3458" t="inlineStr">
        <is>
          <t>SÖDERHAMN</t>
        </is>
      </c>
      <c r="F3458" t="inlineStr">
        <is>
          <t>Kyrkan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18176-2021</t>
        </is>
      </c>
      <c r="B3459" s="1" t="n">
        <v>44302</v>
      </c>
      <c r="C3459" s="1" t="n">
        <v>45344</v>
      </c>
      <c r="D3459" t="inlineStr">
        <is>
          <t>GÄVLEBORGS LÄN</t>
        </is>
      </c>
      <c r="E3459" t="inlineStr">
        <is>
          <t>HUDIKSVALL</t>
        </is>
      </c>
      <c r="F3459" t="inlineStr">
        <is>
          <t>Holmen skog AB</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18039-2021</t>
        </is>
      </c>
      <c r="B3460" s="1" t="n">
        <v>44302</v>
      </c>
      <c r="C3460" s="1" t="n">
        <v>45344</v>
      </c>
      <c r="D3460" t="inlineStr">
        <is>
          <t>GÄVLEBORGS LÄN</t>
        </is>
      </c>
      <c r="E3460" t="inlineStr">
        <is>
          <t>LJUSDAL</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18350-2021</t>
        </is>
      </c>
      <c r="B3461" s="1" t="n">
        <v>44305</v>
      </c>
      <c r="C3461" s="1" t="n">
        <v>45344</v>
      </c>
      <c r="D3461" t="inlineStr">
        <is>
          <t>GÄVLEBORGS LÄN</t>
        </is>
      </c>
      <c r="E3461" t="inlineStr">
        <is>
          <t>OVANÅKER</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18417-2021</t>
        </is>
      </c>
      <c r="B3462" s="1" t="n">
        <v>44305</v>
      </c>
      <c r="C3462" s="1" t="n">
        <v>45344</v>
      </c>
      <c r="D3462" t="inlineStr">
        <is>
          <t>GÄVLEBORGS LÄN</t>
        </is>
      </c>
      <c r="E3462" t="inlineStr">
        <is>
          <t>HUDIKSVALL</t>
        </is>
      </c>
      <c r="F3462" t="inlineStr">
        <is>
          <t>Kommuner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18264-2021</t>
        </is>
      </c>
      <c r="B3463" s="1" t="n">
        <v>44305</v>
      </c>
      <c r="C3463" s="1" t="n">
        <v>45344</v>
      </c>
      <c r="D3463" t="inlineStr">
        <is>
          <t>GÄVLEBORGS LÄN</t>
        </is>
      </c>
      <c r="E3463" t="inlineStr">
        <is>
          <t>LJUSDAL</t>
        </is>
      </c>
      <c r="F3463" t="inlineStr">
        <is>
          <t>Bergvik skog väst AB</t>
        </is>
      </c>
      <c r="G3463" t="n">
        <v>8.5</v>
      </c>
      <c r="H3463" t="n">
        <v>0</v>
      </c>
      <c r="I3463" t="n">
        <v>0</v>
      </c>
      <c r="J3463" t="n">
        <v>0</v>
      </c>
      <c r="K3463" t="n">
        <v>0</v>
      </c>
      <c r="L3463" t="n">
        <v>0</v>
      </c>
      <c r="M3463" t="n">
        <v>0</v>
      </c>
      <c r="N3463" t="n">
        <v>0</v>
      </c>
      <c r="O3463" t="n">
        <v>0</v>
      </c>
      <c r="P3463" t="n">
        <v>0</v>
      </c>
      <c r="Q3463" t="n">
        <v>0</v>
      </c>
      <c r="R3463" s="2" t="inlineStr"/>
    </row>
    <row r="3464" ht="15" customHeight="1">
      <c r="A3464" t="inlineStr">
        <is>
          <t>A 18431-2021</t>
        </is>
      </c>
      <c r="B3464" s="1" t="n">
        <v>44305</v>
      </c>
      <c r="C3464" s="1" t="n">
        <v>45344</v>
      </c>
      <c r="D3464" t="inlineStr">
        <is>
          <t>GÄVLEBORGS LÄN</t>
        </is>
      </c>
      <c r="E3464" t="inlineStr">
        <is>
          <t>GÄVLE</t>
        </is>
      </c>
      <c r="F3464" t="inlineStr">
        <is>
          <t>Bergvik skog öst AB</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18398-2021</t>
        </is>
      </c>
      <c r="B3465" s="1" t="n">
        <v>44305</v>
      </c>
      <c r="C3465" s="1" t="n">
        <v>45344</v>
      </c>
      <c r="D3465" t="inlineStr">
        <is>
          <t>GÄVLEBORGS LÄN</t>
        </is>
      </c>
      <c r="E3465" t="inlineStr">
        <is>
          <t>NORDANSTIG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18430-2021</t>
        </is>
      </c>
      <c r="B3466" s="1" t="n">
        <v>44305</v>
      </c>
      <c r="C3466" s="1" t="n">
        <v>45344</v>
      </c>
      <c r="D3466" t="inlineStr">
        <is>
          <t>GÄVLEBORGS LÄN</t>
        </is>
      </c>
      <c r="E3466" t="inlineStr">
        <is>
          <t>NORDANSTIG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18394-2021</t>
        </is>
      </c>
      <c r="B3467" s="1" t="n">
        <v>44305</v>
      </c>
      <c r="C3467" s="1" t="n">
        <v>45344</v>
      </c>
      <c r="D3467" t="inlineStr">
        <is>
          <t>GÄVLEBORGS LÄN</t>
        </is>
      </c>
      <c r="E3467" t="inlineStr">
        <is>
          <t>NORDANSTIG</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18483-2021</t>
        </is>
      </c>
      <c r="B3468" s="1" t="n">
        <v>44306</v>
      </c>
      <c r="C3468" s="1" t="n">
        <v>45344</v>
      </c>
      <c r="D3468" t="inlineStr">
        <is>
          <t>GÄVLEBORGS LÄN</t>
        </is>
      </c>
      <c r="E3468" t="inlineStr">
        <is>
          <t>SANDVIKEN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18496-2021</t>
        </is>
      </c>
      <c r="B3469" s="1" t="n">
        <v>44306</v>
      </c>
      <c r="C3469" s="1" t="n">
        <v>45344</v>
      </c>
      <c r="D3469" t="inlineStr">
        <is>
          <t>GÄVLEBORGS LÄN</t>
        </is>
      </c>
      <c r="E3469" t="inlineStr">
        <is>
          <t>SANDVIKEN</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18818-2021</t>
        </is>
      </c>
      <c r="B3470" s="1" t="n">
        <v>44307</v>
      </c>
      <c r="C3470" s="1" t="n">
        <v>45344</v>
      </c>
      <c r="D3470" t="inlineStr">
        <is>
          <t>GÄVLEBORGS LÄN</t>
        </is>
      </c>
      <c r="E3470" t="inlineStr">
        <is>
          <t>HUDIKSVALL</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18786-2021</t>
        </is>
      </c>
      <c r="B3471" s="1" t="n">
        <v>44307</v>
      </c>
      <c r="C3471" s="1" t="n">
        <v>45344</v>
      </c>
      <c r="D3471" t="inlineStr">
        <is>
          <t>GÄVLEBORGS LÄN</t>
        </is>
      </c>
      <c r="E3471" t="inlineStr">
        <is>
          <t>LJUSDAL</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18827-2021</t>
        </is>
      </c>
      <c r="B3472" s="1" t="n">
        <v>44307</v>
      </c>
      <c r="C3472" s="1" t="n">
        <v>45344</v>
      </c>
      <c r="D3472" t="inlineStr">
        <is>
          <t>GÄVLEBORGS LÄN</t>
        </is>
      </c>
      <c r="E3472" t="inlineStr">
        <is>
          <t>GÄVLE</t>
        </is>
      </c>
      <c r="F3472" t="inlineStr">
        <is>
          <t>Bergvik skog öst AB</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19100-2021</t>
        </is>
      </c>
      <c r="B3473" s="1" t="n">
        <v>44308</v>
      </c>
      <c r="C3473" s="1" t="n">
        <v>45344</v>
      </c>
      <c r="D3473" t="inlineStr">
        <is>
          <t>GÄVLEBORGS LÄN</t>
        </is>
      </c>
      <c r="E3473" t="inlineStr">
        <is>
          <t>HUDIKSVALL</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18983-2021</t>
        </is>
      </c>
      <c r="B3474" s="1" t="n">
        <v>44308</v>
      </c>
      <c r="C3474" s="1" t="n">
        <v>45344</v>
      </c>
      <c r="D3474" t="inlineStr">
        <is>
          <t>GÄVLEBORGS LÄN</t>
        </is>
      </c>
      <c r="E3474" t="inlineStr">
        <is>
          <t>OCKELBO</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19129-2021</t>
        </is>
      </c>
      <c r="B3475" s="1" t="n">
        <v>44308</v>
      </c>
      <c r="C3475" s="1" t="n">
        <v>45344</v>
      </c>
      <c r="D3475" t="inlineStr">
        <is>
          <t>GÄVLEBORGS LÄN</t>
        </is>
      </c>
      <c r="E3475" t="inlineStr">
        <is>
          <t>LJUSDAL</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19117-2021</t>
        </is>
      </c>
      <c r="B3476" s="1" t="n">
        <v>44308</v>
      </c>
      <c r="C3476" s="1" t="n">
        <v>45344</v>
      </c>
      <c r="D3476" t="inlineStr">
        <is>
          <t>GÄVLEBORGS LÄN</t>
        </is>
      </c>
      <c r="E3476" t="inlineStr">
        <is>
          <t>LJUSDAL</t>
        </is>
      </c>
      <c r="F3476" t="inlineStr">
        <is>
          <t>Bergvik skog väst AB</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19180-2021</t>
        </is>
      </c>
      <c r="B3477" s="1" t="n">
        <v>44308</v>
      </c>
      <c r="C3477" s="1" t="n">
        <v>45344</v>
      </c>
      <c r="D3477" t="inlineStr">
        <is>
          <t>GÄVLEBORGS LÄN</t>
        </is>
      </c>
      <c r="E3477" t="inlineStr">
        <is>
          <t>GÄVLE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19109-2021</t>
        </is>
      </c>
      <c r="B3478" s="1" t="n">
        <v>44308</v>
      </c>
      <c r="C3478" s="1" t="n">
        <v>45344</v>
      </c>
      <c r="D3478" t="inlineStr">
        <is>
          <t>GÄVLEBORGS LÄN</t>
        </is>
      </c>
      <c r="E3478" t="inlineStr">
        <is>
          <t>HUDIKSVALL</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19178-2021</t>
        </is>
      </c>
      <c r="B3479" s="1" t="n">
        <v>44308</v>
      </c>
      <c r="C3479" s="1" t="n">
        <v>45344</v>
      </c>
      <c r="D3479" t="inlineStr">
        <is>
          <t>GÄVLEBORGS LÄN</t>
        </is>
      </c>
      <c r="E3479" t="inlineStr">
        <is>
          <t>GÄVLE</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19241-2021</t>
        </is>
      </c>
      <c r="B3480" s="1" t="n">
        <v>44309</v>
      </c>
      <c r="C3480" s="1" t="n">
        <v>45344</v>
      </c>
      <c r="D3480" t="inlineStr">
        <is>
          <t>GÄVLEBORGS LÄN</t>
        </is>
      </c>
      <c r="E3480" t="inlineStr">
        <is>
          <t>OCKELBO</t>
        </is>
      </c>
      <c r="F3480" t="inlineStr">
        <is>
          <t>Bergvik skog väst AB</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19264-2021</t>
        </is>
      </c>
      <c r="B3481" s="1" t="n">
        <v>44309</v>
      </c>
      <c r="C3481" s="1" t="n">
        <v>45344</v>
      </c>
      <c r="D3481" t="inlineStr">
        <is>
          <t>GÄVLEBORGS LÄN</t>
        </is>
      </c>
      <c r="E3481" t="inlineStr">
        <is>
          <t>NORDANSTIG</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19279-2021</t>
        </is>
      </c>
      <c r="B3482" s="1" t="n">
        <v>44309</v>
      </c>
      <c r="C3482" s="1" t="n">
        <v>45344</v>
      </c>
      <c r="D3482" t="inlineStr">
        <is>
          <t>GÄVLEBORGS LÄN</t>
        </is>
      </c>
      <c r="E3482" t="inlineStr">
        <is>
          <t>SANDVIKEN</t>
        </is>
      </c>
      <c r="F3482" t="inlineStr">
        <is>
          <t>Bergvik skog öst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19405-2021</t>
        </is>
      </c>
      <c r="B3483" s="1" t="n">
        <v>44309</v>
      </c>
      <c r="C3483" s="1" t="n">
        <v>45344</v>
      </c>
      <c r="D3483" t="inlineStr">
        <is>
          <t>GÄVLEBORGS LÄN</t>
        </is>
      </c>
      <c r="E3483" t="inlineStr">
        <is>
          <t>LJUSDAL</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19441-2021</t>
        </is>
      </c>
      <c r="B3484" s="1" t="n">
        <v>44310</v>
      </c>
      <c r="C3484" s="1" t="n">
        <v>45344</v>
      </c>
      <c r="D3484" t="inlineStr">
        <is>
          <t>GÄVLEBORGS LÄN</t>
        </is>
      </c>
      <c r="E3484" t="inlineStr">
        <is>
          <t>OVANÅKER</t>
        </is>
      </c>
      <c r="F3484" t="inlineStr">
        <is>
          <t>Bergvik skog väst AB</t>
        </is>
      </c>
      <c r="G3484" t="n">
        <v>6.6</v>
      </c>
      <c r="H3484" t="n">
        <v>0</v>
      </c>
      <c r="I3484" t="n">
        <v>0</v>
      </c>
      <c r="J3484" t="n">
        <v>0</v>
      </c>
      <c r="K3484" t="n">
        <v>0</v>
      </c>
      <c r="L3484" t="n">
        <v>0</v>
      </c>
      <c r="M3484" t="n">
        <v>0</v>
      </c>
      <c r="N3484" t="n">
        <v>0</v>
      </c>
      <c r="O3484" t="n">
        <v>0</v>
      </c>
      <c r="P3484" t="n">
        <v>0</v>
      </c>
      <c r="Q3484" t="n">
        <v>0</v>
      </c>
      <c r="R3484" s="2" t="inlineStr"/>
    </row>
    <row r="3485" ht="15" customHeight="1">
      <c r="A3485" t="inlineStr">
        <is>
          <t>A 19442-2021</t>
        </is>
      </c>
      <c r="B3485" s="1" t="n">
        <v>44310</v>
      </c>
      <c r="C3485" s="1" t="n">
        <v>45344</v>
      </c>
      <c r="D3485" t="inlineStr">
        <is>
          <t>GÄVLEBORGS LÄN</t>
        </is>
      </c>
      <c r="E3485" t="inlineStr">
        <is>
          <t>OVANÅKER</t>
        </is>
      </c>
      <c r="F3485" t="inlineStr">
        <is>
          <t>Bergvik skog väst AB</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19496-2021</t>
        </is>
      </c>
      <c r="B3486" s="1" t="n">
        <v>44312</v>
      </c>
      <c r="C3486" s="1" t="n">
        <v>45344</v>
      </c>
      <c r="D3486" t="inlineStr">
        <is>
          <t>GÄVLEBORGS LÄN</t>
        </is>
      </c>
      <c r="E3486" t="inlineStr">
        <is>
          <t>NORDANSTIG</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19655-2021</t>
        </is>
      </c>
      <c r="B3487" s="1" t="n">
        <v>44312</v>
      </c>
      <c r="C3487" s="1" t="n">
        <v>45344</v>
      </c>
      <c r="D3487" t="inlineStr">
        <is>
          <t>GÄVLEBORGS LÄN</t>
        </is>
      </c>
      <c r="E3487" t="inlineStr">
        <is>
          <t>HUDIKSVALL</t>
        </is>
      </c>
      <c r="F3487" t="inlineStr">
        <is>
          <t>Holmen skog AB</t>
        </is>
      </c>
      <c r="G3487" t="n">
        <v>1.7</v>
      </c>
      <c r="H3487" t="n">
        <v>0</v>
      </c>
      <c r="I3487" t="n">
        <v>0</v>
      </c>
      <c r="J3487" t="n">
        <v>0</v>
      </c>
      <c r="K3487" t="n">
        <v>0</v>
      </c>
      <c r="L3487" t="n">
        <v>0</v>
      </c>
      <c r="M3487" t="n">
        <v>0</v>
      </c>
      <c r="N3487" t="n">
        <v>0</v>
      </c>
      <c r="O3487" t="n">
        <v>0</v>
      </c>
      <c r="P3487" t="n">
        <v>0</v>
      </c>
      <c r="Q3487" t="n">
        <v>0</v>
      </c>
      <c r="R3487" s="2" t="inlineStr"/>
    </row>
    <row r="3488" ht="15" customHeight="1">
      <c r="A3488" t="inlineStr">
        <is>
          <t>A 19728-2021</t>
        </is>
      </c>
      <c r="B3488" s="1" t="n">
        <v>44313</v>
      </c>
      <c r="C3488" s="1" t="n">
        <v>45344</v>
      </c>
      <c r="D3488" t="inlineStr">
        <is>
          <t>GÄVLEBORGS LÄN</t>
        </is>
      </c>
      <c r="E3488" t="inlineStr">
        <is>
          <t>NORDANSTIG</t>
        </is>
      </c>
      <c r="G3488" t="n">
        <v>69.09999999999999</v>
      </c>
      <c r="H3488" t="n">
        <v>0</v>
      </c>
      <c r="I3488" t="n">
        <v>0</v>
      </c>
      <c r="J3488" t="n">
        <v>0</v>
      </c>
      <c r="K3488" t="n">
        <v>0</v>
      </c>
      <c r="L3488" t="n">
        <v>0</v>
      </c>
      <c r="M3488" t="n">
        <v>0</v>
      </c>
      <c r="N3488" t="n">
        <v>0</v>
      </c>
      <c r="O3488" t="n">
        <v>0</v>
      </c>
      <c r="P3488" t="n">
        <v>0</v>
      </c>
      <c r="Q3488" t="n">
        <v>0</v>
      </c>
      <c r="R3488" s="2" t="inlineStr"/>
    </row>
    <row r="3489" ht="15" customHeight="1">
      <c r="A3489" t="inlineStr">
        <is>
          <t>A 19661-2021</t>
        </is>
      </c>
      <c r="B3489" s="1" t="n">
        <v>44312</v>
      </c>
      <c r="C3489" s="1" t="n">
        <v>45344</v>
      </c>
      <c r="D3489" t="inlineStr">
        <is>
          <t>GÄVLEBORGS LÄN</t>
        </is>
      </c>
      <c r="E3489" t="inlineStr">
        <is>
          <t>OVANÅKER</t>
        </is>
      </c>
      <c r="F3489" t="inlineStr">
        <is>
          <t>Bergvik skog väst AB</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19919-2021</t>
        </is>
      </c>
      <c r="B3490" s="1" t="n">
        <v>44313</v>
      </c>
      <c r="C3490" s="1" t="n">
        <v>45344</v>
      </c>
      <c r="D3490" t="inlineStr">
        <is>
          <t>GÄVLEBORGS LÄN</t>
        </is>
      </c>
      <c r="E3490" t="inlineStr">
        <is>
          <t>OVANÅKER</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19775-2021</t>
        </is>
      </c>
      <c r="B3491" s="1" t="n">
        <v>44313</v>
      </c>
      <c r="C3491" s="1" t="n">
        <v>45344</v>
      </c>
      <c r="D3491" t="inlineStr">
        <is>
          <t>GÄVLEBORGS LÄN</t>
        </is>
      </c>
      <c r="E3491" t="inlineStr">
        <is>
          <t>BOLLNÄS</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19995-2021</t>
        </is>
      </c>
      <c r="B3492" s="1" t="n">
        <v>44313</v>
      </c>
      <c r="C3492" s="1" t="n">
        <v>45344</v>
      </c>
      <c r="D3492" t="inlineStr">
        <is>
          <t>GÄVLEBORGS LÄN</t>
        </is>
      </c>
      <c r="E3492" t="inlineStr">
        <is>
          <t>HUDIKSVALL</t>
        </is>
      </c>
      <c r="G3492" t="n">
        <v>5.7</v>
      </c>
      <c r="H3492" t="n">
        <v>0</v>
      </c>
      <c r="I3492" t="n">
        <v>0</v>
      </c>
      <c r="J3492" t="n">
        <v>0</v>
      </c>
      <c r="K3492" t="n">
        <v>0</v>
      </c>
      <c r="L3492" t="n">
        <v>0</v>
      </c>
      <c r="M3492" t="n">
        <v>0</v>
      </c>
      <c r="N3492" t="n">
        <v>0</v>
      </c>
      <c r="O3492" t="n">
        <v>0</v>
      </c>
      <c r="P3492" t="n">
        <v>0</v>
      </c>
      <c r="Q3492" t="n">
        <v>0</v>
      </c>
      <c r="R3492" s="2" t="inlineStr"/>
    </row>
    <row r="3493" ht="15" customHeight="1">
      <c r="A3493" t="inlineStr">
        <is>
          <t>A 19973-2021</t>
        </is>
      </c>
      <c r="B3493" s="1" t="n">
        <v>44313</v>
      </c>
      <c r="C3493" s="1" t="n">
        <v>45344</v>
      </c>
      <c r="D3493" t="inlineStr">
        <is>
          <t>GÄVLEBORGS LÄN</t>
        </is>
      </c>
      <c r="E3493" t="inlineStr">
        <is>
          <t>LJUSDAL</t>
        </is>
      </c>
      <c r="F3493" t="inlineStr">
        <is>
          <t>Sveaskog</t>
        </is>
      </c>
      <c r="G3493" t="n">
        <v>38.9</v>
      </c>
      <c r="H3493" t="n">
        <v>0</v>
      </c>
      <c r="I3493" t="n">
        <v>0</v>
      </c>
      <c r="J3493" t="n">
        <v>0</v>
      </c>
      <c r="K3493" t="n">
        <v>0</v>
      </c>
      <c r="L3493" t="n">
        <v>0</v>
      </c>
      <c r="M3493" t="n">
        <v>0</v>
      </c>
      <c r="N3493" t="n">
        <v>0</v>
      </c>
      <c r="O3493" t="n">
        <v>0</v>
      </c>
      <c r="P3493" t="n">
        <v>0</v>
      </c>
      <c r="Q3493" t="n">
        <v>0</v>
      </c>
      <c r="R3493" s="2" t="inlineStr"/>
    </row>
    <row r="3494" ht="15" customHeight="1">
      <c r="A3494" t="inlineStr">
        <is>
          <t>A 19976-2021</t>
        </is>
      </c>
      <c r="B3494" s="1" t="n">
        <v>44313</v>
      </c>
      <c r="C3494" s="1" t="n">
        <v>45344</v>
      </c>
      <c r="D3494" t="inlineStr">
        <is>
          <t>GÄVLEBORGS LÄN</t>
        </is>
      </c>
      <c r="E3494" t="inlineStr">
        <is>
          <t>LJUSDAL</t>
        </is>
      </c>
      <c r="F3494" t="inlineStr">
        <is>
          <t>Sveaskog</t>
        </is>
      </c>
      <c r="G3494" t="n">
        <v>40.1</v>
      </c>
      <c r="H3494" t="n">
        <v>0</v>
      </c>
      <c r="I3494" t="n">
        <v>0</v>
      </c>
      <c r="J3494" t="n">
        <v>0</v>
      </c>
      <c r="K3494" t="n">
        <v>0</v>
      </c>
      <c r="L3494" t="n">
        <v>0</v>
      </c>
      <c r="M3494" t="n">
        <v>0</v>
      </c>
      <c r="N3494" t="n">
        <v>0</v>
      </c>
      <c r="O3494" t="n">
        <v>0</v>
      </c>
      <c r="P3494" t="n">
        <v>0</v>
      </c>
      <c r="Q3494" t="n">
        <v>0</v>
      </c>
      <c r="R3494" s="2" t="inlineStr"/>
    </row>
    <row r="3495" ht="15" customHeight="1">
      <c r="A3495" t="inlineStr">
        <is>
          <t>A 20119-2021</t>
        </is>
      </c>
      <c r="B3495" s="1" t="n">
        <v>44314</v>
      </c>
      <c r="C3495" s="1" t="n">
        <v>45344</v>
      </c>
      <c r="D3495" t="inlineStr">
        <is>
          <t>GÄVLEBORGS LÄN</t>
        </is>
      </c>
      <c r="E3495" t="inlineStr">
        <is>
          <t>HOFORS</t>
        </is>
      </c>
      <c r="G3495" t="n">
        <v>3.9</v>
      </c>
      <c r="H3495" t="n">
        <v>0</v>
      </c>
      <c r="I3495" t="n">
        <v>0</v>
      </c>
      <c r="J3495" t="n">
        <v>0</v>
      </c>
      <c r="K3495" t="n">
        <v>0</v>
      </c>
      <c r="L3495" t="n">
        <v>0</v>
      </c>
      <c r="M3495" t="n">
        <v>0</v>
      </c>
      <c r="N3495" t="n">
        <v>0</v>
      </c>
      <c r="O3495" t="n">
        <v>0</v>
      </c>
      <c r="P3495" t="n">
        <v>0</v>
      </c>
      <c r="Q3495" t="n">
        <v>0</v>
      </c>
      <c r="R3495" s="2" t="inlineStr"/>
    </row>
    <row r="3496" ht="15" customHeight="1">
      <c r="A3496" t="inlineStr">
        <is>
          <t>A 20021-2021</t>
        </is>
      </c>
      <c r="B3496" s="1" t="n">
        <v>44314</v>
      </c>
      <c r="C3496" s="1" t="n">
        <v>45344</v>
      </c>
      <c r="D3496" t="inlineStr">
        <is>
          <t>GÄVLEBORGS LÄN</t>
        </is>
      </c>
      <c r="E3496" t="inlineStr">
        <is>
          <t>BOLLNÄS</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20058-2021</t>
        </is>
      </c>
      <c r="B3497" s="1" t="n">
        <v>44314</v>
      </c>
      <c r="C3497" s="1" t="n">
        <v>45344</v>
      </c>
      <c r="D3497" t="inlineStr">
        <is>
          <t>GÄVLEBORGS LÄN</t>
        </is>
      </c>
      <c r="E3497" t="inlineStr">
        <is>
          <t>LJUSDAL</t>
        </is>
      </c>
      <c r="F3497" t="inlineStr">
        <is>
          <t>Sveaskog</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20089-2021</t>
        </is>
      </c>
      <c r="B3498" s="1" t="n">
        <v>44314</v>
      </c>
      <c r="C3498" s="1" t="n">
        <v>45344</v>
      </c>
      <c r="D3498" t="inlineStr">
        <is>
          <t>GÄVLEBORGS LÄN</t>
        </is>
      </c>
      <c r="E3498" t="inlineStr">
        <is>
          <t>OVANÅKER</t>
        </is>
      </c>
      <c r="F3498" t="inlineStr">
        <is>
          <t>Sveaskog</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20112-2021</t>
        </is>
      </c>
      <c r="B3499" s="1" t="n">
        <v>44314</v>
      </c>
      <c r="C3499" s="1" t="n">
        <v>45344</v>
      </c>
      <c r="D3499" t="inlineStr">
        <is>
          <t>GÄVLEBORGS LÄN</t>
        </is>
      </c>
      <c r="E3499" t="inlineStr">
        <is>
          <t>LJUSDAL</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20205-2021</t>
        </is>
      </c>
      <c r="B3500" s="1" t="n">
        <v>44314</v>
      </c>
      <c r="C3500" s="1" t="n">
        <v>45344</v>
      </c>
      <c r="D3500" t="inlineStr">
        <is>
          <t>GÄVLEBORGS LÄN</t>
        </is>
      </c>
      <c r="E3500" t="inlineStr">
        <is>
          <t>BOLLNÄS</t>
        </is>
      </c>
      <c r="G3500" t="n">
        <v>4.3</v>
      </c>
      <c r="H3500" t="n">
        <v>0</v>
      </c>
      <c r="I3500" t="n">
        <v>0</v>
      </c>
      <c r="J3500" t="n">
        <v>0</v>
      </c>
      <c r="K3500" t="n">
        <v>0</v>
      </c>
      <c r="L3500" t="n">
        <v>0</v>
      </c>
      <c r="M3500" t="n">
        <v>0</v>
      </c>
      <c r="N3500" t="n">
        <v>0</v>
      </c>
      <c r="O3500" t="n">
        <v>0</v>
      </c>
      <c r="P3500" t="n">
        <v>0</v>
      </c>
      <c r="Q3500" t="n">
        <v>0</v>
      </c>
      <c r="R3500" s="2" t="inlineStr"/>
    </row>
    <row r="3501" ht="15" customHeight="1">
      <c r="A3501" t="inlineStr">
        <is>
          <t>A 20018-2021</t>
        </is>
      </c>
      <c r="B3501" s="1" t="n">
        <v>44314</v>
      </c>
      <c r="C3501" s="1" t="n">
        <v>45344</v>
      </c>
      <c r="D3501" t="inlineStr">
        <is>
          <t>GÄVLEBORGS LÄN</t>
        </is>
      </c>
      <c r="E3501" t="inlineStr">
        <is>
          <t>BOLLNÄS</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20101-2021</t>
        </is>
      </c>
      <c r="B3502" s="1" t="n">
        <v>44314</v>
      </c>
      <c r="C3502" s="1" t="n">
        <v>45344</v>
      </c>
      <c r="D3502" t="inlineStr">
        <is>
          <t>GÄVLEBORGS LÄN</t>
        </is>
      </c>
      <c r="E3502" t="inlineStr">
        <is>
          <t>OVANÅKER</t>
        </is>
      </c>
      <c r="F3502" t="inlineStr">
        <is>
          <t>Sveaskog</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20017-2021</t>
        </is>
      </c>
      <c r="B3503" s="1" t="n">
        <v>44314</v>
      </c>
      <c r="C3503" s="1" t="n">
        <v>45344</v>
      </c>
      <c r="D3503" t="inlineStr">
        <is>
          <t>GÄVLEBORGS LÄN</t>
        </is>
      </c>
      <c r="E3503" t="inlineStr">
        <is>
          <t>BOLLNÄS</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20095-2021</t>
        </is>
      </c>
      <c r="B3504" s="1" t="n">
        <v>44314</v>
      </c>
      <c r="C3504" s="1" t="n">
        <v>45344</v>
      </c>
      <c r="D3504" t="inlineStr">
        <is>
          <t>GÄVLEBORGS LÄN</t>
        </is>
      </c>
      <c r="E3504" t="inlineStr">
        <is>
          <t>OVANÅKER</t>
        </is>
      </c>
      <c r="F3504" t="inlineStr">
        <is>
          <t>Sveaskog</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20108-2021</t>
        </is>
      </c>
      <c r="B3505" s="1" t="n">
        <v>44314</v>
      </c>
      <c r="C3505" s="1" t="n">
        <v>45344</v>
      </c>
      <c r="D3505" t="inlineStr">
        <is>
          <t>GÄVLEBORGS LÄN</t>
        </is>
      </c>
      <c r="E3505" t="inlineStr">
        <is>
          <t>OVANÅKER</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20193-2021</t>
        </is>
      </c>
      <c r="B3506" s="1" t="n">
        <v>44314</v>
      </c>
      <c r="C3506" s="1" t="n">
        <v>45344</v>
      </c>
      <c r="D3506" t="inlineStr">
        <is>
          <t>GÄVLEBORGS LÄN</t>
        </is>
      </c>
      <c r="E3506" t="inlineStr">
        <is>
          <t>BOLLNÄS</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20020-2021</t>
        </is>
      </c>
      <c r="B3507" s="1" t="n">
        <v>44314</v>
      </c>
      <c r="C3507" s="1" t="n">
        <v>45344</v>
      </c>
      <c r="D3507" t="inlineStr">
        <is>
          <t>GÄVLEBORGS LÄN</t>
        </is>
      </c>
      <c r="E3507" t="inlineStr">
        <is>
          <t>BOLLNÄS</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20409-2021</t>
        </is>
      </c>
      <c r="B3508" s="1" t="n">
        <v>44315</v>
      </c>
      <c r="C3508" s="1" t="n">
        <v>45344</v>
      </c>
      <c r="D3508" t="inlineStr">
        <is>
          <t>GÄVLEBORGS LÄN</t>
        </is>
      </c>
      <c r="E3508" t="inlineStr">
        <is>
          <t>HUDIKSVALL</t>
        </is>
      </c>
      <c r="F3508" t="inlineStr">
        <is>
          <t>Holmen skog AB</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20356-2021</t>
        </is>
      </c>
      <c r="B3509" s="1" t="n">
        <v>44315</v>
      </c>
      <c r="C3509" s="1" t="n">
        <v>45344</v>
      </c>
      <c r="D3509" t="inlineStr">
        <is>
          <t>GÄVLEBORGS LÄN</t>
        </is>
      </c>
      <c r="E3509" t="inlineStr">
        <is>
          <t>OVANÅKER</t>
        </is>
      </c>
      <c r="G3509" t="n">
        <v>4</v>
      </c>
      <c r="H3509" t="n">
        <v>0</v>
      </c>
      <c r="I3509" t="n">
        <v>0</v>
      </c>
      <c r="J3509" t="n">
        <v>0</v>
      </c>
      <c r="K3509" t="n">
        <v>0</v>
      </c>
      <c r="L3509" t="n">
        <v>0</v>
      </c>
      <c r="M3509" t="n">
        <v>0</v>
      </c>
      <c r="N3509" t="n">
        <v>0</v>
      </c>
      <c r="O3509" t="n">
        <v>0</v>
      </c>
      <c r="P3509" t="n">
        <v>0</v>
      </c>
      <c r="Q3509" t="n">
        <v>0</v>
      </c>
      <c r="R3509" s="2" t="inlineStr"/>
    </row>
    <row r="3510" ht="15" customHeight="1">
      <c r="A3510" t="inlineStr">
        <is>
          <t>A 20632-2021</t>
        </is>
      </c>
      <c r="B3510" s="1" t="n">
        <v>44316</v>
      </c>
      <c r="C3510" s="1" t="n">
        <v>45344</v>
      </c>
      <c r="D3510" t="inlineStr">
        <is>
          <t>GÄVLEBORGS LÄN</t>
        </is>
      </c>
      <c r="E3510" t="inlineStr">
        <is>
          <t>GÄVLE</t>
        </is>
      </c>
      <c r="F3510" t="inlineStr">
        <is>
          <t>Kyrkan</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20616-2021</t>
        </is>
      </c>
      <c r="B3511" s="1" t="n">
        <v>44316</v>
      </c>
      <c r="C3511" s="1" t="n">
        <v>45344</v>
      </c>
      <c r="D3511" t="inlineStr">
        <is>
          <t>GÄVLEBORGS LÄN</t>
        </is>
      </c>
      <c r="E3511" t="inlineStr">
        <is>
          <t>HUDIKSVALL</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20657-2021</t>
        </is>
      </c>
      <c r="B3512" s="1" t="n">
        <v>44316</v>
      </c>
      <c r="C3512" s="1" t="n">
        <v>45344</v>
      </c>
      <c r="D3512" t="inlineStr">
        <is>
          <t>GÄVLEBORGS LÄN</t>
        </is>
      </c>
      <c r="E3512" t="inlineStr">
        <is>
          <t>GÄVLE</t>
        </is>
      </c>
      <c r="F3512" t="inlineStr">
        <is>
          <t>Kyrkan</t>
        </is>
      </c>
      <c r="G3512" t="n">
        <v>2.3</v>
      </c>
      <c r="H3512" t="n">
        <v>0</v>
      </c>
      <c r="I3512" t="n">
        <v>0</v>
      </c>
      <c r="J3512" t="n">
        <v>0</v>
      </c>
      <c r="K3512" t="n">
        <v>0</v>
      </c>
      <c r="L3512" t="n">
        <v>0</v>
      </c>
      <c r="M3512" t="n">
        <v>0</v>
      </c>
      <c r="N3512" t="n">
        <v>0</v>
      </c>
      <c r="O3512" t="n">
        <v>0</v>
      </c>
      <c r="P3512" t="n">
        <v>0</v>
      </c>
      <c r="Q3512" t="n">
        <v>0</v>
      </c>
      <c r="R3512" s="2" t="inlineStr"/>
    </row>
    <row r="3513" ht="15" customHeight="1">
      <c r="A3513" t="inlineStr">
        <is>
          <t>A 20643-2021</t>
        </is>
      </c>
      <c r="B3513" s="1" t="n">
        <v>44316</v>
      </c>
      <c r="C3513" s="1" t="n">
        <v>45344</v>
      </c>
      <c r="D3513" t="inlineStr">
        <is>
          <t>GÄVLEBORGS LÄN</t>
        </is>
      </c>
      <c r="E3513" t="inlineStr">
        <is>
          <t>BOLLNÄS</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20647-2021</t>
        </is>
      </c>
      <c r="B3514" s="1" t="n">
        <v>44316</v>
      </c>
      <c r="C3514" s="1" t="n">
        <v>45344</v>
      </c>
      <c r="D3514" t="inlineStr">
        <is>
          <t>GÄVLEBORGS LÄN</t>
        </is>
      </c>
      <c r="E3514" t="inlineStr">
        <is>
          <t>BOLLNÄS</t>
        </is>
      </c>
      <c r="F3514" t="inlineStr">
        <is>
          <t>Sveaskog</t>
        </is>
      </c>
      <c r="G3514" t="n">
        <v>4.6</v>
      </c>
      <c r="H3514" t="n">
        <v>0</v>
      </c>
      <c r="I3514" t="n">
        <v>0</v>
      </c>
      <c r="J3514" t="n">
        <v>0</v>
      </c>
      <c r="K3514" t="n">
        <v>0</v>
      </c>
      <c r="L3514" t="n">
        <v>0</v>
      </c>
      <c r="M3514" t="n">
        <v>0</v>
      </c>
      <c r="N3514" t="n">
        <v>0</v>
      </c>
      <c r="O3514" t="n">
        <v>0</v>
      </c>
      <c r="P3514" t="n">
        <v>0</v>
      </c>
      <c r="Q3514" t="n">
        <v>0</v>
      </c>
      <c r="R3514" s="2" t="inlineStr"/>
    </row>
    <row r="3515" ht="15" customHeight="1">
      <c r="A3515" t="inlineStr">
        <is>
          <t>A 20708-2021</t>
        </is>
      </c>
      <c r="B3515" s="1" t="n">
        <v>44316</v>
      </c>
      <c r="C3515" s="1" t="n">
        <v>45344</v>
      </c>
      <c r="D3515" t="inlineStr">
        <is>
          <t>GÄVLEBORGS LÄN</t>
        </is>
      </c>
      <c r="E3515" t="inlineStr">
        <is>
          <t>HUDIKSVALL</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20780-2021</t>
        </is>
      </c>
      <c r="B3516" s="1" t="n">
        <v>44316</v>
      </c>
      <c r="C3516" s="1" t="n">
        <v>45344</v>
      </c>
      <c r="D3516" t="inlineStr">
        <is>
          <t>GÄVLEBORGS LÄN</t>
        </is>
      </c>
      <c r="E3516" t="inlineStr">
        <is>
          <t>SANDVIKEN</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20742-2021</t>
        </is>
      </c>
      <c r="B3517" s="1" t="n">
        <v>44316</v>
      </c>
      <c r="C3517" s="1" t="n">
        <v>45344</v>
      </c>
      <c r="D3517" t="inlineStr">
        <is>
          <t>GÄVLEBORGS LÄN</t>
        </is>
      </c>
      <c r="E3517" t="inlineStr">
        <is>
          <t>BOLLNÄS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21004-2021</t>
        </is>
      </c>
      <c r="B3518" s="1" t="n">
        <v>44319</v>
      </c>
      <c r="C3518" s="1" t="n">
        <v>45344</v>
      </c>
      <c r="D3518" t="inlineStr">
        <is>
          <t>GÄVLEBORGS LÄN</t>
        </is>
      </c>
      <c r="E3518" t="inlineStr">
        <is>
          <t>GÄVLE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20906-2021</t>
        </is>
      </c>
      <c r="B3519" s="1" t="n">
        <v>44319</v>
      </c>
      <c r="C3519" s="1" t="n">
        <v>45344</v>
      </c>
      <c r="D3519" t="inlineStr">
        <is>
          <t>GÄVLEBORGS LÄN</t>
        </is>
      </c>
      <c r="E3519" t="inlineStr">
        <is>
          <t>BOLLNÄS</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20934-2021</t>
        </is>
      </c>
      <c r="B3520" s="1" t="n">
        <v>44319</v>
      </c>
      <c r="C3520" s="1" t="n">
        <v>45344</v>
      </c>
      <c r="D3520" t="inlineStr">
        <is>
          <t>GÄVLEBORGS LÄN</t>
        </is>
      </c>
      <c r="E3520" t="inlineStr">
        <is>
          <t>SANDVIKEN</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20995-2021</t>
        </is>
      </c>
      <c r="B3521" s="1" t="n">
        <v>44319</v>
      </c>
      <c r="C3521" s="1" t="n">
        <v>45344</v>
      </c>
      <c r="D3521" t="inlineStr">
        <is>
          <t>GÄVLEBORGS LÄN</t>
        </is>
      </c>
      <c r="E3521" t="inlineStr">
        <is>
          <t>NORDANSTIG</t>
        </is>
      </c>
      <c r="F3521" t="inlineStr">
        <is>
          <t>Holmen skog AB</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21175-2021</t>
        </is>
      </c>
      <c r="B3522" s="1" t="n">
        <v>44320</v>
      </c>
      <c r="C3522" s="1" t="n">
        <v>45344</v>
      </c>
      <c r="D3522" t="inlineStr">
        <is>
          <t>GÄVLEBORGS LÄN</t>
        </is>
      </c>
      <c r="E3522" t="inlineStr">
        <is>
          <t>NORDANSTIG</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21259-2021</t>
        </is>
      </c>
      <c r="B3523" s="1" t="n">
        <v>44320</v>
      </c>
      <c r="C3523" s="1" t="n">
        <v>45344</v>
      </c>
      <c r="D3523" t="inlineStr">
        <is>
          <t>GÄVLEBORGS LÄN</t>
        </is>
      </c>
      <c r="E3523" t="inlineStr">
        <is>
          <t>LJUSDAL</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21552-2021</t>
        </is>
      </c>
      <c r="B3524" s="1" t="n">
        <v>44321</v>
      </c>
      <c r="C3524" s="1" t="n">
        <v>45344</v>
      </c>
      <c r="D3524" t="inlineStr">
        <is>
          <t>GÄVLEBORGS LÄN</t>
        </is>
      </c>
      <c r="E3524" t="inlineStr">
        <is>
          <t>GÄVLE</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21547-2021</t>
        </is>
      </c>
      <c r="B3525" s="1" t="n">
        <v>44321</v>
      </c>
      <c r="C3525" s="1" t="n">
        <v>45344</v>
      </c>
      <c r="D3525" t="inlineStr">
        <is>
          <t>GÄVLEBORGS LÄN</t>
        </is>
      </c>
      <c r="E3525" t="inlineStr">
        <is>
          <t>BOLLNÄS</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21557-2021</t>
        </is>
      </c>
      <c r="B3526" s="1" t="n">
        <v>44321</v>
      </c>
      <c r="C3526" s="1" t="n">
        <v>45344</v>
      </c>
      <c r="D3526" t="inlineStr">
        <is>
          <t>GÄVLEBORGS LÄN</t>
        </is>
      </c>
      <c r="E3526" t="inlineStr">
        <is>
          <t>GÄVLE</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21610-2021</t>
        </is>
      </c>
      <c r="B3527" s="1" t="n">
        <v>44321</v>
      </c>
      <c r="C3527" s="1" t="n">
        <v>45344</v>
      </c>
      <c r="D3527" t="inlineStr">
        <is>
          <t>GÄVLEBORGS LÄN</t>
        </is>
      </c>
      <c r="E3527" t="inlineStr">
        <is>
          <t>SANDVIKEN</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21697-2021</t>
        </is>
      </c>
      <c r="B3528" s="1" t="n">
        <v>44322</v>
      </c>
      <c r="C3528" s="1" t="n">
        <v>45344</v>
      </c>
      <c r="D3528" t="inlineStr">
        <is>
          <t>GÄVLEBORGS LÄN</t>
        </is>
      </c>
      <c r="E3528" t="inlineStr">
        <is>
          <t>SANDVIKEN</t>
        </is>
      </c>
      <c r="F3528" t="inlineStr">
        <is>
          <t>Bergvik skog öst AB</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21709-2021</t>
        </is>
      </c>
      <c r="B3529" s="1" t="n">
        <v>44322</v>
      </c>
      <c r="C3529" s="1" t="n">
        <v>45344</v>
      </c>
      <c r="D3529" t="inlineStr">
        <is>
          <t>GÄVLEBORGS LÄN</t>
        </is>
      </c>
      <c r="E3529" t="inlineStr">
        <is>
          <t>OVANÅKER</t>
        </is>
      </c>
      <c r="F3529" t="inlineStr">
        <is>
          <t>Bergvik skog väst AB</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21720-2021</t>
        </is>
      </c>
      <c r="B3530" s="1" t="n">
        <v>44322</v>
      </c>
      <c r="C3530" s="1" t="n">
        <v>45344</v>
      </c>
      <c r="D3530" t="inlineStr">
        <is>
          <t>GÄVLEBORGS LÄN</t>
        </is>
      </c>
      <c r="E3530" t="inlineStr">
        <is>
          <t>LJUSDAL</t>
        </is>
      </c>
      <c r="F3530" t="inlineStr">
        <is>
          <t>Sveaskog</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21751-2021</t>
        </is>
      </c>
      <c r="B3531" s="1" t="n">
        <v>44322</v>
      </c>
      <c r="C3531" s="1" t="n">
        <v>45344</v>
      </c>
      <c r="D3531" t="inlineStr">
        <is>
          <t>GÄVLEBORGS LÄN</t>
        </is>
      </c>
      <c r="E3531" t="inlineStr">
        <is>
          <t>LJUSDAL</t>
        </is>
      </c>
      <c r="F3531" t="inlineStr">
        <is>
          <t>Bergvik skog väst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21781-2021</t>
        </is>
      </c>
      <c r="B3532" s="1" t="n">
        <v>44322</v>
      </c>
      <c r="C3532" s="1" t="n">
        <v>45344</v>
      </c>
      <c r="D3532" t="inlineStr">
        <is>
          <t>GÄVLEBORGS LÄN</t>
        </is>
      </c>
      <c r="E3532" t="inlineStr">
        <is>
          <t>LJUSDAL</t>
        </is>
      </c>
      <c r="F3532" t="inlineStr">
        <is>
          <t>Sveaskog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21659-2021</t>
        </is>
      </c>
      <c r="B3533" s="1" t="n">
        <v>44322</v>
      </c>
      <c r="C3533" s="1" t="n">
        <v>45344</v>
      </c>
      <c r="D3533" t="inlineStr">
        <is>
          <t>GÄVLEBORGS LÄN</t>
        </is>
      </c>
      <c r="E3533" t="inlineStr">
        <is>
          <t>SÖDERHAMN</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21688-2021</t>
        </is>
      </c>
      <c r="B3534" s="1" t="n">
        <v>44322</v>
      </c>
      <c r="C3534" s="1" t="n">
        <v>45344</v>
      </c>
      <c r="D3534" t="inlineStr">
        <is>
          <t>GÄVLEBORGS LÄN</t>
        </is>
      </c>
      <c r="E3534" t="inlineStr">
        <is>
          <t>HUDIKSVALL</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21696-2021</t>
        </is>
      </c>
      <c r="B3535" s="1" t="n">
        <v>44322</v>
      </c>
      <c r="C3535" s="1" t="n">
        <v>45344</v>
      </c>
      <c r="D3535" t="inlineStr">
        <is>
          <t>GÄVLEBORGS LÄN</t>
        </is>
      </c>
      <c r="E3535" t="inlineStr">
        <is>
          <t>LJUSDAL</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21708-2021</t>
        </is>
      </c>
      <c r="B3536" s="1" t="n">
        <v>44322</v>
      </c>
      <c r="C3536" s="1" t="n">
        <v>45344</v>
      </c>
      <c r="D3536" t="inlineStr">
        <is>
          <t>GÄVLEBORGS LÄN</t>
        </is>
      </c>
      <c r="E3536" t="inlineStr">
        <is>
          <t>LJUSDAL</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21750-2021</t>
        </is>
      </c>
      <c r="B3537" s="1" t="n">
        <v>44322</v>
      </c>
      <c r="C3537" s="1" t="n">
        <v>45344</v>
      </c>
      <c r="D3537" t="inlineStr">
        <is>
          <t>GÄVLEBORGS LÄN</t>
        </is>
      </c>
      <c r="E3537" t="inlineStr">
        <is>
          <t>LJUSDAL</t>
        </is>
      </c>
      <c r="F3537" t="inlineStr">
        <is>
          <t>Bergvik skog väst AB</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21724-2021</t>
        </is>
      </c>
      <c r="B3538" s="1" t="n">
        <v>44322</v>
      </c>
      <c r="C3538" s="1" t="n">
        <v>45344</v>
      </c>
      <c r="D3538" t="inlineStr">
        <is>
          <t>GÄVLEBORGS LÄN</t>
        </is>
      </c>
      <c r="E3538" t="inlineStr">
        <is>
          <t>LJUSDAL</t>
        </is>
      </c>
      <c r="F3538" t="inlineStr">
        <is>
          <t>Sveaskog</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22012-2021</t>
        </is>
      </c>
      <c r="B3539" s="1" t="n">
        <v>44323</v>
      </c>
      <c r="C3539" s="1" t="n">
        <v>45344</v>
      </c>
      <c r="D3539" t="inlineStr">
        <is>
          <t>GÄVLEBORGS LÄN</t>
        </is>
      </c>
      <c r="E3539" t="inlineStr">
        <is>
          <t>LJUSDAL</t>
        </is>
      </c>
      <c r="F3539" t="inlineStr">
        <is>
          <t>Sveaskog</t>
        </is>
      </c>
      <c r="G3539" t="n">
        <v>8.1</v>
      </c>
      <c r="H3539" t="n">
        <v>0</v>
      </c>
      <c r="I3539" t="n">
        <v>0</v>
      </c>
      <c r="J3539" t="n">
        <v>0</v>
      </c>
      <c r="K3539" t="n">
        <v>0</v>
      </c>
      <c r="L3539" t="n">
        <v>0</v>
      </c>
      <c r="M3539" t="n">
        <v>0</v>
      </c>
      <c r="N3539" t="n">
        <v>0</v>
      </c>
      <c r="O3539" t="n">
        <v>0</v>
      </c>
      <c r="P3539" t="n">
        <v>0</v>
      </c>
      <c r="Q3539" t="n">
        <v>0</v>
      </c>
      <c r="R3539" s="2" t="inlineStr"/>
    </row>
    <row r="3540" ht="15" customHeight="1">
      <c r="A3540" t="inlineStr">
        <is>
          <t>A 22013-2021</t>
        </is>
      </c>
      <c r="B3540" s="1" t="n">
        <v>44323</v>
      </c>
      <c r="C3540" s="1" t="n">
        <v>45344</v>
      </c>
      <c r="D3540" t="inlineStr">
        <is>
          <t>GÄVLEBORGS LÄN</t>
        </is>
      </c>
      <c r="E3540" t="inlineStr">
        <is>
          <t>LJUSDAL</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21984-2021</t>
        </is>
      </c>
      <c r="B3541" s="1" t="n">
        <v>44323</v>
      </c>
      <c r="C3541" s="1" t="n">
        <v>45344</v>
      </c>
      <c r="D3541" t="inlineStr">
        <is>
          <t>GÄVLEBORGS LÄN</t>
        </is>
      </c>
      <c r="E3541" t="inlineStr">
        <is>
          <t>LJUSDAL</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22040-2021</t>
        </is>
      </c>
      <c r="B3542" s="1" t="n">
        <v>44323</v>
      </c>
      <c r="C3542" s="1" t="n">
        <v>45344</v>
      </c>
      <c r="D3542" t="inlineStr">
        <is>
          <t>GÄVLEBORGS LÄN</t>
        </is>
      </c>
      <c r="E3542" t="inlineStr">
        <is>
          <t>OCKELBO</t>
        </is>
      </c>
      <c r="F3542" t="inlineStr">
        <is>
          <t>Bergvik skog väst AB</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22304-2021</t>
        </is>
      </c>
      <c r="B3543" s="1" t="n">
        <v>44326</v>
      </c>
      <c r="C3543" s="1" t="n">
        <v>45344</v>
      </c>
      <c r="D3543" t="inlineStr">
        <is>
          <t>GÄVLEBORGS LÄN</t>
        </is>
      </c>
      <c r="E3543" t="inlineStr">
        <is>
          <t>LJUSDAL</t>
        </is>
      </c>
      <c r="F3543" t="inlineStr">
        <is>
          <t>Holmen skog AB</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22354-2021</t>
        </is>
      </c>
      <c r="B3544" s="1" t="n">
        <v>44326</v>
      </c>
      <c r="C3544" s="1" t="n">
        <v>45344</v>
      </c>
      <c r="D3544" t="inlineStr">
        <is>
          <t>GÄVLEBORGS LÄN</t>
        </is>
      </c>
      <c r="E3544" t="inlineStr">
        <is>
          <t>SÖDERHAMN</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22206-2021</t>
        </is>
      </c>
      <c r="B3545" s="1" t="n">
        <v>44326</v>
      </c>
      <c r="C3545" s="1" t="n">
        <v>45344</v>
      </c>
      <c r="D3545" t="inlineStr">
        <is>
          <t>GÄVLEBORGS LÄN</t>
        </is>
      </c>
      <c r="E3545" t="inlineStr">
        <is>
          <t>LJUSDAL</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22262-2021</t>
        </is>
      </c>
      <c r="B3546" s="1" t="n">
        <v>44326</v>
      </c>
      <c r="C3546" s="1" t="n">
        <v>45344</v>
      </c>
      <c r="D3546" t="inlineStr">
        <is>
          <t>GÄVLEBORGS LÄN</t>
        </is>
      </c>
      <c r="E3546" t="inlineStr">
        <is>
          <t>SÖDERHAMN</t>
        </is>
      </c>
      <c r="F3546" t="inlineStr">
        <is>
          <t>Bergvik skog väst AB</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22334-2021</t>
        </is>
      </c>
      <c r="B3547" s="1" t="n">
        <v>44326</v>
      </c>
      <c r="C3547" s="1" t="n">
        <v>45344</v>
      </c>
      <c r="D3547" t="inlineStr">
        <is>
          <t>GÄVLEBORGS LÄN</t>
        </is>
      </c>
      <c r="E3547" t="inlineStr">
        <is>
          <t>BOLLNÄS</t>
        </is>
      </c>
      <c r="F3547" t="inlineStr">
        <is>
          <t>Sveaskog</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22239-2021</t>
        </is>
      </c>
      <c r="B3548" s="1" t="n">
        <v>44326</v>
      </c>
      <c r="C3548" s="1" t="n">
        <v>45344</v>
      </c>
      <c r="D3548" t="inlineStr">
        <is>
          <t>GÄVLEBORGS LÄN</t>
        </is>
      </c>
      <c r="E3548" t="inlineStr">
        <is>
          <t>LJUSDAL</t>
        </is>
      </c>
      <c r="G3548" t="n">
        <v>13.9</v>
      </c>
      <c r="H3548" t="n">
        <v>0</v>
      </c>
      <c r="I3548" t="n">
        <v>0</v>
      </c>
      <c r="J3548" t="n">
        <v>0</v>
      </c>
      <c r="K3548" t="n">
        <v>0</v>
      </c>
      <c r="L3548" t="n">
        <v>0</v>
      </c>
      <c r="M3548" t="n">
        <v>0</v>
      </c>
      <c r="N3548" t="n">
        <v>0</v>
      </c>
      <c r="O3548" t="n">
        <v>0</v>
      </c>
      <c r="P3548" t="n">
        <v>0</v>
      </c>
      <c r="Q3548" t="n">
        <v>0</v>
      </c>
      <c r="R3548" s="2" t="inlineStr"/>
    </row>
    <row r="3549" ht="15" customHeight="1">
      <c r="A3549" t="inlineStr">
        <is>
          <t>A 22442-2021</t>
        </is>
      </c>
      <c r="B3549" s="1" t="n">
        <v>44326</v>
      </c>
      <c r="C3549" s="1" t="n">
        <v>45344</v>
      </c>
      <c r="D3549" t="inlineStr">
        <is>
          <t>GÄVLEBORGS LÄN</t>
        </is>
      </c>
      <c r="E3549" t="inlineStr">
        <is>
          <t>HUDIKSVALL</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22465-2021</t>
        </is>
      </c>
      <c r="B3550" s="1" t="n">
        <v>44326</v>
      </c>
      <c r="C3550" s="1" t="n">
        <v>45344</v>
      </c>
      <c r="D3550" t="inlineStr">
        <is>
          <t>GÄVLEBORGS LÄN</t>
        </is>
      </c>
      <c r="E3550" t="inlineStr">
        <is>
          <t>HUDIKSVALL</t>
        </is>
      </c>
      <c r="F3550" t="inlineStr">
        <is>
          <t>Holmen skog AB</t>
        </is>
      </c>
      <c r="G3550" t="n">
        <v>8</v>
      </c>
      <c r="H3550" t="n">
        <v>0</v>
      </c>
      <c r="I3550" t="n">
        <v>0</v>
      </c>
      <c r="J3550" t="n">
        <v>0</v>
      </c>
      <c r="K3550" t="n">
        <v>0</v>
      </c>
      <c r="L3550" t="n">
        <v>0</v>
      </c>
      <c r="M3550" t="n">
        <v>0</v>
      </c>
      <c r="N3550" t="n">
        <v>0</v>
      </c>
      <c r="O3550" t="n">
        <v>0</v>
      </c>
      <c r="P3550" t="n">
        <v>0</v>
      </c>
      <c r="Q3550" t="n">
        <v>0</v>
      </c>
      <c r="R3550" s="2" t="inlineStr"/>
    </row>
    <row r="3551" ht="15" customHeight="1">
      <c r="A3551" t="inlineStr">
        <is>
          <t>A 22440-2021</t>
        </is>
      </c>
      <c r="B3551" s="1" t="n">
        <v>44326</v>
      </c>
      <c r="C3551" s="1" t="n">
        <v>45344</v>
      </c>
      <c r="D3551" t="inlineStr">
        <is>
          <t>GÄVLEBORGS LÄN</t>
        </is>
      </c>
      <c r="E3551" t="inlineStr">
        <is>
          <t>SÖDERHAMN</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22422-2021</t>
        </is>
      </c>
      <c r="B3552" s="1" t="n">
        <v>44326</v>
      </c>
      <c r="C3552" s="1" t="n">
        <v>45344</v>
      </c>
      <c r="D3552" t="inlineStr">
        <is>
          <t>GÄVLEBORGS LÄN</t>
        </is>
      </c>
      <c r="E3552" t="inlineStr">
        <is>
          <t>GÄVLE</t>
        </is>
      </c>
      <c r="F3552" t="inlineStr">
        <is>
          <t>Bergvik skog öst AB</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22416-2021</t>
        </is>
      </c>
      <c r="B3553" s="1" t="n">
        <v>44326</v>
      </c>
      <c r="C3553" s="1" t="n">
        <v>45344</v>
      </c>
      <c r="D3553" t="inlineStr">
        <is>
          <t>GÄVLEBORGS LÄN</t>
        </is>
      </c>
      <c r="E3553" t="inlineStr">
        <is>
          <t>OVANÅKER</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22581-2021</t>
        </is>
      </c>
      <c r="B3554" s="1" t="n">
        <v>44327</v>
      </c>
      <c r="C3554" s="1" t="n">
        <v>45344</v>
      </c>
      <c r="D3554" t="inlineStr">
        <is>
          <t>GÄVLEBORGS LÄN</t>
        </is>
      </c>
      <c r="E3554" t="inlineStr">
        <is>
          <t>OCKELBO</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22587-2021</t>
        </is>
      </c>
      <c r="B3555" s="1" t="n">
        <v>44327</v>
      </c>
      <c r="C3555" s="1" t="n">
        <v>45344</v>
      </c>
      <c r="D3555" t="inlineStr">
        <is>
          <t>GÄVLEBORGS LÄN</t>
        </is>
      </c>
      <c r="E3555" t="inlineStr">
        <is>
          <t>OCKELBO</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22756-2021</t>
        </is>
      </c>
      <c r="B3556" s="1" t="n">
        <v>44327</v>
      </c>
      <c r="C3556" s="1" t="n">
        <v>45344</v>
      </c>
      <c r="D3556" t="inlineStr">
        <is>
          <t>GÄVLEBORGS LÄN</t>
        </is>
      </c>
      <c r="E3556" t="inlineStr">
        <is>
          <t>LJUSDAL</t>
        </is>
      </c>
      <c r="F3556" t="inlineStr">
        <is>
          <t>Sveaskog</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22583-2021</t>
        </is>
      </c>
      <c r="B3557" s="1" t="n">
        <v>44327</v>
      </c>
      <c r="C3557" s="1" t="n">
        <v>45344</v>
      </c>
      <c r="D3557" t="inlineStr">
        <is>
          <t>GÄVLEBORGS LÄN</t>
        </is>
      </c>
      <c r="E3557" t="inlineStr">
        <is>
          <t>OCKELBO</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22758-2021</t>
        </is>
      </c>
      <c r="B3558" s="1" t="n">
        <v>44327</v>
      </c>
      <c r="C3558" s="1" t="n">
        <v>45344</v>
      </c>
      <c r="D3558" t="inlineStr">
        <is>
          <t>GÄVLEBORGS LÄN</t>
        </is>
      </c>
      <c r="E3558" t="inlineStr">
        <is>
          <t>LJUSDAL</t>
        </is>
      </c>
      <c r="F3558" t="inlineStr">
        <is>
          <t>Sveaskog</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22580-2021</t>
        </is>
      </c>
      <c r="B3559" s="1" t="n">
        <v>44327</v>
      </c>
      <c r="C3559" s="1" t="n">
        <v>45344</v>
      </c>
      <c r="D3559" t="inlineStr">
        <is>
          <t>GÄVLEBORGS LÄN</t>
        </is>
      </c>
      <c r="E3559" t="inlineStr">
        <is>
          <t>OCKELBO</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22585-2021</t>
        </is>
      </c>
      <c r="B3560" s="1" t="n">
        <v>44327</v>
      </c>
      <c r="C3560" s="1" t="n">
        <v>45344</v>
      </c>
      <c r="D3560" t="inlineStr">
        <is>
          <t>GÄVLEBORGS LÄN</t>
        </is>
      </c>
      <c r="E3560" t="inlineStr">
        <is>
          <t>OCKELBO</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22834-2021</t>
        </is>
      </c>
      <c r="B3561" s="1" t="n">
        <v>44328</v>
      </c>
      <c r="C3561" s="1" t="n">
        <v>45344</v>
      </c>
      <c r="D3561" t="inlineStr">
        <is>
          <t>GÄVLEBORGS LÄN</t>
        </is>
      </c>
      <c r="E3561" t="inlineStr">
        <is>
          <t>BOLLNÄS</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22945-2021</t>
        </is>
      </c>
      <c r="B3562" s="1" t="n">
        <v>44328</v>
      </c>
      <c r="C3562" s="1" t="n">
        <v>45344</v>
      </c>
      <c r="D3562" t="inlineStr">
        <is>
          <t>GÄVLEBORGS LÄN</t>
        </is>
      </c>
      <c r="E3562" t="inlineStr">
        <is>
          <t>OVANÅKER</t>
        </is>
      </c>
      <c r="F3562" t="inlineStr">
        <is>
          <t>Bergvik skog väst AB</t>
        </is>
      </c>
      <c r="G3562" t="n">
        <v>7</v>
      </c>
      <c r="H3562" t="n">
        <v>0</v>
      </c>
      <c r="I3562" t="n">
        <v>0</v>
      </c>
      <c r="J3562" t="n">
        <v>0</v>
      </c>
      <c r="K3562" t="n">
        <v>0</v>
      </c>
      <c r="L3562" t="n">
        <v>0</v>
      </c>
      <c r="M3562" t="n">
        <v>0</v>
      </c>
      <c r="N3562" t="n">
        <v>0</v>
      </c>
      <c r="O3562" t="n">
        <v>0</v>
      </c>
      <c r="P3562" t="n">
        <v>0</v>
      </c>
      <c r="Q3562" t="n">
        <v>0</v>
      </c>
      <c r="R3562" s="2" t="inlineStr"/>
    </row>
    <row r="3563" ht="15" customHeight="1">
      <c r="A3563" t="inlineStr">
        <is>
          <t>A 23066-2021</t>
        </is>
      </c>
      <c r="B3563" s="1" t="n">
        <v>44329</v>
      </c>
      <c r="C3563" s="1" t="n">
        <v>45344</v>
      </c>
      <c r="D3563" t="inlineStr">
        <is>
          <t>GÄVLEBORGS LÄN</t>
        </is>
      </c>
      <c r="E3563" t="inlineStr">
        <is>
          <t>NORDANSTIG</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23125-2021</t>
        </is>
      </c>
      <c r="B3564" s="1" t="n">
        <v>44330</v>
      </c>
      <c r="C3564" s="1" t="n">
        <v>45344</v>
      </c>
      <c r="D3564" t="inlineStr">
        <is>
          <t>GÄVLEBORGS LÄN</t>
        </is>
      </c>
      <c r="E3564" t="inlineStr">
        <is>
          <t>SÖDERHAMN</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23134-2021</t>
        </is>
      </c>
      <c r="B3565" s="1" t="n">
        <v>44330</v>
      </c>
      <c r="C3565" s="1" t="n">
        <v>45344</v>
      </c>
      <c r="D3565" t="inlineStr">
        <is>
          <t>GÄVLEBORGS LÄN</t>
        </is>
      </c>
      <c r="E3565" t="inlineStr">
        <is>
          <t>NORDANSTIG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23179-2021</t>
        </is>
      </c>
      <c r="B3566" s="1" t="n">
        <v>44333</v>
      </c>
      <c r="C3566" s="1" t="n">
        <v>45344</v>
      </c>
      <c r="D3566" t="inlineStr">
        <is>
          <t>GÄVLEBORGS LÄN</t>
        </is>
      </c>
      <c r="E3566" t="inlineStr">
        <is>
          <t>BOLLNÄS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23282-2021</t>
        </is>
      </c>
      <c r="B3567" s="1" t="n">
        <v>44333</v>
      </c>
      <c r="C3567" s="1" t="n">
        <v>45344</v>
      </c>
      <c r="D3567" t="inlineStr">
        <is>
          <t>GÄVLEBORGS LÄN</t>
        </is>
      </c>
      <c r="E3567" t="inlineStr">
        <is>
          <t>BOLLNÄS</t>
        </is>
      </c>
      <c r="G3567" t="n">
        <v>3.3</v>
      </c>
      <c r="H3567" t="n">
        <v>0</v>
      </c>
      <c r="I3567" t="n">
        <v>0</v>
      </c>
      <c r="J3567" t="n">
        <v>0</v>
      </c>
      <c r="K3567" t="n">
        <v>0</v>
      </c>
      <c r="L3567" t="n">
        <v>0</v>
      </c>
      <c r="M3567" t="n">
        <v>0</v>
      </c>
      <c r="N3567" t="n">
        <v>0</v>
      </c>
      <c r="O3567" t="n">
        <v>0</v>
      </c>
      <c r="P3567" t="n">
        <v>0</v>
      </c>
      <c r="Q3567" t="n">
        <v>0</v>
      </c>
      <c r="R3567" s="2" t="inlineStr"/>
    </row>
    <row r="3568" ht="15" customHeight="1">
      <c r="A3568" t="inlineStr">
        <is>
          <t>A 23246-2021</t>
        </is>
      </c>
      <c r="B3568" s="1" t="n">
        <v>44333</v>
      </c>
      <c r="C3568" s="1" t="n">
        <v>45344</v>
      </c>
      <c r="D3568" t="inlineStr">
        <is>
          <t>GÄVLEBORGS LÄN</t>
        </is>
      </c>
      <c r="E3568" t="inlineStr">
        <is>
          <t>GÄVLE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23329-2021</t>
        </is>
      </c>
      <c r="B3569" s="1" t="n">
        <v>44333</v>
      </c>
      <c r="C3569" s="1" t="n">
        <v>45344</v>
      </c>
      <c r="D3569" t="inlineStr">
        <is>
          <t>GÄVLEBORGS LÄN</t>
        </is>
      </c>
      <c r="E3569" t="inlineStr">
        <is>
          <t>LJUSDAL</t>
        </is>
      </c>
      <c r="F3569" t="inlineStr">
        <is>
          <t>Sveaskog</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23357-2021</t>
        </is>
      </c>
      <c r="B3570" s="1" t="n">
        <v>44333</v>
      </c>
      <c r="C3570" s="1" t="n">
        <v>45344</v>
      </c>
      <c r="D3570" t="inlineStr">
        <is>
          <t>GÄVLEBORGS LÄN</t>
        </is>
      </c>
      <c r="E3570" t="inlineStr">
        <is>
          <t>SÖDERHAMN</t>
        </is>
      </c>
      <c r="F3570" t="inlineStr">
        <is>
          <t>Bergvik skog väst AB</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23395-2021</t>
        </is>
      </c>
      <c r="B3571" s="1" t="n">
        <v>44333</v>
      </c>
      <c r="C3571" s="1" t="n">
        <v>45344</v>
      </c>
      <c r="D3571" t="inlineStr">
        <is>
          <t>GÄVLEBORGS LÄN</t>
        </is>
      </c>
      <c r="E3571" t="inlineStr">
        <is>
          <t>LJUSDAL</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23418-2021</t>
        </is>
      </c>
      <c r="B3572" s="1" t="n">
        <v>44333</v>
      </c>
      <c r="C3572" s="1" t="n">
        <v>45344</v>
      </c>
      <c r="D3572" t="inlineStr">
        <is>
          <t>GÄVLEBORGS LÄN</t>
        </is>
      </c>
      <c r="E3572" t="inlineStr">
        <is>
          <t>LJUSDAL</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23277-2021</t>
        </is>
      </c>
      <c r="B3573" s="1" t="n">
        <v>44333</v>
      </c>
      <c r="C3573" s="1" t="n">
        <v>45344</v>
      </c>
      <c r="D3573" t="inlineStr">
        <is>
          <t>GÄVLEBORGS LÄN</t>
        </is>
      </c>
      <c r="E3573" t="inlineStr">
        <is>
          <t>HUDIKSVALL</t>
        </is>
      </c>
      <c r="G3573" t="n">
        <v>5.2</v>
      </c>
      <c r="H3573" t="n">
        <v>0</v>
      </c>
      <c r="I3573" t="n">
        <v>0</v>
      </c>
      <c r="J3573" t="n">
        <v>0</v>
      </c>
      <c r="K3573" t="n">
        <v>0</v>
      </c>
      <c r="L3573" t="n">
        <v>0</v>
      </c>
      <c r="M3573" t="n">
        <v>0</v>
      </c>
      <c r="N3573" t="n">
        <v>0</v>
      </c>
      <c r="O3573" t="n">
        <v>0</v>
      </c>
      <c r="P3573" t="n">
        <v>0</v>
      </c>
      <c r="Q3573" t="n">
        <v>0</v>
      </c>
      <c r="R3573" s="2" t="inlineStr"/>
    </row>
    <row r="3574" ht="15" customHeight="1">
      <c r="A3574" t="inlineStr">
        <is>
          <t>A 23360-2021</t>
        </is>
      </c>
      <c r="B3574" s="1" t="n">
        <v>44333</v>
      </c>
      <c r="C3574" s="1" t="n">
        <v>45344</v>
      </c>
      <c r="D3574" t="inlineStr">
        <is>
          <t>GÄVLEBORGS LÄN</t>
        </is>
      </c>
      <c r="E3574" t="inlineStr">
        <is>
          <t>SÖDERHAMN</t>
        </is>
      </c>
      <c r="F3574" t="inlineStr">
        <is>
          <t>Bergvik skog väst AB</t>
        </is>
      </c>
      <c r="G3574" t="n">
        <v>3.7</v>
      </c>
      <c r="H3574" t="n">
        <v>0</v>
      </c>
      <c r="I3574" t="n">
        <v>0</v>
      </c>
      <c r="J3574" t="n">
        <v>0</v>
      </c>
      <c r="K3574" t="n">
        <v>0</v>
      </c>
      <c r="L3574" t="n">
        <v>0</v>
      </c>
      <c r="M3574" t="n">
        <v>0</v>
      </c>
      <c r="N3574" t="n">
        <v>0</v>
      </c>
      <c r="O3574" t="n">
        <v>0</v>
      </c>
      <c r="P3574" t="n">
        <v>0</v>
      </c>
      <c r="Q3574" t="n">
        <v>0</v>
      </c>
      <c r="R3574" s="2" t="inlineStr"/>
    </row>
    <row r="3575" ht="15" customHeight="1">
      <c r="A3575" t="inlineStr">
        <is>
          <t>A 23396-2021</t>
        </is>
      </c>
      <c r="B3575" s="1" t="n">
        <v>44333</v>
      </c>
      <c r="C3575" s="1" t="n">
        <v>45344</v>
      </c>
      <c r="D3575" t="inlineStr">
        <is>
          <t>GÄVLEBORGS LÄN</t>
        </is>
      </c>
      <c r="E3575" t="inlineStr">
        <is>
          <t>LJUSDAL</t>
        </is>
      </c>
      <c r="F3575" t="inlineStr">
        <is>
          <t>Sveaskog</t>
        </is>
      </c>
      <c r="G3575" t="n">
        <v>6.8</v>
      </c>
      <c r="H3575" t="n">
        <v>0</v>
      </c>
      <c r="I3575" t="n">
        <v>0</v>
      </c>
      <c r="J3575" t="n">
        <v>0</v>
      </c>
      <c r="K3575" t="n">
        <v>0</v>
      </c>
      <c r="L3575" t="n">
        <v>0</v>
      </c>
      <c r="M3575" t="n">
        <v>0</v>
      </c>
      <c r="N3575" t="n">
        <v>0</v>
      </c>
      <c r="O3575" t="n">
        <v>0</v>
      </c>
      <c r="P3575" t="n">
        <v>0</v>
      </c>
      <c r="Q3575" t="n">
        <v>0</v>
      </c>
      <c r="R3575" s="2" t="inlineStr"/>
    </row>
    <row r="3576" ht="15" customHeight="1">
      <c r="A3576" t="inlineStr">
        <is>
          <t>A 23547-2021</t>
        </is>
      </c>
      <c r="B3576" s="1" t="n">
        <v>44334</v>
      </c>
      <c r="C3576" s="1" t="n">
        <v>45344</v>
      </c>
      <c r="D3576" t="inlineStr">
        <is>
          <t>GÄVLEBORGS LÄN</t>
        </is>
      </c>
      <c r="E3576" t="inlineStr">
        <is>
          <t>OCKELBO</t>
        </is>
      </c>
      <c r="F3576" t="inlineStr">
        <is>
          <t>Bergvik skog väst AB</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23629-2021</t>
        </is>
      </c>
      <c r="B3577" s="1" t="n">
        <v>44334</v>
      </c>
      <c r="C3577" s="1" t="n">
        <v>45344</v>
      </c>
      <c r="D3577" t="inlineStr">
        <is>
          <t>GÄVLEBORGS LÄN</t>
        </is>
      </c>
      <c r="E3577" t="inlineStr">
        <is>
          <t>OCKELBO</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23649-2021</t>
        </is>
      </c>
      <c r="B3578" s="1" t="n">
        <v>44334</v>
      </c>
      <c r="C3578" s="1" t="n">
        <v>45344</v>
      </c>
      <c r="D3578" t="inlineStr">
        <is>
          <t>GÄVLEBORGS LÄN</t>
        </is>
      </c>
      <c r="E3578" t="inlineStr">
        <is>
          <t>GÄVLE</t>
        </is>
      </c>
      <c r="F3578" t="inlineStr">
        <is>
          <t>Bergvik skog öst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23707-2021</t>
        </is>
      </c>
      <c r="B3579" s="1" t="n">
        <v>44334</v>
      </c>
      <c r="C3579" s="1" t="n">
        <v>45344</v>
      </c>
      <c r="D3579" t="inlineStr">
        <is>
          <t>GÄVLEBORGS LÄN</t>
        </is>
      </c>
      <c r="E3579" t="inlineStr">
        <is>
          <t>OCKELBO</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23854-2021</t>
        </is>
      </c>
      <c r="B3580" s="1" t="n">
        <v>44335</v>
      </c>
      <c r="C3580" s="1" t="n">
        <v>45344</v>
      </c>
      <c r="D3580" t="inlineStr">
        <is>
          <t>GÄVLEBORGS LÄN</t>
        </is>
      </c>
      <c r="E3580" t="inlineStr">
        <is>
          <t>SANDVIKEN</t>
        </is>
      </c>
      <c r="G3580" t="n">
        <v>5.4</v>
      </c>
      <c r="H3580" t="n">
        <v>0</v>
      </c>
      <c r="I3580" t="n">
        <v>0</v>
      </c>
      <c r="J3580" t="n">
        <v>0</v>
      </c>
      <c r="K3580" t="n">
        <v>0</v>
      </c>
      <c r="L3580" t="n">
        <v>0</v>
      </c>
      <c r="M3580" t="n">
        <v>0</v>
      </c>
      <c r="N3580" t="n">
        <v>0</v>
      </c>
      <c r="O3580" t="n">
        <v>0</v>
      </c>
      <c r="P3580" t="n">
        <v>0</v>
      </c>
      <c r="Q3580" t="n">
        <v>0</v>
      </c>
      <c r="R3580" s="2" t="inlineStr"/>
    </row>
    <row r="3581" ht="15" customHeight="1">
      <c r="A3581" t="inlineStr">
        <is>
          <t>A 23904-2021</t>
        </is>
      </c>
      <c r="B3581" s="1" t="n">
        <v>44335</v>
      </c>
      <c r="C3581" s="1" t="n">
        <v>45344</v>
      </c>
      <c r="D3581" t="inlineStr">
        <is>
          <t>GÄVLEBORGS LÄN</t>
        </is>
      </c>
      <c r="E3581" t="inlineStr">
        <is>
          <t>HUDIKSVALL</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23908-2021</t>
        </is>
      </c>
      <c r="B3582" s="1" t="n">
        <v>44335</v>
      </c>
      <c r="C3582" s="1" t="n">
        <v>45344</v>
      </c>
      <c r="D3582" t="inlineStr">
        <is>
          <t>GÄVLEBORGS LÄN</t>
        </is>
      </c>
      <c r="E3582" t="inlineStr">
        <is>
          <t>HUDIKSVALL</t>
        </is>
      </c>
      <c r="G3582" t="n">
        <v>3.9</v>
      </c>
      <c r="H3582" t="n">
        <v>0</v>
      </c>
      <c r="I3582" t="n">
        <v>0</v>
      </c>
      <c r="J3582" t="n">
        <v>0</v>
      </c>
      <c r="K3582" t="n">
        <v>0</v>
      </c>
      <c r="L3582" t="n">
        <v>0</v>
      </c>
      <c r="M3582" t="n">
        <v>0</v>
      </c>
      <c r="N3582" t="n">
        <v>0</v>
      </c>
      <c r="O3582" t="n">
        <v>0</v>
      </c>
      <c r="P3582" t="n">
        <v>0</v>
      </c>
      <c r="Q3582" t="n">
        <v>0</v>
      </c>
      <c r="R3582" s="2" t="inlineStr"/>
    </row>
    <row r="3583" ht="15" customHeight="1">
      <c r="A3583" t="inlineStr">
        <is>
          <t>A 23930-2021</t>
        </is>
      </c>
      <c r="B3583" s="1" t="n">
        <v>44335</v>
      </c>
      <c r="C3583" s="1" t="n">
        <v>45344</v>
      </c>
      <c r="D3583" t="inlineStr">
        <is>
          <t>GÄVLEBORGS LÄN</t>
        </is>
      </c>
      <c r="E3583" t="inlineStr">
        <is>
          <t>HUDIKSVALL</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23955-2021</t>
        </is>
      </c>
      <c r="B3584" s="1" t="n">
        <v>44335</v>
      </c>
      <c r="C3584" s="1" t="n">
        <v>45344</v>
      </c>
      <c r="D3584" t="inlineStr">
        <is>
          <t>GÄVLEBORGS LÄN</t>
        </is>
      </c>
      <c r="E3584" t="inlineStr">
        <is>
          <t>LJUSDAL</t>
        </is>
      </c>
      <c r="F3584" t="inlineStr">
        <is>
          <t>Holmen skog AB</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23889-2021</t>
        </is>
      </c>
      <c r="B3585" s="1" t="n">
        <v>44335</v>
      </c>
      <c r="C3585" s="1" t="n">
        <v>45344</v>
      </c>
      <c r="D3585" t="inlineStr">
        <is>
          <t>GÄVLEBORGS LÄN</t>
        </is>
      </c>
      <c r="E3585" t="inlineStr">
        <is>
          <t>BOLLNÄS</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23925-2021</t>
        </is>
      </c>
      <c r="B3586" s="1" t="n">
        <v>44335</v>
      </c>
      <c r="C3586" s="1" t="n">
        <v>45344</v>
      </c>
      <c r="D3586" t="inlineStr">
        <is>
          <t>GÄVLEBORGS LÄN</t>
        </is>
      </c>
      <c r="E3586" t="inlineStr">
        <is>
          <t>HUDIKSVALL</t>
        </is>
      </c>
      <c r="G3586" t="n">
        <v>0.2</v>
      </c>
      <c r="H3586" t="n">
        <v>0</v>
      </c>
      <c r="I3586" t="n">
        <v>0</v>
      </c>
      <c r="J3586" t="n">
        <v>0</v>
      </c>
      <c r="K3586" t="n">
        <v>0</v>
      </c>
      <c r="L3586" t="n">
        <v>0</v>
      </c>
      <c r="M3586" t="n">
        <v>0</v>
      </c>
      <c r="N3586" t="n">
        <v>0</v>
      </c>
      <c r="O3586" t="n">
        <v>0</v>
      </c>
      <c r="P3586" t="n">
        <v>0</v>
      </c>
      <c r="Q3586" t="n">
        <v>0</v>
      </c>
      <c r="R3586" s="2" t="inlineStr"/>
    </row>
    <row r="3587" ht="15" customHeight="1">
      <c r="A3587" t="inlineStr">
        <is>
          <t>A 23966-2021</t>
        </is>
      </c>
      <c r="B3587" s="1" t="n">
        <v>44335</v>
      </c>
      <c r="C3587" s="1" t="n">
        <v>45344</v>
      </c>
      <c r="D3587" t="inlineStr">
        <is>
          <t>GÄVLEBORGS LÄN</t>
        </is>
      </c>
      <c r="E3587" t="inlineStr">
        <is>
          <t>LJUSDAL</t>
        </is>
      </c>
      <c r="F3587" t="inlineStr">
        <is>
          <t>Holmen skog AB</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24153-2021</t>
        </is>
      </c>
      <c r="B3588" s="1" t="n">
        <v>44336</v>
      </c>
      <c r="C3588" s="1" t="n">
        <v>45344</v>
      </c>
      <c r="D3588" t="inlineStr">
        <is>
          <t>GÄVLEBORGS LÄN</t>
        </is>
      </c>
      <c r="E3588" t="inlineStr">
        <is>
          <t>SÖDERHAMN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24075-2021</t>
        </is>
      </c>
      <c r="B3589" s="1" t="n">
        <v>44336</v>
      </c>
      <c r="C3589" s="1" t="n">
        <v>45344</v>
      </c>
      <c r="D3589" t="inlineStr">
        <is>
          <t>GÄVLEBORGS LÄN</t>
        </is>
      </c>
      <c r="E3589" t="inlineStr">
        <is>
          <t>OVANÅKER</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24158-2021</t>
        </is>
      </c>
      <c r="B3590" s="1" t="n">
        <v>44336</v>
      </c>
      <c r="C3590" s="1" t="n">
        <v>45344</v>
      </c>
      <c r="D3590" t="inlineStr">
        <is>
          <t>GÄVLEBORGS LÄN</t>
        </is>
      </c>
      <c r="E3590" t="inlineStr">
        <is>
          <t>LJUSDAL</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24088-2021</t>
        </is>
      </c>
      <c r="B3591" s="1" t="n">
        <v>44336</v>
      </c>
      <c r="C3591" s="1" t="n">
        <v>45344</v>
      </c>
      <c r="D3591" t="inlineStr">
        <is>
          <t>GÄVLEBORGS LÄN</t>
        </is>
      </c>
      <c r="E3591" t="inlineStr">
        <is>
          <t>SANDVIKEN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24161-2021</t>
        </is>
      </c>
      <c r="B3592" s="1" t="n">
        <v>44336</v>
      </c>
      <c r="C3592" s="1" t="n">
        <v>45344</v>
      </c>
      <c r="D3592" t="inlineStr">
        <is>
          <t>GÄVLEBORGS LÄN</t>
        </is>
      </c>
      <c r="E3592" t="inlineStr">
        <is>
          <t>SÖDERHAMN</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24162-2021</t>
        </is>
      </c>
      <c r="B3593" s="1" t="n">
        <v>44336</v>
      </c>
      <c r="C3593" s="1" t="n">
        <v>45344</v>
      </c>
      <c r="D3593" t="inlineStr">
        <is>
          <t>GÄVLEBORGS LÄN</t>
        </is>
      </c>
      <c r="E3593" t="inlineStr">
        <is>
          <t>HUDIKSVALL</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24173-2021</t>
        </is>
      </c>
      <c r="B3594" s="1" t="n">
        <v>44336</v>
      </c>
      <c r="C3594" s="1" t="n">
        <v>45344</v>
      </c>
      <c r="D3594" t="inlineStr">
        <is>
          <t>GÄVLEBORGS LÄN</t>
        </is>
      </c>
      <c r="E3594" t="inlineStr">
        <is>
          <t>GÄVLE</t>
        </is>
      </c>
      <c r="F3594" t="inlineStr">
        <is>
          <t>Bergvik skog väst AB</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24230-2021</t>
        </is>
      </c>
      <c r="B3595" s="1" t="n">
        <v>44336</v>
      </c>
      <c r="C3595" s="1" t="n">
        <v>45344</v>
      </c>
      <c r="D3595" t="inlineStr">
        <is>
          <t>GÄVLEBORGS LÄN</t>
        </is>
      </c>
      <c r="E3595" t="inlineStr">
        <is>
          <t>BOLLNÄS</t>
        </is>
      </c>
      <c r="G3595" t="n">
        <v>0.2</v>
      </c>
      <c r="H3595" t="n">
        <v>0</v>
      </c>
      <c r="I3595" t="n">
        <v>0</v>
      </c>
      <c r="J3595" t="n">
        <v>0</v>
      </c>
      <c r="K3595" t="n">
        <v>0</v>
      </c>
      <c r="L3595" t="n">
        <v>0</v>
      </c>
      <c r="M3595" t="n">
        <v>0</v>
      </c>
      <c r="N3595" t="n">
        <v>0</v>
      </c>
      <c r="O3595" t="n">
        <v>0</v>
      </c>
      <c r="P3595" t="n">
        <v>0</v>
      </c>
      <c r="Q3595" t="n">
        <v>0</v>
      </c>
      <c r="R3595" s="2" t="inlineStr"/>
    </row>
    <row r="3596" ht="15" customHeight="1">
      <c r="A3596" t="inlineStr">
        <is>
          <t>A 24344-2021</t>
        </is>
      </c>
      <c r="B3596" s="1" t="n">
        <v>44337</v>
      </c>
      <c r="C3596" s="1" t="n">
        <v>45344</v>
      </c>
      <c r="D3596" t="inlineStr">
        <is>
          <t>GÄVLEBORGS LÄN</t>
        </is>
      </c>
      <c r="E3596" t="inlineStr">
        <is>
          <t>OVANÅKER</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24367-2021</t>
        </is>
      </c>
      <c r="B3597" s="1" t="n">
        <v>44337</v>
      </c>
      <c r="C3597" s="1" t="n">
        <v>45344</v>
      </c>
      <c r="D3597" t="inlineStr">
        <is>
          <t>GÄVLEBORGS LÄN</t>
        </is>
      </c>
      <c r="E3597" t="inlineStr">
        <is>
          <t>HUDIKSVALL</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24477-2021</t>
        </is>
      </c>
      <c r="B3598" s="1" t="n">
        <v>44337</v>
      </c>
      <c r="C3598" s="1" t="n">
        <v>45344</v>
      </c>
      <c r="D3598" t="inlineStr">
        <is>
          <t>GÄVLEBORGS LÄN</t>
        </is>
      </c>
      <c r="E3598" t="inlineStr">
        <is>
          <t>OCKELBO</t>
        </is>
      </c>
      <c r="F3598" t="inlineStr">
        <is>
          <t>Bergvik skog öst AB</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24380-2021</t>
        </is>
      </c>
      <c r="B3599" s="1" t="n">
        <v>44337</v>
      </c>
      <c r="C3599" s="1" t="n">
        <v>45344</v>
      </c>
      <c r="D3599" t="inlineStr">
        <is>
          <t>GÄVLEBORGS LÄN</t>
        </is>
      </c>
      <c r="E3599" t="inlineStr">
        <is>
          <t>OCKELBO</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24424-2021</t>
        </is>
      </c>
      <c r="B3600" s="1" t="n">
        <v>44337</v>
      </c>
      <c r="C3600" s="1" t="n">
        <v>45344</v>
      </c>
      <c r="D3600" t="inlineStr">
        <is>
          <t>GÄVLEBORGS LÄN</t>
        </is>
      </c>
      <c r="E3600" t="inlineStr">
        <is>
          <t>NORDANSTIG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24597-2021</t>
        </is>
      </c>
      <c r="B3601" s="1" t="n">
        <v>44340</v>
      </c>
      <c r="C3601" s="1" t="n">
        <v>45344</v>
      </c>
      <c r="D3601" t="inlineStr">
        <is>
          <t>GÄVLEBORGS LÄN</t>
        </is>
      </c>
      <c r="E3601" t="inlineStr">
        <is>
          <t>SÖDERHAMN</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24627-2021</t>
        </is>
      </c>
      <c r="B3602" s="1" t="n">
        <v>44340</v>
      </c>
      <c r="C3602" s="1" t="n">
        <v>45344</v>
      </c>
      <c r="D3602" t="inlineStr">
        <is>
          <t>GÄVLEBORGS LÄN</t>
        </is>
      </c>
      <c r="E3602" t="inlineStr">
        <is>
          <t>LJUSDAL</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24665-2021</t>
        </is>
      </c>
      <c r="B3603" s="1" t="n">
        <v>44340</v>
      </c>
      <c r="C3603" s="1" t="n">
        <v>45344</v>
      </c>
      <c r="D3603" t="inlineStr">
        <is>
          <t>GÄVLEBORGS LÄN</t>
        </is>
      </c>
      <c r="E3603" t="inlineStr">
        <is>
          <t>OVANÅKER</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24745-2021</t>
        </is>
      </c>
      <c r="B3604" s="1" t="n">
        <v>44340</v>
      </c>
      <c r="C3604" s="1" t="n">
        <v>45344</v>
      </c>
      <c r="D3604" t="inlineStr">
        <is>
          <t>GÄVLEBORGS LÄN</t>
        </is>
      </c>
      <c r="E3604" t="inlineStr">
        <is>
          <t>HUDIKSVALL</t>
        </is>
      </c>
      <c r="F3604" t="inlineStr">
        <is>
          <t>Holmen skog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24663-2021</t>
        </is>
      </c>
      <c r="B3605" s="1" t="n">
        <v>44340</v>
      </c>
      <c r="C3605" s="1" t="n">
        <v>45344</v>
      </c>
      <c r="D3605" t="inlineStr">
        <is>
          <t>GÄVLEBORGS LÄN</t>
        </is>
      </c>
      <c r="E3605" t="inlineStr">
        <is>
          <t>HUDIKSVALL</t>
        </is>
      </c>
      <c r="F3605" t="inlineStr">
        <is>
          <t>Holmen skog AB</t>
        </is>
      </c>
      <c r="G3605" t="n">
        <v>7</v>
      </c>
      <c r="H3605" t="n">
        <v>0</v>
      </c>
      <c r="I3605" t="n">
        <v>0</v>
      </c>
      <c r="J3605" t="n">
        <v>0</v>
      </c>
      <c r="K3605" t="n">
        <v>0</v>
      </c>
      <c r="L3605" t="n">
        <v>0</v>
      </c>
      <c r="M3605" t="n">
        <v>0</v>
      </c>
      <c r="N3605" t="n">
        <v>0</v>
      </c>
      <c r="O3605" t="n">
        <v>0</v>
      </c>
      <c r="P3605" t="n">
        <v>0</v>
      </c>
      <c r="Q3605" t="n">
        <v>0</v>
      </c>
      <c r="R3605" s="2" t="inlineStr"/>
    </row>
    <row r="3606" ht="15" customHeight="1">
      <c r="A3606" t="inlineStr">
        <is>
          <t>A 24761-2021</t>
        </is>
      </c>
      <c r="B3606" s="1" t="n">
        <v>44340</v>
      </c>
      <c r="C3606" s="1" t="n">
        <v>45344</v>
      </c>
      <c r="D3606" t="inlineStr">
        <is>
          <t>GÄVLEBORGS LÄN</t>
        </is>
      </c>
      <c r="E3606" t="inlineStr">
        <is>
          <t>OCKELBO</t>
        </is>
      </c>
      <c r="G3606" t="n">
        <v>1.4</v>
      </c>
      <c r="H3606" t="n">
        <v>0</v>
      </c>
      <c r="I3606" t="n">
        <v>0</v>
      </c>
      <c r="J3606" t="n">
        <v>0</v>
      </c>
      <c r="K3606" t="n">
        <v>0</v>
      </c>
      <c r="L3606" t="n">
        <v>0</v>
      </c>
      <c r="M3606" t="n">
        <v>0</v>
      </c>
      <c r="N3606" t="n">
        <v>0</v>
      </c>
      <c r="O3606" t="n">
        <v>0</v>
      </c>
      <c r="P3606" t="n">
        <v>0</v>
      </c>
      <c r="Q3606" t="n">
        <v>0</v>
      </c>
      <c r="R3606" s="2" t="inlineStr"/>
      <c r="U3606">
        <f>HYPERLINK("https://klasma.github.io/Logging_2101/knärot/A 24761-2021 karta knärot.png", "A 24761-2021")</f>
        <v/>
      </c>
      <c r="V3606">
        <f>HYPERLINK("https://klasma.github.io/Logging_2101/klagomål/A 24761-2021 FSC-klagomål.docx", "A 24761-2021")</f>
        <v/>
      </c>
      <c r="W3606">
        <f>HYPERLINK("https://klasma.github.io/Logging_2101/klagomålsmail/A 24761-2021 FSC-klagomål mail.docx", "A 24761-2021")</f>
        <v/>
      </c>
      <c r="X3606">
        <f>HYPERLINK("https://klasma.github.io/Logging_2101/tillsyn/A 24761-2021 tillsynsbegäran.docx", "A 24761-2021")</f>
        <v/>
      </c>
      <c r="Y3606">
        <f>HYPERLINK("https://klasma.github.io/Logging_2101/tillsynsmail/A 24761-2021 tillsynsbegäran mail.docx", "A 24761-2021")</f>
        <v/>
      </c>
    </row>
    <row r="3607" ht="15" customHeight="1">
      <c r="A3607" t="inlineStr">
        <is>
          <t>A 24803-2021</t>
        </is>
      </c>
      <c r="B3607" s="1" t="n">
        <v>44340</v>
      </c>
      <c r="C3607" s="1" t="n">
        <v>45344</v>
      </c>
      <c r="D3607" t="inlineStr">
        <is>
          <t>GÄVLEBORGS LÄN</t>
        </is>
      </c>
      <c r="E3607" t="inlineStr">
        <is>
          <t>OCKELBO</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24851-2021</t>
        </is>
      </c>
      <c r="B3608" s="1" t="n">
        <v>44340</v>
      </c>
      <c r="C3608" s="1" t="n">
        <v>45344</v>
      </c>
      <c r="D3608" t="inlineStr">
        <is>
          <t>GÄVLEBORGS LÄN</t>
        </is>
      </c>
      <c r="E3608" t="inlineStr">
        <is>
          <t>HOFORS</t>
        </is>
      </c>
      <c r="F3608" t="inlineStr">
        <is>
          <t>Sveaskog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24894-2021</t>
        </is>
      </c>
      <c r="B3609" s="1" t="n">
        <v>44341</v>
      </c>
      <c r="C3609" s="1" t="n">
        <v>45344</v>
      </c>
      <c r="D3609" t="inlineStr">
        <is>
          <t>GÄVLEBORGS LÄN</t>
        </is>
      </c>
      <c r="E3609" t="inlineStr">
        <is>
          <t>LJUSDAL</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24881-2021</t>
        </is>
      </c>
      <c r="B3610" s="1" t="n">
        <v>44341</v>
      </c>
      <c r="C3610" s="1" t="n">
        <v>45344</v>
      </c>
      <c r="D3610" t="inlineStr">
        <is>
          <t>GÄVLEBORGS LÄN</t>
        </is>
      </c>
      <c r="E3610" t="inlineStr">
        <is>
          <t>LJUSDAL</t>
        </is>
      </c>
      <c r="F3610" t="inlineStr">
        <is>
          <t>Kommuner</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24899-2021</t>
        </is>
      </c>
      <c r="B3611" s="1" t="n">
        <v>44341</v>
      </c>
      <c r="C3611" s="1" t="n">
        <v>45344</v>
      </c>
      <c r="D3611" t="inlineStr">
        <is>
          <t>GÄVLEBORGS LÄN</t>
        </is>
      </c>
      <c r="E3611" t="inlineStr">
        <is>
          <t>LJUSDAL</t>
        </is>
      </c>
      <c r="F3611" t="inlineStr">
        <is>
          <t>Holmen skog AB</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25056-2021</t>
        </is>
      </c>
      <c r="B3612" s="1" t="n">
        <v>44341</v>
      </c>
      <c r="C3612" s="1" t="n">
        <v>45344</v>
      </c>
      <c r="D3612" t="inlineStr">
        <is>
          <t>GÄVLEBORGS LÄN</t>
        </is>
      </c>
      <c r="E3612" t="inlineStr">
        <is>
          <t>SANDVIKEN</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25144-2021</t>
        </is>
      </c>
      <c r="B3613" s="1" t="n">
        <v>44341</v>
      </c>
      <c r="C3613" s="1" t="n">
        <v>45344</v>
      </c>
      <c r="D3613" t="inlineStr">
        <is>
          <t>GÄVLEBORGS LÄN</t>
        </is>
      </c>
      <c r="E3613" t="inlineStr">
        <is>
          <t>LJUSDAL</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25149-2021</t>
        </is>
      </c>
      <c r="B3614" s="1" t="n">
        <v>44342</v>
      </c>
      <c r="C3614" s="1" t="n">
        <v>45344</v>
      </c>
      <c r="D3614" t="inlineStr">
        <is>
          <t>GÄVLEBORGS LÄN</t>
        </is>
      </c>
      <c r="E3614" t="inlineStr">
        <is>
          <t>HUDIKSVALL</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25169-2021</t>
        </is>
      </c>
      <c r="B3615" s="1" t="n">
        <v>44342</v>
      </c>
      <c r="C3615" s="1" t="n">
        <v>45344</v>
      </c>
      <c r="D3615" t="inlineStr">
        <is>
          <t>GÄVLEBORGS LÄN</t>
        </is>
      </c>
      <c r="E3615" t="inlineStr">
        <is>
          <t>LJUSDAL</t>
        </is>
      </c>
      <c r="F3615" t="inlineStr">
        <is>
          <t>Sveaskog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25304-2021</t>
        </is>
      </c>
      <c r="B3616" s="1" t="n">
        <v>44342</v>
      </c>
      <c r="C3616" s="1" t="n">
        <v>45344</v>
      </c>
      <c r="D3616" t="inlineStr">
        <is>
          <t>GÄVLEBORGS LÄN</t>
        </is>
      </c>
      <c r="E3616" t="inlineStr">
        <is>
          <t>SANDVIKEN</t>
        </is>
      </c>
      <c r="F3616" t="inlineStr">
        <is>
          <t>Sveaskog</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25315-2021</t>
        </is>
      </c>
      <c r="B3617" s="1" t="n">
        <v>44342</v>
      </c>
      <c r="C3617" s="1" t="n">
        <v>45344</v>
      </c>
      <c r="D3617" t="inlineStr">
        <is>
          <t>GÄVLEBORGS LÄN</t>
        </is>
      </c>
      <c r="E3617" t="inlineStr">
        <is>
          <t>NORDANSTIG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25170-2021</t>
        </is>
      </c>
      <c r="B3618" s="1" t="n">
        <v>44342</v>
      </c>
      <c r="C3618" s="1" t="n">
        <v>45344</v>
      </c>
      <c r="D3618" t="inlineStr">
        <is>
          <t>GÄVLEBORGS LÄN</t>
        </is>
      </c>
      <c r="E3618" t="inlineStr">
        <is>
          <t>LJUSDAL</t>
        </is>
      </c>
      <c r="F3618" t="inlineStr">
        <is>
          <t>Sveaskog</t>
        </is>
      </c>
      <c r="G3618" t="n">
        <v>11.8</v>
      </c>
      <c r="H3618" t="n">
        <v>0</v>
      </c>
      <c r="I3618" t="n">
        <v>0</v>
      </c>
      <c r="J3618" t="n">
        <v>0</v>
      </c>
      <c r="K3618" t="n">
        <v>0</v>
      </c>
      <c r="L3618" t="n">
        <v>0</v>
      </c>
      <c r="M3618" t="n">
        <v>0</v>
      </c>
      <c r="N3618" t="n">
        <v>0</v>
      </c>
      <c r="O3618" t="n">
        <v>0</v>
      </c>
      <c r="P3618" t="n">
        <v>0</v>
      </c>
      <c r="Q3618" t="n">
        <v>0</v>
      </c>
      <c r="R3618" s="2" t="inlineStr"/>
    </row>
    <row r="3619" ht="15" customHeight="1">
      <c r="A3619" t="inlineStr">
        <is>
          <t>A 25168-2021</t>
        </is>
      </c>
      <c r="B3619" s="1" t="n">
        <v>44342</v>
      </c>
      <c r="C3619" s="1" t="n">
        <v>45344</v>
      </c>
      <c r="D3619" t="inlineStr">
        <is>
          <t>GÄVLEBORGS LÄN</t>
        </is>
      </c>
      <c r="E3619" t="inlineStr">
        <is>
          <t>LJUSDAL</t>
        </is>
      </c>
      <c r="F3619" t="inlineStr">
        <is>
          <t>Sveaskog</t>
        </is>
      </c>
      <c r="G3619" t="n">
        <v>5.4</v>
      </c>
      <c r="H3619" t="n">
        <v>0</v>
      </c>
      <c r="I3619" t="n">
        <v>0</v>
      </c>
      <c r="J3619" t="n">
        <v>0</v>
      </c>
      <c r="K3619" t="n">
        <v>0</v>
      </c>
      <c r="L3619" t="n">
        <v>0</v>
      </c>
      <c r="M3619" t="n">
        <v>0</v>
      </c>
      <c r="N3619" t="n">
        <v>0</v>
      </c>
      <c r="O3619" t="n">
        <v>0</v>
      </c>
      <c r="P3619" t="n">
        <v>0</v>
      </c>
      <c r="Q3619" t="n">
        <v>0</v>
      </c>
      <c r="R3619" s="2" t="inlineStr"/>
    </row>
    <row r="3620" ht="15" customHeight="1">
      <c r="A3620" t="inlineStr">
        <is>
          <t>A 25312-2021</t>
        </is>
      </c>
      <c r="B3620" s="1" t="n">
        <v>44342</v>
      </c>
      <c r="C3620" s="1" t="n">
        <v>45344</v>
      </c>
      <c r="D3620" t="inlineStr">
        <is>
          <t>GÄVLEBORGS LÄN</t>
        </is>
      </c>
      <c r="E3620" t="inlineStr">
        <is>
          <t>GÄVLE</t>
        </is>
      </c>
      <c r="F3620" t="inlineStr">
        <is>
          <t>Bergvik skog öst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25318-2021</t>
        </is>
      </c>
      <c r="B3621" s="1" t="n">
        <v>44342</v>
      </c>
      <c r="C3621" s="1" t="n">
        <v>45344</v>
      </c>
      <c r="D3621" t="inlineStr">
        <is>
          <t>GÄVLEBORGS LÄN</t>
        </is>
      </c>
      <c r="E3621" t="inlineStr">
        <is>
          <t>OCKELBO</t>
        </is>
      </c>
      <c r="G3621" t="n">
        <v>9.9</v>
      </c>
      <c r="H3621" t="n">
        <v>0</v>
      </c>
      <c r="I3621" t="n">
        <v>0</v>
      </c>
      <c r="J3621" t="n">
        <v>0</v>
      </c>
      <c r="K3621" t="n">
        <v>0</v>
      </c>
      <c r="L3621" t="n">
        <v>0</v>
      </c>
      <c r="M3621" t="n">
        <v>0</v>
      </c>
      <c r="N3621" t="n">
        <v>0</v>
      </c>
      <c r="O3621" t="n">
        <v>0</v>
      </c>
      <c r="P3621" t="n">
        <v>0</v>
      </c>
      <c r="Q3621" t="n">
        <v>0</v>
      </c>
      <c r="R3621" s="2" t="inlineStr"/>
    </row>
    <row r="3622" ht="15" customHeight="1">
      <c r="A3622" t="inlineStr">
        <is>
          <t>A 25335-2021</t>
        </is>
      </c>
      <c r="B3622" s="1" t="n">
        <v>44342</v>
      </c>
      <c r="C3622" s="1" t="n">
        <v>45344</v>
      </c>
      <c r="D3622" t="inlineStr">
        <is>
          <t>GÄVLEBORGS LÄN</t>
        </is>
      </c>
      <c r="E3622" t="inlineStr">
        <is>
          <t>GÄVLE</t>
        </is>
      </c>
      <c r="F3622" t="inlineStr">
        <is>
          <t>Kyrkan</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25446-2021</t>
        </is>
      </c>
      <c r="B3623" s="1" t="n">
        <v>44342</v>
      </c>
      <c r="C3623" s="1" t="n">
        <v>45344</v>
      </c>
      <c r="D3623" t="inlineStr">
        <is>
          <t>GÄVLEBORGS LÄN</t>
        </is>
      </c>
      <c r="E3623" t="inlineStr">
        <is>
          <t>GÄVLE</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25494-2021</t>
        </is>
      </c>
      <c r="B3624" s="1" t="n">
        <v>44343</v>
      </c>
      <c r="C3624" s="1" t="n">
        <v>45344</v>
      </c>
      <c r="D3624" t="inlineStr">
        <is>
          <t>GÄVLEBORGS LÄN</t>
        </is>
      </c>
      <c r="E3624" t="inlineStr">
        <is>
          <t>LJUSDAL</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25547-2021</t>
        </is>
      </c>
      <c r="B3625" s="1" t="n">
        <v>44343</v>
      </c>
      <c r="C3625" s="1" t="n">
        <v>45344</v>
      </c>
      <c r="D3625" t="inlineStr">
        <is>
          <t>GÄVLEBORGS LÄN</t>
        </is>
      </c>
      <c r="E3625" t="inlineStr">
        <is>
          <t>GÄVLE</t>
        </is>
      </c>
      <c r="F3625" t="inlineStr">
        <is>
          <t>Bergvik skog öst AB</t>
        </is>
      </c>
      <c r="G3625" t="n">
        <v>14.2</v>
      </c>
      <c r="H3625" t="n">
        <v>0</v>
      </c>
      <c r="I3625" t="n">
        <v>0</v>
      </c>
      <c r="J3625" t="n">
        <v>0</v>
      </c>
      <c r="K3625" t="n">
        <v>0</v>
      </c>
      <c r="L3625" t="n">
        <v>0</v>
      </c>
      <c r="M3625" t="n">
        <v>0</v>
      </c>
      <c r="N3625" t="n">
        <v>0</v>
      </c>
      <c r="O3625" t="n">
        <v>0</v>
      </c>
      <c r="P3625" t="n">
        <v>0</v>
      </c>
      <c r="Q3625" t="n">
        <v>0</v>
      </c>
      <c r="R3625" s="2" t="inlineStr"/>
    </row>
    <row r="3626" ht="15" customHeight="1">
      <c r="A3626" t="inlineStr">
        <is>
          <t>A 25583-2021</t>
        </is>
      </c>
      <c r="B3626" s="1" t="n">
        <v>44343</v>
      </c>
      <c r="C3626" s="1" t="n">
        <v>45344</v>
      </c>
      <c r="D3626" t="inlineStr">
        <is>
          <t>GÄVLEBORGS LÄN</t>
        </is>
      </c>
      <c r="E3626" t="inlineStr">
        <is>
          <t>OCKELBO</t>
        </is>
      </c>
      <c r="F3626" t="inlineStr">
        <is>
          <t>Bergvik skog väst AB</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25939-2021</t>
        </is>
      </c>
      <c r="B3627" s="1" t="n">
        <v>44344</v>
      </c>
      <c r="C3627" s="1" t="n">
        <v>45344</v>
      </c>
      <c r="D3627" t="inlineStr">
        <is>
          <t>GÄVLEBORGS LÄN</t>
        </is>
      </c>
      <c r="E3627" t="inlineStr">
        <is>
          <t>OVANÅKER</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26182-2021</t>
        </is>
      </c>
      <c r="B3628" s="1" t="n">
        <v>44347</v>
      </c>
      <c r="C3628" s="1" t="n">
        <v>45344</v>
      </c>
      <c r="D3628" t="inlineStr">
        <is>
          <t>GÄVLEBORGS LÄN</t>
        </is>
      </c>
      <c r="E3628" t="inlineStr">
        <is>
          <t>BOLLNÄS</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26236-2021</t>
        </is>
      </c>
      <c r="B3629" s="1" t="n">
        <v>44347</v>
      </c>
      <c r="C3629" s="1" t="n">
        <v>45344</v>
      </c>
      <c r="D3629" t="inlineStr">
        <is>
          <t>GÄVLEBORGS LÄN</t>
        </is>
      </c>
      <c r="E3629" t="inlineStr">
        <is>
          <t>LJUSDAL</t>
        </is>
      </c>
      <c r="F3629" t="inlineStr">
        <is>
          <t>Bergvik skog väst AB</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26158-2021</t>
        </is>
      </c>
      <c r="B3630" s="1" t="n">
        <v>44347</v>
      </c>
      <c r="C3630" s="1" t="n">
        <v>45344</v>
      </c>
      <c r="D3630" t="inlineStr">
        <is>
          <t>GÄVLEBORGS LÄN</t>
        </is>
      </c>
      <c r="E3630" t="inlineStr">
        <is>
          <t>BOLLNÄS</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26171-2021</t>
        </is>
      </c>
      <c r="B3631" s="1" t="n">
        <v>44347</v>
      </c>
      <c r="C3631" s="1" t="n">
        <v>45344</v>
      </c>
      <c r="D3631" t="inlineStr">
        <is>
          <t>GÄVLEBORGS LÄN</t>
        </is>
      </c>
      <c r="E3631" t="inlineStr">
        <is>
          <t>BOLLNÄS</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26269-2021</t>
        </is>
      </c>
      <c r="B3632" s="1" t="n">
        <v>44347</v>
      </c>
      <c r="C3632" s="1" t="n">
        <v>45344</v>
      </c>
      <c r="D3632" t="inlineStr">
        <is>
          <t>GÄVLEBORGS LÄN</t>
        </is>
      </c>
      <c r="E3632" t="inlineStr">
        <is>
          <t>OVANÅKER</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26323-2021</t>
        </is>
      </c>
      <c r="B3633" s="1" t="n">
        <v>44347</v>
      </c>
      <c r="C3633" s="1" t="n">
        <v>45344</v>
      </c>
      <c r="D3633" t="inlineStr">
        <is>
          <t>GÄVLEBORGS LÄN</t>
        </is>
      </c>
      <c r="E3633" t="inlineStr">
        <is>
          <t>GÄVLE</t>
        </is>
      </c>
      <c r="F3633" t="inlineStr">
        <is>
          <t>Bergvik skog väst AB</t>
        </is>
      </c>
      <c r="G3633" t="n">
        <v>7</v>
      </c>
      <c r="H3633" t="n">
        <v>0</v>
      </c>
      <c r="I3633" t="n">
        <v>0</v>
      </c>
      <c r="J3633" t="n">
        <v>0</v>
      </c>
      <c r="K3633" t="n">
        <v>0</v>
      </c>
      <c r="L3633" t="n">
        <v>0</v>
      </c>
      <c r="M3633" t="n">
        <v>0</v>
      </c>
      <c r="N3633" t="n">
        <v>0</v>
      </c>
      <c r="O3633" t="n">
        <v>0</v>
      </c>
      <c r="P3633" t="n">
        <v>0</v>
      </c>
      <c r="Q3633" t="n">
        <v>0</v>
      </c>
      <c r="R3633" s="2" t="inlineStr"/>
    </row>
    <row r="3634" ht="15" customHeight="1">
      <c r="A3634" t="inlineStr">
        <is>
          <t>A 26336-2021</t>
        </is>
      </c>
      <c r="B3634" s="1" t="n">
        <v>44347</v>
      </c>
      <c r="C3634" s="1" t="n">
        <v>45344</v>
      </c>
      <c r="D3634" t="inlineStr">
        <is>
          <t>GÄVLEBORGS LÄN</t>
        </is>
      </c>
      <c r="E3634" t="inlineStr">
        <is>
          <t>LJUSDAL</t>
        </is>
      </c>
      <c r="F3634" t="inlineStr">
        <is>
          <t>Sveaskog</t>
        </is>
      </c>
      <c r="G3634" t="n">
        <v>8.300000000000001</v>
      </c>
      <c r="H3634" t="n">
        <v>0</v>
      </c>
      <c r="I3634" t="n">
        <v>0</v>
      </c>
      <c r="J3634" t="n">
        <v>0</v>
      </c>
      <c r="K3634" t="n">
        <v>0</v>
      </c>
      <c r="L3634" t="n">
        <v>0</v>
      </c>
      <c r="M3634" t="n">
        <v>0</v>
      </c>
      <c r="N3634" t="n">
        <v>0</v>
      </c>
      <c r="O3634" t="n">
        <v>0</v>
      </c>
      <c r="P3634" t="n">
        <v>0</v>
      </c>
      <c r="Q3634" t="n">
        <v>0</v>
      </c>
      <c r="R3634" s="2" t="inlineStr"/>
    </row>
    <row r="3635" ht="15" customHeight="1">
      <c r="A3635" t="inlineStr">
        <is>
          <t>A 26365-2021</t>
        </is>
      </c>
      <c r="B3635" s="1" t="n">
        <v>44347</v>
      </c>
      <c r="C3635" s="1" t="n">
        <v>45344</v>
      </c>
      <c r="D3635" t="inlineStr">
        <is>
          <t>GÄVLEBORGS LÄN</t>
        </is>
      </c>
      <c r="E3635" t="inlineStr">
        <is>
          <t>OVANÅKER</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26318-2021</t>
        </is>
      </c>
      <c r="B3636" s="1" t="n">
        <v>44347</v>
      </c>
      <c r="C3636" s="1" t="n">
        <v>45344</v>
      </c>
      <c r="D3636" t="inlineStr">
        <is>
          <t>GÄVLEBORGS LÄN</t>
        </is>
      </c>
      <c r="E3636" t="inlineStr">
        <is>
          <t>HUDIKSVALL</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26355-2021</t>
        </is>
      </c>
      <c r="B3637" s="1" t="n">
        <v>44347</v>
      </c>
      <c r="C3637" s="1" t="n">
        <v>45344</v>
      </c>
      <c r="D3637" t="inlineStr">
        <is>
          <t>GÄVLEBORGS LÄN</t>
        </is>
      </c>
      <c r="E3637" t="inlineStr">
        <is>
          <t>SANDVIKEN</t>
        </is>
      </c>
      <c r="F3637" t="inlineStr">
        <is>
          <t>Bergvik skog väst AB</t>
        </is>
      </c>
      <c r="G3637" t="n">
        <v>10.1</v>
      </c>
      <c r="H3637" t="n">
        <v>0</v>
      </c>
      <c r="I3637" t="n">
        <v>0</v>
      </c>
      <c r="J3637" t="n">
        <v>0</v>
      </c>
      <c r="K3637" t="n">
        <v>0</v>
      </c>
      <c r="L3637" t="n">
        <v>0</v>
      </c>
      <c r="M3637" t="n">
        <v>0</v>
      </c>
      <c r="N3637" t="n">
        <v>0</v>
      </c>
      <c r="O3637" t="n">
        <v>0</v>
      </c>
      <c r="P3637" t="n">
        <v>0</v>
      </c>
      <c r="Q3637" t="n">
        <v>0</v>
      </c>
      <c r="R3637" s="2" t="inlineStr"/>
    </row>
    <row r="3638" ht="15" customHeight="1">
      <c r="A3638" t="inlineStr">
        <is>
          <t>A 26373-2021</t>
        </is>
      </c>
      <c r="B3638" s="1" t="n">
        <v>44347</v>
      </c>
      <c r="C3638" s="1" t="n">
        <v>45344</v>
      </c>
      <c r="D3638" t="inlineStr">
        <is>
          <t>GÄVLEBORGS LÄN</t>
        </is>
      </c>
      <c r="E3638" t="inlineStr">
        <is>
          <t>SANDVIKEN</t>
        </is>
      </c>
      <c r="F3638" t="inlineStr">
        <is>
          <t>Bergvik skog väst AB</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26499-2021</t>
        </is>
      </c>
      <c r="B3639" s="1" t="n">
        <v>44348</v>
      </c>
      <c r="C3639" s="1" t="n">
        <v>45344</v>
      </c>
      <c r="D3639" t="inlineStr">
        <is>
          <t>GÄVLEBORGS LÄN</t>
        </is>
      </c>
      <c r="E3639" t="inlineStr">
        <is>
          <t>OCKELBO</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26573-2021</t>
        </is>
      </c>
      <c r="B3640" s="1" t="n">
        <v>44348</v>
      </c>
      <c r="C3640" s="1" t="n">
        <v>45344</v>
      </c>
      <c r="D3640" t="inlineStr">
        <is>
          <t>GÄVLEBORGS LÄN</t>
        </is>
      </c>
      <c r="E3640" t="inlineStr">
        <is>
          <t>NORDANSTIG</t>
        </is>
      </c>
      <c r="F3640" t="inlineStr">
        <is>
          <t>Holmen skog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26503-2021</t>
        </is>
      </c>
      <c r="B3641" s="1" t="n">
        <v>44348</v>
      </c>
      <c r="C3641" s="1" t="n">
        <v>45344</v>
      </c>
      <c r="D3641" t="inlineStr">
        <is>
          <t>GÄVLEBORGS LÄN</t>
        </is>
      </c>
      <c r="E3641" t="inlineStr">
        <is>
          <t>NORDANSTIG</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26501-2021</t>
        </is>
      </c>
      <c r="B3642" s="1" t="n">
        <v>44348</v>
      </c>
      <c r="C3642" s="1" t="n">
        <v>45344</v>
      </c>
      <c r="D3642" t="inlineStr">
        <is>
          <t>GÄVLEBORGS LÄN</t>
        </is>
      </c>
      <c r="E3642" t="inlineStr">
        <is>
          <t>NORDANSTIG</t>
        </is>
      </c>
      <c r="G3642" t="n">
        <v>4.8</v>
      </c>
      <c r="H3642" t="n">
        <v>0</v>
      </c>
      <c r="I3642" t="n">
        <v>0</v>
      </c>
      <c r="J3642" t="n">
        <v>0</v>
      </c>
      <c r="K3642" t="n">
        <v>0</v>
      </c>
      <c r="L3642" t="n">
        <v>0</v>
      </c>
      <c r="M3642" t="n">
        <v>0</v>
      </c>
      <c r="N3642" t="n">
        <v>0</v>
      </c>
      <c r="O3642" t="n">
        <v>0</v>
      </c>
      <c r="P3642" t="n">
        <v>0</v>
      </c>
      <c r="Q3642" t="n">
        <v>0</v>
      </c>
      <c r="R3642" s="2" t="inlineStr"/>
    </row>
    <row r="3643" ht="15" customHeight="1">
      <c r="A3643" t="inlineStr">
        <is>
          <t>A 26531-2021</t>
        </is>
      </c>
      <c r="B3643" s="1" t="n">
        <v>44348</v>
      </c>
      <c r="C3643" s="1" t="n">
        <v>45344</v>
      </c>
      <c r="D3643" t="inlineStr">
        <is>
          <t>GÄVLEBORGS LÄN</t>
        </is>
      </c>
      <c r="E3643" t="inlineStr">
        <is>
          <t>SÖDERHAMN</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26539-2021</t>
        </is>
      </c>
      <c r="B3644" s="1" t="n">
        <v>44348</v>
      </c>
      <c r="C3644" s="1" t="n">
        <v>45344</v>
      </c>
      <c r="D3644" t="inlineStr">
        <is>
          <t>GÄVLEBORGS LÄN</t>
        </is>
      </c>
      <c r="E3644" t="inlineStr">
        <is>
          <t>SÖDERHAMN</t>
        </is>
      </c>
      <c r="G3644" t="n">
        <v>5.7</v>
      </c>
      <c r="H3644" t="n">
        <v>0</v>
      </c>
      <c r="I3644" t="n">
        <v>0</v>
      </c>
      <c r="J3644" t="n">
        <v>0</v>
      </c>
      <c r="K3644" t="n">
        <v>0</v>
      </c>
      <c r="L3644" t="n">
        <v>0</v>
      </c>
      <c r="M3644" t="n">
        <v>0</v>
      </c>
      <c r="N3644" t="n">
        <v>0</v>
      </c>
      <c r="O3644" t="n">
        <v>0</v>
      </c>
      <c r="P3644" t="n">
        <v>0</v>
      </c>
      <c r="Q3644" t="n">
        <v>0</v>
      </c>
      <c r="R3644" s="2" t="inlineStr"/>
    </row>
    <row r="3645" ht="15" customHeight="1">
      <c r="A3645" t="inlineStr">
        <is>
          <t>A 26533-2021</t>
        </is>
      </c>
      <c r="B3645" s="1" t="n">
        <v>44348</v>
      </c>
      <c r="C3645" s="1" t="n">
        <v>45344</v>
      </c>
      <c r="D3645" t="inlineStr">
        <is>
          <t>GÄVLEBORGS LÄN</t>
        </is>
      </c>
      <c r="E3645" t="inlineStr">
        <is>
          <t>SÖDERHAMN</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26584-2021</t>
        </is>
      </c>
      <c r="B3646" s="1" t="n">
        <v>44348</v>
      </c>
      <c r="C3646" s="1" t="n">
        <v>45344</v>
      </c>
      <c r="D3646" t="inlineStr">
        <is>
          <t>GÄVLEBORGS LÄN</t>
        </is>
      </c>
      <c r="E3646" t="inlineStr">
        <is>
          <t>BOLLNÄS</t>
        </is>
      </c>
      <c r="G3646" t="n">
        <v>8.800000000000001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26683-2021</t>
        </is>
      </c>
      <c r="B3647" s="1" t="n">
        <v>44349</v>
      </c>
      <c r="C3647" s="1" t="n">
        <v>45344</v>
      </c>
      <c r="D3647" t="inlineStr">
        <is>
          <t>GÄVLEBORGS LÄN</t>
        </is>
      </c>
      <c r="E3647" t="inlineStr">
        <is>
          <t>HUDIKSVALL</t>
        </is>
      </c>
      <c r="F3647" t="inlineStr">
        <is>
          <t>Holmen skog AB</t>
        </is>
      </c>
      <c r="G3647" t="n">
        <v>5.4</v>
      </c>
      <c r="H3647" t="n">
        <v>0</v>
      </c>
      <c r="I3647" t="n">
        <v>0</v>
      </c>
      <c r="J3647" t="n">
        <v>0</v>
      </c>
      <c r="K3647" t="n">
        <v>0</v>
      </c>
      <c r="L3647" t="n">
        <v>0</v>
      </c>
      <c r="M3647" t="n">
        <v>0</v>
      </c>
      <c r="N3647" t="n">
        <v>0</v>
      </c>
      <c r="O3647" t="n">
        <v>0</v>
      </c>
      <c r="P3647" t="n">
        <v>0</v>
      </c>
      <c r="Q3647" t="n">
        <v>0</v>
      </c>
      <c r="R3647" s="2" t="inlineStr"/>
    </row>
    <row r="3648" ht="15" customHeight="1">
      <c r="A3648" t="inlineStr">
        <is>
          <t>A 26754-2021</t>
        </is>
      </c>
      <c r="B3648" s="1" t="n">
        <v>44349</v>
      </c>
      <c r="C3648" s="1" t="n">
        <v>45344</v>
      </c>
      <c r="D3648" t="inlineStr">
        <is>
          <t>GÄVLEBORGS LÄN</t>
        </is>
      </c>
      <c r="E3648" t="inlineStr">
        <is>
          <t>OVANÅKER</t>
        </is>
      </c>
      <c r="G3648" t="n">
        <v>2.4</v>
      </c>
      <c r="H3648" t="n">
        <v>0</v>
      </c>
      <c r="I3648" t="n">
        <v>0</v>
      </c>
      <c r="J3648" t="n">
        <v>0</v>
      </c>
      <c r="K3648" t="n">
        <v>0</v>
      </c>
      <c r="L3648" t="n">
        <v>0</v>
      </c>
      <c r="M3648" t="n">
        <v>0</v>
      </c>
      <c r="N3648" t="n">
        <v>0</v>
      </c>
      <c r="O3648" t="n">
        <v>0</v>
      </c>
      <c r="P3648" t="n">
        <v>0</v>
      </c>
      <c r="Q3648" t="n">
        <v>0</v>
      </c>
      <c r="R3648" s="2" t="inlineStr"/>
    </row>
    <row r="3649" ht="15" customHeight="1">
      <c r="A3649" t="inlineStr">
        <is>
          <t>A 26800-2021</t>
        </is>
      </c>
      <c r="B3649" s="1" t="n">
        <v>44349</v>
      </c>
      <c r="C3649" s="1" t="n">
        <v>45344</v>
      </c>
      <c r="D3649" t="inlineStr">
        <is>
          <t>GÄVLEBORGS LÄN</t>
        </is>
      </c>
      <c r="E3649" t="inlineStr">
        <is>
          <t>OVANÅKER</t>
        </is>
      </c>
      <c r="F3649" t="inlineStr">
        <is>
          <t>Sveaskog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26752-2021</t>
        </is>
      </c>
      <c r="B3650" s="1" t="n">
        <v>44349</v>
      </c>
      <c r="C3650" s="1" t="n">
        <v>45344</v>
      </c>
      <c r="D3650" t="inlineStr">
        <is>
          <t>GÄVLEBORGS LÄN</t>
        </is>
      </c>
      <c r="E3650" t="inlineStr">
        <is>
          <t>OVANÅKER</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26779-2021</t>
        </is>
      </c>
      <c r="B3651" s="1" t="n">
        <v>44349</v>
      </c>
      <c r="C3651" s="1" t="n">
        <v>45344</v>
      </c>
      <c r="D3651" t="inlineStr">
        <is>
          <t>GÄVLEBORGS LÄN</t>
        </is>
      </c>
      <c r="E3651" t="inlineStr">
        <is>
          <t>GÄVLE</t>
        </is>
      </c>
      <c r="F3651" t="inlineStr">
        <is>
          <t>Bergvik skog öst AB</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26715-2021</t>
        </is>
      </c>
      <c r="B3652" s="1" t="n">
        <v>44349</v>
      </c>
      <c r="C3652" s="1" t="n">
        <v>45344</v>
      </c>
      <c r="D3652" t="inlineStr">
        <is>
          <t>GÄVLEBORGS LÄN</t>
        </is>
      </c>
      <c r="E3652" t="inlineStr">
        <is>
          <t>LJUSDAL</t>
        </is>
      </c>
      <c r="F3652" t="inlineStr">
        <is>
          <t>Sveaskog</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26776-2021</t>
        </is>
      </c>
      <c r="B3653" s="1" t="n">
        <v>44349</v>
      </c>
      <c r="C3653" s="1" t="n">
        <v>45344</v>
      </c>
      <c r="D3653" t="inlineStr">
        <is>
          <t>GÄVLEBORGS LÄN</t>
        </is>
      </c>
      <c r="E3653" t="inlineStr">
        <is>
          <t>GÄVLE</t>
        </is>
      </c>
      <c r="F3653" t="inlineStr">
        <is>
          <t>Bergvik skog öst AB</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26806-2021</t>
        </is>
      </c>
      <c r="B3654" s="1" t="n">
        <v>44349</v>
      </c>
      <c r="C3654" s="1" t="n">
        <v>45344</v>
      </c>
      <c r="D3654" t="inlineStr">
        <is>
          <t>GÄVLEBORGS LÄN</t>
        </is>
      </c>
      <c r="E3654" t="inlineStr">
        <is>
          <t>OVANÅKER</t>
        </is>
      </c>
      <c r="F3654" t="inlineStr">
        <is>
          <t>Sveaskog</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26827-2021</t>
        </is>
      </c>
      <c r="B3655" s="1" t="n">
        <v>44349</v>
      </c>
      <c r="C3655" s="1" t="n">
        <v>45344</v>
      </c>
      <c r="D3655" t="inlineStr">
        <is>
          <t>GÄVLEBORGS LÄN</t>
        </is>
      </c>
      <c r="E3655" t="inlineStr">
        <is>
          <t>NORDANSTIG</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26782-2021</t>
        </is>
      </c>
      <c r="B3656" s="1" t="n">
        <v>44349</v>
      </c>
      <c r="C3656" s="1" t="n">
        <v>45344</v>
      </c>
      <c r="D3656" t="inlineStr">
        <is>
          <t>GÄVLEBORGS LÄN</t>
        </is>
      </c>
      <c r="E3656" t="inlineStr">
        <is>
          <t>HUDIKSVALL</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26833-2021</t>
        </is>
      </c>
      <c r="B3657" s="1" t="n">
        <v>44349</v>
      </c>
      <c r="C3657" s="1" t="n">
        <v>45344</v>
      </c>
      <c r="D3657" t="inlineStr">
        <is>
          <t>GÄVLEBORGS LÄN</t>
        </is>
      </c>
      <c r="E3657" t="inlineStr">
        <is>
          <t>NORDANSTIG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26869-2021</t>
        </is>
      </c>
      <c r="B3658" s="1" t="n">
        <v>44349</v>
      </c>
      <c r="C3658" s="1" t="n">
        <v>45344</v>
      </c>
      <c r="D3658" t="inlineStr">
        <is>
          <t>GÄVLEBORGS LÄN</t>
        </is>
      </c>
      <c r="E3658" t="inlineStr">
        <is>
          <t>NORDANSTIG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27078-2021</t>
        </is>
      </c>
      <c r="B3659" s="1" t="n">
        <v>44350</v>
      </c>
      <c r="C3659" s="1" t="n">
        <v>45344</v>
      </c>
      <c r="D3659" t="inlineStr">
        <is>
          <t>GÄVLEBORGS LÄN</t>
        </is>
      </c>
      <c r="E3659" t="inlineStr">
        <is>
          <t>OVANÅKER</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27179-2021</t>
        </is>
      </c>
      <c r="B3660" s="1" t="n">
        <v>44350</v>
      </c>
      <c r="C3660" s="1" t="n">
        <v>45344</v>
      </c>
      <c r="D3660" t="inlineStr">
        <is>
          <t>GÄVLEBORGS LÄN</t>
        </is>
      </c>
      <c r="E3660" t="inlineStr">
        <is>
          <t>GÄVLE</t>
        </is>
      </c>
      <c r="F3660" t="inlineStr">
        <is>
          <t>Bergvik skog öst AB</t>
        </is>
      </c>
      <c r="G3660" t="n">
        <v>3.7</v>
      </c>
      <c r="H3660" t="n">
        <v>0</v>
      </c>
      <c r="I3660" t="n">
        <v>0</v>
      </c>
      <c r="J3660" t="n">
        <v>0</v>
      </c>
      <c r="K3660" t="n">
        <v>0</v>
      </c>
      <c r="L3660" t="n">
        <v>0</v>
      </c>
      <c r="M3660" t="n">
        <v>0</v>
      </c>
      <c r="N3660" t="n">
        <v>0</v>
      </c>
      <c r="O3660" t="n">
        <v>0</v>
      </c>
      <c r="P3660" t="n">
        <v>0</v>
      </c>
      <c r="Q3660" t="n">
        <v>0</v>
      </c>
      <c r="R3660" s="2" t="inlineStr"/>
    </row>
    <row r="3661" ht="15" customHeight="1">
      <c r="A3661" t="inlineStr">
        <is>
          <t>A 27083-2021</t>
        </is>
      </c>
      <c r="B3661" s="1" t="n">
        <v>44350</v>
      </c>
      <c r="C3661" s="1" t="n">
        <v>45344</v>
      </c>
      <c r="D3661" t="inlineStr">
        <is>
          <t>GÄVLEBORGS LÄN</t>
        </is>
      </c>
      <c r="E3661" t="inlineStr">
        <is>
          <t>HUDIKSVALL</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27161-2021</t>
        </is>
      </c>
      <c r="B3662" s="1" t="n">
        <v>44350</v>
      </c>
      <c r="C3662" s="1" t="n">
        <v>45344</v>
      </c>
      <c r="D3662" t="inlineStr">
        <is>
          <t>GÄVLEBORGS LÄN</t>
        </is>
      </c>
      <c r="E3662" t="inlineStr">
        <is>
          <t>NORDANSTIG</t>
        </is>
      </c>
      <c r="G3662" t="n">
        <v>11.5</v>
      </c>
      <c r="H3662" t="n">
        <v>0</v>
      </c>
      <c r="I3662" t="n">
        <v>0</v>
      </c>
      <c r="J3662" t="n">
        <v>0</v>
      </c>
      <c r="K3662" t="n">
        <v>0</v>
      </c>
      <c r="L3662" t="n">
        <v>0</v>
      </c>
      <c r="M3662" t="n">
        <v>0</v>
      </c>
      <c r="N3662" t="n">
        <v>0</v>
      </c>
      <c r="O3662" t="n">
        <v>0</v>
      </c>
      <c r="P3662" t="n">
        <v>0</v>
      </c>
      <c r="Q3662" t="n">
        <v>0</v>
      </c>
      <c r="R3662" s="2" t="inlineStr"/>
    </row>
    <row r="3663" ht="15" customHeight="1">
      <c r="A3663" t="inlineStr">
        <is>
          <t>A 27216-2021</t>
        </is>
      </c>
      <c r="B3663" s="1" t="n">
        <v>44350</v>
      </c>
      <c r="C3663" s="1" t="n">
        <v>45344</v>
      </c>
      <c r="D3663" t="inlineStr">
        <is>
          <t>GÄVLEBORGS LÄN</t>
        </is>
      </c>
      <c r="E3663" t="inlineStr">
        <is>
          <t>LJUSDAL</t>
        </is>
      </c>
      <c r="F3663" t="inlineStr">
        <is>
          <t>Sveaskog</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27051-2021</t>
        </is>
      </c>
      <c r="B3664" s="1" t="n">
        <v>44350</v>
      </c>
      <c r="C3664" s="1" t="n">
        <v>45344</v>
      </c>
      <c r="D3664" t="inlineStr">
        <is>
          <t>GÄVLEBORGS LÄN</t>
        </is>
      </c>
      <c r="E3664" t="inlineStr">
        <is>
          <t>LJUSDAL</t>
        </is>
      </c>
      <c r="F3664" t="inlineStr">
        <is>
          <t>Bergvik skog väst AB</t>
        </is>
      </c>
      <c r="G3664" t="n">
        <v>7</v>
      </c>
      <c r="H3664" t="n">
        <v>0</v>
      </c>
      <c r="I3664" t="n">
        <v>0</v>
      </c>
      <c r="J3664" t="n">
        <v>0</v>
      </c>
      <c r="K3664" t="n">
        <v>0</v>
      </c>
      <c r="L3664" t="n">
        <v>0</v>
      </c>
      <c r="M3664" t="n">
        <v>0</v>
      </c>
      <c r="N3664" t="n">
        <v>0</v>
      </c>
      <c r="O3664" t="n">
        <v>0</v>
      </c>
      <c r="P3664" t="n">
        <v>0</v>
      </c>
      <c r="Q3664" t="n">
        <v>0</v>
      </c>
      <c r="R3664" s="2" t="inlineStr"/>
    </row>
    <row r="3665" ht="15" customHeight="1">
      <c r="A3665" t="inlineStr">
        <is>
          <t>A 27066-2021</t>
        </is>
      </c>
      <c r="B3665" s="1" t="n">
        <v>44350</v>
      </c>
      <c r="C3665" s="1" t="n">
        <v>45344</v>
      </c>
      <c r="D3665" t="inlineStr">
        <is>
          <t>GÄVLEBORGS LÄN</t>
        </is>
      </c>
      <c r="E3665" t="inlineStr">
        <is>
          <t>OCKELBO</t>
        </is>
      </c>
      <c r="F3665" t="inlineStr">
        <is>
          <t>Bergvik skog väst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27215-2021</t>
        </is>
      </c>
      <c r="B3666" s="1" t="n">
        <v>44350</v>
      </c>
      <c r="C3666" s="1" t="n">
        <v>45344</v>
      </c>
      <c r="D3666" t="inlineStr">
        <is>
          <t>GÄVLEBORGS LÄN</t>
        </is>
      </c>
      <c r="E3666" t="inlineStr">
        <is>
          <t>LJUSDAL</t>
        </is>
      </c>
      <c r="F3666" t="inlineStr">
        <is>
          <t>Sveaskog</t>
        </is>
      </c>
      <c r="G3666" t="n">
        <v>4.1</v>
      </c>
      <c r="H3666" t="n">
        <v>0</v>
      </c>
      <c r="I3666" t="n">
        <v>0</v>
      </c>
      <c r="J3666" t="n">
        <v>0</v>
      </c>
      <c r="K3666" t="n">
        <v>0</v>
      </c>
      <c r="L3666" t="n">
        <v>0</v>
      </c>
      <c r="M3666" t="n">
        <v>0</v>
      </c>
      <c r="N3666" t="n">
        <v>0</v>
      </c>
      <c r="O3666" t="n">
        <v>0</v>
      </c>
      <c r="P3666" t="n">
        <v>0</v>
      </c>
      <c r="Q3666" t="n">
        <v>0</v>
      </c>
      <c r="R3666" s="2" t="inlineStr"/>
    </row>
    <row r="3667" ht="15" customHeight="1">
      <c r="A3667" t="inlineStr">
        <is>
          <t>A 27218-2021</t>
        </is>
      </c>
      <c r="B3667" s="1" t="n">
        <v>44350</v>
      </c>
      <c r="C3667" s="1" t="n">
        <v>45344</v>
      </c>
      <c r="D3667" t="inlineStr">
        <is>
          <t>GÄVLEBORGS LÄN</t>
        </is>
      </c>
      <c r="E3667" t="inlineStr">
        <is>
          <t>LJUSDAL</t>
        </is>
      </c>
      <c r="F3667" t="inlineStr">
        <is>
          <t>Sveaskog</t>
        </is>
      </c>
      <c r="G3667" t="n">
        <v>11.5</v>
      </c>
      <c r="H3667" t="n">
        <v>0</v>
      </c>
      <c r="I3667" t="n">
        <v>0</v>
      </c>
      <c r="J3667" t="n">
        <v>0</v>
      </c>
      <c r="K3667" t="n">
        <v>0</v>
      </c>
      <c r="L3667" t="n">
        <v>0</v>
      </c>
      <c r="M3667" t="n">
        <v>0</v>
      </c>
      <c r="N3667" t="n">
        <v>0</v>
      </c>
      <c r="O3667" t="n">
        <v>0</v>
      </c>
      <c r="P3667" t="n">
        <v>0</v>
      </c>
      <c r="Q3667" t="n">
        <v>0</v>
      </c>
      <c r="R3667" s="2" t="inlineStr"/>
    </row>
    <row r="3668" ht="15" customHeight="1">
      <c r="A3668" t="inlineStr">
        <is>
          <t>A 27480-2021</t>
        </is>
      </c>
      <c r="B3668" s="1" t="n">
        <v>44351</v>
      </c>
      <c r="C3668" s="1" t="n">
        <v>45344</v>
      </c>
      <c r="D3668" t="inlineStr">
        <is>
          <t>GÄVLEBORGS LÄN</t>
        </is>
      </c>
      <c r="E3668" t="inlineStr">
        <is>
          <t>GÄVLE</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27374-2021</t>
        </is>
      </c>
      <c r="B3669" s="1" t="n">
        <v>44351</v>
      </c>
      <c r="C3669" s="1" t="n">
        <v>45344</v>
      </c>
      <c r="D3669" t="inlineStr">
        <is>
          <t>GÄVLEBORGS LÄN</t>
        </is>
      </c>
      <c r="E3669" t="inlineStr">
        <is>
          <t>OVANÅKER</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27536-2021</t>
        </is>
      </c>
      <c r="B3670" s="1" t="n">
        <v>44351</v>
      </c>
      <c r="C3670" s="1" t="n">
        <v>45344</v>
      </c>
      <c r="D3670" t="inlineStr">
        <is>
          <t>GÄVLEBORGS LÄN</t>
        </is>
      </c>
      <c r="E3670" t="inlineStr">
        <is>
          <t>OVANÅKER</t>
        </is>
      </c>
      <c r="F3670" t="inlineStr">
        <is>
          <t>Sveaskog</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27476-2021</t>
        </is>
      </c>
      <c r="B3671" s="1" t="n">
        <v>44351</v>
      </c>
      <c r="C3671" s="1" t="n">
        <v>45344</v>
      </c>
      <c r="D3671" t="inlineStr">
        <is>
          <t>GÄVLEBORGS LÄN</t>
        </is>
      </c>
      <c r="E3671" t="inlineStr">
        <is>
          <t>GÄVLE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27534-2021</t>
        </is>
      </c>
      <c r="B3672" s="1" t="n">
        <v>44351</v>
      </c>
      <c r="C3672" s="1" t="n">
        <v>45344</v>
      </c>
      <c r="D3672" t="inlineStr">
        <is>
          <t>GÄVLEBORGS LÄN</t>
        </is>
      </c>
      <c r="E3672" t="inlineStr">
        <is>
          <t>OVANÅKER</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27415-2021</t>
        </is>
      </c>
      <c r="B3673" s="1" t="n">
        <v>44351</v>
      </c>
      <c r="C3673" s="1" t="n">
        <v>45344</v>
      </c>
      <c r="D3673" t="inlineStr">
        <is>
          <t>GÄVLEBORGS LÄN</t>
        </is>
      </c>
      <c r="E3673" t="inlineStr">
        <is>
          <t>BOLLNÄS</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27575-2021</t>
        </is>
      </c>
      <c r="B3674" s="1" t="n">
        <v>44353</v>
      </c>
      <c r="C3674" s="1" t="n">
        <v>45344</v>
      </c>
      <c r="D3674" t="inlineStr">
        <is>
          <t>GÄVLEBORGS LÄN</t>
        </is>
      </c>
      <c r="E3674" t="inlineStr">
        <is>
          <t>LJUSDAL</t>
        </is>
      </c>
      <c r="F3674" t="inlineStr">
        <is>
          <t>Sveaskog</t>
        </is>
      </c>
      <c r="G3674" t="n">
        <v>7.3</v>
      </c>
      <c r="H3674" t="n">
        <v>0</v>
      </c>
      <c r="I3674" t="n">
        <v>0</v>
      </c>
      <c r="J3674" t="n">
        <v>0</v>
      </c>
      <c r="K3674" t="n">
        <v>0</v>
      </c>
      <c r="L3674" t="n">
        <v>0</v>
      </c>
      <c r="M3674" t="n">
        <v>0</v>
      </c>
      <c r="N3674" t="n">
        <v>0</v>
      </c>
      <c r="O3674" t="n">
        <v>0</v>
      </c>
      <c r="P3674" t="n">
        <v>0</v>
      </c>
      <c r="Q3674" t="n">
        <v>0</v>
      </c>
      <c r="R3674" s="2" t="inlineStr"/>
    </row>
    <row r="3675" ht="15" customHeight="1">
      <c r="A3675" t="inlineStr">
        <is>
          <t>A 27678-2021</t>
        </is>
      </c>
      <c r="B3675" s="1" t="n">
        <v>44354</v>
      </c>
      <c r="C3675" s="1" t="n">
        <v>45344</v>
      </c>
      <c r="D3675" t="inlineStr">
        <is>
          <t>GÄVLEBORGS LÄN</t>
        </is>
      </c>
      <c r="E3675" t="inlineStr">
        <is>
          <t>BOLLNÄS</t>
        </is>
      </c>
      <c r="F3675" t="inlineStr">
        <is>
          <t>Sveaskog</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27864-2021</t>
        </is>
      </c>
      <c r="B3676" s="1" t="n">
        <v>44354</v>
      </c>
      <c r="C3676" s="1" t="n">
        <v>45344</v>
      </c>
      <c r="D3676" t="inlineStr">
        <is>
          <t>GÄVLEBORGS LÄN</t>
        </is>
      </c>
      <c r="E3676" t="inlineStr">
        <is>
          <t>GÄVLE</t>
        </is>
      </c>
      <c r="F3676" t="inlineStr">
        <is>
          <t>Bergvik skog öst AB</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27900-2021</t>
        </is>
      </c>
      <c r="B3677" s="1" t="n">
        <v>44354</v>
      </c>
      <c r="C3677" s="1" t="n">
        <v>45344</v>
      </c>
      <c r="D3677" t="inlineStr">
        <is>
          <t>GÄVLEBORGS LÄN</t>
        </is>
      </c>
      <c r="E3677" t="inlineStr">
        <is>
          <t>LJUSDAL</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28006-2021</t>
        </is>
      </c>
      <c r="B3678" s="1" t="n">
        <v>44355</v>
      </c>
      <c r="C3678" s="1" t="n">
        <v>45344</v>
      </c>
      <c r="D3678" t="inlineStr">
        <is>
          <t>GÄVLEBORGS LÄN</t>
        </is>
      </c>
      <c r="E3678" t="inlineStr">
        <is>
          <t>OCKELBO</t>
        </is>
      </c>
      <c r="F3678" t="inlineStr">
        <is>
          <t>Bergvik skog väst AB</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28014-2021</t>
        </is>
      </c>
      <c r="B3679" s="1" t="n">
        <v>44355</v>
      </c>
      <c r="C3679" s="1" t="n">
        <v>45344</v>
      </c>
      <c r="D3679" t="inlineStr">
        <is>
          <t>GÄVLEBORGS LÄN</t>
        </is>
      </c>
      <c r="E3679" t="inlineStr">
        <is>
          <t>LJUSDAL</t>
        </is>
      </c>
      <c r="F3679" t="inlineStr">
        <is>
          <t>Bergvik skog väst AB</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28048-2021</t>
        </is>
      </c>
      <c r="B3680" s="1" t="n">
        <v>44355</v>
      </c>
      <c r="C3680" s="1" t="n">
        <v>45344</v>
      </c>
      <c r="D3680" t="inlineStr">
        <is>
          <t>GÄVLEBORGS LÄN</t>
        </is>
      </c>
      <c r="E3680" t="inlineStr">
        <is>
          <t>NORDANSTIG</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27992-2021</t>
        </is>
      </c>
      <c r="B3681" s="1" t="n">
        <v>44355</v>
      </c>
      <c r="C3681" s="1" t="n">
        <v>45344</v>
      </c>
      <c r="D3681" t="inlineStr">
        <is>
          <t>GÄVLEBORGS LÄN</t>
        </is>
      </c>
      <c r="E3681" t="inlineStr">
        <is>
          <t>LJUSDAL</t>
        </is>
      </c>
      <c r="F3681" t="inlineStr">
        <is>
          <t>Sveaskog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28100-2021</t>
        </is>
      </c>
      <c r="B3682" s="1" t="n">
        <v>44355</v>
      </c>
      <c r="C3682" s="1" t="n">
        <v>45344</v>
      </c>
      <c r="D3682" t="inlineStr">
        <is>
          <t>GÄVLEBORGS LÄN</t>
        </is>
      </c>
      <c r="E3682" t="inlineStr">
        <is>
          <t>HUDIKSVALL</t>
        </is>
      </c>
      <c r="F3682" t="inlineStr">
        <is>
          <t>Holmen skog AB</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28161-2021</t>
        </is>
      </c>
      <c r="B3683" s="1" t="n">
        <v>44355</v>
      </c>
      <c r="C3683" s="1" t="n">
        <v>45344</v>
      </c>
      <c r="D3683" t="inlineStr">
        <is>
          <t>GÄVLEBORGS LÄN</t>
        </is>
      </c>
      <c r="E3683" t="inlineStr">
        <is>
          <t>BOLLNÄS</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28148-2021</t>
        </is>
      </c>
      <c r="B3684" s="1" t="n">
        <v>44355</v>
      </c>
      <c r="C3684" s="1" t="n">
        <v>45344</v>
      </c>
      <c r="D3684" t="inlineStr">
        <is>
          <t>GÄVLEBORGS LÄN</t>
        </is>
      </c>
      <c r="E3684" t="inlineStr">
        <is>
          <t>HUDIKSVALL</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28162-2021</t>
        </is>
      </c>
      <c r="B3685" s="1" t="n">
        <v>44355</v>
      </c>
      <c r="C3685" s="1" t="n">
        <v>45344</v>
      </c>
      <c r="D3685" t="inlineStr">
        <is>
          <t>GÄVLEBORGS LÄN</t>
        </is>
      </c>
      <c r="E3685" t="inlineStr">
        <is>
          <t>BOLLNÄS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28182-2021</t>
        </is>
      </c>
      <c r="B3686" s="1" t="n">
        <v>44355</v>
      </c>
      <c r="C3686" s="1" t="n">
        <v>45344</v>
      </c>
      <c r="D3686" t="inlineStr">
        <is>
          <t>GÄVLEBORGS LÄN</t>
        </is>
      </c>
      <c r="E3686" t="inlineStr">
        <is>
          <t>OVANÅKER</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28248-2021</t>
        </is>
      </c>
      <c r="B3687" s="1" t="n">
        <v>44355</v>
      </c>
      <c r="C3687" s="1" t="n">
        <v>45344</v>
      </c>
      <c r="D3687" t="inlineStr">
        <is>
          <t>GÄVLEBORGS LÄN</t>
        </is>
      </c>
      <c r="E3687" t="inlineStr">
        <is>
          <t>NORDANSTIG</t>
        </is>
      </c>
      <c r="F3687" t="inlineStr">
        <is>
          <t>Holmen skog AB</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28403-2021</t>
        </is>
      </c>
      <c r="B3688" s="1" t="n">
        <v>44356</v>
      </c>
      <c r="C3688" s="1" t="n">
        <v>45344</v>
      </c>
      <c r="D3688" t="inlineStr">
        <is>
          <t>GÄVLEBORGS LÄN</t>
        </is>
      </c>
      <c r="E3688" t="inlineStr">
        <is>
          <t>GÄVLE</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28683-2021</t>
        </is>
      </c>
      <c r="B3689" s="1" t="n">
        <v>44357</v>
      </c>
      <c r="C3689" s="1" t="n">
        <v>45344</v>
      </c>
      <c r="D3689" t="inlineStr">
        <is>
          <t>GÄVLEBORGS LÄN</t>
        </is>
      </c>
      <c r="E3689" t="inlineStr">
        <is>
          <t>LJUSDAL</t>
        </is>
      </c>
      <c r="G3689" t="n">
        <v>4.2</v>
      </c>
      <c r="H3689" t="n">
        <v>0</v>
      </c>
      <c r="I3689" t="n">
        <v>0</v>
      </c>
      <c r="J3689" t="n">
        <v>0</v>
      </c>
      <c r="K3689" t="n">
        <v>0</v>
      </c>
      <c r="L3689" t="n">
        <v>0</v>
      </c>
      <c r="M3689" t="n">
        <v>0</v>
      </c>
      <c r="N3689" t="n">
        <v>0</v>
      </c>
      <c r="O3689" t="n">
        <v>0</v>
      </c>
      <c r="P3689" t="n">
        <v>0</v>
      </c>
      <c r="Q3689" t="n">
        <v>0</v>
      </c>
      <c r="R3689" s="2" t="inlineStr"/>
    </row>
    <row r="3690" ht="15" customHeight="1">
      <c r="A3690" t="inlineStr">
        <is>
          <t>A 28708-2021</t>
        </is>
      </c>
      <c r="B3690" s="1" t="n">
        <v>44357</v>
      </c>
      <c r="C3690" s="1" t="n">
        <v>45344</v>
      </c>
      <c r="D3690" t="inlineStr">
        <is>
          <t>GÄVLEBORGS LÄN</t>
        </is>
      </c>
      <c r="E3690" t="inlineStr">
        <is>
          <t>HUDIKSVALL</t>
        </is>
      </c>
      <c r="G3690" t="n">
        <v>5.5</v>
      </c>
      <c r="H3690" t="n">
        <v>0</v>
      </c>
      <c r="I3690" t="n">
        <v>0</v>
      </c>
      <c r="J3690" t="n">
        <v>0</v>
      </c>
      <c r="K3690" t="n">
        <v>0</v>
      </c>
      <c r="L3690" t="n">
        <v>0</v>
      </c>
      <c r="M3690" t="n">
        <v>0</v>
      </c>
      <c r="N3690" t="n">
        <v>0</v>
      </c>
      <c r="O3690" t="n">
        <v>0</v>
      </c>
      <c r="P3690" t="n">
        <v>0</v>
      </c>
      <c r="Q3690" t="n">
        <v>0</v>
      </c>
      <c r="R3690" s="2" t="inlineStr"/>
    </row>
    <row r="3691" ht="15" customHeight="1">
      <c r="A3691" t="inlineStr">
        <is>
          <t>A 28722-2021</t>
        </is>
      </c>
      <c r="B3691" s="1" t="n">
        <v>44357</v>
      </c>
      <c r="C3691" s="1" t="n">
        <v>45344</v>
      </c>
      <c r="D3691" t="inlineStr">
        <is>
          <t>GÄVLEBORGS LÄN</t>
        </is>
      </c>
      <c r="E3691" t="inlineStr">
        <is>
          <t>SANDVIKEN</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28760-2021</t>
        </is>
      </c>
      <c r="B3692" s="1" t="n">
        <v>44357</v>
      </c>
      <c r="C3692" s="1" t="n">
        <v>45344</v>
      </c>
      <c r="D3692" t="inlineStr">
        <is>
          <t>GÄVLEBORGS LÄN</t>
        </is>
      </c>
      <c r="E3692" t="inlineStr">
        <is>
          <t>NORDANSTIG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28739-2021</t>
        </is>
      </c>
      <c r="B3693" s="1" t="n">
        <v>44357</v>
      </c>
      <c r="C3693" s="1" t="n">
        <v>45344</v>
      </c>
      <c r="D3693" t="inlineStr">
        <is>
          <t>GÄVLEBORGS LÄN</t>
        </is>
      </c>
      <c r="E3693" t="inlineStr">
        <is>
          <t>SANDVIKEN</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28878-2021</t>
        </is>
      </c>
      <c r="B3694" s="1" t="n">
        <v>44357</v>
      </c>
      <c r="C3694" s="1" t="n">
        <v>45344</v>
      </c>
      <c r="D3694" t="inlineStr">
        <is>
          <t>GÄVLEBORGS LÄN</t>
        </is>
      </c>
      <c r="E3694" t="inlineStr">
        <is>
          <t>NORDANSTIG</t>
        </is>
      </c>
      <c r="G3694" t="n">
        <v>1.2</v>
      </c>
      <c r="H3694" t="n">
        <v>0</v>
      </c>
      <c r="I3694" t="n">
        <v>0</v>
      </c>
      <c r="J3694" t="n">
        <v>0</v>
      </c>
      <c r="K3694" t="n">
        <v>0</v>
      </c>
      <c r="L3694" t="n">
        <v>0</v>
      </c>
      <c r="M3694" t="n">
        <v>0</v>
      </c>
      <c r="N3694" t="n">
        <v>0</v>
      </c>
      <c r="O3694" t="n">
        <v>0</v>
      </c>
      <c r="P3694" t="n">
        <v>0</v>
      </c>
      <c r="Q3694" t="n">
        <v>0</v>
      </c>
      <c r="R3694" s="2" t="inlineStr"/>
    </row>
    <row r="3695" ht="15" customHeight="1">
      <c r="A3695" t="inlineStr">
        <is>
          <t>A 28879-2021</t>
        </is>
      </c>
      <c r="B3695" s="1" t="n">
        <v>44357</v>
      </c>
      <c r="C3695" s="1" t="n">
        <v>45344</v>
      </c>
      <c r="D3695" t="inlineStr">
        <is>
          <t>GÄVLEBORGS LÄN</t>
        </is>
      </c>
      <c r="E3695" t="inlineStr">
        <is>
          <t>NORDANSTIG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28918-2021</t>
        </is>
      </c>
      <c r="B3696" s="1" t="n">
        <v>44358</v>
      </c>
      <c r="C3696" s="1" t="n">
        <v>45344</v>
      </c>
      <c r="D3696" t="inlineStr">
        <is>
          <t>GÄVLEBORGS LÄN</t>
        </is>
      </c>
      <c r="E3696" t="inlineStr">
        <is>
          <t>OCKELBO</t>
        </is>
      </c>
      <c r="F3696" t="inlineStr">
        <is>
          <t>Bergvik skog väst AB</t>
        </is>
      </c>
      <c r="G3696" t="n">
        <v>4.2</v>
      </c>
      <c r="H3696" t="n">
        <v>0</v>
      </c>
      <c r="I3696" t="n">
        <v>0</v>
      </c>
      <c r="J3696" t="n">
        <v>0</v>
      </c>
      <c r="K3696" t="n">
        <v>0</v>
      </c>
      <c r="L3696" t="n">
        <v>0</v>
      </c>
      <c r="M3696" t="n">
        <v>0</v>
      </c>
      <c r="N3696" t="n">
        <v>0</v>
      </c>
      <c r="O3696" t="n">
        <v>0</v>
      </c>
      <c r="P3696" t="n">
        <v>0</v>
      </c>
      <c r="Q3696" t="n">
        <v>0</v>
      </c>
      <c r="R3696" s="2" t="inlineStr"/>
    </row>
    <row r="3697" ht="15" customHeight="1">
      <c r="A3697" t="inlineStr">
        <is>
          <t>A 29062-2021</t>
        </is>
      </c>
      <c r="B3697" s="1" t="n">
        <v>44358</v>
      </c>
      <c r="C3697" s="1" t="n">
        <v>45344</v>
      </c>
      <c r="D3697" t="inlineStr">
        <is>
          <t>GÄVLEBORGS LÄN</t>
        </is>
      </c>
      <c r="E3697" t="inlineStr">
        <is>
          <t>LJUSDAL</t>
        </is>
      </c>
      <c r="F3697" t="inlineStr">
        <is>
          <t>Bergvik skog väst AB</t>
        </is>
      </c>
      <c r="G3697" t="n">
        <v>10.8</v>
      </c>
      <c r="H3697" t="n">
        <v>0</v>
      </c>
      <c r="I3697" t="n">
        <v>0</v>
      </c>
      <c r="J3697" t="n">
        <v>0</v>
      </c>
      <c r="K3697" t="n">
        <v>0</v>
      </c>
      <c r="L3697" t="n">
        <v>0</v>
      </c>
      <c r="M3697" t="n">
        <v>0</v>
      </c>
      <c r="N3697" t="n">
        <v>0</v>
      </c>
      <c r="O3697" t="n">
        <v>0</v>
      </c>
      <c r="P3697" t="n">
        <v>0</v>
      </c>
      <c r="Q3697" t="n">
        <v>0</v>
      </c>
      <c r="R3697" s="2" t="inlineStr"/>
    </row>
    <row r="3698" ht="15" customHeight="1">
      <c r="A3698" t="inlineStr">
        <is>
          <t>A 28999-2021</t>
        </is>
      </c>
      <c r="B3698" s="1" t="n">
        <v>44358</v>
      </c>
      <c r="C3698" s="1" t="n">
        <v>45344</v>
      </c>
      <c r="D3698" t="inlineStr">
        <is>
          <t>GÄVLEBORGS LÄN</t>
        </is>
      </c>
      <c r="E3698" t="inlineStr">
        <is>
          <t>LJUSDAL</t>
        </is>
      </c>
      <c r="F3698" t="inlineStr">
        <is>
          <t>Sveaskog</t>
        </is>
      </c>
      <c r="G3698" t="n">
        <v>7.7</v>
      </c>
      <c r="H3698" t="n">
        <v>0</v>
      </c>
      <c r="I3698" t="n">
        <v>0</v>
      </c>
      <c r="J3698" t="n">
        <v>0</v>
      </c>
      <c r="K3698" t="n">
        <v>0</v>
      </c>
      <c r="L3698" t="n">
        <v>0</v>
      </c>
      <c r="M3698" t="n">
        <v>0</v>
      </c>
      <c r="N3698" t="n">
        <v>0</v>
      </c>
      <c r="O3698" t="n">
        <v>0</v>
      </c>
      <c r="P3698" t="n">
        <v>0</v>
      </c>
      <c r="Q3698" t="n">
        <v>0</v>
      </c>
      <c r="R3698" s="2" t="inlineStr"/>
    </row>
    <row r="3699" ht="15" customHeight="1">
      <c r="A3699" t="inlineStr">
        <is>
          <t>A 29254-2021</t>
        </is>
      </c>
      <c r="B3699" s="1" t="n">
        <v>44358</v>
      </c>
      <c r="C3699" s="1" t="n">
        <v>45344</v>
      </c>
      <c r="D3699" t="inlineStr">
        <is>
          <t>GÄVLEBORGS LÄN</t>
        </is>
      </c>
      <c r="E3699" t="inlineStr">
        <is>
          <t>SANDVIKEN</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29290-2021</t>
        </is>
      </c>
      <c r="B3700" s="1" t="n">
        <v>44361</v>
      </c>
      <c r="C3700" s="1" t="n">
        <v>45344</v>
      </c>
      <c r="D3700" t="inlineStr">
        <is>
          <t>GÄVLEBORGS LÄN</t>
        </is>
      </c>
      <c r="E3700" t="inlineStr">
        <is>
          <t>LJUSDAL</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29402-2021</t>
        </is>
      </c>
      <c r="B3701" s="1" t="n">
        <v>44361</v>
      </c>
      <c r="C3701" s="1" t="n">
        <v>45344</v>
      </c>
      <c r="D3701" t="inlineStr">
        <is>
          <t>GÄVLEBORGS LÄN</t>
        </is>
      </c>
      <c r="E3701" t="inlineStr">
        <is>
          <t>LJUSDAL</t>
        </is>
      </c>
      <c r="G3701" t="n">
        <v>5</v>
      </c>
      <c r="H3701" t="n">
        <v>0</v>
      </c>
      <c r="I3701" t="n">
        <v>0</v>
      </c>
      <c r="J3701" t="n">
        <v>0</v>
      </c>
      <c r="K3701" t="n">
        <v>0</v>
      </c>
      <c r="L3701" t="n">
        <v>0</v>
      </c>
      <c r="M3701" t="n">
        <v>0</v>
      </c>
      <c r="N3701" t="n">
        <v>0</v>
      </c>
      <c r="O3701" t="n">
        <v>0</v>
      </c>
      <c r="P3701" t="n">
        <v>0</v>
      </c>
      <c r="Q3701" t="n">
        <v>0</v>
      </c>
      <c r="R3701" s="2" t="inlineStr"/>
    </row>
    <row r="3702" ht="15" customHeight="1">
      <c r="A3702" t="inlineStr">
        <is>
          <t>A 29408-2021</t>
        </is>
      </c>
      <c r="B3702" s="1" t="n">
        <v>44361</v>
      </c>
      <c r="C3702" s="1" t="n">
        <v>45344</v>
      </c>
      <c r="D3702" t="inlineStr">
        <is>
          <t>GÄVLEBORGS LÄN</t>
        </is>
      </c>
      <c r="E3702" t="inlineStr">
        <is>
          <t>LJUSDAL</t>
        </is>
      </c>
      <c r="F3702" t="inlineStr">
        <is>
          <t>Holmen skog AB</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29435-2021</t>
        </is>
      </c>
      <c r="B3703" s="1" t="n">
        <v>44361</v>
      </c>
      <c r="C3703" s="1" t="n">
        <v>45344</v>
      </c>
      <c r="D3703" t="inlineStr">
        <is>
          <t>GÄVLEBORGS LÄN</t>
        </is>
      </c>
      <c r="E3703" t="inlineStr">
        <is>
          <t>LJUSDAL</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29450-2021</t>
        </is>
      </c>
      <c r="B3704" s="1" t="n">
        <v>44361</v>
      </c>
      <c r="C3704" s="1" t="n">
        <v>45344</v>
      </c>
      <c r="D3704" t="inlineStr">
        <is>
          <t>GÄVLEBORGS LÄN</t>
        </is>
      </c>
      <c r="E3704" t="inlineStr">
        <is>
          <t>HUDIKSVALL</t>
        </is>
      </c>
      <c r="F3704" t="inlineStr">
        <is>
          <t>Holmen skog AB</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29285-2021</t>
        </is>
      </c>
      <c r="B3705" s="1" t="n">
        <v>44361</v>
      </c>
      <c r="C3705" s="1" t="n">
        <v>45344</v>
      </c>
      <c r="D3705" t="inlineStr">
        <is>
          <t>GÄVLEBORGS LÄN</t>
        </is>
      </c>
      <c r="E3705" t="inlineStr">
        <is>
          <t>LJUSDAL</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29313-2021</t>
        </is>
      </c>
      <c r="B3706" s="1" t="n">
        <v>44361</v>
      </c>
      <c r="C3706" s="1" t="n">
        <v>45344</v>
      </c>
      <c r="D3706" t="inlineStr">
        <is>
          <t>GÄVLEBORGS LÄN</t>
        </is>
      </c>
      <c r="E3706" t="inlineStr">
        <is>
          <t>GÄVLE</t>
        </is>
      </c>
      <c r="F3706" t="inlineStr">
        <is>
          <t>Bergvik skog väst AB</t>
        </is>
      </c>
      <c r="G3706" t="n">
        <v>6.5</v>
      </c>
      <c r="H3706" t="n">
        <v>0</v>
      </c>
      <c r="I3706" t="n">
        <v>0</v>
      </c>
      <c r="J3706" t="n">
        <v>0</v>
      </c>
      <c r="K3706" t="n">
        <v>0</v>
      </c>
      <c r="L3706" t="n">
        <v>0</v>
      </c>
      <c r="M3706" t="n">
        <v>0</v>
      </c>
      <c r="N3706" t="n">
        <v>0</v>
      </c>
      <c r="O3706" t="n">
        <v>0</v>
      </c>
      <c r="P3706" t="n">
        <v>0</v>
      </c>
      <c r="Q3706" t="n">
        <v>0</v>
      </c>
      <c r="R3706" s="2" t="inlineStr"/>
    </row>
    <row r="3707" ht="15" customHeight="1">
      <c r="A3707" t="inlineStr">
        <is>
          <t>A 29326-2021</t>
        </is>
      </c>
      <c r="B3707" s="1" t="n">
        <v>44361</v>
      </c>
      <c r="C3707" s="1" t="n">
        <v>45344</v>
      </c>
      <c r="D3707" t="inlineStr">
        <is>
          <t>GÄVLEBORGS LÄN</t>
        </is>
      </c>
      <c r="E3707" t="inlineStr">
        <is>
          <t>LJUSDAL</t>
        </is>
      </c>
      <c r="G3707" t="n">
        <v>7.9</v>
      </c>
      <c r="H3707" t="n">
        <v>0</v>
      </c>
      <c r="I3707" t="n">
        <v>0</v>
      </c>
      <c r="J3707" t="n">
        <v>0</v>
      </c>
      <c r="K3707" t="n">
        <v>0</v>
      </c>
      <c r="L3707" t="n">
        <v>0</v>
      </c>
      <c r="M3707" t="n">
        <v>0</v>
      </c>
      <c r="N3707" t="n">
        <v>0</v>
      </c>
      <c r="O3707" t="n">
        <v>0</v>
      </c>
      <c r="P3707" t="n">
        <v>0</v>
      </c>
      <c r="Q3707" t="n">
        <v>0</v>
      </c>
      <c r="R3707" s="2" t="inlineStr"/>
    </row>
    <row r="3708" ht="15" customHeight="1">
      <c r="A3708" t="inlineStr">
        <is>
          <t>A 29400-2021</t>
        </is>
      </c>
      <c r="B3708" s="1" t="n">
        <v>44361</v>
      </c>
      <c r="C3708" s="1" t="n">
        <v>45344</v>
      </c>
      <c r="D3708" t="inlineStr">
        <is>
          <t>GÄVLEBORGS LÄN</t>
        </is>
      </c>
      <c r="E3708" t="inlineStr">
        <is>
          <t>LJUSDAL</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29437-2021</t>
        </is>
      </c>
      <c r="B3709" s="1" t="n">
        <v>44361</v>
      </c>
      <c r="C3709" s="1" t="n">
        <v>45344</v>
      </c>
      <c r="D3709" t="inlineStr">
        <is>
          <t>GÄVLEBORGS LÄN</t>
        </is>
      </c>
      <c r="E3709" t="inlineStr">
        <is>
          <t>OCKELBO</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29404-2021</t>
        </is>
      </c>
      <c r="B3710" s="1" t="n">
        <v>44361</v>
      </c>
      <c r="C3710" s="1" t="n">
        <v>45344</v>
      </c>
      <c r="D3710" t="inlineStr">
        <is>
          <t>GÄVLEBORGS LÄN</t>
        </is>
      </c>
      <c r="E3710" t="inlineStr">
        <is>
          <t>LJUSDAL</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29454-2021</t>
        </is>
      </c>
      <c r="B3711" s="1" t="n">
        <v>44361</v>
      </c>
      <c r="C3711" s="1" t="n">
        <v>45344</v>
      </c>
      <c r="D3711" t="inlineStr">
        <is>
          <t>GÄVLEBORGS LÄN</t>
        </is>
      </c>
      <c r="E3711" t="inlineStr">
        <is>
          <t>HUDIKSVALL</t>
        </is>
      </c>
      <c r="F3711" t="inlineStr">
        <is>
          <t>Holmen skog AB</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29479-2021</t>
        </is>
      </c>
      <c r="B3712" s="1" t="n">
        <v>44361</v>
      </c>
      <c r="C3712" s="1" t="n">
        <v>45344</v>
      </c>
      <c r="D3712" t="inlineStr">
        <is>
          <t>GÄVLEBORGS LÄN</t>
        </is>
      </c>
      <c r="E3712" t="inlineStr">
        <is>
          <t>LJUSDAL</t>
        </is>
      </c>
      <c r="G3712" t="n">
        <v>2.4</v>
      </c>
      <c r="H3712" t="n">
        <v>0</v>
      </c>
      <c r="I3712" t="n">
        <v>0</v>
      </c>
      <c r="J3712" t="n">
        <v>0</v>
      </c>
      <c r="K3712" t="n">
        <v>0</v>
      </c>
      <c r="L3712" t="n">
        <v>0</v>
      </c>
      <c r="M3712" t="n">
        <v>0</v>
      </c>
      <c r="N3712" t="n">
        <v>0</v>
      </c>
      <c r="O3712" t="n">
        <v>0</v>
      </c>
      <c r="P3712" t="n">
        <v>0</v>
      </c>
      <c r="Q3712" t="n">
        <v>0</v>
      </c>
      <c r="R3712" s="2" t="inlineStr"/>
    </row>
    <row r="3713" ht="15" customHeight="1">
      <c r="A3713" t="inlineStr">
        <is>
          <t>A 29486-2021</t>
        </is>
      </c>
      <c r="B3713" s="1" t="n">
        <v>44361</v>
      </c>
      <c r="C3713" s="1" t="n">
        <v>45344</v>
      </c>
      <c r="D3713" t="inlineStr">
        <is>
          <t>GÄVLEBORGS LÄN</t>
        </is>
      </c>
      <c r="E3713" t="inlineStr">
        <is>
          <t>HUDIKSVALL</t>
        </is>
      </c>
      <c r="F3713" t="inlineStr">
        <is>
          <t>Holmen skog AB</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29476-2021</t>
        </is>
      </c>
      <c r="B3714" s="1" t="n">
        <v>44361</v>
      </c>
      <c r="C3714" s="1" t="n">
        <v>45344</v>
      </c>
      <c r="D3714" t="inlineStr">
        <is>
          <t>GÄVLEBORGS LÄN</t>
        </is>
      </c>
      <c r="E3714" t="inlineStr">
        <is>
          <t>HUDIKSVALL</t>
        </is>
      </c>
      <c r="F3714" t="inlineStr">
        <is>
          <t>Holmen skog AB</t>
        </is>
      </c>
      <c r="G3714" t="n">
        <v>1.9</v>
      </c>
      <c r="H3714" t="n">
        <v>0</v>
      </c>
      <c r="I3714" t="n">
        <v>0</v>
      </c>
      <c r="J3714" t="n">
        <v>0</v>
      </c>
      <c r="K3714" t="n">
        <v>0</v>
      </c>
      <c r="L3714" t="n">
        <v>0</v>
      </c>
      <c r="M3714" t="n">
        <v>0</v>
      </c>
      <c r="N3714" t="n">
        <v>0</v>
      </c>
      <c r="O3714" t="n">
        <v>0</v>
      </c>
      <c r="P3714" t="n">
        <v>0</v>
      </c>
      <c r="Q3714" t="n">
        <v>0</v>
      </c>
      <c r="R3714" s="2" t="inlineStr"/>
    </row>
    <row r="3715" ht="15" customHeight="1">
      <c r="A3715" t="inlineStr">
        <is>
          <t>A 29593-2021</t>
        </is>
      </c>
      <c r="B3715" s="1" t="n">
        <v>44362</v>
      </c>
      <c r="C3715" s="1" t="n">
        <v>45344</v>
      </c>
      <c r="D3715" t="inlineStr">
        <is>
          <t>GÄVLEBORGS LÄN</t>
        </is>
      </c>
      <c r="E3715" t="inlineStr">
        <is>
          <t>NORDANSTIG</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29480-2021</t>
        </is>
      </c>
      <c r="B3716" s="1" t="n">
        <v>44361</v>
      </c>
      <c r="C3716" s="1" t="n">
        <v>45344</v>
      </c>
      <c r="D3716" t="inlineStr">
        <is>
          <t>GÄVLEBORGS LÄN</t>
        </is>
      </c>
      <c r="E3716" t="inlineStr">
        <is>
          <t>LJUSDAL</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29568-2021</t>
        </is>
      </c>
      <c r="B3717" s="1" t="n">
        <v>44362</v>
      </c>
      <c r="C3717" s="1" t="n">
        <v>45344</v>
      </c>
      <c r="D3717" t="inlineStr">
        <is>
          <t>GÄVLEBORGS LÄN</t>
        </is>
      </c>
      <c r="E3717" t="inlineStr">
        <is>
          <t>LJUSDAL</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29586-2021</t>
        </is>
      </c>
      <c r="B3718" s="1" t="n">
        <v>44362</v>
      </c>
      <c r="C3718" s="1" t="n">
        <v>45344</v>
      </c>
      <c r="D3718" t="inlineStr">
        <is>
          <t>GÄVLEBORGS LÄN</t>
        </is>
      </c>
      <c r="E3718" t="inlineStr">
        <is>
          <t>LJUSDAL</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29812-2021</t>
        </is>
      </c>
      <c r="B3719" s="1" t="n">
        <v>44362</v>
      </c>
      <c r="C3719" s="1" t="n">
        <v>45344</v>
      </c>
      <c r="D3719" t="inlineStr">
        <is>
          <t>GÄVLEBORGS LÄN</t>
        </is>
      </c>
      <c r="E3719" t="inlineStr">
        <is>
          <t>BOLLNÄS</t>
        </is>
      </c>
      <c r="F3719" t="inlineStr">
        <is>
          <t>Sveaskog</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29875-2021</t>
        </is>
      </c>
      <c r="B3720" s="1" t="n">
        <v>44362</v>
      </c>
      <c r="C3720" s="1" t="n">
        <v>45344</v>
      </c>
      <c r="D3720" t="inlineStr">
        <is>
          <t>GÄVLEBORGS LÄN</t>
        </is>
      </c>
      <c r="E3720" t="inlineStr">
        <is>
          <t>OCKELBO</t>
        </is>
      </c>
      <c r="F3720" t="inlineStr">
        <is>
          <t>Bergvik skog väst AB</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29898-2021</t>
        </is>
      </c>
      <c r="B3721" s="1" t="n">
        <v>44362</v>
      </c>
      <c r="C3721" s="1" t="n">
        <v>45344</v>
      </c>
      <c r="D3721" t="inlineStr">
        <is>
          <t>GÄVLEBORGS LÄN</t>
        </is>
      </c>
      <c r="E3721" t="inlineStr">
        <is>
          <t>HUDIKSVALL</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29828-2021</t>
        </is>
      </c>
      <c r="B3722" s="1" t="n">
        <v>44362</v>
      </c>
      <c r="C3722" s="1" t="n">
        <v>45344</v>
      </c>
      <c r="D3722" t="inlineStr">
        <is>
          <t>GÄVLEBORGS LÄN</t>
        </is>
      </c>
      <c r="E3722" t="inlineStr">
        <is>
          <t>NORDANSTIG</t>
        </is>
      </c>
      <c r="F3722" t="inlineStr">
        <is>
          <t>Holmen skog AB</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29858-2021</t>
        </is>
      </c>
      <c r="B3723" s="1" t="n">
        <v>44362</v>
      </c>
      <c r="C3723" s="1" t="n">
        <v>45344</v>
      </c>
      <c r="D3723" t="inlineStr">
        <is>
          <t>GÄVLEBORGS LÄN</t>
        </is>
      </c>
      <c r="E3723" t="inlineStr">
        <is>
          <t>HUDIKSVALL</t>
        </is>
      </c>
      <c r="F3723" t="inlineStr">
        <is>
          <t>Holmen skog AB</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29972-2021</t>
        </is>
      </c>
      <c r="B3724" s="1" t="n">
        <v>44363</v>
      </c>
      <c r="C3724" s="1" t="n">
        <v>45344</v>
      </c>
      <c r="D3724" t="inlineStr">
        <is>
          <t>GÄVLEBORGS LÄN</t>
        </is>
      </c>
      <c r="E3724" t="inlineStr">
        <is>
          <t>BOLLNÄS</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30112-2021</t>
        </is>
      </c>
      <c r="B3725" s="1" t="n">
        <v>44363</v>
      </c>
      <c r="C3725" s="1" t="n">
        <v>45344</v>
      </c>
      <c r="D3725" t="inlineStr">
        <is>
          <t>GÄVLEBORGS LÄN</t>
        </is>
      </c>
      <c r="E3725" t="inlineStr">
        <is>
          <t>LJUSDAL</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30153-2021</t>
        </is>
      </c>
      <c r="B3726" s="1" t="n">
        <v>44363</v>
      </c>
      <c r="C3726" s="1" t="n">
        <v>45344</v>
      </c>
      <c r="D3726" t="inlineStr">
        <is>
          <t>GÄVLEBORGS LÄN</t>
        </is>
      </c>
      <c r="E3726" t="inlineStr">
        <is>
          <t>HUDIKSVALL</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30424-2021</t>
        </is>
      </c>
      <c r="B3727" s="1" t="n">
        <v>44364</v>
      </c>
      <c r="C3727" s="1" t="n">
        <v>45344</v>
      </c>
      <c r="D3727" t="inlineStr">
        <is>
          <t>GÄVLEBORGS LÄN</t>
        </is>
      </c>
      <c r="E3727" t="inlineStr">
        <is>
          <t>OVANÅKER</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30309-2021</t>
        </is>
      </c>
      <c r="B3728" s="1" t="n">
        <v>44364</v>
      </c>
      <c r="C3728" s="1" t="n">
        <v>45344</v>
      </c>
      <c r="D3728" t="inlineStr">
        <is>
          <t>GÄVLEBORGS LÄN</t>
        </is>
      </c>
      <c r="E3728" t="inlineStr">
        <is>
          <t>SANDVIKEN</t>
        </is>
      </c>
      <c r="F3728" t="inlineStr">
        <is>
          <t>Bergvik skog öst AB</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30330-2021</t>
        </is>
      </c>
      <c r="B3729" s="1" t="n">
        <v>44364</v>
      </c>
      <c r="C3729" s="1" t="n">
        <v>45344</v>
      </c>
      <c r="D3729" t="inlineStr">
        <is>
          <t>GÄVLEBORGS LÄN</t>
        </is>
      </c>
      <c r="E3729" t="inlineStr">
        <is>
          <t>GÄVLE</t>
        </is>
      </c>
      <c r="F3729" t="inlineStr">
        <is>
          <t>Bergvik skog öst AB</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30515-2021</t>
        </is>
      </c>
      <c r="B3730" s="1" t="n">
        <v>44364</v>
      </c>
      <c r="C3730" s="1" t="n">
        <v>45344</v>
      </c>
      <c r="D3730" t="inlineStr">
        <is>
          <t>GÄVLEBORGS LÄN</t>
        </is>
      </c>
      <c r="E3730" t="inlineStr">
        <is>
          <t>NORDANSTIG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30439-2021</t>
        </is>
      </c>
      <c r="B3731" s="1" t="n">
        <v>44364</v>
      </c>
      <c r="C3731" s="1" t="n">
        <v>45344</v>
      </c>
      <c r="D3731" t="inlineStr">
        <is>
          <t>GÄVLEBORGS LÄN</t>
        </is>
      </c>
      <c r="E3731" t="inlineStr">
        <is>
          <t>OVANÅKER</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30525-2021</t>
        </is>
      </c>
      <c r="B3732" s="1" t="n">
        <v>44364</v>
      </c>
      <c r="C3732" s="1" t="n">
        <v>45344</v>
      </c>
      <c r="D3732" t="inlineStr">
        <is>
          <t>GÄVLEBORGS LÄN</t>
        </is>
      </c>
      <c r="E3732" t="inlineStr">
        <is>
          <t>GÄVLE</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30577-2021</t>
        </is>
      </c>
      <c r="B3733" s="1" t="n">
        <v>44364</v>
      </c>
      <c r="C3733" s="1" t="n">
        <v>45344</v>
      </c>
      <c r="D3733" t="inlineStr">
        <is>
          <t>GÄVLEBORGS LÄN</t>
        </is>
      </c>
      <c r="E3733" t="inlineStr">
        <is>
          <t>LJUSDAL</t>
        </is>
      </c>
      <c r="G3733" t="n">
        <v>5.7</v>
      </c>
      <c r="H3733" t="n">
        <v>0</v>
      </c>
      <c r="I3733" t="n">
        <v>0</v>
      </c>
      <c r="J3733" t="n">
        <v>0</v>
      </c>
      <c r="K3733" t="n">
        <v>0</v>
      </c>
      <c r="L3733" t="n">
        <v>0</v>
      </c>
      <c r="M3733" t="n">
        <v>0</v>
      </c>
      <c r="N3733" t="n">
        <v>0</v>
      </c>
      <c r="O3733" t="n">
        <v>0</v>
      </c>
      <c r="P3733" t="n">
        <v>0</v>
      </c>
      <c r="Q3733" t="n">
        <v>0</v>
      </c>
      <c r="R3733" s="2" t="inlineStr"/>
    </row>
    <row r="3734" ht="15" customHeight="1">
      <c r="A3734" t="inlineStr">
        <is>
          <t>A 30523-2021</t>
        </is>
      </c>
      <c r="B3734" s="1" t="n">
        <v>44364</v>
      </c>
      <c r="C3734" s="1" t="n">
        <v>45344</v>
      </c>
      <c r="D3734" t="inlineStr">
        <is>
          <t>GÄVLEBORGS LÄN</t>
        </is>
      </c>
      <c r="E3734" t="inlineStr">
        <is>
          <t>BOLLNÄS</t>
        </is>
      </c>
      <c r="G3734" t="n">
        <v>3.2</v>
      </c>
      <c r="H3734" t="n">
        <v>0</v>
      </c>
      <c r="I3734" t="n">
        <v>0</v>
      </c>
      <c r="J3734" t="n">
        <v>0</v>
      </c>
      <c r="K3734" t="n">
        <v>0</v>
      </c>
      <c r="L3734" t="n">
        <v>0</v>
      </c>
      <c r="M3734" t="n">
        <v>0</v>
      </c>
      <c r="N3734" t="n">
        <v>0</v>
      </c>
      <c r="O3734" t="n">
        <v>0</v>
      </c>
      <c r="P3734" t="n">
        <v>0</v>
      </c>
      <c r="Q3734" t="n">
        <v>0</v>
      </c>
      <c r="R3734" s="2" t="inlineStr"/>
    </row>
    <row r="3735" ht="15" customHeight="1">
      <c r="A3735" t="inlineStr">
        <is>
          <t>A 30607-2021</t>
        </is>
      </c>
      <c r="B3735" s="1" t="n">
        <v>44365</v>
      </c>
      <c r="C3735" s="1" t="n">
        <v>45344</v>
      </c>
      <c r="D3735" t="inlineStr">
        <is>
          <t>GÄVLEBORGS LÄN</t>
        </is>
      </c>
      <c r="E3735" t="inlineStr">
        <is>
          <t>LJUSDAL</t>
        </is>
      </c>
      <c r="F3735" t="inlineStr">
        <is>
          <t>Sveaskog</t>
        </is>
      </c>
      <c r="G3735" t="n">
        <v>3.9</v>
      </c>
      <c r="H3735" t="n">
        <v>0</v>
      </c>
      <c r="I3735" t="n">
        <v>0</v>
      </c>
      <c r="J3735" t="n">
        <v>0</v>
      </c>
      <c r="K3735" t="n">
        <v>0</v>
      </c>
      <c r="L3735" t="n">
        <v>0</v>
      </c>
      <c r="M3735" t="n">
        <v>0</v>
      </c>
      <c r="N3735" t="n">
        <v>0</v>
      </c>
      <c r="O3735" t="n">
        <v>0</v>
      </c>
      <c r="P3735" t="n">
        <v>0</v>
      </c>
      <c r="Q3735" t="n">
        <v>0</v>
      </c>
      <c r="R3735" s="2" t="inlineStr"/>
    </row>
    <row r="3736" ht="15" customHeight="1">
      <c r="A3736" t="inlineStr">
        <is>
          <t>A 30601-2021</t>
        </is>
      </c>
      <c r="B3736" s="1" t="n">
        <v>44365</v>
      </c>
      <c r="C3736" s="1" t="n">
        <v>45344</v>
      </c>
      <c r="D3736" t="inlineStr">
        <is>
          <t>GÄVLEBORGS LÄN</t>
        </is>
      </c>
      <c r="E3736" t="inlineStr">
        <is>
          <t>LJUSDAL</t>
        </is>
      </c>
      <c r="F3736" t="inlineStr">
        <is>
          <t>Sveaskog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30668-2021</t>
        </is>
      </c>
      <c r="B3737" s="1" t="n">
        <v>44365</v>
      </c>
      <c r="C3737" s="1" t="n">
        <v>45344</v>
      </c>
      <c r="D3737" t="inlineStr">
        <is>
          <t>GÄVLEBORGS LÄN</t>
        </is>
      </c>
      <c r="E3737" t="inlineStr">
        <is>
          <t>LJUSDAL</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30816-2021</t>
        </is>
      </c>
      <c r="B3738" s="1" t="n">
        <v>44365</v>
      </c>
      <c r="C3738" s="1" t="n">
        <v>45344</v>
      </c>
      <c r="D3738" t="inlineStr">
        <is>
          <t>GÄVLEBORGS LÄN</t>
        </is>
      </c>
      <c r="E3738" t="inlineStr">
        <is>
          <t>LJUSDAL</t>
        </is>
      </c>
      <c r="F3738" t="inlineStr">
        <is>
          <t>Bergvik skog väst AB</t>
        </is>
      </c>
      <c r="G3738" t="n">
        <v>5.6</v>
      </c>
      <c r="H3738" t="n">
        <v>0</v>
      </c>
      <c r="I3738" t="n">
        <v>0</v>
      </c>
      <c r="J3738" t="n">
        <v>0</v>
      </c>
      <c r="K3738" t="n">
        <v>0</v>
      </c>
      <c r="L3738" t="n">
        <v>0</v>
      </c>
      <c r="M3738" t="n">
        <v>0</v>
      </c>
      <c r="N3738" t="n">
        <v>0</v>
      </c>
      <c r="O3738" t="n">
        <v>0</v>
      </c>
      <c r="P3738" t="n">
        <v>0</v>
      </c>
      <c r="Q3738" t="n">
        <v>0</v>
      </c>
      <c r="R3738" s="2" t="inlineStr"/>
    </row>
    <row r="3739" ht="15" customHeight="1">
      <c r="A3739" t="inlineStr">
        <is>
          <t>A 30770-2021</t>
        </is>
      </c>
      <c r="B3739" s="1" t="n">
        <v>44365</v>
      </c>
      <c r="C3739" s="1" t="n">
        <v>45344</v>
      </c>
      <c r="D3739" t="inlineStr">
        <is>
          <t>GÄVLEBORGS LÄN</t>
        </is>
      </c>
      <c r="E3739" t="inlineStr">
        <is>
          <t>LJUSDAL</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30956-2021</t>
        </is>
      </c>
      <c r="B3740" s="1" t="n">
        <v>44365</v>
      </c>
      <c r="C3740" s="1" t="n">
        <v>45344</v>
      </c>
      <c r="D3740" t="inlineStr">
        <is>
          <t>GÄVLEBORGS LÄN</t>
        </is>
      </c>
      <c r="E3740" t="inlineStr">
        <is>
          <t>OVANÅKER</t>
        </is>
      </c>
      <c r="F3740" t="inlineStr">
        <is>
          <t>Sveaskog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30813-2021</t>
        </is>
      </c>
      <c r="B3741" s="1" t="n">
        <v>44365</v>
      </c>
      <c r="C3741" s="1" t="n">
        <v>45344</v>
      </c>
      <c r="D3741" t="inlineStr">
        <is>
          <t>GÄVLEBORGS LÄN</t>
        </is>
      </c>
      <c r="E3741" t="inlineStr">
        <is>
          <t>BOLLNÄS</t>
        </is>
      </c>
      <c r="F3741" t="inlineStr">
        <is>
          <t>Sveaskog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31091-2021</t>
        </is>
      </c>
      <c r="B3742" s="1" t="n">
        <v>44368</v>
      </c>
      <c r="C3742" s="1" t="n">
        <v>45344</v>
      </c>
      <c r="D3742" t="inlineStr">
        <is>
          <t>GÄVLEBORGS LÄN</t>
        </is>
      </c>
      <c r="E3742" t="inlineStr">
        <is>
          <t>LJUSDAL</t>
        </is>
      </c>
      <c r="F3742" t="inlineStr">
        <is>
          <t>Holmen skog AB</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31123-2021</t>
        </is>
      </c>
      <c r="B3743" s="1" t="n">
        <v>44368</v>
      </c>
      <c r="C3743" s="1" t="n">
        <v>45344</v>
      </c>
      <c r="D3743" t="inlineStr">
        <is>
          <t>GÄVLEBORGS LÄN</t>
        </is>
      </c>
      <c r="E3743" t="inlineStr">
        <is>
          <t>HOFORS</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31042-2021</t>
        </is>
      </c>
      <c r="B3744" s="1" t="n">
        <v>44368</v>
      </c>
      <c r="C3744" s="1" t="n">
        <v>45344</v>
      </c>
      <c r="D3744" t="inlineStr">
        <is>
          <t>GÄVLEBORGS LÄN</t>
        </is>
      </c>
      <c r="E3744" t="inlineStr">
        <is>
          <t>LJUSDAL</t>
        </is>
      </c>
      <c r="F3744" t="inlineStr">
        <is>
          <t>Holmen skog AB</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31041-2021</t>
        </is>
      </c>
      <c r="B3745" s="1" t="n">
        <v>44368</v>
      </c>
      <c r="C3745" s="1" t="n">
        <v>45344</v>
      </c>
      <c r="D3745" t="inlineStr">
        <is>
          <t>GÄVLEBORGS LÄN</t>
        </is>
      </c>
      <c r="E3745" t="inlineStr">
        <is>
          <t>LJUSDAL</t>
        </is>
      </c>
      <c r="F3745" t="inlineStr">
        <is>
          <t>Holmen skog AB</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31083-2021</t>
        </is>
      </c>
      <c r="B3746" s="1" t="n">
        <v>44368</v>
      </c>
      <c r="C3746" s="1" t="n">
        <v>45344</v>
      </c>
      <c r="D3746" t="inlineStr">
        <is>
          <t>GÄVLEBORGS LÄN</t>
        </is>
      </c>
      <c r="E3746" t="inlineStr">
        <is>
          <t>SANDVIKEN</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31065-2021</t>
        </is>
      </c>
      <c r="B3747" s="1" t="n">
        <v>44368</v>
      </c>
      <c r="C3747" s="1" t="n">
        <v>45344</v>
      </c>
      <c r="D3747" t="inlineStr">
        <is>
          <t>GÄVLEBORGS LÄN</t>
        </is>
      </c>
      <c r="E3747" t="inlineStr">
        <is>
          <t>LJUSDAL</t>
        </is>
      </c>
      <c r="F3747" t="inlineStr">
        <is>
          <t>Holmen skog AB</t>
        </is>
      </c>
      <c r="G3747" t="n">
        <v>3.2</v>
      </c>
      <c r="H3747" t="n">
        <v>0</v>
      </c>
      <c r="I3747" t="n">
        <v>0</v>
      </c>
      <c r="J3747" t="n">
        <v>0</v>
      </c>
      <c r="K3747" t="n">
        <v>0</v>
      </c>
      <c r="L3747" t="n">
        <v>0</v>
      </c>
      <c r="M3747" t="n">
        <v>0</v>
      </c>
      <c r="N3747" t="n">
        <v>0</v>
      </c>
      <c r="O3747" t="n">
        <v>0</v>
      </c>
      <c r="P3747" t="n">
        <v>0</v>
      </c>
      <c r="Q3747" t="n">
        <v>0</v>
      </c>
      <c r="R3747" s="2" t="inlineStr"/>
    </row>
    <row r="3748" ht="15" customHeight="1">
      <c r="A3748" t="inlineStr">
        <is>
          <t>A 32644-2021</t>
        </is>
      </c>
      <c r="B3748" s="1" t="n">
        <v>44368</v>
      </c>
      <c r="C3748" s="1" t="n">
        <v>45344</v>
      </c>
      <c r="D3748" t="inlineStr">
        <is>
          <t>GÄVLEBORGS LÄN</t>
        </is>
      </c>
      <c r="E3748" t="inlineStr">
        <is>
          <t>HUDIKSVALL</t>
        </is>
      </c>
      <c r="G3748" t="n">
        <v>4.9</v>
      </c>
      <c r="H3748" t="n">
        <v>0</v>
      </c>
      <c r="I3748" t="n">
        <v>0</v>
      </c>
      <c r="J3748" t="n">
        <v>0</v>
      </c>
      <c r="K3748" t="n">
        <v>0</v>
      </c>
      <c r="L3748" t="n">
        <v>0</v>
      </c>
      <c r="M3748" t="n">
        <v>0</v>
      </c>
      <c r="N3748" t="n">
        <v>0</v>
      </c>
      <c r="O3748" t="n">
        <v>0</v>
      </c>
      <c r="P3748" t="n">
        <v>0</v>
      </c>
      <c r="Q3748" t="n">
        <v>0</v>
      </c>
      <c r="R3748" s="2" t="inlineStr"/>
    </row>
    <row r="3749" ht="15" customHeight="1">
      <c r="A3749" t="inlineStr">
        <is>
          <t>A 31423-2021</t>
        </is>
      </c>
      <c r="B3749" s="1" t="n">
        <v>44369</v>
      </c>
      <c r="C3749" s="1" t="n">
        <v>45344</v>
      </c>
      <c r="D3749" t="inlineStr">
        <is>
          <t>GÄVLEBORGS LÄN</t>
        </is>
      </c>
      <c r="E3749" t="inlineStr">
        <is>
          <t>GÄVLE</t>
        </is>
      </c>
      <c r="F3749" t="inlineStr">
        <is>
          <t>Bergvik skog väst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31515-2021</t>
        </is>
      </c>
      <c r="B3750" s="1" t="n">
        <v>44369</v>
      </c>
      <c r="C3750" s="1" t="n">
        <v>45344</v>
      </c>
      <c r="D3750" t="inlineStr">
        <is>
          <t>GÄVLEBORGS LÄN</t>
        </is>
      </c>
      <c r="E3750" t="inlineStr">
        <is>
          <t>BOLLNÄS</t>
        </is>
      </c>
      <c r="F3750" t="inlineStr">
        <is>
          <t>Bergvik skog väst AB</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31482-2021</t>
        </is>
      </c>
      <c r="B3751" s="1" t="n">
        <v>44369</v>
      </c>
      <c r="C3751" s="1" t="n">
        <v>45344</v>
      </c>
      <c r="D3751" t="inlineStr">
        <is>
          <t>GÄVLEBORGS LÄN</t>
        </is>
      </c>
      <c r="E3751" t="inlineStr">
        <is>
          <t>HUDIKSVALL</t>
        </is>
      </c>
      <c r="F3751" t="inlineStr">
        <is>
          <t>Holmen skog AB</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31490-2021</t>
        </is>
      </c>
      <c r="B3752" s="1" t="n">
        <v>44369</v>
      </c>
      <c r="C3752" s="1" t="n">
        <v>45344</v>
      </c>
      <c r="D3752" t="inlineStr">
        <is>
          <t>GÄVLEBORGS LÄN</t>
        </is>
      </c>
      <c r="E3752" t="inlineStr">
        <is>
          <t>HUDIKSVALL</t>
        </is>
      </c>
      <c r="F3752" t="inlineStr">
        <is>
          <t>Holmen skog AB</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31691-2021</t>
        </is>
      </c>
      <c r="B3753" s="1" t="n">
        <v>44369</v>
      </c>
      <c r="C3753" s="1" t="n">
        <v>45344</v>
      </c>
      <c r="D3753" t="inlineStr">
        <is>
          <t>GÄVLEBORGS LÄN</t>
        </is>
      </c>
      <c r="E3753" t="inlineStr">
        <is>
          <t>BOLLNÄS</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31619-2021</t>
        </is>
      </c>
      <c r="B3754" s="1" t="n">
        <v>44369</v>
      </c>
      <c r="C3754" s="1" t="n">
        <v>45344</v>
      </c>
      <c r="D3754" t="inlineStr">
        <is>
          <t>GÄVLEBORGS LÄN</t>
        </is>
      </c>
      <c r="E3754" t="inlineStr">
        <is>
          <t>GÄVLE</t>
        </is>
      </c>
      <c r="F3754" t="inlineStr">
        <is>
          <t>Bergvik skog väst AB</t>
        </is>
      </c>
      <c r="G3754" t="n">
        <v>3.4</v>
      </c>
      <c r="H3754" t="n">
        <v>0</v>
      </c>
      <c r="I3754" t="n">
        <v>0</v>
      </c>
      <c r="J3754" t="n">
        <v>0</v>
      </c>
      <c r="K3754" t="n">
        <v>0</v>
      </c>
      <c r="L3754" t="n">
        <v>0</v>
      </c>
      <c r="M3754" t="n">
        <v>0</v>
      </c>
      <c r="N3754" t="n">
        <v>0</v>
      </c>
      <c r="O3754" t="n">
        <v>0</v>
      </c>
      <c r="P3754" t="n">
        <v>0</v>
      </c>
      <c r="Q3754" t="n">
        <v>0</v>
      </c>
      <c r="R3754" s="2" t="inlineStr"/>
    </row>
    <row r="3755" ht="15" customHeight="1">
      <c r="A3755" t="inlineStr">
        <is>
          <t>A 31694-2021</t>
        </is>
      </c>
      <c r="B3755" s="1" t="n">
        <v>44369</v>
      </c>
      <c r="C3755" s="1" t="n">
        <v>45344</v>
      </c>
      <c r="D3755" t="inlineStr">
        <is>
          <t>GÄVLEBORGS LÄN</t>
        </is>
      </c>
      <c r="E3755" t="inlineStr">
        <is>
          <t>BOLLNÄS</t>
        </is>
      </c>
      <c r="F3755" t="inlineStr">
        <is>
          <t>Sveaskog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31642-2021</t>
        </is>
      </c>
      <c r="B3756" s="1" t="n">
        <v>44369</v>
      </c>
      <c r="C3756" s="1" t="n">
        <v>45344</v>
      </c>
      <c r="D3756" t="inlineStr">
        <is>
          <t>GÄVLEBORGS LÄN</t>
        </is>
      </c>
      <c r="E3756" t="inlineStr">
        <is>
          <t>HUDIKSVALL</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31801-2021</t>
        </is>
      </c>
      <c r="B3757" s="1" t="n">
        <v>44370</v>
      </c>
      <c r="C3757" s="1" t="n">
        <v>45344</v>
      </c>
      <c r="D3757" t="inlineStr">
        <is>
          <t>GÄVLEBORGS LÄN</t>
        </is>
      </c>
      <c r="E3757" t="inlineStr">
        <is>
          <t>BOLLNÄS</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31848-2021</t>
        </is>
      </c>
      <c r="B3758" s="1" t="n">
        <v>44370</v>
      </c>
      <c r="C3758" s="1" t="n">
        <v>45344</v>
      </c>
      <c r="D3758" t="inlineStr">
        <is>
          <t>GÄVLEBORGS LÄN</t>
        </is>
      </c>
      <c r="E3758" t="inlineStr">
        <is>
          <t>BOLLNÄS</t>
        </is>
      </c>
      <c r="F3758" t="inlineStr">
        <is>
          <t>Bergvik skog väst AB</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31903-2021</t>
        </is>
      </c>
      <c r="B3759" s="1" t="n">
        <v>44370</v>
      </c>
      <c r="C3759" s="1" t="n">
        <v>45344</v>
      </c>
      <c r="D3759" t="inlineStr">
        <is>
          <t>GÄVLEBORGS LÄN</t>
        </is>
      </c>
      <c r="E3759" t="inlineStr">
        <is>
          <t>HUDIKSVALL</t>
        </is>
      </c>
      <c r="F3759" t="inlineStr">
        <is>
          <t>Holmen skog AB</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31927-2021</t>
        </is>
      </c>
      <c r="B3760" s="1" t="n">
        <v>44370</v>
      </c>
      <c r="C3760" s="1" t="n">
        <v>45344</v>
      </c>
      <c r="D3760" t="inlineStr">
        <is>
          <t>GÄVLEBORGS LÄN</t>
        </is>
      </c>
      <c r="E3760" t="inlineStr">
        <is>
          <t>SÖDERHAMN</t>
        </is>
      </c>
      <c r="F3760" t="inlineStr">
        <is>
          <t>Bergvik skog väst AB</t>
        </is>
      </c>
      <c r="G3760" t="n">
        <v>2.9</v>
      </c>
      <c r="H3760" t="n">
        <v>0</v>
      </c>
      <c r="I3760" t="n">
        <v>0</v>
      </c>
      <c r="J3760" t="n">
        <v>0</v>
      </c>
      <c r="K3760" t="n">
        <v>0</v>
      </c>
      <c r="L3760" t="n">
        <v>0</v>
      </c>
      <c r="M3760" t="n">
        <v>0</v>
      </c>
      <c r="N3760" t="n">
        <v>0</v>
      </c>
      <c r="O3760" t="n">
        <v>0</v>
      </c>
      <c r="P3760" t="n">
        <v>0</v>
      </c>
      <c r="Q3760" t="n">
        <v>0</v>
      </c>
      <c r="R3760" s="2" t="inlineStr"/>
    </row>
    <row r="3761" ht="15" customHeight="1">
      <c r="A3761" t="inlineStr">
        <is>
          <t>A 31768-2021</t>
        </is>
      </c>
      <c r="B3761" s="1" t="n">
        <v>44370</v>
      </c>
      <c r="C3761" s="1" t="n">
        <v>45344</v>
      </c>
      <c r="D3761" t="inlineStr">
        <is>
          <t>GÄVLEBORGS LÄN</t>
        </is>
      </c>
      <c r="E3761" t="inlineStr">
        <is>
          <t>BOLLNÄS</t>
        </is>
      </c>
      <c r="F3761" t="inlineStr">
        <is>
          <t>Bergvik skog väst AB</t>
        </is>
      </c>
      <c r="G3761" t="n">
        <v>3.4</v>
      </c>
      <c r="H3761" t="n">
        <v>0</v>
      </c>
      <c r="I3761" t="n">
        <v>0</v>
      </c>
      <c r="J3761" t="n">
        <v>0</v>
      </c>
      <c r="K3761" t="n">
        <v>0</v>
      </c>
      <c r="L3761" t="n">
        <v>0</v>
      </c>
      <c r="M3761" t="n">
        <v>0</v>
      </c>
      <c r="N3761" t="n">
        <v>0</v>
      </c>
      <c r="O3761" t="n">
        <v>0</v>
      </c>
      <c r="P3761" t="n">
        <v>0</v>
      </c>
      <c r="Q3761" t="n">
        <v>0</v>
      </c>
      <c r="R3761" s="2" t="inlineStr"/>
    </row>
    <row r="3762" ht="15" customHeight="1">
      <c r="A3762" t="inlineStr">
        <is>
          <t>A 31923-2021</t>
        </is>
      </c>
      <c r="B3762" s="1" t="n">
        <v>44370</v>
      </c>
      <c r="C3762" s="1" t="n">
        <v>45344</v>
      </c>
      <c r="D3762" t="inlineStr">
        <is>
          <t>GÄVLEBORGS LÄN</t>
        </is>
      </c>
      <c r="E3762" t="inlineStr">
        <is>
          <t>NORDANSTIG</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31930-2021</t>
        </is>
      </c>
      <c r="B3763" s="1" t="n">
        <v>44370</v>
      </c>
      <c r="C3763" s="1" t="n">
        <v>45344</v>
      </c>
      <c r="D3763" t="inlineStr">
        <is>
          <t>GÄVLEBORGS LÄN</t>
        </is>
      </c>
      <c r="E3763" t="inlineStr">
        <is>
          <t>NORDANSTIG</t>
        </is>
      </c>
      <c r="G3763" t="n">
        <v>9.4</v>
      </c>
      <c r="H3763" t="n">
        <v>0</v>
      </c>
      <c r="I3763" t="n">
        <v>0</v>
      </c>
      <c r="J3763" t="n">
        <v>0</v>
      </c>
      <c r="K3763" t="n">
        <v>0</v>
      </c>
      <c r="L3763" t="n">
        <v>0</v>
      </c>
      <c r="M3763" t="n">
        <v>0</v>
      </c>
      <c r="N3763" t="n">
        <v>0</v>
      </c>
      <c r="O3763" t="n">
        <v>0</v>
      </c>
      <c r="P3763" t="n">
        <v>0</v>
      </c>
      <c r="Q3763" t="n">
        <v>0</v>
      </c>
      <c r="R3763" s="2" t="inlineStr"/>
    </row>
    <row r="3764" ht="15" customHeight="1">
      <c r="A3764" t="inlineStr">
        <is>
          <t>A 31967-2021</t>
        </is>
      </c>
      <c r="B3764" s="1" t="n">
        <v>44370</v>
      </c>
      <c r="C3764" s="1" t="n">
        <v>45344</v>
      </c>
      <c r="D3764" t="inlineStr">
        <is>
          <t>GÄVLEBORGS LÄN</t>
        </is>
      </c>
      <c r="E3764" t="inlineStr">
        <is>
          <t>HUDIKSVALL</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32018-2021</t>
        </is>
      </c>
      <c r="B3765" s="1" t="n">
        <v>44370</v>
      </c>
      <c r="C3765" s="1" t="n">
        <v>45344</v>
      </c>
      <c r="D3765" t="inlineStr">
        <is>
          <t>GÄVLEBORGS LÄN</t>
        </is>
      </c>
      <c r="E3765" t="inlineStr">
        <is>
          <t>GÄVLE</t>
        </is>
      </c>
      <c r="F3765" t="inlineStr">
        <is>
          <t>Bergvik skog öst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31961-2021</t>
        </is>
      </c>
      <c r="B3766" s="1" t="n">
        <v>44370</v>
      </c>
      <c r="C3766" s="1" t="n">
        <v>45344</v>
      </c>
      <c r="D3766" t="inlineStr">
        <is>
          <t>GÄVLEBORGS LÄN</t>
        </is>
      </c>
      <c r="E3766" t="inlineStr">
        <is>
          <t>LJUSDAL</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32008-2021</t>
        </is>
      </c>
      <c r="B3767" s="1" t="n">
        <v>44370</v>
      </c>
      <c r="C3767" s="1" t="n">
        <v>45344</v>
      </c>
      <c r="D3767" t="inlineStr">
        <is>
          <t>GÄVLEBORGS LÄN</t>
        </is>
      </c>
      <c r="E3767" t="inlineStr">
        <is>
          <t>GÄVLE</t>
        </is>
      </c>
      <c r="G3767" t="n">
        <v>5.1</v>
      </c>
      <c r="H3767" t="n">
        <v>0</v>
      </c>
      <c r="I3767" t="n">
        <v>0</v>
      </c>
      <c r="J3767" t="n">
        <v>0</v>
      </c>
      <c r="K3767" t="n">
        <v>0</v>
      </c>
      <c r="L3767" t="n">
        <v>0</v>
      </c>
      <c r="M3767" t="n">
        <v>0</v>
      </c>
      <c r="N3767" t="n">
        <v>0</v>
      </c>
      <c r="O3767" t="n">
        <v>0</v>
      </c>
      <c r="P3767" t="n">
        <v>0</v>
      </c>
      <c r="Q3767" t="n">
        <v>0</v>
      </c>
      <c r="R3767" s="2" t="inlineStr"/>
    </row>
    <row r="3768" ht="15" customHeight="1">
      <c r="A3768" t="inlineStr">
        <is>
          <t>A 32043-2021</t>
        </is>
      </c>
      <c r="B3768" s="1" t="n">
        <v>44370</v>
      </c>
      <c r="C3768" s="1" t="n">
        <v>45344</v>
      </c>
      <c r="D3768" t="inlineStr">
        <is>
          <t>GÄVLEBORGS LÄN</t>
        </is>
      </c>
      <c r="E3768" t="inlineStr">
        <is>
          <t>NORDANSTIG</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32238-2021</t>
        </is>
      </c>
      <c r="B3769" s="1" t="n">
        <v>44371</v>
      </c>
      <c r="C3769" s="1" t="n">
        <v>45344</v>
      </c>
      <c r="D3769" t="inlineStr">
        <is>
          <t>GÄVLEBORGS LÄN</t>
        </is>
      </c>
      <c r="E3769" t="inlineStr">
        <is>
          <t>OVANÅKER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32174-2021</t>
        </is>
      </c>
      <c r="B3770" s="1" t="n">
        <v>44371</v>
      </c>
      <c r="C3770" s="1" t="n">
        <v>45344</v>
      </c>
      <c r="D3770" t="inlineStr">
        <is>
          <t>GÄVLEBORGS LÄN</t>
        </is>
      </c>
      <c r="E3770" t="inlineStr">
        <is>
          <t>BOLLNÄS</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32266-2021</t>
        </is>
      </c>
      <c r="B3771" s="1" t="n">
        <v>44371</v>
      </c>
      <c r="C3771" s="1" t="n">
        <v>45344</v>
      </c>
      <c r="D3771" t="inlineStr">
        <is>
          <t>GÄVLEBORGS LÄN</t>
        </is>
      </c>
      <c r="E3771" t="inlineStr">
        <is>
          <t>OCKELBO</t>
        </is>
      </c>
      <c r="F3771" t="inlineStr">
        <is>
          <t>Bergvik skog väst AB</t>
        </is>
      </c>
      <c r="G3771" t="n">
        <v>2.6</v>
      </c>
      <c r="H3771" t="n">
        <v>0</v>
      </c>
      <c r="I3771" t="n">
        <v>0</v>
      </c>
      <c r="J3771" t="n">
        <v>0</v>
      </c>
      <c r="K3771" t="n">
        <v>0</v>
      </c>
      <c r="L3771" t="n">
        <v>0</v>
      </c>
      <c r="M3771" t="n">
        <v>0</v>
      </c>
      <c r="N3771" t="n">
        <v>0</v>
      </c>
      <c r="O3771" t="n">
        <v>0</v>
      </c>
      <c r="P3771" t="n">
        <v>0</v>
      </c>
      <c r="Q3771" t="n">
        <v>0</v>
      </c>
      <c r="R3771" s="2" t="inlineStr"/>
    </row>
    <row r="3772" ht="15" customHeight="1">
      <c r="A3772" t="inlineStr">
        <is>
          <t>A 32282-2021</t>
        </is>
      </c>
      <c r="B3772" s="1" t="n">
        <v>44371</v>
      </c>
      <c r="C3772" s="1" t="n">
        <v>45344</v>
      </c>
      <c r="D3772" t="inlineStr">
        <is>
          <t>GÄVLEBORGS LÄN</t>
        </is>
      </c>
      <c r="E3772" t="inlineStr">
        <is>
          <t>OCKELBO</t>
        </is>
      </c>
      <c r="F3772" t="inlineStr">
        <is>
          <t>Bergvik skog väst AB</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32233-2021</t>
        </is>
      </c>
      <c r="B3773" s="1" t="n">
        <v>44371</v>
      </c>
      <c r="C3773" s="1" t="n">
        <v>45344</v>
      </c>
      <c r="D3773" t="inlineStr">
        <is>
          <t>GÄVLEBORGS LÄN</t>
        </is>
      </c>
      <c r="E3773" t="inlineStr">
        <is>
          <t>LJUSDAL</t>
        </is>
      </c>
      <c r="F3773" t="inlineStr">
        <is>
          <t>Holmen skog AB</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32420-2021</t>
        </is>
      </c>
      <c r="B3774" s="1" t="n">
        <v>44371</v>
      </c>
      <c r="C3774" s="1" t="n">
        <v>45344</v>
      </c>
      <c r="D3774" t="inlineStr">
        <is>
          <t>GÄVLEBORGS LÄN</t>
        </is>
      </c>
      <c r="E3774" t="inlineStr">
        <is>
          <t>OVANÅKER</t>
        </is>
      </c>
      <c r="F3774" t="inlineStr">
        <is>
          <t>Bergvik skog väst AB</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32698-2021</t>
        </is>
      </c>
      <c r="B3775" s="1" t="n">
        <v>44375</v>
      </c>
      <c r="C3775" s="1" t="n">
        <v>45344</v>
      </c>
      <c r="D3775" t="inlineStr">
        <is>
          <t>GÄVLEBORGS LÄN</t>
        </is>
      </c>
      <c r="E3775" t="inlineStr">
        <is>
          <t>BOLLNÄS</t>
        </is>
      </c>
      <c r="G3775" t="n">
        <v>2.9</v>
      </c>
      <c r="H3775" t="n">
        <v>0</v>
      </c>
      <c r="I3775" t="n">
        <v>0</v>
      </c>
      <c r="J3775" t="n">
        <v>0</v>
      </c>
      <c r="K3775" t="n">
        <v>0</v>
      </c>
      <c r="L3775" t="n">
        <v>0</v>
      </c>
      <c r="M3775" t="n">
        <v>0</v>
      </c>
      <c r="N3775" t="n">
        <v>0</v>
      </c>
      <c r="O3775" t="n">
        <v>0</v>
      </c>
      <c r="P3775" t="n">
        <v>0</v>
      </c>
      <c r="Q3775" t="n">
        <v>0</v>
      </c>
      <c r="R3775" s="2" t="inlineStr"/>
    </row>
    <row r="3776" ht="15" customHeight="1">
      <c r="A3776" t="inlineStr">
        <is>
          <t>A 32555-2021</t>
        </is>
      </c>
      <c r="B3776" s="1" t="n">
        <v>44375</v>
      </c>
      <c r="C3776" s="1" t="n">
        <v>45344</v>
      </c>
      <c r="D3776" t="inlineStr">
        <is>
          <t>GÄVLEBORGS LÄN</t>
        </is>
      </c>
      <c r="E3776" t="inlineStr">
        <is>
          <t>HUDIKSVALL</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32577-2021</t>
        </is>
      </c>
      <c r="B3777" s="1" t="n">
        <v>44375</v>
      </c>
      <c r="C3777" s="1" t="n">
        <v>45344</v>
      </c>
      <c r="D3777" t="inlineStr">
        <is>
          <t>GÄVLEBORGS LÄN</t>
        </is>
      </c>
      <c r="E3777" t="inlineStr">
        <is>
          <t>HUDIKSVALL</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32774-2021</t>
        </is>
      </c>
      <c r="B3778" s="1" t="n">
        <v>44375</v>
      </c>
      <c r="C3778" s="1" t="n">
        <v>45344</v>
      </c>
      <c r="D3778" t="inlineStr">
        <is>
          <t>GÄVLEBORGS LÄN</t>
        </is>
      </c>
      <c r="E3778" t="inlineStr">
        <is>
          <t>LJUSDAL</t>
        </is>
      </c>
      <c r="F3778" t="inlineStr">
        <is>
          <t>Holmen skog AB</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32886-2021</t>
        </is>
      </c>
      <c r="B3779" s="1" t="n">
        <v>44375</v>
      </c>
      <c r="C3779" s="1" t="n">
        <v>45344</v>
      </c>
      <c r="D3779" t="inlineStr">
        <is>
          <t>GÄVLEBORGS LÄN</t>
        </is>
      </c>
      <c r="E3779" t="inlineStr">
        <is>
          <t>LJUSDAL</t>
        </is>
      </c>
      <c r="F3779" t="inlineStr">
        <is>
          <t>Holmen skog AB</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32837-2021</t>
        </is>
      </c>
      <c r="B3780" s="1" t="n">
        <v>44375</v>
      </c>
      <c r="C3780" s="1" t="n">
        <v>45344</v>
      </c>
      <c r="D3780" t="inlineStr">
        <is>
          <t>GÄVLEBORGS LÄN</t>
        </is>
      </c>
      <c r="E3780" t="inlineStr">
        <is>
          <t>BOLLNÄS</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32883-2021</t>
        </is>
      </c>
      <c r="B3781" s="1" t="n">
        <v>44375</v>
      </c>
      <c r="C3781" s="1" t="n">
        <v>45344</v>
      </c>
      <c r="D3781" t="inlineStr">
        <is>
          <t>GÄVLEBORGS LÄN</t>
        </is>
      </c>
      <c r="E3781" t="inlineStr">
        <is>
          <t>HUDIKSVALL</t>
        </is>
      </c>
      <c r="F3781" t="inlineStr">
        <is>
          <t>Holmen skog AB</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32823-2021</t>
        </is>
      </c>
      <c r="B3782" s="1" t="n">
        <v>44375</v>
      </c>
      <c r="C3782" s="1" t="n">
        <v>45344</v>
      </c>
      <c r="D3782" t="inlineStr">
        <is>
          <t>GÄVLEBORGS LÄN</t>
        </is>
      </c>
      <c r="E3782" t="inlineStr">
        <is>
          <t>HUDIKSVALL</t>
        </is>
      </c>
      <c r="F3782" t="inlineStr">
        <is>
          <t>Holmen skog AB</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32878-2021</t>
        </is>
      </c>
      <c r="B3783" s="1" t="n">
        <v>44375</v>
      </c>
      <c r="C3783" s="1" t="n">
        <v>45344</v>
      </c>
      <c r="D3783" t="inlineStr">
        <is>
          <t>GÄVLEBORGS LÄN</t>
        </is>
      </c>
      <c r="E3783" t="inlineStr">
        <is>
          <t>LJUSDAL</t>
        </is>
      </c>
      <c r="F3783" t="inlineStr">
        <is>
          <t>Holmen skog AB</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32890-2021</t>
        </is>
      </c>
      <c r="B3784" s="1" t="n">
        <v>44375</v>
      </c>
      <c r="C3784" s="1" t="n">
        <v>45344</v>
      </c>
      <c r="D3784" t="inlineStr">
        <is>
          <t>GÄVLEBORGS LÄN</t>
        </is>
      </c>
      <c r="E3784" t="inlineStr">
        <is>
          <t>LJUSDAL</t>
        </is>
      </c>
      <c r="F3784" t="inlineStr">
        <is>
          <t>Holmen skog AB</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32970-2021</t>
        </is>
      </c>
      <c r="B3785" s="1" t="n">
        <v>44376</v>
      </c>
      <c r="C3785" s="1" t="n">
        <v>45344</v>
      </c>
      <c r="D3785" t="inlineStr">
        <is>
          <t>GÄVLEBORGS LÄN</t>
        </is>
      </c>
      <c r="E3785" t="inlineStr">
        <is>
          <t>GÄVLE</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33078-2021</t>
        </is>
      </c>
      <c r="B3786" s="1" t="n">
        <v>44376</v>
      </c>
      <c r="C3786" s="1" t="n">
        <v>45344</v>
      </c>
      <c r="D3786" t="inlineStr">
        <is>
          <t>GÄVLEBORGS LÄN</t>
        </is>
      </c>
      <c r="E3786" t="inlineStr">
        <is>
          <t>HUDIKSVALL</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33180-2021</t>
        </is>
      </c>
      <c r="B3787" s="1" t="n">
        <v>44376</v>
      </c>
      <c r="C3787" s="1" t="n">
        <v>45344</v>
      </c>
      <c r="D3787" t="inlineStr">
        <is>
          <t>GÄVLEBORGS LÄN</t>
        </is>
      </c>
      <c r="E3787" t="inlineStr">
        <is>
          <t>OVANÅKER</t>
        </is>
      </c>
      <c r="F3787" t="inlineStr">
        <is>
          <t>Sveaskog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33278-2021</t>
        </is>
      </c>
      <c r="B3788" s="1" t="n">
        <v>44377</v>
      </c>
      <c r="C3788" s="1" t="n">
        <v>45344</v>
      </c>
      <c r="D3788" t="inlineStr">
        <is>
          <t>GÄVLEBORGS LÄN</t>
        </is>
      </c>
      <c r="E3788" t="inlineStr">
        <is>
          <t>OCKELBO</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33319-2021</t>
        </is>
      </c>
      <c r="B3789" s="1" t="n">
        <v>44377</v>
      </c>
      <c r="C3789" s="1" t="n">
        <v>45344</v>
      </c>
      <c r="D3789" t="inlineStr">
        <is>
          <t>GÄVLEBORGS LÄN</t>
        </is>
      </c>
      <c r="E3789" t="inlineStr">
        <is>
          <t>LJUSDAL</t>
        </is>
      </c>
      <c r="F3789" t="inlineStr">
        <is>
          <t>Bergvik skog väst AB</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33393-2021</t>
        </is>
      </c>
      <c r="B3790" s="1" t="n">
        <v>44377</v>
      </c>
      <c r="C3790" s="1" t="n">
        <v>45344</v>
      </c>
      <c r="D3790" t="inlineStr">
        <is>
          <t>GÄVLEBORGS LÄN</t>
        </is>
      </c>
      <c r="E3790" t="inlineStr">
        <is>
          <t>LJUSDAL</t>
        </is>
      </c>
      <c r="F3790" t="inlineStr">
        <is>
          <t>Holmen skog AB</t>
        </is>
      </c>
      <c r="G3790" t="n">
        <v>6.7</v>
      </c>
      <c r="H3790" t="n">
        <v>0</v>
      </c>
      <c r="I3790" t="n">
        <v>0</v>
      </c>
      <c r="J3790" t="n">
        <v>0</v>
      </c>
      <c r="K3790" t="n">
        <v>0</v>
      </c>
      <c r="L3790" t="n">
        <v>0</v>
      </c>
      <c r="M3790" t="n">
        <v>0</v>
      </c>
      <c r="N3790" t="n">
        <v>0</v>
      </c>
      <c r="O3790" t="n">
        <v>0</v>
      </c>
      <c r="P3790" t="n">
        <v>0</v>
      </c>
      <c r="Q3790" t="n">
        <v>0</v>
      </c>
      <c r="R3790" s="2" t="inlineStr"/>
    </row>
    <row r="3791" ht="15" customHeight="1">
      <c r="A3791" t="inlineStr">
        <is>
          <t>A 33410-2021</t>
        </is>
      </c>
      <c r="B3791" s="1" t="n">
        <v>44377</v>
      </c>
      <c r="C3791" s="1" t="n">
        <v>45344</v>
      </c>
      <c r="D3791" t="inlineStr">
        <is>
          <t>GÄVLEBORGS LÄN</t>
        </is>
      </c>
      <c r="E3791" t="inlineStr">
        <is>
          <t>SANDVIKEN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33224-2021</t>
        </is>
      </c>
      <c r="B3792" s="1" t="n">
        <v>44377</v>
      </c>
      <c r="C3792" s="1" t="n">
        <v>45344</v>
      </c>
      <c r="D3792" t="inlineStr">
        <is>
          <t>GÄVLEBORGS LÄN</t>
        </is>
      </c>
      <c r="E3792" t="inlineStr">
        <is>
          <t>GÄVLE</t>
        </is>
      </c>
      <c r="F3792" t="inlineStr">
        <is>
          <t>Bergvik skog öst AB</t>
        </is>
      </c>
      <c r="G3792" t="n">
        <v>4</v>
      </c>
      <c r="H3792" t="n">
        <v>0</v>
      </c>
      <c r="I3792" t="n">
        <v>0</v>
      </c>
      <c r="J3792" t="n">
        <v>0</v>
      </c>
      <c r="K3792" t="n">
        <v>0</v>
      </c>
      <c r="L3792" t="n">
        <v>0</v>
      </c>
      <c r="M3792" t="n">
        <v>0</v>
      </c>
      <c r="N3792" t="n">
        <v>0</v>
      </c>
      <c r="O3792" t="n">
        <v>0</v>
      </c>
      <c r="P3792" t="n">
        <v>0</v>
      </c>
      <c r="Q3792" t="n">
        <v>0</v>
      </c>
      <c r="R3792" s="2" t="inlineStr"/>
    </row>
    <row r="3793" ht="15" customHeight="1">
      <c r="A3793" t="inlineStr">
        <is>
          <t>A 33605-2021</t>
        </is>
      </c>
      <c r="B3793" s="1" t="n">
        <v>44378</v>
      </c>
      <c r="C3793" s="1" t="n">
        <v>45344</v>
      </c>
      <c r="D3793" t="inlineStr">
        <is>
          <t>GÄVLEBORGS LÄN</t>
        </is>
      </c>
      <c r="E3793" t="inlineStr">
        <is>
          <t>LJUSDAL</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33629-2021</t>
        </is>
      </c>
      <c r="B3794" s="1" t="n">
        <v>44378</v>
      </c>
      <c r="C3794" s="1" t="n">
        <v>45344</v>
      </c>
      <c r="D3794" t="inlineStr">
        <is>
          <t>GÄVLEBORGS LÄN</t>
        </is>
      </c>
      <c r="E3794" t="inlineStr">
        <is>
          <t>HUDIKSVALL</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33591-2021</t>
        </is>
      </c>
      <c r="B3795" s="1" t="n">
        <v>44378</v>
      </c>
      <c r="C3795" s="1" t="n">
        <v>45344</v>
      </c>
      <c r="D3795" t="inlineStr">
        <is>
          <t>GÄVLEBORGS LÄN</t>
        </is>
      </c>
      <c r="E3795" t="inlineStr">
        <is>
          <t>HUDIKSVALL</t>
        </is>
      </c>
      <c r="F3795" t="inlineStr">
        <is>
          <t>Kyrkan</t>
        </is>
      </c>
      <c r="G3795" t="n">
        <v>16.5</v>
      </c>
      <c r="H3795" t="n">
        <v>0</v>
      </c>
      <c r="I3795" t="n">
        <v>0</v>
      </c>
      <c r="J3795" t="n">
        <v>0</v>
      </c>
      <c r="K3795" t="n">
        <v>0</v>
      </c>
      <c r="L3795" t="n">
        <v>0</v>
      </c>
      <c r="M3795" t="n">
        <v>0</v>
      </c>
      <c r="N3795" t="n">
        <v>0</v>
      </c>
      <c r="O3795" t="n">
        <v>0</v>
      </c>
      <c r="P3795" t="n">
        <v>0</v>
      </c>
      <c r="Q3795" t="n">
        <v>0</v>
      </c>
      <c r="R3795" s="2" t="inlineStr"/>
    </row>
    <row r="3796" ht="15" customHeight="1">
      <c r="A3796" t="inlineStr">
        <is>
          <t>A 33609-2021</t>
        </is>
      </c>
      <c r="B3796" s="1" t="n">
        <v>44378</v>
      </c>
      <c r="C3796" s="1" t="n">
        <v>45344</v>
      </c>
      <c r="D3796" t="inlineStr">
        <is>
          <t>GÄVLEBORGS LÄN</t>
        </is>
      </c>
      <c r="E3796" t="inlineStr">
        <is>
          <t>LJUSDAL</t>
        </is>
      </c>
      <c r="F3796" t="inlineStr">
        <is>
          <t>Sveaskog</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33767-2021</t>
        </is>
      </c>
      <c r="B3797" s="1" t="n">
        <v>44378</v>
      </c>
      <c r="C3797" s="1" t="n">
        <v>45344</v>
      </c>
      <c r="D3797" t="inlineStr">
        <is>
          <t>GÄVLEBORGS LÄN</t>
        </is>
      </c>
      <c r="E3797" t="inlineStr">
        <is>
          <t>LJUSDAL</t>
        </is>
      </c>
      <c r="F3797" t="inlineStr">
        <is>
          <t>Kommuner</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33799-2021</t>
        </is>
      </c>
      <c r="B3798" s="1" t="n">
        <v>44378</v>
      </c>
      <c r="C3798" s="1" t="n">
        <v>45344</v>
      </c>
      <c r="D3798" t="inlineStr">
        <is>
          <t>GÄVLEBORGS LÄN</t>
        </is>
      </c>
      <c r="E3798" t="inlineStr">
        <is>
          <t>HUDIKSVALL</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34186-2021</t>
        </is>
      </c>
      <c r="B3799" s="1" t="n">
        <v>44379</v>
      </c>
      <c r="C3799" s="1" t="n">
        <v>45344</v>
      </c>
      <c r="D3799" t="inlineStr">
        <is>
          <t>GÄVLEBORGS LÄN</t>
        </is>
      </c>
      <c r="E3799" t="inlineStr">
        <is>
          <t>OVANÅKER</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34242-2021</t>
        </is>
      </c>
      <c r="B3800" s="1" t="n">
        <v>44379</v>
      </c>
      <c r="C3800" s="1" t="n">
        <v>45344</v>
      </c>
      <c r="D3800" t="inlineStr">
        <is>
          <t>GÄVLEBORGS LÄN</t>
        </is>
      </c>
      <c r="E3800" t="inlineStr">
        <is>
          <t>SANDVIKEN</t>
        </is>
      </c>
      <c r="F3800" t="inlineStr">
        <is>
          <t>Bergvik skog öst AB</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34286-2021</t>
        </is>
      </c>
      <c r="B3801" s="1" t="n">
        <v>44379</v>
      </c>
      <c r="C3801" s="1" t="n">
        <v>45344</v>
      </c>
      <c r="D3801" t="inlineStr">
        <is>
          <t>GÄVLEBORGS LÄN</t>
        </is>
      </c>
      <c r="E3801" t="inlineStr">
        <is>
          <t>NORDANSTIG</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34298-2021</t>
        </is>
      </c>
      <c r="B3802" s="1" t="n">
        <v>44379</v>
      </c>
      <c r="C3802" s="1" t="n">
        <v>45344</v>
      </c>
      <c r="D3802" t="inlineStr">
        <is>
          <t>GÄVLEBORGS LÄN</t>
        </is>
      </c>
      <c r="E3802" t="inlineStr">
        <is>
          <t>OVANÅKER</t>
        </is>
      </c>
      <c r="F3802" t="inlineStr">
        <is>
          <t>Holmen skog AB</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34222-2021</t>
        </is>
      </c>
      <c r="B3803" s="1" t="n">
        <v>44379</v>
      </c>
      <c r="C3803" s="1" t="n">
        <v>45344</v>
      </c>
      <c r="D3803" t="inlineStr">
        <is>
          <t>GÄVLEBORGS LÄN</t>
        </is>
      </c>
      <c r="E3803" t="inlineStr">
        <is>
          <t>OVANÅKER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34303-2021</t>
        </is>
      </c>
      <c r="B3804" s="1" t="n">
        <v>44379</v>
      </c>
      <c r="C3804" s="1" t="n">
        <v>45344</v>
      </c>
      <c r="D3804" t="inlineStr">
        <is>
          <t>GÄVLEBORGS LÄN</t>
        </is>
      </c>
      <c r="E3804" t="inlineStr">
        <is>
          <t>OVANÅKER</t>
        </is>
      </c>
      <c r="F3804" t="inlineStr">
        <is>
          <t>Holmen skog AB</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34312-2021</t>
        </is>
      </c>
      <c r="B3805" s="1" t="n">
        <v>44379</v>
      </c>
      <c r="C3805" s="1" t="n">
        <v>45344</v>
      </c>
      <c r="D3805" t="inlineStr">
        <is>
          <t>GÄVLEBORGS LÄN</t>
        </is>
      </c>
      <c r="E3805" t="inlineStr">
        <is>
          <t>SANDVIKEN</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34260-2021</t>
        </is>
      </c>
      <c r="B3806" s="1" t="n">
        <v>44379</v>
      </c>
      <c r="C3806" s="1" t="n">
        <v>45344</v>
      </c>
      <c r="D3806" t="inlineStr">
        <is>
          <t>GÄVLEBORGS LÄN</t>
        </is>
      </c>
      <c r="E3806" t="inlineStr">
        <is>
          <t>OVANÅKER</t>
        </is>
      </c>
      <c r="F3806" t="inlineStr">
        <is>
          <t>Kyrkan</t>
        </is>
      </c>
      <c r="G3806" t="n">
        <v>8.300000000000001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34308-2021</t>
        </is>
      </c>
      <c r="B3807" s="1" t="n">
        <v>44379</v>
      </c>
      <c r="C3807" s="1" t="n">
        <v>45344</v>
      </c>
      <c r="D3807" t="inlineStr">
        <is>
          <t>GÄVLEBORGS LÄN</t>
        </is>
      </c>
      <c r="E3807" t="inlineStr">
        <is>
          <t>OVANÅKER</t>
        </is>
      </c>
      <c r="F3807" t="inlineStr">
        <is>
          <t>Holmen skog AB</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34200-2021</t>
        </is>
      </c>
      <c r="B3808" s="1" t="n">
        <v>44379</v>
      </c>
      <c r="C3808" s="1" t="n">
        <v>45344</v>
      </c>
      <c r="D3808" t="inlineStr">
        <is>
          <t>GÄVLEBORGS LÄN</t>
        </is>
      </c>
      <c r="E3808" t="inlineStr">
        <is>
          <t>OVANÅKER</t>
        </is>
      </c>
      <c r="F3808" t="inlineStr">
        <is>
          <t>Kyrkan</t>
        </is>
      </c>
      <c r="G3808" t="n">
        <v>16.3</v>
      </c>
      <c r="H3808" t="n">
        <v>0</v>
      </c>
      <c r="I3808" t="n">
        <v>0</v>
      </c>
      <c r="J3808" t="n">
        <v>0</v>
      </c>
      <c r="K3808" t="n">
        <v>0</v>
      </c>
      <c r="L3808" t="n">
        <v>0</v>
      </c>
      <c r="M3808" t="n">
        <v>0</v>
      </c>
      <c r="N3808" t="n">
        <v>0</v>
      </c>
      <c r="O3808" t="n">
        <v>0</v>
      </c>
      <c r="P3808" t="n">
        <v>0</v>
      </c>
      <c r="Q3808" t="n">
        <v>0</v>
      </c>
      <c r="R3808" s="2" t="inlineStr"/>
    </row>
    <row r="3809" ht="15" customHeight="1">
      <c r="A3809" t="inlineStr">
        <is>
          <t>A 34128-2021</t>
        </is>
      </c>
      <c r="B3809" s="1" t="n">
        <v>44379</v>
      </c>
      <c r="C3809" s="1" t="n">
        <v>45344</v>
      </c>
      <c r="D3809" t="inlineStr">
        <is>
          <t>GÄVLEBORGS LÄN</t>
        </is>
      </c>
      <c r="E3809" t="inlineStr">
        <is>
          <t>OVANÅKER</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34463-2021</t>
        </is>
      </c>
      <c r="B3810" s="1" t="n">
        <v>44381</v>
      </c>
      <c r="C3810" s="1" t="n">
        <v>45344</v>
      </c>
      <c r="D3810" t="inlineStr">
        <is>
          <t>GÄVLEBORGS LÄN</t>
        </is>
      </c>
      <c r="E3810" t="inlineStr">
        <is>
          <t>BOLLNÄS</t>
        </is>
      </c>
      <c r="G3810" t="n">
        <v>15.4</v>
      </c>
      <c r="H3810" t="n">
        <v>0</v>
      </c>
      <c r="I3810" t="n">
        <v>0</v>
      </c>
      <c r="J3810" t="n">
        <v>0</v>
      </c>
      <c r="K3810" t="n">
        <v>0</v>
      </c>
      <c r="L3810" t="n">
        <v>0</v>
      </c>
      <c r="M3810" t="n">
        <v>0</v>
      </c>
      <c r="N3810" t="n">
        <v>0</v>
      </c>
      <c r="O3810" t="n">
        <v>0</v>
      </c>
      <c r="P3810" t="n">
        <v>0</v>
      </c>
      <c r="Q3810" t="n">
        <v>0</v>
      </c>
      <c r="R3810" s="2" t="inlineStr"/>
    </row>
    <row r="3811" ht="15" customHeight="1">
      <c r="A3811" t="inlineStr">
        <is>
          <t>A 34462-2021</t>
        </is>
      </c>
      <c r="B3811" s="1" t="n">
        <v>44381</v>
      </c>
      <c r="C3811" s="1" t="n">
        <v>45344</v>
      </c>
      <c r="D3811" t="inlineStr">
        <is>
          <t>GÄVLEBORGS LÄN</t>
        </is>
      </c>
      <c r="E3811" t="inlineStr">
        <is>
          <t>BOLLNÄS</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34464-2021</t>
        </is>
      </c>
      <c r="B3812" s="1" t="n">
        <v>44381</v>
      </c>
      <c r="C3812" s="1" t="n">
        <v>45344</v>
      </c>
      <c r="D3812" t="inlineStr">
        <is>
          <t>GÄVLEBORGS LÄN</t>
        </is>
      </c>
      <c r="E3812" t="inlineStr">
        <is>
          <t>BOLLNÄS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34513-2021</t>
        </is>
      </c>
      <c r="B3813" s="1" t="n">
        <v>44382</v>
      </c>
      <c r="C3813" s="1" t="n">
        <v>45344</v>
      </c>
      <c r="D3813" t="inlineStr">
        <is>
          <t>GÄVLEBORGS LÄN</t>
        </is>
      </c>
      <c r="E3813" t="inlineStr">
        <is>
          <t>OVANÅKER</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34523-2021</t>
        </is>
      </c>
      <c r="B3814" s="1" t="n">
        <v>44382</v>
      </c>
      <c r="C3814" s="1" t="n">
        <v>45344</v>
      </c>
      <c r="D3814" t="inlineStr">
        <is>
          <t>GÄVLEBORGS LÄN</t>
        </is>
      </c>
      <c r="E3814" t="inlineStr">
        <is>
          <t>BOLLNÄS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34566-2021</t>
        </is>
      </c>
      <c r="B3815" s="1" t="n">
        <v>44382</v>
      </c>
      <c r="C3815" s="1" t="n">
        <v>45344</v>
      </c>
      <c r="D3815" t="inlineStr">
        <is>
          <t>GÄVLEBORGS LÄN</t>
        </is>
      </c>
      <c r="E3815" t="inlineStr">
        <is>
          <t>LJUSDAL</t>
        </is>
      </c>
      <c r="F3815" t="inlineStr">
        <is>
          <t>Bergvik skog väst AB</t>
        </is>
      </c>
      <c r="G3815" t="n">
        <v>8.199999999999999</v>
      </c>
      <c r="H3815" t="n">
        <v>0</v>
      </c>
      <c r="I3815" t="n">
        <v>0</v>
      </c>
      <c r="J3815" t="n">
        <v>0</v>
      </c>
      <c r="K3815" t="n">
        <v>0</v>
      </c>
      <c r="L3815" t="n">
        <v>0</v>
      </c>
      <c r="M3815" t="n">
        <v>0</v>
      </c>
      <c r="N3815" t="n">
        <v>0</v>
      </c>
      <c r="O3815" t="n">
        <v>0</v>
      </c>
      <c r="P3815" t="n">
        <v>0</v>
      </c>
      <c r="Q3815" t="n">
        <v>0</v>
      </c>
      <c r="R3815" s="2" t="inlineStr"/>
    </row>
    <row r="3816" ht="15" customHeight="1">
      <c r="A3816" t="inlineStr">
        <is>
          <t>A 34651-2021</t>
        </is>
      </c>
      <c r="B3816" s="1" t="n">
        <v>44382</v>
      </c>
      <c r="C3816" s="1" t="n">
        <v>45344</v>
      </c>
      <c r="D3816" t="inlineStr">
        <is>
          <t>GÄVLEBORGS LÄN</t>
        </is>
      </c>
      <c r="E3816" t="inlineStr">
        <is>
          <t>LJUSDAL</t>
        </is>
      </c>
      <c r="F3816" t="inlineStr">
        <is>
          <t>SCA</t>
        </is>
      </c>
      <c r="G3816" t="n">
        <v>15.5</v>
      </c>
      <c r="H3816" t="n">
        <v>0</v>
      </c>
      <c r="I3816" t="n">
        <v>0</v>
      </c>
      <c r="J3816" t="n">
        <v>0</v>
      </c>
      <c r="K3816" t="n">
        <v>0</v>
      </c>
      <c r="L3816" t="n">
        <v>0</v>
      </c>
      <c r="M3816" t="n">
        <v>0</v>
      </c>
      <c r="N3816" t="n">
        <v>0</v>
      </c>
      <c r="O3816" t="n">
        <v>0</v>
      </c>
      <c r="P3816" t="n">
        <v>0</v>
      </c>
      <c r="Q3816" t="n">
        <v>0</v>
      </c>
      <c r="R3816" s="2" t="inlineStr"/>
    </row>
    <row r="3817" ht="15" customHeight="1">
      <c r="A3817" t="inlineStr">
        <is>
          <t>A 34522-2021</t>
        </is>
      </c>
      <c r="B3817" s="1" t="n">
        <v>44382</v>
      </c>
      <c r="C3817" s="1" t="n">
        <v>45344</v>
      </c>
      <c r="D3817" t="inlineStr">
        <is>
          <t>GÄVLEBORGS LÄN</t>
        </is>
      </c>
      <c r="E3817" t="inlineStr">
        <is>
          <t>LJUSDAL</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34542-2021</t>
        </is>
      </c>
      <c r="B3818" s="1" t="n">
        <v>44382</v>
      </c>
      <c r="C3818" s="1" t="n">
        <v>45344</v>
      </c>
      <c r="D3818" t="inlineStr">
        <is>
          <t>GÄVLEBORGS LÄN</t>
        </is>
      </c>
      <c r="E3818" t="inlineStr">
        <is>
          <t>NORDANSTIG</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34562-2021</t>
        </is>
      </c>
      <c r="B3819" s="1" t="n">
        <v>44382</v>
      </c>
      <c r="C3819" s="1" t="n">
        <v>45344</v>
      </c>
      <c r="D3819" t="inlineStr">
        <is>
          <t>GÄVLEBORGS LÄN</t>
        </is>
      </c>
      <c r="E3819" t="inlineStr">
        <is>
          <t>BOLLNÄS</t>
        </is>
      </c>
      <c r="F3819" t="inlineStr">
        <is>
          <t>Bergvik skog väst AB</t>
        </is>
      </c>
      <c r="G3819" t="n">
        <v>8.800000000000001</v>
      </c>
      <c r="H3819" t="n">
        <v>0</v>
      </c>
      <c r="I3819" t="n">
        <v>0</v>
      </c>
      <c r="J3819" t="n">
        <v>0</v>
      </c>
      <c r="K3819" t="n">
        <v>0</v>
      </c>
      <c r="L3819" t="n">
        <v>0</v>
      </c>
      <c r="M3819" t="n">
        <v>0</v>
      </c>
      <c r="N3819" t="n">
        <v>0</v>
      </c>
      <c r="O3819" t="n">
        <v>0</v>
      </c>
      <c r="P3819" t="n">
        <v>0</v>
      </c>
      <c r="Q3819" t="n">
        <v>0</v>
      </c>
      <c r="R3819" s="2" t="inlineStr"/>
    </row>
    <row r="3820" ht="15" customHeight="1">
      <c r="A3820" t="inlineStr">
        <is>
          <t>A 34797-2021</t>
        </is>
      </c>
      <c r="B3820" s="1" t="n">
        <v>44383</v>
      </c>
      <c r="C3820" s="1" t="n">
        <v>45344</v>
      </c>
      <c r="D3820" t="inlineStr">
        <is>
          <t>GÄVLEBORGS LÄN</t>
        </is>
      </c>
      <c r="E3820" t="inlineStr">
        <is>
          <t>OCKELBO</t>
        </is>
      </c>
      <c r="F3820" t="inlineStr">
        <is>
          <t>Bergvik skog väst AB</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34852-2021</t>
        </is>
      </c>
      <c r="B3821" s="1" t="n">
        <v>44383</v>
      </c>
      <c r="C3821" s="1" t="n">
        <v>45344</v>
      </c>
      <c r="D3821" t="inlineStr">
        <is>
          <t>GÄVLEBORGS LÄN</t>
        </is>
      </c>
      <c r="E3821" t="inlineStr">
        <is>
          <t>BOLLNÄS</t>
        </is>
      </c>
      <c r="F3821" t="inlineStr">
        <is>
          <t>Bergvik skog väst AB</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34854-2021</t>
        </is>
      </c>
      <c r="B3822" s="1" t="n">
        <v>44383</v>
      </c>
      <c r="C3822" s="1" t="n">
        <v>45344</v>
      </c>
      <c r="D3822" t="inlineStr">
        <is>
          <t>GÄVLEBORGS LÄN</t>
        </is>
      </c>
      <c r="E3822" t="inlineStr">
        <is>
          <t>OCKELBO</t>
        </is>
      </c>
      <c r="F3822" t="inlineStr">
        <is>
          <t>Bergvik skog väst AB</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34964-2021</t>
        </is>
      </c>
      <c r="B3823" s="1" t="n">
        <v>44383</v>
      </c>
      <c r="C3823" s="1" t="n">
        <v>45344</v>
      </c>
      <c r="D3823" t="inlineStr">
        <is>
          <t>GÄVLEBORGS LÄN</t>
        </is>
      </c>
      <c r="E3823" t="inlineStr">
        <is>
          <t>HUDIKSVALL</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34930-2021</t>
        </is>
      </c>
      <c r="B3824" s="1" t="n">
        <v>44383</v>
      </c>
      <c r="C3824" s="1" t="n">
        <v>45344</v>
      </c>
      <c r="D3824" t="inlineStr">
        <is>
          <t>GÄVLEBORGS LÄN</t>
        </is>
      </c>
      <c r="E3824" t="inlineStr">
        <is>
          <t>SANDVIKEN</t>
        </is>
      </c>
      <c r="G3824" t="n">
        <v>3.6</v>
      </c>
      <c r="H3824" t="n">
        <v>0</v>
      </c>
      <c r="I3824" t="n">
        <v>0</v>
      </c>
      <c r="J3824" t="n">
        <v>0</v>
      </c>
      <c r="K3824" t="n">
        <v>0</v>
      </c>
      <c r="L3824" t="n">
        <v>0</v>
      </c>
      <c r="M3824" t="n">
        <v>0</v>
      </c>
      <c r="N3824" t="n">
        <v>0</v>
      </c>
      <c r="O3824" t="n">
        <v>0</v>
      </c>
      <c r="P3824" t="n">
        <v>0</v>
      </c>
      <c r="Q3824" t="n">
        <v>0</v>
      </c>
      <c r="R3824" s="2" t="inlineStr"/>
    </row>
    <row r="3825" ht="15" customHeight="1">
      <c r="A3825" t="inlineStr">
        <is>
          <t>A 34943-2021</t>
        </is>
      </c>
      <c r="B3825" s="1" t="n">
        <v>44383</v>
      </c>
      <c r="C3825" s="1" t="n">
        <v>45344</v>
      </c>
      <c r="D3825" t="inlineStr">
        <is>
          <t>GÄVLEBORGS LÄN</t>
        </is>
      </c>
      <c r="E3825" t="inlineStr">
        <is>
          <t>HUDIKSVALL</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35080-2021</t>
        </is>
      </c>
      <c r="B3826" s="1" t="n">
        <v>44384</v>
      </c>
      <c r="C3826" s="1" t="n">
        <v>45344</v>
      </c>
      <c r="D3826" t="inlineStr">
        <is>
          <t>GÄVLEBORGS LÄN</t>
        </is>
      </c>
      <c r="E3826" t="inlineStr">
        <is>
          <t>BOLLNÄS</t>
        </is>
      </c>
      <c r="G3826" t="n">
        <v>10.2</v>
      </c>
      <c r="H3826" t="n">
        <v>0</v>
      </c>
      <c r="I3826" t="n">
        <v>0</v>
      </c>
      <c r="J3826" t="n">
        <v>0</v>
      </c>
      <c r="K3826" t="n">
        <v>0</v>
      </c>
      <c r="L3826" t="n">
        <v>0</v>
      </c>
      <c r="M3826" t="n">
        <v>0</v>
      </c>
      <c r="N3826" t="n">
        <v>0</v>
      </c>
      <c r="O3826" t="n">
        <v>0</v>
      </c>
      <c r="P3826" t="n">
        <v>0</v>
      </c>
      <c r="Q3826" t="n">
        <v>0</v>
      </c>
      <c r="R3826" s="2" t="inlineStr"/>
    </row>
    <row r="3827" ht="15" customHeight="1">
      <c r="A3827" t="inlineStr">
        <is>
          <t>A 35269-2021</t>
        </is>
      </c>
      <c r="B3827" s="1" t="n">
        <v>44384</v>
      </c>
      <c r="C3827" s="1" t="n">
        <v>45344</v>
      </c>
      <c r="D3827" t="inlineStr">
        <is>
          <t>GÄVLEBORGS LÄN</t>
        </is>
      </c>
      <c r="E3827" t="inlineStr">
        <is>
          <t>OVANÅKER</t>
        </is>
      </c>
      <c r="F3827" t="inlineStr">
        <is>
          <t>Holmen skog AB</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35227-2021</t>
        </is>
      </c>
      <c r="B3828" s="1" t="n">
        <v>44384</v>
      </c>
      <c r="C3828" s="1" t="n">
        <v>45344</v>
      </c>
      <c r="D3828" t="inlineStr">
        <is>
          <t>GÄVLEBORGS LÄN</t>
        </is>
      </c>
      <c r="E3828" t="inlineStr">
        <is>
          <t>OCKELBO</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35287-2021</t>
        </is>
      </c>
      <c r="B3829" s="1" t="n">
        <v>44384</v>
      </c>
      <c r="C3829" s="1" t="n">
        <v>45344</v>
      </c>
      <c r="D3829" t="inlineStr">
        <is>
          <t>GÄVLEBORGS LÄN</t>
        </is>
      </c>
      <c r="E3829" t="inlineStr">
        <is>
          <t>HUDIKSVALL</t>
        </is>
      </c>
      <c r="F3829" t="inlineStr">
        <is>
          <t>Holmen skog AB</t>
        </is>
      </c>
      <c r="G3829" t="n">
        <v>2.4</v>
      </c>
      <c r="H3829" t="n">
        <v>0</v>
      </c>
      <c r="I3829" t="n">
        <v>0</v>
      </c>
      <c r="J3829" t="n">
        <v>0</v>
      </c>
      <c r="K3829" t="n">
        <v>0</v>
      </c>
      <c r="L3829" t="n">
        <v>0</v>
      </c>
      <c r="M3829" t="n">
        <v>0</v>
      </c>
      <c r="N3829" t="n">
        <v>0</v>
      </c>
      <c r="O3829" t="n">
        <v>0</v>
      </c>
      <c r="P3829" t="n">
        <v>0</v>
      </c>
      <c r="Q3829" t="n">
        <v>0</v>
      </c>
      <c r="R3829" s="2" t="inlineStr"/>
    </row>
    <row r="3830" ht="15" customHeight="1">
      <c r="A3830" t="inlineStr">
        <is>
          <t>A 35239-2021</t>
        </is>
      </c>
      <c r="B3830" s="1" t="n">
        <v>44384</v>
      </c>
      <c r="C3830" s="1" t="n">
        <v>45344</v>
      </c>
      <c r="D3830" t="inlineStr">
        <is>
          <t>GÄVLEBORGS LÄN</t>
        </is>
      </c>
      <c r="E3830" t="inlineStr">
        <is>
          <t>OVANÅKER</t>
        </is>
      </c>
      <c r="F3830" t="inlineStr">
        <is>
          <t>Holmen skog AB</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35278-2021</t>
        </is>
      </c>
      <c r="B3831" s="1" t="n">
        <v>44384</v>
      </c>
      <c r="C3831" s="1" t="n">
        <v>45344</v>
      </c>
      <c r="D3831" t="inlineStr">
        <is>
          <t>GÄVLEBORGS LÄN</t>
        </is>
      </c>
      <c r="E3831" t="inlineStr">
        <is>
          <t>OVANÅKER</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35172-2021</t>
        </is>
      </c>
      <c r="B3832" s="1" t="n">
        <v>44384</v>
      </c>
      <c r="C3832" s="1" t="n">
        <v>45344</v>
      </c>
      <c r="D3832" t="inlineStr">
        <is>
          <t>GÄVLEBORGS LÄN</t>
        </is>
      </c>
      <c r="E3832" t="inlineStr">
        <is>
          <t>SÖDERHAMN</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35245-2021</t>
        </is>
      </c>
      <c r="B3833" s="1" t="n">
        <v>44384</v>
      </c>
      <c r="C3833" s="1" t="n">
        <v>45344</v>
      </c>
      <c r="D3833" t="inlineStr">
        <is>
          <t>GÄVLEBORGS LÄN</t>
        </is>
      </c>
      <c r="E3833" t="inlineStr">
        <is>
          <t>OCKELBO</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35251-2021</t>
        </is>
      </c>
      <c r="B3834" s="1" t="n">
        <v>44384</v>
      </c>
      <c r="C3834" s="1" t="n">
        <v>45344</v>
      </c>
      <c r="D3834" t="inlineStr">
        <is>
          <t>GÄVLEBORGS LÄN</t>
        </is>
      </c>
      <c r="E3834" t="inlineStr">
        <is>
          <t>SÖDERHAMN</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35259-2021</t>
        </is>
      </c>
      <c r="B3835" s="1" t="n">
        <v>44384</v>
      </c>
      <c r="C3835" s="1" t="n">
        <v>45344</v>
      </c>
      <c r="D3835" t="inlineStr">
        <is>
          <t>GÄVLEBORGS LÄN</t>
        </is>
      </c>
      <c r="E3835" t="inlineStr">
        <is>
          <t>LJUSDAL</t>
        </is>
      </c>
      <c r="F3835" t="inlineStr">
        <is>
          <t>Sveaskog</t>
        </is>
      </c>
      <c r="G3835" t="n">
        <v>21.7</v>
      </c>
      <c r="H3835" t="n">
        <v>0</v>
      </c>
      <c r="I3835" t="n">
        <v>0</v>
      </c>
      <c r="J3835" t="n">
        <v>0</v>
      </c>
      <c r="K3835" t="n">
        <v>0</v>
      </c>
      <c r="L3835" t="n">
        <v>0</v>
      </c>
      <c r="M3835" t="n">
        <v>0</v>
      </c>
      <c r="N3835" t="n">
        <v>0</v>
      </c>
      <c r="O3835" t="n">
        <v>0</v>
      </c>
      <c r="P3835" t="n">
        <v>0</v>
      </c>
      <c r="Q3835" t="n">
        <v>0</v>
      </c>
      <c r="R3835" s="2" t="inlineStr"/>
    </row>
    <row r="3836" ht="15" customHeight="1">
      <c r="A3836" t="inlineStr">
        <is>
          <t>A 35455-2021</t>
        </is>
      </c>
      <c r="B3836" s="1" t="n">
        <v>44385</v>
      </c>
      <c r="C3836" s="1" t="n">
        <v>45344</v>
      </c>
      <c r="D3836" t="inlineStr">
        <is>
          <t>GÄVLEBORGS LÄN</t>
        </is>
      </c>
      <c r="E3836" t="inlineStr">
        <is>
          <t>LJUSDAL</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35859-2021</t>
        </is>
      </c>
      <c r="B3837" s="1" t="n">
        <v>44386</v>
      </c>
      <c r="C3837" s="1" t="n">
        <v>45344</v>
      </c>
      <c r="D3837" t="inlineStr">
        <is>
          <t>GÄVLEBORGS LÄN</t>
        </is>
      </c>
      <c r="E3837" t="inlineStr">
        <is>
          <t>NORDANSTIG</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35811-2021</t>
        </is>
      </c>
      <c r="B3838" s="1" t="n">
        <v>44386</v>
      </c>
      <c r="C3838" s="1" t="n">
        <v>45344</v>
      </c>
      <c r="D3838" t="inlineStr">
        <is>
          <t>GÄVLEBORGS LÄN</t>
        </is>
      </c>
      <c r="E3838" t="inlineStr">
        <is>
          <t>HUDIKSVALL</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35931-2021</t>
        </is>
      </c>
      <c r="B3839" s="1" t="n">
        <v>44388</v>
      </c>
      <c r="C3839" s="1" t="n">
        <v>45344</v>
      </c>
      <c r="D3839" t="inlineStr">
        <is>
          <t>GÄVLEBORGS LÄN</t>
        </is>
      </c>
      <c r="E3839" t="inlineStr">
        <is>
          <t>LJUSDAL</t>
        </is>
      </c>
      <c r="F3839" t="inlineStr">
        <is>
          <t>Sveaskog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36056-2021</t>
        </is>
      </c>
      <c r="B3840" s="1" t="n">
        <v>44389</v>
      </c>
      <c r="C3840" s="1" t="n">
        <v>45344</v>
      </c>
      <c r="D3840" t="inlineStr">
        <is>
          <t>GÄVLEBORGS LÄN</t>
        </is>
      </c>
      <c r="E3840" t="inlineStr">
        <is>
          <t>OVANÅKER</t>
        </is>
      </c>
      <c r="F3840" t="inlineStr">
        <is>
          <t>Bergvik skog väst AB</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36000-2021</t>
        </is>
      </c>
      <c r="B3841" s="1" t="n">
        <v>44389</v>
      </c>
      <c r="C3841" s="1" t="n">
        <v>45344</v>
      </c>
      <c r="D3841" t="inlineStr">
        <is>
          <t>GÄVLEBORGS LÄN</t>
        </is>
      </c>
      <c r="E3841" t="inlineStr">
        <is>
          <t>BOLLNÄS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35976-2021</t>
        </is>
      </c>
      <c r="B3842" s="1" t="n">
        <v>44389</v>
      </c>
      <c r="C3842" s="1" t="n">
        <v>45344</v>
      </c>
      <c r="D3842" t="inlineStr">
        <is>
          <t>GÄVLEBORGS LÄN</t>
        </is>
      </c>
      <c r="E3842" t="inlineStr">
        <is>
          <t>LJUSDAL</t>
        </is>
      </c>
      <c r="F3842" t="inlineStr">
        <is>
          <t>Bergvik skog väst AB</t>
        </is>
      </c>
      <c r="G3842" t="n">
        <v>4.1</v>
      </c>
      <c r="H3842" t="n">
        <v>0</v>
      </c>
      <c r="I3842" t="n">
        <v>0</v>
      </c>
      <c r="J3842" t="n">
        <v>0</v>
      </c>
      <c r="K3842" t="n">
        <v>0</v>
      </c>
      <c r="L3842" t="n">
        <v>0</v>
      </c>
      <c r="M3842" t="n">
        <v>0</v>
      </c>
      <c r="N3842" t="n">
        <v>0</v>
      </c>
      <c r="O3842" t="n">
        <v>0</v>
      </c>
      <c r="P3842" t="n">
        <v>0</v>
      </c>
      <c r="Q3842" t="n">
        <v>0</v>
      </c>
      <c r="R3842" s="2" t="inlineStr"/>
    </row>
    <row r="3843" ht="15" customHeight="1">
      <c r="A3843" t="inlineStr">
        <is>
          <t>A 36035-2021</t>
        </is>
      </c>
      <c r="B3843" s="1" t="n">
        <v>44389</v>
      </c>
      <c r="C3843" s="1" t="n">
        <v>45344</v>
      </c>
      <c r="D3843" t="inlineStr">
        <is>
          <t>GÄVLEBORGS LÄN</t>
        </is>
      </c>
      <c r="E3843" t="inlineStr">
        <is>
          <t>BOLLNÄS</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36205-2021</t>
        </is>
      </c>
      <c r="B3844" s="1" t="n">
        <v>44389</v>
      </c>
      <c r="C3844" s="1" t="n">
        <v>45344</v>
      </c>
      <c r="D3844" t="inlineStr">
        <is>
          <t>GÄVLEBORGS LÄN</t>
        </is>
      </c>
      <c r="E3844" t="inlineStr">
        <is>
          <t>GÄVLE</t>
        </is>
      </c>
      <c r="F3844" t="inlineStr">
        <is>
          <t>Bergvik skog öst AB</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36256-2021</t>
        </is>
      </c>
      <c r="B3845" s="1" t="n">
        <v>44390</v>
      </c>
      <c r="C3845" s="1" t="n">
        <v>45344</v>
      </c>
      <c r="D3845" t="inlineStr">
        <is>
          <t>GÄVLEBORGS LÄN</t>
        </is>
      </c>
      <c r="E3845" t="inlineStr">
        <is>
          <t>LJUSDAL</t>
        </is>
      </c>
      <c r="F3845" t="inlineStr">
        <is>
          <t>Bergvik skog väst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36483-2021</t>
        </is>
      </c>
      <c r="B3846" s="1" t="n">
        <v>44390</v>
      </c>
      <c r="C3846" s="1" t="n">
        <v>45344</v>
      </c>
      <c r="D3846" t="inlineStr">
        <is>
          <t>GÄVLEBORGS LÄN</t>
        </is>
      </c>
      <c r="E3846" t="inlineStr">
        <is>
          <t>GÄVLE</t>
        </is>
      </c>
      <c r="F3846" t="inlineStr">
        <is>
          <t>Bergvik skog väst AB</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36323-2021</t>
        </is>
      </c>
      <c r="B3847" s="1" t="n">
        <v>44390</v>
      </c>
      <c r="C3847" s="1" t="n">
        <v>45344</v>
      </c>
      <c r="D3847" t="inlineStr">
        <is>
          <t>GÄVLEBORGS LÄN</t>
        </is>
      </c>
      <c r="E3847" t="inlineStr">
        <is>
          <t>LJUSDAL</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36252-2021</t>
        </is>
      </c>
      <c r="B3848" s="1" t="n">
        <v>44390</v>
      </c>
      <c r="C3848" s="1" t="n">
        <v>45344</v>
      </c>
      <c r="D3848" t="inlineStr">
        <is>
          <t>GÄVLEBORGS LÄN</t>
        </is>
      </c>
      <c r="E3848" t="inlineStr">
        <is>
          <t>LJUSDAL</t>
        </is>
      </c>
      <c r="F3848" t="inlineStr">
        <is>
          <t>Bergvik skog väst AB</t>
        </is>
      </c>
      <c r="G3848" t="n">
        <v>5.5</v>
      </c>
      <c r="H3848" t="n">
        <v>0</v>
      </c>
      <c r="I3848" t="n">
        <v>0</v>
      </c>
      <c r="J3848" t="n">
        <v>0</v>
      </c>
      <c r="K3848" t="n">
        <v>0</v>
      </c>
      <c r="L3848" t="n">
        <v>0</v>
      </c>
      <c r="M3848" t="n">
        <v>0</v>
      </c>
      <c r="N3848" t="n">
        <v>0</v>
      </c>
      <c r="O3848" t="n">
        <v>0</v>
      </c>
      <c r="P3848" t="n">
        <v>0</v>
      </c>
      <c r="Q3848" t="n">
        <v>0</v>
      </c>
      <c r="R3848" s="2" t="inlineStr"/>
    </row>
    <row r="3849" ht="15" customHeight="1">
      <c r="A3849" t="inlineStr">
        <is>
          <t>A 36471-2021</t>
        </is>
      </c>
      <c r="B3849" s="1" t="n">
        <v>44390</v>
      </c>
      <c r="C3849" s="1" t="n">
        <v>45344</v>
      </c>
      <c r="D3849" t="inlineStr">
        <is>
          <t>GÄVLEBORGS LÄN</t>
        </is>
      </c>
      <c r="E3849" t="inlineStr">
        <is>
          <t>GÄVLE</t>
        </is>
      </c>
      <c r="F3849" t="inlineStr">
        <is>
          <t>Bergvik skog väst AB</t>
        </is>
      </c>
      <c r="G3849" t="n">
        <v>11.7</v>
      </c>
      <c r="H3849" t="n">
        <v>0</v>
      </c>
      <c r="I3849" t="n">
        <v>0</v>
      </c>
      <c r="J3849" t="n">
        <v>0</v>
      </c>
      <c r="K3849" t="n">
        <v>0</v>
      </c>
      <c r="L3849" t="n">
        <v>0</v>
      </c>
      <c r="M3849" t="n">
        <v>0</v>
      </c>
      <c r="N3849" t="n">
        <v>0</v>
      </c>
      <c r="O3849" t="n">
        <v>0</v>
      </c>
      <c r="P3849" t="n">
        <v>0</v>
      </c>
      <c r="Q3849" t="n">
        <v>0</v>
      </c>
      <c r="R3849" s="2" t="inlineStr"/>
    </row>
    <row r="3850" ht="15" customHeight="1">
      <c r="A3850" t="inlineStr">
        <is>
          <t>A 36553-2021</t>
        </is>
      </c>
      <c r="B3850" s="1" t="n">
        <v>44391</v>
      </c>
      <c r="C3850" s="1" t="n">
        <v>45344</v>
      </c>
      <c r="D3850" t="inlineStr">
        <is>
          <t>GÄVLEBORGS LÄN</t>
        </is>
      </c>
      <c r="E3850" t="inlineStr">
        <is>
          <t>OCKELBO</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36568-2021</t>
        </is>
      </c>
      <c r="B3851" s="1" t="n">
        <v>44391</v>
      </c>
      <c r="C3851" s="1" t="n">
        <v>45344</v>
      </c>
      <c r="D3851" t="inlineStr">
        <is>
          <t>GÄVLEBORGS LÄN</t>
        </is>
      </c>
      <c r="E3851" t="inlineStr">
        <is>
          <t>LJUSDAL</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36680-2021</t>
        </is>
      </c>
      <c r="B3852" s="1" t="n">
        <v>44392</v>
      </c>
      <c r="C3852" s="1" t="n">
        <v>45344</v>
      </c>
      <c r="D3852" t="inlineStr">
        <is>
          <t>GÄVLEBORGS LÄN</t>
        </is>
      </c>
      <c r="E3852" t="inlineStr">
        <is>
          <t>SÖDERHAMN</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36713-2021</t>
        </is>
      </c>
      <c r="B3853" s="1" t="n">
        <v>44392</v>
      </c>
      <c r="C3853" s="1" t="n">
        <v>45344</v>
      </c>
      <c r="D3853" t="inlineStr">
        <is>
          <t>GÄVLEBORGS LÄN</t>
        </is>
      </c>
      <c r="E3853" t="inlineStr">
        <is>
          <t>LJUSDAL</t>
        </is>
      </c>
      <c r="F3853" t="inlineStr">
        <is>
          <t>Holmen skog AB</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36698-2021</t>
        </is>
      </c>
      <c r="B3854" s="1" t="n">
        <v>44392</v>
      </c>
      <c r="C3854" s="1" t="n">
        <v>45344</v>
      </c>
      <c r="D3854" t="inlineStr">
        <is>
          <t>GÄVLEBORGS LÄN</t>
        </is>
      </c>
      <c r="E3854" t="inlineStr">
        <is>
          <t>LJUSDAL</t>
        </is>
      </c>
      <c r="F3854" t="inlineStr">
        <is>
          <t>Holmen skog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36885-2021</t>
        </is>
      </c>
      <c r="B3855" s="1" t="n">
        <v>44393</v>
      </c>
      <c r="C3855" s="1" t="n">
        <v>45344</v>
      </c>
      <c r="D3855" t="inlineStr">
        <is>
          <t>GÄVLEBORGS LÄN</t>
        </is>
      </c>
      <c r="E3855" t="inlineStr">
        <is>
          <t>LJUSDAL</t>
        </is>
      </c>
      <c r="F3855" t="inlineStr">
        <is>
          <t>Bergvik skog väst AB</t>
        </is>
      </c>
      <c r="G3855" t="n">
        <v>9.300000000000001</v>
      </c>
      <c r="H3855" t="n">
        <v>0</v>
      </c>
      <c r="I3855" t="n">
        <v>0</v>
      </c>
      <c r="J3855" t="n">
        <v>0</v>
      </c>
      <c r="K3855" t="n">
        <v>0</v>
      </c>
      <c r="L3855" t="n">
        <v>0</v>
      </c>
      <c r="M3855" t="n">
        <v>0</v>
      </c>
      <c r="N3855" t="n">
        <v>0</v>
      </c>
      <c r="O3855" t="n">
        <v>0</v>
      </c>
      <c r="P3855" t="n">
        <v>0</v>
      </c>
      <c r="Q3855" t="n">
        <v>0</v>
      </c>
      <c r="R3855" s="2" t="inlineStr"/>
    </row>
    <row r="3856" ht="15" customHeight="1">
      <c r="A3856" t="inlineStr">
        <is>
          <t>A 36841-2021</t>
        </is>
      </c>
      <c r="B3856" s="1" t="n">
        <v>44393</v>
      </c>
      <c r="C3856" s="1" t="n">
        <v>45344</v>
      </c>
      <c r="D3856" t="inlineStr">
        <is>
          <t>GÄVLEBORGS LÄN</t>
        </is>
      </c>
      <c r="E3856" t="inlineStr">
        <is>
          <t>OCKELBO</t>
        </is>
      </c>
      <c r="F3856" t="inlineStr">
        <is>
          <t>Bergvik skog väst AB</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36945-2021</t>
        </is>
      </c>
      <c r="B3857" s="1" t="n">
        <v>44393</v>
      </c>
      <c r="C3857" s="1" t="n">
        <v>45344</v>
      </c>
      <c r="D3857" t="inlineStr">
        <is>
          <t>GÄVLEBORGS LÄN</t>
        </is>
      </c>
      <c r="E3857" t="inlineStr">
        <is>
          <t>HUDIKSVALL</t>
        </is>
      </c>
      <c r="F3857" t="inlineStr">
        <is>
          <t>Holmen skog AB</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37199-2021</t>
        </is>
      </c>
      <c r="B3858" s="1" t="n">
        <v>44396</v>
      </c>
      <c r="C3858" s="1" t="n">
        <v>45344</v>
      </c>
      <c r="D3858" t="inlineStr">
        <is>
          <t>GÄVLEBORGS LÄN</t>
        </is>
      </c>
      <c r="E3858" t="inlineStr">
        <is>
          <t>LJUSDAL</t>
        </is>
      </c>
      <c r="F3858" t="inlineStr">
        <is>
          <t>Sveaskog</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37219-2021</t>
        </is>
      </c>
      <c r="B3859" s="1" t="n">
        <v>44396</v>
      </c>
      <c r="C3859" s="1" t="n">
        <v>45344</v>
      </c>
      <c r="D3859" t="inlineStr">
        <is>
          <t>GÄVLEBORGS LÄN</t>
        </is>
      </c>
      <c r="E3859" t="inlineStr">
        <is>
          <t>LJUSDAL</t>
        </is>
      </c>
      <c r="F3859" t="inlineStr">
        <is>
          <t>Sveaskog</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37203-2021</t>
        </is>
      </c>
      <c r="B3860" s="1" t="n">
        <v>44396</v>
      </c>
      <c r="C3860" s="1" t="n">
        <v>45344</v>
      </c>
      <c r="D3860" t="inlineStr">
        <is>
          <t>GÄVLEBORGS LÄN</t>
        </is>
      </c>
      <c r="E3860" t="inlineStr">
        <is>
          <t>NORDANSTIG</t>
        </is>
      </c>
      <c r="F3860" t="inlineStr">
        <is>
          <t>Holmen skog AB</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37253-2021</t>
        </is>
      </c>
      <c r="B3861" s="1" t="n">
        <v>44397</v>
      </c>
      <c r="C3861" s="1" t="n">
        <v>45344</v>
      </c>
      <c r="D3861" t="inlineStr">
        <is>
          <t>GÄVLEBORGS LÄN</t>
        </is>
      </c>
      <c r="E3861" t="inlineStr">
        <is>
          <t>LJUSDAL</t>
        </is>
      </c>
      <c r="F3861" t="inlineStr">
        <is>
          <t>Sveaskog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37249-2021</t>
        </is>
      </c>
      <c r="B3862" s="1" t="n">
        <v>44397</v>
      </c>
      <c r="C3862" s="1" t="n">
        <v>45344</v>
      </c>
      <c r="D3862" t="inlineStr">
        <is>
          <t>GÄVLEBORGS LÄN</t>
        </is>
      </c>
      <c r="E3862" t="inlineStr">
        <is>
          <t>LJUSDAL</t>
        </is>
      </c>
      <c r="F3862" t="inlineStr">
        <is>
          <t>Sveaskog</t>
        </is>
      </c>
      <c r="G3862" t="n">
        <v>1.3</v>
      </c>
      <c r="H3862" t="n">
        <v>0</v>
      </c>
      <c r="I3862" t="n">
        <v>0</v>
      </c>
      <c r="J3862" t="n">
        <v>0</v>
      </c>
      <c r="K3862" t="n">
        <v>0</v>
      </c>
      <c r="L3862" t="n">
        <v>0</v>
      </c>
      <c r="M3862" t="n">
        <v>0</v>
      </c>
      <c r="N3862" t="n">
        <v>0</v>
      </c>
      <c r="O3862" t="n">
        <v>0</v>
      </c>
      <c r="P3862" t="n">
        <v>0</v>
      </c>
      <c r="Q3862" t="n">
        <v>0</v>
      </c>
      <c r="R3862" s="2" t="inlineStr"/>
    </row>
    <row r="3863" ht="15" customHeight="1">
      <c r="A3863" t="inlineStr">
        <is>
          <t>A 37402-2021</t>
        </is>
      </c>
      <c r="B3863" s="1" t="n">
        <v>44398</v>
      </c>
      <c r="C3863" s="1" t="n">
        <v>45344</v>
      </c>
      <c r="D3863" t="inlineStr">
        <is>
          <t>GÄVLEBORGS LÄN</t>
        </is>
      </c>
      <c r="E3863" t="inlineStr">
        <is>
          <t>LJUSDAL</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37473-2021</t>
        </is>
      </c>
      <c r="B3864" s="1" t="n">
        <v>44398</v>
      </c>
      <c r="C3864" s="1" t="n">
        <v>45344</v>
      </c>
      <c r="D3864" t="inlineStr">
        <is>
          <t>GÄVLEBORGS LÄN</t>
        </is>
      </c>
      <c r="E3864" t="inlineStr">
        <is>
          <t>LJUSDAL</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37565-2021</t>
        </is>
      </c>
      <c r="B3865" s="1" t="n">
        <v>44399</v>
      </c>
      <c r="C3865" s="1" t="n">
        <v>45344</v>
      </c>
      <c r="D3865" t="inlineStr">
        <is>
          <t>GÄVLEBORGS LÄN</t>
        </is>
      </c>
      <c r="E3865" t="inlineStr">
        <is>
          <t>OCKELBO</t>
        </is>
      </c>
      <c r="G3865" t="n">
        <v>6</v>
      </c>
      <c r="H3865" t="n">
        <v>0</v>
      </c>
      <c r="I3865" t="n">
        <v>0</v>
      </c>
      <c r="J3865" t="n">
        <v>0</v>
      </c>
      <c r="K3865" t="n">
        <v>0</v>
      </c>
      <c r="L3865" t="n">
        <v>0</v>
      </c>
      <c r="M3865" t="n">
        <v>0</v>
      </c>
      <c r="N3865" t="n">
        <v>0</v>
      </c>
      <c r="O3865" t="n">
        <v>0</v>
      </c>
      <c r="P3865" t="n">
        <v>0</v>
      </c>
      <c r="Q3865" t="n">
        <v>0</v>
      </c>
      <c r="R3865" s="2" t="inlineStr"/>
    </row>
    <row r="3866" ht="15" customHeight="1">
      <c r="A3866" t="inlineStr">
        <is>
          <t>A 37643-2021</t>
        </is>
      </c>
      <c r="B3866" s="1" t="n">
        <v>44400</v>
      </c>
      <c r="C3866" s="1" t="n">
        <v>45344</v>
      </c>
      <c r="D3866" t="inlineStr">
        <is>
          <t>GÄVLEBORGS LÄN</t>
        </is>
      </c>
      <c r="E3866" t="inlineStr">
        <is>
          <t>LJUSDAL</t>
        </is>
      </c>
      <c r="F3866" t="inlineStr">
        <is>
          <t>Sveaskog</t>
        </is>
      </c>
      <c r="G3866" t="n">
        <v>7.2</v>
      </c>
      <c r="H3866" t="n">
        <v>0</v>
      </c>
      <c r="I3866" t="n">
        <v>0</v>
      </c>
      <c r="J3866" t="n">
        <v>0</v>
      </c>
      <c r="K3866" t="n">
        <v>0</v>
      </c>
      <c r="L3866" t="n">
        <v>0</v>
      </c>
      <c r="M3866" t="n">
        <v>0</v>
      </c>
      <c r="N3866" t="n">
        <v>0</v>
      </c>
      <c r="O3866" t="n">
        <v>0</v>
      </c>
      <c r="P3866" t="n">
        <v>0</v>
      </c>
      <c r="Q3866" t="n">
        <v>0</v>
      </c>
      <c r="R3866" s="2" t="inlineStr"/>
    </row>
    <row r="3867" ht="15" customHeight="1">
      <c r="A3867" t="inlineStr">
        <is>
          <t>A 37647-2021</t>
        </is>
      </c>
      <c r="B3867" s="1" t="n">
        <v>44400</v>
      </c>
      <c r="C3867" s="1" t="n">
        <v>45344</v>
      </c>
      <c r="D3867" t="inlineStr">
        <is>
          <t>GÄVLEBORGS LÄN</t>
        </is>
      </c>
      <c r="E3867" t="inlineStr">
        <is>
          <t>LJUSDAL</t>
        </is>
      </c>
      <c r="F3867" t="inlineStr">
        <is>
          <t>Sveaskog</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37642-2021</t>
        </is>
      </c>
      <c r="B3868" s="1" t="n">
        <v>44400</v>
      </c>
      <c r="C3868" s="1" t="n">
        <v>45344</v>
      </c>
      <c r="D3868" t="inlineStr">
        <is>
          <t>GÄVLEBORGS LÄN</t>
        </is>
      </c>
      <c r="E3868" t="inlineStr">
        <is>
          <t>LJUSDAL</t>
        </is>
      </c>
      <c r="F3868" t="inlineStr">
        <is>
          <t>Sveaskog</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37646-2021</t>
        </is>
      </c>
      <c r="B3869" s="1" t="n">
        <v>44400</v>
      </c>
      <c r="C3869" s="1" t="n">
        <v>45344</v>
      </c>
      <c r="D3869" t="inlineStr">
        <is>
          <t>GÄVLEBORGS LÄN</t>
        </is>
      </c>
      <c r="E3869" t="inlineStr">
        <is>
          <t>LJUSDAL</t>
        </is>
      </c>
      <c r="F3869" t="inlineStr">
        <is>
          <t>Sveaskog</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37640-2021</t>
        </is>
      </c>
      <c r="B3870" s="1" t="n">
        <v>44400</v>
      </c>
      <c r="C3870" s="1" t="n">
        <v>45344</v>
      </c>
      <c r="D3870" t="inlineStr">
        <is>
          <t>GÄVLEBORGS LÄN</t>
        </is>
      </c>
      <c r="E3870" t="inlineStr">
        <is>
          <t>LJUSDAL</t>
        </is>
      </c>
      <c r="F3870" t="inlineStr">
        <is>
          <t>Sveaskog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37644-2021</t>
        </is>
      </c>
      <c r="B3871" s="1" t="n">
        <v>44400</v>
      </c>
      <c r="C3871" s="1" t="n">
        <v>45344</v>
      </c>
      <c r="D3871" t="inlineStr">
        <is>
          <t>GÄVLEBORGS LÄN</t>
        </is>
      </c>
      <c r="E3871" t="inlineStr">
        <is>
          <t>LJUSDAL</t>
        </is>
      </c>
      <c r="F3871" t="inlineStr">
        <is>
          <t>Sveaskog</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37645-2021</t>
        </is>
      </c>
      <c r="B3872" s="1" t="n">
        <v>44400</v>
      </c>
      <c r="C3872" s="1" t="n">
        <v>45344</v>
      </c>
      <c r="D3872" t="inlineStr">
        <is>
          <t>GÄVLEBORGS LÄN</t>
        </is>
      </c>
      <c r="E3872" t="inlineStr">
        <is>
          <t>LJUSDAL</t>
        </is>
      </c>
      <c r="F3872" t="inlineStr">
        <is>
          <t>Sveaskog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37649-2021</t>
        </is>
      </c>
      <c r="B3873" s="1" t="n">
        <v>44400</v>
      </c>
      <c r="C3873" s="1" t="n">
        <v>45344</v>
      </c>
      <c r="D3873" t="inlineStr">
        <is>
          <t>GÄVLEBORGS LÄN</t>
        </is>
      </c>
      <c r="E3873" t="inlineStr">
        <is>
          <t>LJUSDAL</t>
        </is>
      </c>
      <c r="F3873" t="inlineStr">
        <is>
          <t>Sveaskog</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37664-2021</t>
        </is>
      </c>
      <c r="B3874" s="1" t="n">
        <v>44400</v>
      </c>
      <c r="C3874" s="1" t="n">
        <v>45344</v>
      </c>
      <c r="D3874" t="inlineStr">
        <is>
          <t>GÄVLEBORGS LÄN</t>
        </is>
      </c>
      <c r="E3874" t="inlineStr">
        <is>
          <t>LJUSDAL</t>
        </is>
      </c>
      <c r="F3874" t="inlineStr">
        <is>
          <t>Sveaskog</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37709-2021</t>
        </is>
      </c>
      <c r="B3875" s="1" t="n">
        <v>44400</v>
      </c>
      <c r="C3875" s="1" t="n">
        <v>45344</v>
      </c>
      <c r="D3875" t="inlineStr">
        <is>
          <t>GÄVLEBORGS LÄN</t>
        </is>
      </c>
      <c r="E3875" t="inlineStr">
        <is>
          <t>OCKELBO</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37729-2021</t>
        </is>
      </c>
      <c r="B3876" s="1" t="n">
        <v>44400</v>
      </c>
      <c r="C3876" s="1" t="n">
        <v>45344</v>
      </c>
      <c r="D3876" t="inlineStr">
        <is>
          <t>GÄVLEBORGS LÄN</t>
        </is>
      </c>
      <c r="E3876" t="inlineStr">
        <is>
          <t>OVANÅKER</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37694-2021</t>
        </is>
      </c>
      <c r="B3877" s="1" t="n">
        <v>44400</v>
      </c>
      <c r="C3877" s="1" t="n">
        <v>45344</v>
      </c>
      <c r="D3877" t="inlineStr">
        <is>
          <t>GÄVLEBORGS LÄN</t>
        </is>
      </c>
      <c r="E3877" t="inlineStr">
        <is>
          <t>OCKELBO</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37701-2021</t>
        </is>
      </c>
      <c r="B3878" s="1" t="n">
        <v>44400</v>
      </c>
      <c r="C3878" s="1" t="n">
        <v>45344</v>
      </c>
      <c r="D3878" t="inlineStr">
        <is>
          <t>GÄVLEBORGS LÄN</t>
        </is>
      </c>
      <c r="E3878" t="inlineStr">
        <is>
          <t>OCKELBO</t>
        </is>
      </c>
      <c r="G3878" t="n">
        <v>6.3</v>
      </c>
      <c r="H3878" t="n">
        <v>0</v>
      </c>
      <c r="I3878" t="n">
        <v>0</v>
      </c>
      <c r="J3878" t="n">
        <v>0</v>
      </c>
      <c r="K3878" t="n">
        <v>0</v>
      </c>
      <c r="L3878" t="n">
        <v>0</v>
      </c>
      <c r="M3878" t="n">
        <v>0</v>
      </c>
      <c r="N3878" t="n">
        <v>0</v>
      </c>
      <c r="O3878" t="n">
        <v>0</v>
      </c>
      <c r="P3878" t="n">
        <v>0</v>
      </c>
      <c r="Q3878" t="n">
        <v>0</v>
      </c>
      <c r="R3878" s="2" t="inlineStr"/>
    </row>
    <row r="3879" ht="15" customHeight="1">
      <c r="A3879" t="inlineStr">
        <is>
          <t>A 37734-2021</t>
        </is>
      </c>
      <c r="B3879" s="1" t="n">
        <v>44400</v>
      </c>
      <c r="C3879" s="1" t="n">
        <v>45344</v>
      </c>
      <c r="D3879" t="inlineStr">
        <is>
          <t>GÄVLEBORGS LÄN</t>
        </is>
      </c>
      <c r="E3879" t="inlineStr">
        <is>
          <t>OVANÅKER</t>
        </is>
      </c>
      <c r="F3879" t="inlineStr">
        <is>
          <t>Sveaskog</t>
        </is>
      </c>
      <c r="G3879" t="n">
        <v>6.2</v>
      </c>
      <c r="H3879" t="n">
        <v>0</v>
      </c>
      <c r="I3879" t="n">
        <v>0</v>
      </c>
      <c r="J3879" t="n">
        <v>0</v>
      </c>
      <c r="K3879" t="n">
        <v>0</v>
      </c>
      <c r="L3879" t="n">
        <v>0</v>
      </c>
      <c r="M3879" t="n">
        <v>0</v>
      </c>
      <c r="N3879" t="n">
        <v>0</v>
      </c>
      <c r="O3879" t="n">
        <v>0</v>
      </c>
      <c r="P3879" t="n">
        <v>0</v>
      </c>
      <c r="Q3879" t="n">
        <v>0</v>
      </c>
      <c r="R3879" s="2" t="inlineStr"/>
    </row>
    <row r="3880" ht="15" customHeight="1">
      <c r="A3880" t="inlineStr">
        <is>
          <t>A 37726-2021</t>
        </is>
      </c>
      <c r="B3880" s="1" t="n">
        <v>44400</v>
      </c>
      <c r="C3880" s="1" t="n">
        <v>45344</v>
      </c>
      <c r="D3880" t="inlineStr">
        <is>
          <t>GÄVLEBORGS LÄN</t>
        </is>
      </c>
      <c r="E3880" t="inlineStr">
        <is>
          <t>OVANÅKER</t>
        </is>
      </c>
      <c r="F3880" t="inlineStr">
        <is>
          <t>Sveaskog</t>
        </is>
      </c>
      <c r="G3880" t="n">
        <v>6.2</v>
      </c>
      <c r="H3880" t="n">
        <v>0</v>
      </c>
      <c r="I3880" t="n">
        <v>0</v>
      </c>
      <c r="J3880" t="n">
        <v>0</v>
      </c>
      <c r="K3880" t="n">
        <v>0</v>
      </c>
      <c r="L3880" t="n">
        <v>0</v>
      </c>
      <c r="M3880" t="n">
        <v>0</v>
      </c>
      <c r="N3880" t="n">
        <v>0</v>
      </c>
      <c r="O3880" t="n">
        <v>0</v>
      </c>
      <c r="P3880" t="n">
        <v>0</v>
      </c>
      <c r="Q3880" t="n">
        <v>0</v>
      </c>
      <c r="R3880" s="2" t="inlineStr"/>
    </row>
    <row r="3881" ht="15" customHeight="1">
      <c r="A3881" t="inlineStr">
        <is>
          <t>A 37705-2021</t>
        </is>
      </c>
      <c r="B3881" s="1" t="n">
        <v>44400</v>
      </c>
      <c r="C3881" s="1" t="n">
        <v>45344</v>
      </c>
      <c r="D3881" t="inlineStr">
        <is>
          <t>GÄVLEBORGS LÄN</t>
        </is>
      </c>
      <c r="E3881" t="inlineStr">
        <is>
          <t>OCKELBO</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37845-2021</t>
        </is>
      </c>
      <c r="B3882" s="1" t="n">
        <v>44403</v>
      </c>
      <c r="C3882" s="1" t="n">
        <v>45344</v>
      </c>
      <c r="D3882" t="inlineStr">
        <is>
          <t>GÄVLEBORGS LÄN</t>
        </is>
      </c>
      <c r="E3882" t="inlineStr">
        <is>
          <t>NORDANSTIG</t>
        </is>
      </c>
      <c r="F3882" t="inlineStr">
        <is>
          <t>Holmen skog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37874-2021</t>
        </is>
      </c>
      <c r="B3883" s="1" t="n">
        <v>44403</v>
      </c>
      <c r="C3883" s="1" t="n">
        <v>45344</v>
      </c>
      <c r="D3883" t="inlineStr">
        <is>
          <t>GÄVLEBORGS LÄN</t>
        </is>
      </c>
      <c r="E3883" t="inlineStr">
        <is>
          <t>OCKELBO</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37900-2021</t>
        </is>
      </c>
      <c r="B3884" s="1" t="n">
        <v>44403</v>
      </c>
      <c r="C3884" s="1" t="n">
        <v>45344</v>
      </c>
      <c r="D3884" t="inlineStr">
        <is>
          <t>GÄVLEBORGS LÄN</t>
        </is>
      </c>
      <c r="E3884" t="inlineStr">
        <is>
          <t>HUDIKSVALL</t>
        </is>
      </c>
      <c r="F3884" t="inlineStr">
        <is>
          <t>Holmen skog AB</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37903-2021</t>
        </is>
      </c>
      <c r="B3885" s="1" t="n">
        <v>44403</v>
      </c>
      <c r="C3885" s="1" t="n">
        <v>45344</v>
      </c>
      <c r="D3885" t="inlineStr">
        <is>
          <t>GÄVLEBORGS LÄN</t>
        </is>
      </c>
      <c r="E3885" t="inlineStr">
        <is>
          <t>LJUSDAL</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37970-2021</t>
        </is>
      </c>
      <c r="B3886" s="1" t="n">
        <v>44403</v>
      </c>
      <c r="C3886" s="1" t="n">
        <v>45344</v>
      </c>
      <c r="D3886" t="inlineStr">
        <is>
          <t>GÄVLEBORGS LÄN</t>
        </is>
      </c>
      <c r="E3886" t="inlineStr">
        <is>
          <t>LJUSDAL</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38040-2021</t>
        </is>
      </c>
      <c r="B3887" s="1" t="n">
        <v>44404</v>
      </c>
      <c r="C3887" s="1" t="n">
        <v>45344</v>
      </c>
      <c r="D3887" t="inlineStr">
        <is>
          <t>GÄVLEBORGS LÄN</t>
        </is>
      </c>
      <c r="E3887" t="inlineStr">
        <is>
          <t>LJUSDAL</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38006-2021</t>
        </is>
      </c>
      <c r="B3888" s="1" t="n">
        <v>44404</v>
      </c>
      <c r="C3888" s="1" t="n">
        <v>45344</v>
      </c>
      <c r="D3888" t="inlineStr">
        <is>
          <t>GÄVLEBORGS LÄN</t>
        </is>
      </c>
      <c r="E3888" t="inlineStr">
        <is>
          <t>HUDIKSVALL</t>
        </is>
      </c>
      <c r="F3888" t="inlineStr">
        <is>
          <t>Holmen skog AB</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37999-2021</t>
        </is>
      </c>
      <c r="B3889" s="1" t="n">
        <v>44404</v>
      </c>
      <c r="C3889" s="1" t="n">
        <v>45344</v>
      </c>
      <c r="D3889" t="inlineStr">
        <is>
          <t>GÄVLEBORGS LÄN</t>
        </is>
      </c>
      <c r="E3889" t="inlineStr">
        <is>
          <t>HUDIKSVALL</t>
        </is>
      </c>
      <c r="F3889" t="inlineStr">
        <is>
          <t>Holmen skog AB</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38018-2021</t>
        </is>
      </c>
      <c r="B3890" s="1" t="n">
        <v>44404</v>
      </c>
      <c r="C3890" s="1" t="n">
        <v>45344</v>
      </c>
      <c r="D3890" t="inlineStr">
        <is>
          <t>GÄVLEBORGS LÄN</t>
        </is>
      </c>
      <c r="E3890" t="inlineStr">
        <is>
          <t>HUDIKSVALL</t>
        </is>
      </c>
      <c r="F3890" t="inlineStr">
        <is>
          <t>Kommuner</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38113-2021</t>
        </is>
      </c>
      <c r="B3891" s="1" t="n">
        <v>44405</v>
      </c>
      <c r="C3891" s="1" t="n">
        <v>45344</v>
      </c>
      <c r="D3891" t="inlineStr">
        <is>
          <t>GÄVLEBORGS LÄN</t>
        </is>
      </c>
      <c r="E3891" t="inlineStr">
        <is>
          <t>LJUSDAL</t>
        </is>
      </c>
      <c r="F3891" t="inlineStr">
        <is>
          <t>Sveaskog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38109-2021</t>
        </is>
      </c>
      <c r="B3892" s="1" t="n">
        <v>44405</v>
      </c>
      <c r="C3892" s="1" t="n">
        <v>45344</v>
      </c>
      <c r="D3892" t="inlineStr">
        <is>
          <t>GÄVLEBORGS LÄN</t>
        </is>
      </c>
      <c r="E3892" t="inlineStr">
        <is>
          <t>LJUSDAL</t>
        </is>
      </c>
      <c r="F3892" t="inlineStr">
        <is>
          <t>Sveaskog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38267-2021</t>
        </is>
      </c>
      <c r="B3893" s="1" t="n">
        <v>44405</v>
      </c>
      <c r="C3893" s="1" t="n">
        <v>45344</v>
      </c>
      <c r="D3893" t="inlineStr">
        <is>
          <t>GÄVLEBORGS LÄN</t>
        </is>
      </c>
      <c r="E3893" t="inlineStr">
        <is>
          <t>LJUSDAL</t>
        </is>
      </c>
      <c r="F3893" t="inlineStr">
        <is>
          <t>Sveaskog</t>
        </is>
      </c>
      <c r="G3893" t="n">
        <v>4.4</v>
      </c>
      <c r="H3893" t="n">
        <v>0</v>
      </c>
      <c r="I3893" t="n">
        <v>0</v>
      </c>
      <c r="J3893" t="n">
        <v>0</v>
      </c>
      <c r="K3893" t="n">
        <v>0</v>
      </c>
      <c r="L3893" t="n">
        <v>0</v>
      </c>
      <c r="M3893" t="n">
        <v>0</v>
      </c>
      <c r="N3893" t="n">
        <v>0</v>
      </c>
      <c r="O3893" t="n">
        <v>0</v>
      </c>
      <c r="P3893" t="n">
        <v>0</v>
      </c>
      <c r="Q3893" t="n">
        <v>0</v>
      </c>
      <c r="R3893" s="2" t="inlineStr"/>
    </row>
    <row r="3894" ht="15" customHeight="1">
      <c r="A3894" t="inlineStr">
        <is>
          <t>A 38292-2021</t>
        </is>
      </c>
      <c r="B3894" s="1" t="n">
        <v>44406</v>
      </c>
      <c r="C3894" s="1" t="n">
        <v>45344</v>
      </c>
      <c r="D3894" t="inlineStr">
        <is>
          <t>GÄVLEBORGS LÄN</t>
        </is>
      </c>
      <c r="E3894" t="inlineStr">
        <is>
          <t>OCKELBO</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38331-2021</t>
        </is>
      </c>
      <c r="B3895" s="1" t="n">
        <v>44406</v>
      </c>
      <c r="C3895" s="1" t="n">
        <v>45344</v>
      </c>
      <c r="D3895" t="inlineStr">
        <is>
          <t>GÄVLEBORGS LÄN</t>
        </is>
      </c>
      <c r="E3895" t="inlineStr">
        <is>
          <t>LJUSDAL</t>
        </is>
      </c>
      <c r="F3895" t="inlineStr">
        <is>
          <t>Allmännings- och besparingsskogar</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38556-2021</t>
        </is>
      </c>
      <c r="B3896" s="1" t="n">
        <v>44407</v>
      </c>
      <c r="C3896" s="1" t="n">
        <v>45344</v>
      </c>
      <c r="D3896" t="inlineStr">
        <is>
          <t>GÄVLEBORGS LÄN</t>
        </is>
      </c>
      <c r="E3896" t="inlineStr">
        <is>
          <t>BOLLNÄS</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38604-2021</t>
        </is>
      </c>
      <c r="B3897" s="1" t="n">
        <v>44409</v>
      </c>
      <c r="C3897" s="1" t="n">
        <v>45344</v>
      </c>
      <c r="D3897" t="inlineStr">
        <is>
          <t>GÄVLEBORGS LÄN</t>
        </is>
      </c>
      <c r="E3897" t="inlineStr">
        <is>
          <t>OCKELBO</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38863-2021</t>
        </is>
      </c>
      <c r="B3898" s="1" t="n">
        <v>44411</v>
      </c>
      <c r="C3898" s="1" t="n">
        <v>45344</v>
      </c>
      <c r="D3898" t="inlineStr">
        <is>
          <t>GÄVLEBORGS LÄN</t>
        </is>
      </c>
      <c r="E3898" t="inlineStr">
        <is>
          <t>OCKELBO</t>
        </is>
      </c>
      <c r="G3898" t="n">
        <v>3.7</v>
      </c>
      <c r="H3898" t="n">
        <v>0</v>
      </c>
      <c r="I3898" t="n">
        <v>0</v>
      </c>
      <c r="J3898" t="n">
        <v>0</v>
      </c>
      <c r="K3898" t="n">
        <v>0</v>
      </c>
      <c r="L3898" t="n">
        <v>0</v>
      </c>
      <c r="M3898" t="n">
        <v>0</v>
      </c>
      <c r="N3898" t="n">
        <v>0</v>
      </c>
      <c r="O3898" t="n">
        <v>0</v>
      </c>
      <c r="P3898" t="n">
        <v>0</v>
      </c>
      <c r="Q3898" t="n">
        <v>0</v>
      </c>
      <c r="R3898" s="2" t="inlineStr"/>
    </row>
    <row r="3899" ht="15" customHeight="1">
      <c r="A3899" t="inlineStr">
        <is>
          <t>A 39154-2021</t>
        </is>
      </c>
      <c r="B3899" s="1" t="n">
        <v>44412</v>
      </c>
      <c r="C3899" s="1" t="n">
        <v>45344</v>
      </c>
      <c r="D3899" t="inlineStr">
        <is>
          <t>GÄVLEBORGS LÄN</t>
        </is>
      </c>
      <c r="E3899" t="inlineStr">
        <is>
          <t>HUDIKSVALL</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39156-2021</t>
        </is>
      </c>
      <c r="B3900" s="1" t="n">
        <v>44412</v>
      </c>
      <c r="C3900" s="1" t="n">
        <v>45344</v>
      </c>
      <c r="D3900" t="inlineStr">
        <is>
          <t>GÄVLEBORGS LÄN</t>
        </is>
      </c>
      <c r="E3900" t="inlineStr">
        <is>
          <t>HUDIKSVALL</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39374-2021</t>
        </is>
      </c>
      <c r="B3901" s="1" t="n">
        <v>44414</v>
      </c>
      <c r="C3901" s="1" t="n">
        <v>45344</v>
      </c>
      <c r="D3901" t="inlineStr">
        <is>
          <t>GÄVLEBORGS LÄN</t>
        </is>
      </c>
      <c r="E3901" t="inlineStr">
        <is>
          <t>GÄVLE</t>
        </is>
      </c>
      <c r="F3901" t="inlineStr">
        <is>
          <t>Kyrkan</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39445-2021</t>
        </is>
      </c>
      <c r="B3902" s="1" t="n">
        <v>44414</v>
      </c>
      <c r="C3902" s="1" t="n">
        <v>45344</v>
      </c>
      <c r="D3902" t="inlineStr">
        <is>
          <t>GÄVLEBORGS LÄN</t>
        </is>
      </c>
      <c r="E3902" t="inlineStr">
        <is>
          <t>OCKELBO</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39690-2021</t>
        </is>
      </c>
      <c r="B3903" s="1" t="n">
        <v>44417</v>
      </c>
      <c r="C3903" s="1" t="n">
        <v>45344</v>
      </c>
      <c r="D3903" t="inlineStr">
        <is>
          <t>GÄVLEBORGS LÄN</t>
        </is>
      </c>
      <c r="E3903" t="inlineStr">
        <is>
          <t>HUDIKSVALL</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39687-2021</t>
        </is>
      </c>
      <c r="B3904" s="1" t="n">
        <v>44417</v>
      </c>
      <c r="C3904" s="1" t="n">
        <v>45344</v>
      </c>
      <c r="D3904" t="inlineStr">
        <is>
          <t>GÄVLEBORGS LÄN</t>
        </is>
      </c>
      <c r="E3904" t="inlineStr">
        <is>
          <t>NORDANSTIG</t>
        </is>
      </c>
      <c r="G3904" t="n">
        <v>6.9</v>
      </c>
      <c r="H3904" t="n">
        <v>0</v>
      </c>
      <c r="I3904" t="n">
        <v>0</v>
      </c>
      <c r="J3904" t="n">
        <v>0</v>
      </c>
      <c r="K3904" t="n">
        <v>0</v>
      </c>
      <c r="L3904" t="n">
        <v>0</v>
      </c>
      <c r="M3904" t="n">
        <v>0</v>
      </c>
      <c r="N3904" t="n">
        <v>0</v>
      </c>
      <c r="O3904" t="n">
        <v>0</v>
      </c>
      <c r="P3904" t="n">
        <v>0</v>
      </c>
      <c r="Q3904" t="n">
        <v>0</v>
      </c>
      <c r="R3904" s="2" t="inlineStr"/>
    </row>
    <row r="3905" ht="15" customHeight="1">
      <c r="A3905" t="inlineStr">
        <is>
          <t>A 39913-2021</t>
        </is>
      </c>
      <c r="B3905" s="1" t="n">
        <v>44417</v>
      </c>
      <c r="C3905" s="1" t="n">
        <v>45344</v>
      </c>
      <c r="D3905" t="inlineStr">
        <is>
          <t>GÄVLEBORGS LÄN</t>
        </is>
      </c>
      <c r="E3905" t="inlineStr">
        <is>
          <t>SÖDERHAMN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39888-2021</t>
        </is>
      </c>
      <c r="B3906" s="1" t="n">
        <v>44417</v>
      </c>
      <c r="C3906" s="1" t="n">
        <v>45344</v>
      </c>
      <c r="D3906" t="inlineStr">
        <is>
          <t>GÄVLEBORGS LÄN</t>
        </is>
      </c>
      <c r="E3906" t="inlineStr">
        <is>
          <t>OCKELBO</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39915-2021</t>
        </is>
      </c>
      <c r="B3907" s="1" t="n">
        <v>44417</v>
      </c>
      <c r="C3907" s="1" t="n">
        <v>45344</v>
      </c>
      <c r="D3907" t="inlineStr">
        <is>
          <t>GÄVLEBORGS LÄN</t>
        </is>
      </c>
      <c r="E3907" t="inlineStr">
        <is>
          <t>SÖDERHAMN</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40009-2021</t>
        </is>
      </c>
      <c r="B3908" s="1" t="n">
        <v>44418</v>
      </c>
      <c r="C3908" s="1" t="n">
        <v>45344</v>
      </c>
      <c r="D3908" t="inlineStr">
        <is>
          <t>GÄVLEBORGS LÄN</t>
        </is>
      </c>
      <c r="E3908" t="inlineStr">
        <is>
          <t>LJUSDAL</t>
        </is>
      </c>
      <c r="F3908" t="inlineStr">
        <is>
          <t>Sveaskog</t>
        </is>
      </c>
      <c r="G3908" t="n">
        <v>3.4</v>
      </c>
      <c r="H3908" t="n">
        <v>0</v>
      </c>
      <c r="I3908" t="n">
        <v>0</v>
      </c>
      <c r="J3908" t="n">
        <v>0</v>
      </c>
      <c r="K3908" t="n">
        <v>0</v>
      </c>
      <c r="L3908" t="n">
        <v>0</v>
      </c>
      <c r="M3908" t="n">
        <v>0</v>
      </c>
      <c r="N3908" t="n">
        <v>0</v>
      </c>
      <c r="O3908" t="n">
        <v>0</v>
      </c>
      <c r="P3908" t="n">
        <v>0</v>
      </c>
      <c r="Q3908" t="n">
        <v>0</v>
      </c>
      <c r="R3908" s="2" t="inlineStr"/>
    </row>
    <row r="3909" ht="15" customHeight="1">
      <c r="A3909" t="inlineStr">
        <is>
          <t>A 40000-2021</t>
        </is>
      </c>
      <c r="B3909" s="1" t="n">
        <v>44418</v>
      </c>
      <c r="C3909" s="1" t="n">
        <v>45344</v>
      </c>
      <c r="D3909" t="inlineStr">
        <is>
          <t>GÄVLEBORGS LÄN</t>
        </is>
      </c>
      <c r="E3909" t="inlineStr">
        <is>
          <t>LJUSDAL</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40159-2021</t>
        </is>
      </c>
      <c r="B3910" s="1" t="n">
        <v>44418</v>
      </c>
      <c r="C3910" s="1" t="n">
        <v>45344</v>
      </c>
      <c r="D3910" t="inlineStr">
        <is>
          <t>GÄVLEBORGS LÄN</t>
        </is>
      </c>
      <c r="E3910" t="inlineStr">
        <is>
          <t>OCKELBO</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40023-2021</t>
        </is>
      </c>
      <c r="B3911" s="1" t="n">
        <v>44418</v>
      </c>
      <c r="C3911" s="1" t="n">
        <v>45344</v>
      </c>
      <c r="D3911" t="inlineStr">
        <is>
          <t>GÄVLEBORGS LÄN</t>
        </is>
      </c>
      <c r="E3911" t="inlineStr">
        <is>
          <t>GÄVLE</t>
        </is>
      </c>
      <c r="F3911" t="inlineStr">
        <is>
          <t>Bergvik skog öst AB</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40273-2021</t>
        </is>
      </c>
      <c r="B3912" s="1" t="n">
        <v>44419</v>
      </c>
      <c r="C3912" s="1" t="n">
        <v>45344</v>
      </c>
      <c r="D3912" t="inlineStr">
        <is>
          <t>GÄVLEBORGS LÄN</t>
        </is>
      </c>
      <c r="E3912" t="inlineStr">
        <is>
          <t>SÖDERHAMN</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40345-2021</t>
        </is>
      </c>
      <c r="B3913" s="1" t="n">
        <v>44419</v>
      </c>
      <c r="C3913" s="1" t="n">
        <v>45344</v>
      </c>
      <c r="D3913" t="inlineStr">
        <is>
          <t>GÄVLEBORGS LÄN</t>
        </is>
      </c>
      <c r="E3913" t="inlineStr">
        <is>
          <t>LJUSDAL</t>
        </is>
      </c>
      <c r="F3913" t="inlineStr">
        <is>
          <t>Bergvik skog väst AB</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40315-2021</t>
        </is>
      </c>
      <c r="B3914" s="1" t="n">
        <v>44419</v>
      </c>
      <c r="C3914" s="1" t="n">
        <v>45344</v>
      </c>
      <c r="D3914" t="inlineStr">
        <is>
          <t>GÄVLEBORGS LÄN</t>
        </is>
      </c>
      <c r="E3914" t="inlineStr">
        <is>
          <t>GÄVLE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40431-2021</t>
        </is>
      </c>
      <c r="B3915" s="1" t="n">
        <v>44419</v>
      </c>
      <c r="C3915" s="1" t="n">
        <v>45344</v>
      </c>
      <c r="D3915" t="inlineStr">
        <is>
          <t>GÄVLEBORGS LÄN</t>
        </is>
      </c>
      <c r="E3915" t="inlineStr">
        <is>
          <t>LJUSDAL</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40736-2021</t>
        </is>
      </c>
      <c r="B3916" s="1" t="n">
        <v>44420</v>
      </c>
      <c r="C3916" s="1" t="n">
        <v>45344</v>
      </c>
      <c r="D3916" t="inlineStr">
        <is>
          <t>GÄVLEBORGS LÄN</t>
        </is>
      </c>
      <c r="E3916" t="inlineStr">
        <is>
          <t>SÖDERHAMN</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40764-2021</t>
        </is>
      </c>
      <c r="B3917" s="1" t="n">
        <v>44421</v>
      </c>
      <c r="C3917" s="1" t="n">
        <v>45344</v>
      </c>
      <c r="D3917" t="inlineStr">
        <is>
          <t>GÄVLEBORGS LÄN</t>
        </is>
      </c>
      <c r="E3917" t="inlineStr">
        <is>
          <t>NORDANSTIG</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40926-2021</t>
        </is>
      </c>
      <c r="B3918" s="1" t="n">
        <v>44421</v>
      </c>
      <c r="C3918" s="1" t="n">
        <v>45344</v>
      </c>
      <c r="D3918" t="inlineStr">
        <is>
          <t>GÄVLEBORGS LÄN</t>
        </is>
      </c>
      <c r="E3918" t="inlineStr">
        <is>
          <t>SANDVIKEN</t>
        </is>
      </c>
      <c r="F3918" t="inlineStr">
        <is>
          <t>Naturvårdsverket</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40931-2021</t>
        </is>
      </c>
      <c r="B3919" s="1" t="n">
        <v>44421</v>
      </c>
      <c r="C3919" s="1" t="n">
        <v>45344</v>
      </c>
      <c r="D3919" t="inlineStr">
        <is>
          <t>GÄVLEBORGS LÄN</t>
        </is>
      </c>
      <c r="E3919" t="inlineStr">
        <is>
          <t>NORDANSTIG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40986-2021</t>
        </is>
      </c>
      <c r="B3920" s="1" t="n">
        <v>44421</v>
      </c>
      <c r="C3920" s="1" t="n">
        <v>45344</v>
      </c>
      <c r="D3920" t="inlineStr">
        <is>
          <t>GÄVLEBORGS LÄN</t>
        </is>
      </c>
      <c r="E3920" t="inlineStr">
        <is>
          <t>GÄVLE</t>
        </is>
      </c>
      <c r="F3920" t="inlineStr">
        <is>
          <t>Bergvik skog öst AB</t>
        </is>
      </c>
      <c r="G3920" t="n">
        <v>5.7</v>
      </c>
      <c r="H3920" t="n">
        <v>0</v>
      </c>
      <c r="I3920" t="n">
        <v>0</v>
      </c>
      <c r="J3920" t="n">
        <v>0</v>
      </c>
      <c r="K3920" t="n">
        <v>0</v>
      </c>
      <c r="L3920" t="n">
        <v>0</v>
      </c>
      <c r="M3920" t="n">
        <v>0</v>
      </c>
      <c r="N3920" t="n">
        <v>0</v>
      </c>
      <c r="O3920" t="n">
        <v>0</v>
      </c>
      <c r="P3920" t="n">
        <v>0</v>
      </c>
      <c r="Q3920" t="n">
        <v>0</v>
      </c>
      <c r="R3920" s="2" t="inlineStr"/>
    </row>
    <row r="3921" ht="15" customHeight="1">
      <c r="A3921" t="inlineStr">
        <is>
          <t>A 41034-2021</t>
        </is>
      </c>
      <c r="B3921" s="1" t="n">
        <v>44421</v>
      </c>
      <c r="C3921" s="1" t="n">
        <v>45344</v>
      </c>
      <c r="D3921" t="inlineStr">
        <is>
          <t>GÄVLEBORGS LÄN</t>
        </is>
      </c>
      <c r="E3921" t="inlineStr">
        <is>
          <t>HUDIKSVALL</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41280-2021</t>
        </is>
      </c>
      <c r="B3922" s="1" t="n">
        <v>44424</v>
      </c>
      <c r="C3922" s="1" t="n">
        <v>45344</v>
      </c>
      <c r="D3922" t="inlineStr">
        <is>
          <t>GÄVLEBORGS LÄN</t>
        </is>
      </c>
      <c r="E3922" t="inlineStr">
        <is>
          <t>LJUSDAL</t>
        </is>
      </c>
      <c r="F3922" t="inlineStr">
        <is>
          <t>Bergvik skog väst AB</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41241-2021</t>
        </is>
      </c>
      <c r="B3923" s="1" t="n">
        <v>44424</v>
      </c>
      <c r="C3923" s="1" t="n">
        <v>45344</v>
      </c>
      <c r="D3923" t="inlineStr">
        <is>
          <t>GÄVLEBORGS LÄN</t>
        </is>
      </c>
      <c r="E3923" t="inlineStr">
        <is>
          <t>HUDIKSVALL</t>
        </is>
      </c>
      <c r="F3923" t="inlineStr">
        <is>
          <t>Holmen skog AB</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41355-2021</t>
        </is>
      </c>
      <c r="B3924" s="1" t="n">
        <v>44424</v>
      </c>
      <c r="C3924" s="1" t="n">
        <v>45344</v>
      </c>
      <c r="D3924" t="inlineStr">
        <is>
          <t>GÄVLEBORGS LÄN</t>
        </is>
      </c>
      <c r="E3924" t="inlineStr">
        <is>
          <t>BOLLNÄS</t>
        </is>
      </c>
      <c r="F3924" t="inlineStr">
        <is>
          <t>Holmen skog AB</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41471-2021</t>
        </is>
      </c>
      <c r="B3925" s="1" t="n">
        <v>44424</v>
      </c>
      <c r="C3925" s="1" t="n">
        <v>45344</v>
      </c>
      <c r="D3925" t="inlineStr">
        <is>
          <t>GÄVLEBORGS LÄN</t>
        </is>
      </c>
      <c r="E3925" t="inlineStr">
        <is>
          <t>BOLLNÄS</t>
        </is>
      </c>
      <c r="G3925" t="n">
        <v>3.9</v>
      </c>
      <c r="H3925" t="n">
        <v>0</v>
      </c>
      <c r="I3925" t="n">
        <v>0</v>
      </c>
      <c r="J3925" t="n">
        <v>0</v>
      </c>
      <c r="K3925" t="n">
        <v>0</v>
      </c>
      <c r="L3925" t="n">
        <v>0</v>
      </c>
      <c r="M3925" t="n">
        <v>0</v>
      </c>
      <c r="N3925" t="n">
        <v>0</v>
      </c>
      <c r="O3925" t="n">
        <v>0</v>
      </c>
      <c r="P3925" t="n">
        <v>0</v>
      </c>
      <c r="Q3925" t="n">
        <v>0</v>
      </c>
      <c r="R3925" s="2" t="inlineStr"/>
    </row>
    <row r="3926" ht="15" customHeight="1">
      <c r="A3926" t="inlineStr">
        <is>
          <t>A 41544-2021</t>
        </is>
      </c>
      <c r="B3926" s="1" t="n">
        <v>44425</v>
      </c>
      <c r="C3926" s="1" t="n">
        <v>45344</v>
      </c>
      <c r="D3926" t="inlineStr">
        <is>
          <t>GÄVLEBORGS LÄN</t>
        </is>
      </c>
      <c r="E3926" t="inlineStr">
        <is>
          <t>LJUSDAL</t>
        </is>
      </c>
      <c r="F3926" t="inlineStr">
        <is>
          <t>Sveaskog</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41529-2021</t>
        </is>
      </c>
      <c r="B3927" s="1" t="n">
        <v>44425</v>
      </c>
      <c r="C3927" s="1" t="n">
        <v>45344</v>
      </c>
      <c r="D3927" t="inlineStr">
        <is>
          <t>GÄVLEBORGS LÄN</t>
        </is>
      </c>
      <c r="E3927" t="inlineStr">
        <is>
          <t>OVANÅKER</t>
        </is>
      </c>
      <c r="F3927" t="inlineStr">
        <is>
          <t>Bergvik skog väst AB</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41622-2021</t>
        </is>
      </c>
      <c r="B3928" s="1" t="n">
        <v>44425</v>
      </c>
      <c r="C3928" s="1" t="n">
        <v>45344</v>
      </c>
      <c r="D3928" t="inlineStr">
        <is>
          <t>GÄVLEBORGS LÄN</t>
        </is>
      </c>
      <c r="E3928" t="inlineStr">
        <is>
          <t>OCKELBO</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41527-2021</t>
        </is>
      </c>
      <c r="B3929" s="1" t="n">
        <v>44425</v>
      </c>
      <c r="C3929" s="1" t="n">
        <v>45344</v>
      </c>
      <c r="D3929" t="inlineStr">
        <is>
          <t>GÄVLEBORGS LÄN</t>
        </is>
      </c>
      <c r="E3929" t="inlineStr">
        <is>
          <t>OVANÅKER</t>
        </is>
      </c>
      <c r="F3929" t="inlineStr">
        <is>
          <t>Bergvik skog väst AB</t>
        </is>
      </c>
      <c r="G3929" t="n">
        <v>5.2</v>
      </c>
      <c r="H3929" t="n">
        <v>0</v>
      </c>
      <c r="I3929" t="n">
        <v>0</v>
      </c>
      <c r="J3929" t="n">
        <v>0</v>
      </c>
      <c r="K3929" t="n">
        <v>0</v>
      </c>
      <c r="L3929" t="n">
        <v>0</v>
      </c>
      <c r="M3929" t="n">
        <v>0</v>
      </c>
      <c r="N3929" t="n">
        <v>0</v>
      </c>
      <c r="O3929" t="n">
        <v>0</v>
      </c>
      <c r="P3929" t="n">
        <v>0</v>
      </c>
      <c r="Q3929" t="n">
        <v>0</v>
      </c>
      <c r="R3929" s="2" t="inlineStr"/>
    </row>
    <row r="3930" ht="15" customHeight="1">
      <c r="A3930" t="inlineStr">
        <is>
          <t>A 41545-2021</t>
        </is>
      </c>
      <c r="B3930" s="1" t="n">
        <v>44425</v>
      </c>
      <c r="C3930" s="1" t="n">
        <v>45344</v>
      </c>
      <c r="D3930" t="inlineStr">
        <is>
          <t>GÄVLEBORGS LÄN</t>
        </is>
      </c>
      <c r="E3930" t="inlineStr">
        <is>
          <t>OVANÅKER</t>
        </is>
      </c>
      <c r="F3930" t="inlineStr">
        <is>
          <t>Bergvik skog väst AB</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41663-2021</t>
        </is>
      </c>
      <c r="B3931" s="1" t="n">
        <v>44425</v>
      </c>
      <c r="C3931" s="1" t="n">
        <v>45344</v>
      </c>
      <c r="D3931" t="inlineStr">
        <is>
          <t>GÄVLEBORGS LÄN</t>
        </is>
      </c>
      <c r="E3931" t="inlineStr">
        <is>
          <t>LJUSDAL</t>
        </is>
      </c>
      <c r="F3931" t="inlineStr">
        <is>
          <t>Sveaskog</t>
        </is>
      </c>
      <c r="G3931" t="n">
        <v>8.9</v>
      </c>
      <c r="H3931" t="n">
        <v>0</v>
      </c>
      <c r="I3931" t="n">
        <v>0</v>
      </c>
      <c r="J3931" t="n">
        <v>0</v>
      </c>
      <c r="K3931" t="n">
        <v>0</v>
      </c>
      <c r="L3931" t="n">
        <v>0</v>
      </c>
      <c r="M3931" t="n">
        <v>0</v>
      </c>
      <c r="N3931" t="n">
        <v>0</v>
      </c>
      <c r="O3931" t="n">
        <v>0</v>
      </c>
      <c r="P3931" t="n">
        <v>0</v>
      </c>
      <c r="Q3931" t="n">
        <v>0</v>
      </c>
      <c r="R3931" s="2" t="inlineStr"/>
    </row>
    <row r="3932" ht="15" customHeight="1">
      <c r="A3932" t="inlineStr">
        <is>
          <t>A 41533-2021</t>
        </is>
      </c>
      <c r="B3932" s="1" t="n">
        <v>44425</v>
      </c>
      <c r="C3932" s="1" t="n">
        <v>45344</v>
      </c>
      <c r="D3932" t="inlineStr">
        <is>
          <t>GÄVLEBORGS LÄN</t>
        </is>
      </c>
      <c r="E3932" t="inlineStr">
        <is>
          <t>OVANÅKER</t>
        </is>
      </c>
      <c r="F3932" t="inlineStr">
        <is>
          <t>Bergvik skog väst AB</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41919-2021</t>
        </is>
      </c>
      <c r="B3933" s="1" t="n">
        <v>44426</v>
      </c>
      <c r="C3933" s="1" t="n">
        <v>45344</v>
      </c>
      <c r="D3933" t="inlineStr">
        <is>
          <t>GÄVLEBORGS LÄN</t>
        </is>
      </c>
      <c r="E3933" t="inlineStr">
        <is>
          <t>LJUSDAL</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42227-2021</t>
        </is>
      </c>
      <c r="B3934" s="1" t="n">
        <v>44427</v>
      </c>
      <c r="C3934" s="1" t="n">
        <v>45344</v>
      </c>
      <c r="D3934" t="inlineStr">
        <is>
          <t>GÄVLEBORGS LÄN</t>
        </is>
      </c>
      <c r="E3934" t="inlineStr">
        <is>
          <t>OVANÅKER</t>
        </is>
      </c>
      <c r="F3934" t="inlineStr">
        <is>
          <t>Bergvik skog väst AB</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42287-2021</t>
        </is>
      </c>
      <c r="B3935" s="1" t="n">
        <v>44427</v>
      </c>
      <c r="C3935" s="1" t="n">
        <v>45344</v>
      </c>
      <c r="D3935" t="inlineStr">
        <is>
          <t>GÄVLEBORGS LÄN</t>
        </is>
      </c>
      <c r="E3935" t="inlineStr">
        <is>
          <t>SANDVIKEN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42416-2021</t>
        </is>
      </c>
      <c r="B3936" s="1" t="n">
        <v>44427</v>
      </c>
      <c r="C3936" s="1" t="n">
        <v>45344</v>
      </c>
      <c r="D3936" t="inlineStr">
        <is>
          <t>GÄVLEBORGS LÄN</t>
        </is>
      </c>
      <c r="E3936" t="inlineStr">
        <is>
          <t>GÄVLE</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42553-2021</t>
        </is>
      </c>
      <c r="B3937" s="1" t="n">
        <v>44427</v>
      </c>
      <c r="C3937" s="1" t="n">
        <v>45344</v>
      </c>
      <c r="D3937" t="inlineStr">
        <is>
          <t>GÄVLEBORGS LÄN</t>
        </is>
      </c>
      <c r="E3937" t="inlineStr">
        <is>
          <t>LJUSDAL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42759-2021</t>
        </is>
      </c>
      <c r="B3938" s="1" t="n">
        <v>44428</v>
      </c>
      <c r="C3938" s="1" t="n">
        <v>45344</v>
      </c>
      <c r="D3938" t="inlineStr">
        <is>
          <t>GÄVLEBORGS LÄN</t>
        </is>
      </c>
      <c r="E3938" t="inlineStr">
        <is>
          <t>LJUSDAL</t>
        </is>
      </c>
      <c r="F3938" t="inlineStr">
        <is>
          <t>Sveaskog</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42763-2021</t>
        </is>
      </c>
      <c r="B3939" s="1" t="n">
        <v>44428</v>
      </c>
      <c r="C3939" s="1" t="n">
        <v>45344</v>
      </c>
      <c r="D3939" t="inlineStr">
        <is>
          <t>GÄVLEBORGS LÄN</t>
        </is>
      </c>
      <c r="E3939" t="inlineStr">
        <is>
          <t>LJUSDAL</t>
        </is>
      </c>
      <c r="F3939" t="inlineStr">
        <is>
          <t>Sveaskog</t>
        </is>
      </c>
      <c r="G3939" t="n">
        <v>8.800000000000001</v>
      </c>
      <c r="H3939" t="n">
        <v>0</v>
      </c>
      <c r="I3939" t="n">
        <v>0</v>
      </c>
      <c r="J3939" t="n">
        <v>0</v>
      </c>
      <c r="K3939" t="n">
        <v>0</v>
      </c>
      <c r="L3939" t="n">
        <v>0</v>
      </c>
      <c r="M3939" t="n">
        <v>0</v>
      </c>
      <c r="N3939" t="n">
        <v>0</v>
      </c>
      <c r="O3939" t="n">
        <v>0</v>
      </c>
      <c r="P3939" t="n">
        <v>0</v>
      </c>
      <c r="Q3939" t="n">
        <v>0</v>
      </c>
      <c r="R3939" s="2" t="inlineStr"/>
    </row>
    <row r="3940" ht="15" customHeight="1">
      <c r="A3940" t="inlineStr">
        <is>
          <t>A 42959-2021</t>
        </is>
      </c>
      <c r="B3940" s="1" t="n">
        <v>44431</v>
      </c>
      <c r="C3940" s="1" t="n">
        <v>45344</v>
      </c>
      <c r="D3940" t="inlineStr">
        <is>
          <t>GÄVLEBORGS LÄN</t>
        </is>
      </c>
      <c r="E3940" t="inlineStr">
        <is>
          <t>LJUSDAL</t>
        </is>
      </c>
      <c r="F3940" t="inlineStr">
        <is>
          <t>Bergvik skog väst AB</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42996-2021</t>
        </is>
      </c>
      <c r="B3941" s="1" t="n">
        <v>44431</v>
      </c>
      <c r="C3941" s="1" t="n">
        <v>45344</v>
      </c>
      <c r="D3941" t="inlineStr">
        <is>
          <t>GÄVLEBORGS LÄN</t>
        </is>
      </c>
      <c r="E3941" t="inlineStr">
        <is>
          <t>LJUSDAL</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43006-2021</t>
        </is>
      </c>
      <c r="B3942" s="1" t="n">
        <v>44431</v>
      </c>
      <c r="C3942" s="1" t="n">
        <v>45344</v>
      </c>
      <c r="D3942" t="inlineStr">
        <is>
          <t>GÄVLEBORGS LÄN</t>
        </is>
      </c>
      <c r="E3942" t="inlineStr">
        <is>
          <t>BOLLNÄS</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43011-2021</t>
        </is>
      </c>
      <c r="B3943" s="1" t="n">
        <v>44431</v>
      </c>
      <c r="C3943" s="1" t="n">
        <v>45344</v>
      </c>
      <c r="D3943" t="inlineStr">
        <is>
          <t>GÄVLEBORGS LÄN</t>
        </is>
      </c>
      <c r="E3943" t="inlineStr">
        <is>
          <t>LJUSDAL</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43000-2021</t>
        </is>
      </c>
      <c r="B3944" s="1" t="n">
        <v>44431</v>
      </c>
      <c r="C3944" s="1" t="n">
        <v>45344</v>
      </c>
      <c r="D3944" t="inlineStr">
        <is>
          <t>GÄVLEBORGS LÄN</t>
        </is>
      </c>
      <c r="E3944" t="inlineStr">
        <is>
          <t>LJUSDAL</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43012-2021</t>
        </is>
      </c>
      <c r="B3945" s="1" t="n">
        <v>44431</v>
      </c>
      <c r="C3945" s="1" t="n">
        <v>45344</v>
      </c>
      <c r="D3945" t="inlineStr">
        <is>
          <t>GÄVLEBORGS LÄN</t>
        </is>
      </c>
      <c r="E3945" t="inlineStr">
        <is>
          <t>LJUSDAL</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43109-2021</t>
        </is>
      </c>
      <c r="B3946" s="1" t="n">
        <v>44431</v>
      </c>
      <c r="C3946" s="1" t="n">
        <v>45344</v>
      </c>
      <c r="D3946" t="inlineStr">
        <is>
          <t>GÄVLEBORGS LÄN</t>
        </is>
      </c>
      <c r="E3946" t="inlineStr">
        <is>
          <t>LJUSDAL</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43274-2021</t>
        </is>
      </c>
      <c r="B3947" s="1" t="n">
        <v>44432</v>
      </c>
      <c r="C3947" s="1" t="n">
        <v>45344</v>
      </c>
      <c r="D3947" t="inlineStr">
        <is>
          <t>GÄVLEBORGS LÄN</t>
        </is>
      </c>
      <c r="E3947" t="inlineStr">
        <is>
          <t>HOFORS</t>
        </is>
      </c>
      <c r="F3947" t="inlineStr">
        <is>
          <t>Sveaskog</t>
        </is>
      </c>
      <c r="G3947" t="n">
        <v>5.8</v>
      </c>
      <c r="H3947" t="n">
        <v>0</v>
      </c>
      <c r="I3947" t="n">
        <v>0</v>
      </c>
      <c r="J3947" t="n">
        <v>0</v>
      </c>
      <c r="K3947" t="n">
        <v>0</v>
      </c>
      <c r="L3947" t="n">
        <v>0</v>
      </c>
      <c r="M3947" t="n">
        <v>0</v>
      </c>
      <c r="N3947" t="n">
        <v>0</v>
      </c>
      <c r="O3947" t="n">
        <v>0</v>
      </c>
      <c r="P3947" t="n">
        <v>0</v>
      </c>
      <c r="Q3947" t="n">
        <v>0</v>
      </c>
      <c r="R3947" s="2" t="inlineStr"/>
    </row>
    <row r="3948" ht="15" customHeight="1">
      <c r="A3948" t="inlineStr">
        <is>
          <t>A 43282-2021</t>
        </is>
      </c>
      <c r="B3948" s="1" t="n">
        <v>44432</v>
      </c>
      <c r="C3948" s="1" t="n">
        <v>45344</v>
      </c>
      <c r="D3948" t="inlineStr">
        <is>
          <t>GÄVLEBORGS LÄN</t>
        </is>
      </c>
      <c r="E3948" t="inlineStr">
        <is>
          <t>HOFORS</t>
        </is>
      </c>
      <c r="F3948" t="inlineStr">
        <is>
          <t>Sveaskog</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43314-2021</t>
        </is>
      </c>
      <c r="B3949" s="1" t="n">
        <v>44432</v>
      </c>
      <c r="C3949" s="1" t="n">
        <v>45344</v>
      </c>
      <c r="D3949" t="inlineStr">
        <is>
          <t>GÄVLEBORGS LÄN</t>
        </is>
      </c>
      <c r="E3949" t="inlineStr">
        <is>
          <t>HUDIKSVALL</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43341-2021</t>
        </is>
      </c>
      <c r="B3950" s="1" t="n">
        <v>44432</v>
      </c>
      <c r="C3950" s="1" t="n">
        <v>45344</v>
      </c>
      <c r="D3950" t="inlineStr">
        <is>
          <t>GÄVLEBORGS LÄN</t>
        </is>
      </c>
      <c r="E3950" t="inlineStr">
        <is>
          <t>BOLLNÄS</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43278-2021</t>
        </is>
      </c>
      <c r="B3951" s="1" t="n">
        <v>44432</v>
      </c>
      <c r="C3951" s="1" t="n">
        <v>45344</v>
      </c>
      <c r="D3951" t="inlineStr">
        <is>
          <t>GÄVLEBORGS LÄN</t>
        </is>
      </c>
      <c r="E3951" t="inlineStr">
        <is>
          <t>OVANÅKER</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43441-2021</t>
        </is>
      </c>
      <c r="B3952" s="1" t="n">
        <v>44432</v>
      </c>
      <c r="C3952" s="1" t="n">
        <v>45344</v>
      </c>
      <c r="D3952" t="inlineStr">
        <is>
          <t>GÄVLEBORGS LÄN</t>
        </is>
      </c>
      <c r="E3952" t="inlineStr">
        <is>
          <t>NORDANSTIG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43465-2021</t>
        </is>
      </c>
      <c r="B3953" s="1" t="n">
        <v>44432</v>
      </c>
      <c r="C3953" s="1" t="n">
        <v>45344</v>
      </c>
      <c r="D3953" t="inlineStr">
        <is>
          <t>GÄVLEBORGS LÄN</t>
        </is>
      </c>
      <c r="E3953" t="inlineStr">
        <is>
          <t>SANDVIKEN</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43405-2021</t>
        </is>
      </c>
      <c r="B3954" s="1" t="n">
        <v>44432</v>
      </c>
      <c r="C3954" s="1" t="n">
        <v>45344</v>
      </c>
      <c r="D3954" t="inlineStr">
        <is>
          <t>GÄVLEBORGS LÄN</t>
        </is>
      </c>
      <c r="E3954" t="inlineStr">
        <is>
          <t>HUDIKSVALL</t>
        </is>
      </c>
      <c r="F3954" t="inlineStr">
        <is>
          <t>Sveaskog</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43589-2021</t>
        </is>
      </c>
      <c r="B3955" s="1" t="n">
        <v>44433</v>
      </c>
      <c r="C3955" s="1" t="n">
        <v>45344</v>
      </c>
      <c r="D3955" t="inlineStr">
        <is>
          <t>GÄVLEBORGS LÄN</t>
        </is>
      </c>
      <c r="E3955" t="inlineStr">
        <is>
          <t>NORDANSTIG</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44045-2021</t>
        </is>
      </c>
      <c r="B3956" s="1" t="n">
        <v>44434</v>
      </c>
      <c r="C3956" s="1" t="n">
        <v>45344</v>
      </c>
      <c r="D3956" t="inlineStr">
        <is>
          <t>GÄVLEBORGS LÄN</t>
        </is>
      </c>
      <c r="E3956" t="inlineStr">
        <is>
          <t>SANDVIKEN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43850-2021</t>
        </is>
      </c>
      <c r="B3957" s="1" t="n">
        <v>44434</v>
      </c>
      <c r="C3957" s="1" t="n">
        <v>45344</v>
      </c>
      <c r="D3957" t="inlineStr">
        <is>
          <t>GÄVLEBORGS LÄN</t>
        </is>
      </c>
      <c r="E3957" t="inlineStr">
        <is>
          <t>LJUSDAL</t>
        </is>
      </c>
      <c r="F3957" t="inlineStr">
        <is>
          <t>Sveaskog</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43883-2021</t>
        </is>
      </c>
      <c r="B3958" s="1" t="n">
        <v>44434</v>
      </c>
      <c r="C3958" s="1" t="n">
        <v>45344</v>
      </c>
      <c r="D3958" t="inlineStr">
        <is>
          <t>GÄVLEBORGS LÄN</t>
        </is>
      </c>
      <c r="E3958" t="inlineStr">
        <is>
          <t>NORDANSTIG</t>
        </is>
      </c>
      <c r="F3958" t="inlineStr">
        <is>
          <t>Holmen skog AB</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44127-2021</t>
        </is>
      </c>
      <c r="B3959" s="1" t="n">
        <v>44434</v>
      </c>
      <c r="C3959" s="1" t="n">
        <v>45344</v>
      </c>
      <c r="D3959" t="inlineStr">
        <is>
          <t>GÄVLEBORGS LÄN</t>
        </is>
      </c>
      <c r="E3959" t="inlineStr">
        <is>
          <t>OVANÅKER</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44387-2021</t>
        </is>
      </c>
      <c r="B3960" s="1" t="n">
        <v>44435</v>
      </c>
      <c r="C3960" s="1" t="n">
        <v>45344</v>
      </c>
      <c r="D3960" t="inlineStr">
        <is>
          <t>GÄVLEBORGS LÄN</t>
        </is>
      </c>
      <c r="E3960" t="inlineStr">
        <is>
          <t>LJUSDAL</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44444-2021</t>
        </is>
      </c>
      <c r="B3961" s="1" t="n">
        <v>44435</v>
      </c>
      <c r="C3961" s="1" t="n">
        <v>45344</v>
      </c>
      <c r="D3961" t="inlineStr">
        <is>
          <t>GÄVLEBORGS LÄN</t>
        </is>
      </c>
      <c r="E3961" t="inlineStr">
        <is>
          <t>BOLLNÄS</t>
        </is>
      </c>
      <c r="G3961" t="n">
        <v>4.9</v>
      </c>
      <c r="H3961" t="n">
        <v>0</v>
      </c>
      <c r="I3961" t="n">
        <v>0</v>
      </c>
      <c r="J3961" t="n">
        <v>0</v>
      </c>
      <c r="K3961" t="n">
        <v>0</v>
      </c>
      <c r="L3961" t="n">
        <v>0</v>
      </c>
      <c r="M3961" t="n">
        <v>0</v>
      </c>
      <c r="N3961" t="n">
        <v>0</v>
      </c>
      <c r="O3961" t="n">
        <v>0</v>
      </c>
      <c r="P3961" t="n">
        <v>0</v>
      </c>
      <c r="Q3961" t="n">
        <v>0</v>
      </c>
      <c r="R3961" s="2" t="inlineStr"/>
    </row>
    <row r="3962" ht="15" customHeight="1">
      <c r="A3962" t="inlineStr">
        <is>
          <t>A 44257-2021</t>
        </is>
      </c>
      <c r="B3962" s="1" t="n">
        <v>44435</v>
      </c>
      <c r="C3962" s="1" t="n">
        <v>45344</v>
      </c>
      <c r="D3962" t="inlineStr">
        <is>
          <t>GÄVLEBORGS LÄN</t>
        </is>
      </c>
      <c r="E3962" t="inlineStr">
        <is>
          <t>LJUSDAL</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44256-2021</t>
        </is>
      </c>
      <c r="B3963" s="1" t="n">
        <v>44435</v>
      </c>
      <c r="C3963" s="1" t="n">
        <v>45344</v>
      </c>
      <c r="D3963" t="inlineStr">
        <is>
          <t>GÄVLEBORGS LÄN</t>
        </is>
      </c>
      <c r="E3963" t="inlineStr">
        <is>
          <t>LJUSDAL</t>
        </is>
      </c>
      <c r="F3963" t="inlineStr">
        <is>
          <t>Sveaskog</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44382-2021</t>
        </is>
      </c>
      <c r="B3964" s="1" t="n">
        <v>44435</v>
      </c>
      <c r="C3964" s="1" t="n">
        <v>45344</v>
      </c>
      <c r="D3964" t="inlineStr">
        <is>
          <t>GÄVLEBORGS LÄN</t>
        </is>
      </c>
      <c r="E3964" t="inlineStr">
        <is>
          <t>LJUSDAL</t>
        </is>
      </c>
      <c r="F3964" t="inlineStr">
        <is>
          <t>Sveaskog</t>
        </is>
      </c>
      <c r="G3964" t="n">
        <v>6.6</v>
      </c>
      <c r="H3964" t="n">
        <v>0</v>
      </c>
      <c r="I3964" t="n">
        <v>0</v>
      </c>
      <c r="J3964" t="n">
        <v>0</v>
      </c>
      <c r="K3964" t="n">
        <v>0</v>
      </c>
      <c r="L3964" t="n">
        <v>0</v>
      </c>
      <c r="M3964" t="n">
        <v>0</v>
      </c>
      <c r="N3964" t="n">
        <v>0</v>
      </c>
      <c r="O3964" t="n">
        <v>0</v>
      </c>
      <c r="P3964" t="n">
        <v>0</v>
      </c>
      <c r="Q3964" t="n">
        <v>0</v>
      </c>
      <c r="R3964" s="2" t="inlineStr"/>
    </row>
    <row r="3965" ht="15" customHeight="1">
      <c r="A3965" t="inlineStr">
        <is>
          <t>A 44507-2021</t>
        </is>
      </c>
      <c r="B3965" s="1" t="n">
        <v>44435</v>
      </c>
      <c r="C3965" s="1" t="n">
        <v>45344</v>
      </c>
      <c r="D3965" t="inlineStr">
        <is>
          <t>GÄVLEBORGS LÄN</t>
        </is>
      </c>
      <c r="E3965" t="inlineStr">
        <is>
          <t>LJUSDAL</t>
        </is>
      </c>
      <c r="F3965" t="inlineStr">
        <is>
          <t>Sveaskog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44563-2021</t>
        </is>
      </c>
      <c r="B3966" s="1" t="n">
        <v>44435</v>
      </c>
      <c r="C3966" s="1" t="n">
        <v>45344</v>
      </c>
      <c r="D3966" t="inlineStr">
        <is>
          <t>GÄVLEBORGS LÄN</t>
        </is>
      </c>
      <c r="E3966" t="inlineStr">
        <is>
          <t>LJUSDAL</t>
        </is>
      </c>
      <c r="F3966" t="inlineStr">
        <is>
          <t>Sveaskog</t>
        </is>
      </c>
      <c r="G3966" t="n">
        <v>4.1</v>
      </c>
      <c r="H3966" t="n">
        <v>0</v>
      </c>
      <c r="I3966" t="n">
        <v>0</v>
      </c>
      <c r="J3966" t="n">
        <v>0</v>
      </c>
      <c r="K3966" t="n">
        <v>0</v>
      </c>
      <c r="L3966" t="n">
        <v>0</v>
      </c>
      <c r="M3966" t="n">
        <v>0</v>
      </c>
      <c r="N3966" t="n">
        <v>0</v>
      </c>
      <c r="O3966" t="n">
        <v>0</v>
      </c>
      <c r="P3966" t="n">
        <v>0</v>
      </c>
      <c r="Q3966" t="n">
        <v>0</v>
      </c>
      <c r="R3966" s="2" t="inlineStr"/>
    </row>
    <row r="3967" ht="15" customHeight="1">
      <c r="A3967" t="inlineStr">
        <is>
          <t>A 44513-2021</t>
        </is>
      </c>
      <c r="B3967" s="1" t="n">
        <v>44435</v>
      </c>
      <c r="C3967" s="1" t="n">
        <v>45344</v>
      </c>
      <c r="D3967" t="inlineStr">
        <is>
          <t>GÄVLEBORGS LÄN</t>
        </is>
      </c>
      <c r="E3967" t="inlineStr">
        <is>
          <t>NORDANSTIG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44585-2021</t>
        </is>
      </c>
      <c r="B3968" s="1" t="n">
        <v>44435</v>
      </c>
      <c r="C3968" s="1" t="n">
        <v>45344</v>
      </c>
      <c r="D3968" t="inlineStr">
        <is>
          <t>GÄVLEBORGS LÄN</t>
        </is>
      </c>
      <c r="E3968" t="inlineStr">
        <is>
          <t>OVANÅKER</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44529-2021</t>
        </is>
      </c>
      <c r="B3969" s="1" t="n">
        <v>44435</v>
      </c>
      <c r="C3969" s="1" t="n">
        <v>45344</v>
      </c>
      <c r="D3969" t="inlineStr">
        <is>
          <t>GÄVLEBORGS LÄN</t>
        </is>
      </c>
      <c r="E3969" t="inlineStr">
        <is>
          <t>OVANÅKER</t>
        </is>
      </c>
      <c r="F3969" t="inlineStr">
        <is>
          <t>Sveaskog</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44654-2021</t>
        </is>
      </c>
      <c r="B3970" s="1" t="n">
        <v>44437</v>
      </c>
      <c r="C3970" s="1" t="n">
        <v>45344</v>
      </c>
      <c r="D3970" t="inlineStr">
        <is>
          <t>GÄVLEBORGS LÄN</t>
        </is>
      </c>
      <c r="E3970" t="inlineStr">
        <is>
          <t>GÄVLE</t>
        </is>
      </c>
      <c r="G3970" t="n">
        <v>0.1</v>
      </c>
      <c r="H3970" t="n">
        <v>0</v>
      </c>
      <c r="I3970" t="n">
        <v>0</v>
      </c>
      <c r="J3970" t="n">
        <v>0</v>
      </c>
      <c r="K3970" t="n">
        <v>0</v>
      </c>
      <c r="L3970" t="n">
        <v>0</v>
      </c>
      <c r="M3970" t="n">
        <v>0</v>
      </c>
      <c r="N3970" t="n">
        <v>0</v>
      </c>
      <c r="O3970" t="n">
        <v>0</v>
      </c>
      <c r="P3970" t="n">
        <v>0</v>
      </c>
      <c r="Q3970" t="n">
        <v>0</v>
      </c>
      <c r="R3970" s="2" t="inlineStr"/>
    </row>
    <row r="3971" ht="15" customHeight="1">
      <c r="A3971" t="inlineStr">
        <is>
          <t>A 44688-2021</t>
        </is>
      </c>
      <c r="B3971" s="1" t="n">
        <v>44438</v>
      </c>
      <c r="C3971" s="1" t="n">
        <v>45344</v>
      </c>
      <c r="D3971" t="inlineStr">
        <is>
          <t>GÄVLEBORGS LÄN</t>
        </is>
      </c>
      <c r="E3971" t="inlineStr">
        <is>
          <t>LJUSDAL</t>
        </is>
      </c>
      <c r="F3971" t="inlineStr">
        <is>
          <t>Sveaskog</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44847-2021</t>
        </is>
      </c>
      <c r="B3972" s="1" t="n">
        <v>44438</v>
      </c>
      <c r="C3972" s="1" t="n">
        <v>45344</v>
      </c>
      <c r="D3972" t="inlineStr">
        <is>
          <t>GÄVLEBORGS LÄN</t>
        </is>
      </c>
      <c r="E3972" t="inlineStr">
        <is>
          <t>BOLLNÄS</t>
        </is>
      </c>
      <c r="G3972" t="n">
        <v>3.8</v>
      </c>
      <c r="H3972" t="n">
        <v>0</v>
      </c>
      <c r="I3972" t="n">
        <v>0</v>
      </c>
      <c r="J3972" t="n">
        <v>0</v>
      </c>
      <c r="K3972" t="n">
        <v>0</v>
      </c>
      <c r="L3972" t="n">
        <v>0</v>
      </c>
      <c r="M3972" t="n">
        <v>0</v>
      </c>
      <c r="N3972" t="n">
        <v>0</v>
      </c>
      <c r="O3972" t="n">
        <v>0</v>
      </c>
      <c r="P3972" t="n">
        <v>0</v>
      </c>
      <c r="Q3972" t="n">
        <v>0</v>
      </c>
      <c r="R3972" s="2" t="inlineStr"/>
    </row>
    <row r="3973" ht="15" customHeight="1">
      <c r="A3973" t="inlineStr">
        <is>
          <t>A 44738-2021</t>
        </is>
      </c>
      <c r="B3973" s="1" t="n">
        <v>44438</v>
      </c>
      <c r="C3973" s="1" t="n">
        <v>45344</v>
      </c>
      <c r="D3973" t="inlineStr">
        <is>
          <t>GÄVLEBORGS LÄN</t>
        </is>
      </c>
      <c r="E3973" t="inlineStr">
        <is>
          <t>GÄVLE</t>
        </is>
      </c>
      <c r="F3973" t="inlineStr">
        <is>
          <t>Bergvik skog väst AB</t>
        </is>
      </c>
      <c r="G3973" t="n">
        <v>5.4</v>
      </c>
      <c r="H3973" t="n">
        <v>0</v>
      </c>
      <c r="I3973" t="n">
        <v>0</v>
      </c>
      <c r="J3973" t="n">
        <v>0</v>
      </c>
      <c r="K3973" t="n">
        <v>0</v>
      </c>
      <c r="L3973" t="n">
        <v>0</v>
      </c>
      <c r="M3973" t="n">
        <v>0</v>
      </c>
      <c r="N3973" t="n">
        <v>0</v>
      </c>
      <c r="O3973" t="n">
        <v>0</v>
      </c>
      <c r="P3973" t="n">
        <v>0</v>
      </c>
      <c r="Q3973" t="n">
        <v>0</v>
      </c>
      <c r="R3973" s="2" t="inlineStr"/>
    </row>
    <row r="3974" ht="15" customHeight="1">
      <c r="A3974" t="inlineStr">
        <is>
          <t>A 44696-2021</t>
        </is>
      </c>
      <c r="B3974" s="1" t="n">
        <v>44438</v>
      </c>
      <c r="C3974" s="1" t="n">
        <v>45344</v>
      </c>
      <c r="D3974" t="inlineStr">
        <is>
          <t>GÄVLEBORGS LÄN</t>
        </is>
      </c>
      <c r="E3974" t="inlineStr">
        <is>
          <t>LJUSDAL</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44862-2021</t>
        </is>
      </c>
      <c r="B3975" s="1" t="n">
        <v>44438</v>
      </c>
      <c r="C3975" s="1" t="n">
        <v>45344</v>
      </c>
      <c r="D3975" t="inlineStr">
        <is>
          <t>GÄVLEBORGS LÄN</t>
        </is>
      </c>
      <c r="E3975" t="inlineStr">
        <is>
          <t>BOLLNÄS</t>
        </is>
      </c>
      <c r="F3975" t="inlineStr">
        <is>
          <t>Kyrkan</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45061-2021</t>
        </is>
      </c>
      <c r="B3976" s="1" t="n">
        <v>44439</v>
      </c>
      <c r="C3976" s="1" t="n">
        <v>45344</v>
      </c>
      <c r="D3976" t="inlineStr">
        <is>
          <t>GÄVLEBORGS LÄN</t>
        </is>
      </c>
      <c r="E3976" t="inlineStr">
        <is>
          <t>NORDANSTIG</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45134-2021</t>
        </is>
      </c>
      <c r="B3977" s="1" t="n">
        <v>44439</v>
      </c>
      <c r="C3977" s="1" t="n">
        <v>45344</v>
      </c>
      <c r="D3977" t="inlineStr">
        <is>
          <t>GÄVLEBORGS LÄN</t>
        </is>
      </c>
      <c r="E3977" t="inlineStr">
        <is>
          <t>GÄVLE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45221-2021</t>
        </is>
      </c>
      <c r="B3978" s="1" t="n">
        <v>44439</v>
      </c>
      <c r="C3978" s="1" t="n">
        <v>45344</v>
      </c>
      <c r="D3978" t="inlineStr">
        <is>
          <t>GÄVLEBORGS LÄN</t>
        </is>
      </c>
      <c r="E3978" t="inlineStr">
        <is>
          <t>SANDVIKEN</t>
        </is>
      </c>
      <c r="F3978" t="inlineStr">
        <is>
          <t>Bergvik skog öst AB</t>
        </is>
      </c>
      <c r="G3978" t="n">
        <v>7.6</v>
      </c>
      <c r="H3978" t="n">
        <v>0</v>
      </c>
      <c r="I3978" t="n">
        <v>0</v>
      </c>
      <c r="J3978" t="n">
        <v>0</v>
      </c>
      <c r="K3978" t="n">
        <v>0</v>
      </c>
      <c r="L3978" t="n">
        <v>0</v>
      </c>
      <c r="M3978" t="n">
        <v>0</v>
      </c>
      <c r="N3978" t="n">
        <v>0</v>
      </c>
      <c r="O3978" t="n">
        <v>0</v>
      </c>
      <c r="P3978" t="n">
        <v>0</v>
      </c>
      <c r="Q3978" t="n">
        <v>0</v>
      </c>
      <c r="R3978" s="2" t="inlineStr"/>
    </row>
    <row r="3979" ht="15" customHeight="1">
      <c r="A3979" t="inlineStr">
        <is>
          <t>A 45053-2021</t>
        </is>
      </c>
      <c r="B3979" s="1" t="n">
        <v>44439</v>
      </c>
      <c r="C3979" s="1" t="n">
        <v>45344</v>
      </c>
      <c r="D3979" t="inlineStr">
        <is>
          <t>GÄVLEBORGS LÄN</t>
        </is>
      </c>
      <c r="E3979" t="inlineStr">
        <is>
          <t>LJUSDAL</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45272-2021</t>
        </is>
      </c>
      <c r="B3980" s="1" t="n">
        <v>44439</v>
      </c>
      <c r="C3980" s="1" t="n">
        <v>45344</v>
      </c>
      <c r="D3980" t="inlineStr">
        <is>
          <t>GÄVLEBORGS LÄN</t>
        </is>
      </c>
      <c r="E3980" t="inlineStr">
        <is>
          <t>NORDANSTIG</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45273-2021</t>
        </is>
      </c>
      <c r="B3981" s="1" t="n">
        <v>44439</v>
      </c>
      <c r="C3981" s="1" t="n">
        <v>45344</v>
      </c>
      <c r="D3981" t="inlineStr">
        <is>
          <t>GÄVLEBORGS LÄN</t>
        </is>
      </c>
      <c r="E3981" t="inlineStr">
        <is>
          <t>OVANÅKER</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45352-2021</t>
        </is>
      </c>
      <c r="B3982" s="1" t="n">
        <v>44439</v>
      </c>
      <c r="C3982" s="1" t="n">
        <v>45344</v>
      </c>
      <c r="D3982" t="inlineStr">
        <is>
          <t>GÄVLEBORGS LÄN</t>
        </is>
      </c>
      <c r="E3982" t="inlineStr">
        <is>
          <t>HUDIKSVALL</t>
        </is>
      </c>
      <c r="G3982" t="n">
        <v>7.3</v>
      </c>
      <c r="H3982" t="n">
        <v>0</v>
      </c>
      <c r="I3982" t="n">
        <v>0</v>
      </c>
      <c r="J3982" t="n">
        <v>0</v>
      </c>
      <c r="K3982" t="n">
        <v>0</v>
      </c>
      <c r="L3982" t="n">
        <v>0</v>
      </c>
      <c r="M3982" t="n">
        <v>0</v>
      </c>
      <c r="N3982" t="n">
        <v>0</v>
      </c>
      <c r="O3982" t="n">
        <v>0</v>
      </c>
      <c r="P3982" t="n">
        <v>0</v>
      </c>
      <c r="Q3982" t="n">
        <v>0</v>
      </c>
      <c r="R3982" s="2" t="inlineStr"/>
    </row>
    <row r="3983" ht="15" customHeight="1">
      <c r="A3983" t="inlineStr">
        <is>
          <t>A 45369-2021</t>
        </is>
      </c>
      <c r="B3983" s="1" t="n">
        <v>44440</v>
      </c>
      <c r="C3983" s="1" t="n">
        <v>45344</v>
      </c>
      <c r="D3983" t="inlineStr">
        <is>
          <t>GÄVLEBORGS LÄN</t>
        </is>
      </c>
      <c r="E3983" t="inlineStr">
        <is>
          <t>LJUSDAL</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45514-2021</t>
        </is>
      </c>
      <c r="B3984" s="1" t="n">
        <v>44440</v>
      </c>
      <c r="C3984" s="1" t="n">
        <v>45344</v>
      </c>
      <c r="D3984" t="inlineStr">
        <is>
          <t>GÄVLEBORGS LÄN</t>
        </is>
      </c>
      <c r="E3984" t="inlineStr">
        <is>
          <t>OCKELBO</t>
        </is>
      </c>
      <c r="G3984" t="n">
        <v>6.2</v>
      </c>
      <c r="H3984" t="n">
        <v>0</v>
      </c>
      <c r="I3984" t="n">
        <v>0</v>
      </c>
      <c r="J3984" t="n">
        <v>0</v>
      </c>
      <c r="K3984" t="n">
        <v>0</v>
      </c>
      <c r="L3984" t="n">
        <v>0</v>
      </c>
      <c r="M3984" t="n">
        <v>0</v>
      </c>
      <c r="N3984" t="n">
        <v>0</v>
      </c>
      <c r="O3984" t="n">
        <v>0</v>
      </c>
      <c r="P3984" t="n">
        <v>0</v>
      </c>
      <c r="Q3984" t="n">
        <v>0</v>
      </c>
      <c r="R3984" s="2" t="inlineStr"/>
    </row>
    <row r="3985" ht="15" customHeight="1">
      <c r="A3985" t="inlineStr">
        <is>
          <t>A 45367-2021</t>
        </is>
      </c>
      <c r="B3985" s="1" t="n">
        <v>44440</v>
      </c>
      <c r="C3985" s="1" t="n">
        <v>45344</v>
      </c>
      <c r="D3985" t="inlineStr">
        <is>
          <t>GÄVLEBORGS LÄN</t>
        </is>
      </c>
      <c r="E3985" t="inlineStr">
        <is>
          <t>LJUSDAL</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45368-2021</t>
        </is>
      </c>
      <c r="B3986" s="1" t="n">
        <v>44440</v>
      </c>
      <c r="C3986" s="1" t="n">
        <v>45344</v>
      </c>
      <c r="D3986" t="inlineStr">
        <is>
          <t>GÄVLEBORGS LÄN</t>
        </is>
      </c>
      <c r="E3986" t="inlineStr">
        <is>
          <t>LJUSDAL</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45408-2021</t>
        </is>
      </c>
      <c r="B3987" s="1" t="n">
        <v>44440</v>
      </c>
      <c r="C3987" s="1" t="n">
        <v>45344</v>
      </c>
      <c r="D3987" t="inlineStr">
        <is>
          <t>GÄVLEBORGS LÄN</t>
        </is>
      </c>
      <c r="E3987" t="inlineStr">
        <is>
          <t>NORDANSTIG</t>
        </is>
      </c>
      <c r="F3987" t="inlineStr">
        <is>
          <t>Holmen skog AB</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45522-2021</t>
        </is>
      </c>
      <c r="B3988" s="1" t="n">
        <v>44440</v>
      </c>
      <c r="C3988" s="1" t="n">
        <v>45344</v>
      </c>
      <c r="D3988" t="inlineStr">
        <is>
          <t>GÄVLEBORGS LÄN</t>
        </is>
      </c>
      <c r="E3988" t="inlineStr">
        <is>
          <t>OCKELBO</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45370-2021</t>
        </is>
      </c>
      <c r="B3989" s="1" t="n">
        <v>44440</v>
      </c>
      <c r="C3989" s="1" t="n">
        <v>45344</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45444-2021</t>
        </is>
      </c>
      <c r="B3990" s="1" t="n">
        <v>44440</v>
      </c>
      <c r="C3990" s="1" t="n">
        <v>45344</v>
      </c>
      <c r="D3990" t="inlineStr">
        <is>
          <t>GÄVLEBORGS LÄN</t>
        </is>
      </c>
      <c r="E3990" t="inlineStr">
        <is>
          <t>LJUSDAL</t>
        </is>
      </c>
      <c r="F3990" t="inlineStr">
        <is>
          <t>Allmännings- och besparingsskogar</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45482-2021</t>
        </is>
      </c>
      <c r="B3991" s="1" t="n">
        <v>44440</v>
      </c>
      <c r="C3991" s="1" t="n">
        <v>45344</v>
      </c>
      <c r="D3991" t="inlineStr">
        <is>
          <t>GÄVLEBORGS LÄN</t>
        </is>
      </c>
      <c r="E3991" t="inlineStr">
        <is>
          <t>OCKELBO</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45584-2021</t>
        </is>
      </c>
      <c r="B3992" s="1" t="n">
        <v>44440</v>
      </c>
      <c r="C3992" s="1" t="n">
        <v>45344</v>
      </c>
      <c r="D3992" t="inlineStr">
        <is>
          <t>GÄVLEBORGS LÄN</t>
        </is>
      </c>
      <c r="E3992" t="inlineStr">
        <is>
          <t>LJUSDAL</t>
        </is>
      </c>
      <c r="F3992" t="inlineStr">
        <is>
          <t>Holmen skog AB</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45366-2021</t>
        </is>
      </c>
      <c r="B3993" s="1" t="n">
        <v>44440</v>
      </c>
      <c r="C3993" s="1" t="n">
        <v>45344</v>
      </c>
      <c r="D3993" t="inlineStr">
        <is>
          <t>GÄVLEBORGS LÄN</t>
        </is>
      </c>
      <c r="E3993" t="inlineStr">
        <is>
          <t>LJUSDAL</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45828-2021</t>
        </is>
      </c>
      <c r="B3994" s="1" t="n">
        <v>44441</v>
      </c>
      <c r="C3994" s="1" t="n">
        <v>45344</v>
      </c>
      <c r="D3994" t="inlineStr">
        <is>
          <t>GÄVLEBORGS LÄN</t>
        </is>
      </c>
      <c r="E3994" t="inlineStr">
        <is>
          <t>SANDVIKEN</t>
        </is>
      </c>
      <c r="F3994" t="inlineStr">
        <is>
          <t>Bergvik skog öst AB</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45841-2021</t>
        </is>
      </c>
      <c r="B3995" s="1" t="n">
        <v>44441</v>
      </c>
      <c r="C3995" s="1" t="n">
        <v>45344</v>
      </c>
      <c r="D3995" t="inlineStr">
        <is>
          <t>GÄVLEBORGS LÄN</t>
        </is>
      </c>
      <c r="E3995" t="inlineStr">
        <is>
          <t>BOLLNÄS</t>
        </is>
      </c>
      <c r="G3995" t="n">
        <v>9.6</v>
      </c>
      <c r="H3995" t="n">
        <v>0</v>
      </c>
      <c r="I3995" t="n">
        <v>0</v>
      </c>
      <c r="J3995" t="n">
        <v>0</v>
      </c>
      <c r="K3995" t="n">
        <v>0</v>
      </c>
      <c r="L3995" t="n">
        <v>0</v>
      </c>
      <c r="M3995" t="n">
        <v>0</v>
      </c>
      <c r="N3995" t="n">
        <v>0</v>
      </c>
      <c r="O3995" t="n">
        <v>0</v>
      </c>
      <c r="P3995" t="n">
        <v>0</v>
      </c>
      <c r="Q3995" t="n">
        <v>0</v>
      </c>
      <c r="R3995" s="2" t="inlineStr"/>
    </row>
    <row r="3996" ht="15" customHeight="1">
      <c r="A3996" t="inlineStr">
        <is>
          <t>A 45879-2021</t>
        </is>
      </c>
      <c r="B3996" s="1" t="n">
        <v>44441</v>
      </c>
      <c r="C3996" s="1" t="n">
        <v>45344</v>
      </c>
      <c r="D3996" t="inlineStr">
        <is>
          <t>GÄVLEBORGS LÄN</t>
        </is>
      </c>
      <c r="E3996" t="inlineStr">
        <is>
          <t>NORDANSTIG</t>
        </is>
      </c>
      <c r="F3996" t="inlineStr">
        <is>
          <t>Holmen skog AB</t>
        </is>
      </c>
      <c r="G3996" t="n">
        <v>13.6</v>
      </c>
      <c r="H3996" t="n">
        <v>0</v>
      </c>
      <c r="I3996" t="n">
        <v>0</v>
      </c>
      <c r="J3996" t="n">
        <v>0</v>
      </c>
      <c r="K3996" t="n">
        <v>0</v>
      </c>
      <c r="L3996" t="n">
        <v>0</v>
      </c>
      <c r="M3996" t="n">
        <v>0</v>
      </c>
      <c r="N3996" t="n">
        <v>0</v>
      </c>
      <c r="O3996" t="n">
        <v>0</v>
      </c>
      <c r="P3996" t="n">
        <v>0</v>
      </c>
      <c r="Q3996" t="n">
        <v>0</v>
      </c>
      <c r="R3996" s="2" t="inlineStr"/>
    </row>
    <row r="3997" ht="15" customHeight="1">
      <c r="A3997" t="inlineStr">
        <is>
          <t>A 45985-2021</t>
        </is>
      </c>
      <c r="B3997" s="1" t="n">
        <v>44441</v>
      </c>
      <c r="C3997" s="1" t="n">
        <v>45344</v>
      </c>
      <c r="D3997" t="inlineStr">
        <is>
          <t>GÄVLEBORGS LÄN</t>
        </is>
      </c>
      <c r="E3997" t="inlineStr">
        <is>
          <t>SANDVIKEN</t>
        </is>
      </c>
      <c r="F3997" t="inlineStr">
        <is>
          <t>Sveaskog</t>
        </is>
      </c>
      <c r="G3997" t="n">
        <v>6.7</v>
      </c>
      <c r="H3997" t="n">
        <v>0</v>
      </c>
      <c r="I3997" t="n">
        <v>0</v>
      </c>
      <c r="J3997" t="n">
        <v>0</v>
      </c>
      <c r="K3997" t="n">
        <v>0</v>
      </c>
      <c r="L3997" t="n">
        <v>0</v>
      </c>
      <c r="M3997" t="n">
        <v>0</v>
      </c>
      <c r="N3997" t="n">
        <v>0</v>
      </c>
      <c r="O3997" t="n">
        <v>0</v>
      </c>
      <c r="P3997" t="n">
        <v>0</v>
      </c>
      <c r="Q3997" t="n">
        <v>0</v>
      </c>
      <c r="R3997" s="2" t="inlineStr"/>
    </row>
    <row r="3998" ht="15" customHeight="1">
      <c r="A3998" t="inlineStr">
        <is>
          <t>A 45992-2021</t>
        </is>
      </c>
      <c r="B3998" s="1" t="n">
        <v>44441</v>
      </c>
      <c r="C3998" s="1" t="n">
        <v>45344</v>
      </c>
      <c r="D3998" t="inlineStr">
        <is>
          <t>GÄVLEBORGS LÄN</t>
        </is>
      </c>
      <c r="E3998" t="inlineStr">
        <is>
          <t>SANDVIKEN</t>
        </is>
      </c>
      <c r="F3998" t="inlineStr">
        <is>
          <t>Sveaskog</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45701-2021</t>
        </is>
      </c>
      <c r="B3999" s="1" t="n">
        <v>44441</v>
      </c>
      <c r="C3999" s="1" t="n">
        <v>45344</v>
      </c>
      <c r="D3999" t="inlineStr">
        <is>
          <t>GÄVLEBORGS LÄN</t>
        </is>
      </c>
      <c r="E3999" t="inlineStr">
        <is>
          <t>LJUSDAL</t>
        </is>
      </c>
      <c r="F3999" t="inlineStr">
        <is>
          <t>Allmännings- och besparingsskogar</t>
        </is>
      </c>
      <c r="G3999" t="n">
        <v>0.4</v>
      </c>
      <c r="H3999" t="n">
        <v>0</v>
      </c>
      <c r="I3999" t="n">
        <v>0</v>
      </c>
      <c r="J3999" t="n">
        <v>0</v>
      </c>
      <c r="K3999" t="n">
        <v>0</v>
      </c>
      <c r="L3999" t="n">
        <v>0</v>
      </c>
      <c r="M3999" t="n">
        <v>0</v>
      </c>
      <c r="N3999" t="n">
        <v>0</v>
      </c>
      <c r="O3999" t="n">
        <v>0</v>
      </c>
      <c r="P3999" t="n">
        <v>0</v>
      </c>
      <c r="Q3999" t="n">
        <v>0</v>
      </c>
      <c r="R3999" s="2" t="inlineStr"/>
    </row>
    <row r="4000" ht="15" customHeight="1">
      <c r="A4000" t="inlineStr">
        <is>
          <t>A 46123-2021</t>
        </is>
      </c>
      <c r="B4000" s="1" t="n">
        <v>44442</v>
      </c>
      <c r="C4000" s="1" t="n">
        <v>45344</v>
      </c>
      <c r="D4000" t="inlineStr">
        <is>
          <t>GÄVLEBORGS LÄN</t>
        </is>
      </c>
      <c r="E4000" t="inlineStr">
        <is>
          <t>LJUSDAL</t>
        </is>
      </c>
      <c r="F4000" t="inlineStr">
        <is>
          <t>Sveaskog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46091-2021</t>
        </is>
      </c>
      <c r="B4001" s="1" t="n">
        <v>44442</v>
      </c>
      <c r="C4001" s="1" t="n">
        <v>45344</v>
      </c>
      <c r="D4001" t="inlineStr">
        <is>
          <t>GÄVLEBORGS LÄN</t>
        </is>
      </c>
      <c r="E4001" t="inlineStr">
        <is>
          <t>LJUSDAL</t>
        </is>
      </c>
      <c r="F4001" t="inlineStr">
        <is>
          <t>Holmen skog AB</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46156-2021</t>
        </is>
      </c>
      <c r="B4002" s="1" t="n">
        <v>44442</v>
      </c>
      <c r="C4002" s="1" t="n">
        <v>45344</v>
      </c>
      <c r="D4002" t="inlineStr">
        <is>
          <t>GÄVLEBORGS LÄN</t>
        </is>
      </c>
      <c r="E4002" t="inlineStr">
        <is>
          <t>NORDANSTIG</t>
        </is>
      </c>
      <c r="F4002" t="inlineStr">
        <is>
          <t>Holmen skog AB</t>
        </is>
      </c>
      <c r="G4002" t="n">
        <v>9.1</v>
      </c>
      <c r="H4002" t="n">
        <v>0</v>
      </c>
      <c r="I4002" t="n">
        <v>0</v>
      </c>
      <c r="J4002" t="n">
        <v>0</v>
      </c>
      <c r="K4002" t="n">
        <v>0</v>
      </c>
      <c r="L4002" t="n">
        <v>0</v>
      </c>
      <c r="M4002" t="n">
        <v>0</v>
      </c>
      <c r="N4002" t="n">
        <v>0</v>
      </c>
      <c r="O4002" t="n">
        <v>0</v>
      </c>
      <c r="P4002" t="n">
        <v>0</v>
      </c>
      <c r="Q4002" t="n">
        <v>0</v>
      </c>
      <c r="R4002" s="2" t="inlineStr"/>
    </row>
    <row r="4003" ht="15" customHeight="1">
      <c r="A4003" t="inlineStr">
        <is>
          <t>A 46113-2021</t>
        </is>
      </c>
      <c r="B4003" s="1" t="n">
        <v>44442</v>
      </c>
      <c r="C4003" s="1" t="n">
        <v>45344</v>
      </c>
      <c r="D4003" t="inlineStr">
        <is>
          <t>GÄVLEBORGS LÄN</t>
        </is>
      </c>
      <c r="E4003" t="inlineStr">
        <is>
          <t>LJUSDAL</t>
        </is>
      </c>
      <c r="F4003" t="inlineStr">
        <is>
          <t>Sveaskog</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46198-2021</t>
        </is>
      </c>
      <c r="B4004" s="1" t="n">
        <v>44442</v>
      </c>
      <c r="C4004" s="1" t="n">
        <v>45344</v>
      </c>
      <c r="D4004" t="inlineStr">
        <is>
          <t>GÄVLEBORGS LÄN</t>
        </is>
      </c>
      <c r="E4004" t="inlineStr">
        <is>
          <t>NORDANSTIG</t>
        </is>
      </c>
      <c r="F4004" t="inlineStr">
        <is>
          <t>Holmen skog AB</t>
        </is>
      </c>
      <c r="G4004" t="n">
        <v>2.5</v>
      </c>
      <c r="H4004" t="n">
        <v>0</v>
      </c>
      <c r="I4004" t="n">
        <v>0</v>
      </c>
      <c r="J4004" t="n">
        <v>0</v>
      </c>
      <c r="K4004" t="n">
        <v>0</v>
      </c>
      <c r="L4004" t="n">
        <v>0</v>
      </c>
      <c r="M4004" t="n">
        <v>0</v>
      </c>
      <c r="N4004" t="n">
        <v>0</v>
      </c>
      <c r="O4004" t="n">
        <v>0</v>
      </c>
      <c r="P4004" t="n">
        <v>0</v>
      </c>
      <c r="Q4004" t="n">
        <v>0</v>
      </c>
      <c r="R4004" s="2" t="inlineStr"/>
      <c r="U4004">
        <f>HYPERLINK("https://klasma.github.io/Logging_2132/knärot/A 46198-2021 karta knärot.png", "A 46198-2021")</f>
        <v/>
      </c>
      <c r="V4004">
        <f>HYPERLINK("https://klasma.github.io/Logging_2132/klagomål/A 46198-2021 FSC-klagomål.docx", "A 46198-2021")</f>
        <v/>
      </c>
      <c r="W4004">
        <f>HYPERLINK("https://klasma.github.io/Logging_2132/klagomålsmail/A 46198-2021 FSC-klagomål mail.docx", "A 46198-2021")</f>
        <v/>
      </c>
      <c r="X4004">
        <f>HYPERLINK("https://klasma.github.io/Logging_2132/tillsyn/A 46198-2021 tillsynsbegäran.docx", "A 46198-2021")</f>
        <v/>
      </c>
      <c r="Y4004">
        <f>HYPERLINK("https://klasma.github.io/Logging_2132/tillsynsmail/A 46198-2021 tillsynsbegäran mail.docx", "A 46198-2021")</f>
        <v/>
      </c>
    </row>
    <row r="4005" ht="15" customHeight="1">
      <c r="A4005" t="inlineStr">
        <is>
          <t>A 46364-2021</t>
        </is>
      </c>
      <c r="B4005" s="1" t="n">
        <v>44442</v>
      </c>
      <c r="C4005" s="1" t="n">
        <v>45344</v>
      </c>
      <c r="D4005" t="inlineStr">
        <is>
          <t>GÄVLEBORGS LÄN</t>
        </is>
      </c>
      <c r="E4005" t="inlineStr">
        <is>
          <t>HOFORS</t>
        </is>
      </c>
      <c r="F4005" t="inlineStr">
        <is>
          <t>Sveaskog</t>
        </is>
      </c>
      <c r="G4005" t="n">
        <v>4.4</v>
      </c>
      <c r="H4005" t="n">
        <v>0</v>
      </c>
      <c r="I4005" t="n">
        <v>0</v>
      </c>
      <c r="J4005" t="n">
        <v>0</v>
      </c>
      <c r="K4005" t="n">
        <v>0</v>
      </c>
      <c r="L4005" t="n">
        <v>0</v>
      </c>
      <c r="M4005" t="n">
        <v>0</v>
      </c>
      <c r="N4005" t="n">
        <v>0</v>
      </c>
      <c r="O4005" t="n">
        <v>0</v>
      </c>
      <c r="P4005" t="n">
        <v>0</v>
      </c>
      <c r="Q4005" t="n">
        <v>0</v>
      </c>
      <c r="R4005" s="2" t="inlineStr"/>
      <c r="U4005">
        <f>HYPERLINK("https://klasma.github.io/Logging_2104/knärot/A 46364-2021 karta knärot.png", "A 46364-2021")</f>
        <v/>
      </c>
      <c r="V4005">
        <f>HYPERLINK("https://klasma.github.io/Logging_2104/klagomål/A 46364-2021 FSC-klagomål.docx", "A 46364-2021")</f>
        <v/>
      </c>
      <c r="W4005">
        <f>HYPERLINK("https://klasma.github.io/Logging_2104/klagomålsmail/A 46364-2021 FSC-klagomål mail.docx", "A 46364-2021")</f>
        <v/>
      </c>
      <c r="X4005">
        <f>HYPERLINK("https://klasma.github.io/Logging_2104/tillsyn/A 46364-2021 tillsynsbegäran.docx", "A 46364-2021")</f>
        <v/>
      </c>
      <c r="Y4005">
        <f>HYPERLINK("https://klasma.github.io/Logging_2104/tillsynsmail/A 46364-2021 tillsynsbegäran mail.docx", "A 46364-2021")</f>
        <v/>
      </c>
    </row>
    <row r="4006" ht="15" customHeight="1">
      <c r="A4006" t="inlineStr">
        <is>
          <t>A 46421-2021</t>
        </is>
      </c>
      <c r="B4006" s="1" t="n">
        <v>44445</v>
      </c>
      <c r="C4006" s="1" t="n">
        <v>45344</v>
      </c>
      <c r="D4006" t="inlineStr">
        <is>
          <t>GÄVLEBORGS LÄN</t>
        </is>
      </c>
      <c r="E4006" t="inlineStr">
        <is>
          <t>LJUSDAL</t>
        </is>
      </c>
      <c r="F4006" t="inlineStr">
        <is>
          <t>Sveaskog</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46540-2021</t>
        </is>
      </c>
      <c r="B4007" s="1" t="n">
        <v>44445</v>
      </c>
      <c r="C4007" s="1" t="n">
        <v>45344</v>
      </c>
      <c r="D4007" t="inlineStr">
        <is>
          <t>GÄVLEBORGS LÄN</t>
        </is>
      </c>
      <c r="E4007" t="inlineStr">
        <is>
          <t>OCKELBO</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46459-2021</t>
        </is>
      </c>
      <c r="B4008" s="1" t="n">
        <v>44445</v>
      </c>
      <c r="C4008" s="1" t="n">
        <v>45344</v>
      </c>
      <c r="D4008" t="inlineStr">
        <is>
          <t>GÄVLEBORGS LÄN</t>
        </is>
      </c>
      <c r="E4008" t="inlineStr">
        <is>
          <t>OVANÅKER</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46419-2021</t>
        </is>
      </c>
      <c r="B4009" s="1" t="n">
        <v>44445</v>
      </c>
      <c r="C4009" s="1" t="n">
        <v>45344</v>
      </c>
      <c r="D4009" t="inlineStr">
        <is>
          <t>GÄVLEBORGS LÄN</t>
        </is>
      </c>
      <c r="E4009" t="inlineStr">
        <is>
          <t>LJUSDAL</t>
        </is>
      </c>
      <c r="F4009" t="inlineStr">
        <is>
          <t>Sveaskog</t>
        </is>
      </c>
      <c r="G4009" t="n">
        <v>6.5</v>
      </c>
      <c r="H4009" t="n">
        <v>0</v>
      </c>
      <c r="I4009" t="n">
        <v>0</v>
      </c>
      <c r="J4009" t="n">
        <v>0</v>
      </c>
      <c r="K4009" t="n">
        <v>0</v>
      </c>
      <c r="L4009" t="n">
        <v>0</v>
      </c>
      <c r="M4009" t="n">
        <v>0</v>
      </c>
      <c r="N4009" t="n">
        <v>0</v>
      </c>
      <c r="O4009" t="n">
        <v>0</v>
      </c>
      <c r="P4009" t="n">
        <v>0</v>
      </c>
      <c r="Q4009" t="n">
        <v>0</v>
      </c>
      <c r="R4009" s="2" t="inlineStr"/>
    </row>
    <row r="4010" ht="15" customHeight="1">
      <c r="A4010" t="inlineStr">
        <is>
          <t>A 46524-2021</t>
        </is>
      </c>
      <c r="B4010" s="1" t="n">
        <v>44445</v>
      </c>
      <c r="C4010" s="1" t="n">
        <v>45344</v>
      </c>
      <c r="D4010" t="inlineStr">
        <is>
          <t>GÄVLEBORGS LÄN</t>
        </is>
      </c>
      <c r="E4010" t="inlineStr">
        <is>
          <t>LJUSDAL</t>
        </is>
      </c>
      <c r="F4010" t="inlineStr">
        <is>
          <t>Allmännings- och besparingsskogar</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46549-2021</t>
        </is>
      </c>
      <c r="B4011" s="1" t="n">
        <v>44445</v>
      </c>
      <c r="C4011" s="1" t="n">
        <v>45344</v>
      </c>
      <c r="D4011" t="inlineStr">
        <is>
          <t>GÄVLEBORGS LÄN</t>
        </is>
      </c>
      <c r="E4011" t="inlineStr">
        <is>
          <t>GÄVLE</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46642-2021</t>
        </is>
      </c>
      <c r="B4012" s="1" t="n">
        <v>44445</v>
      </c>
      <c r="C4012" s="1" t="n">
        <v>45344</v>
      </c>
      <c r="D4012" t="inlineStr">
        <is>
          <t>GÄVLEBORGS LÄN</t>
        </is>
      </c>
      <c r="E4012" t="inlineStr">
        <is>
          <t>LJUSDAL</t>
        </is>
      </c>
      <c r="F4012" t="inlineStr">
        <is>
          <t>Sveaskog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46651-2021</t>
        </is>
      </c>
      <c r="B4013" s="1" t="n">
        <v>44445</v>
      </c>
      <c r="C4013" s="1" t="n">
        <v>45344</v>
      </c>
      <c r="D4013" t="inlineStr">
        <is>
          <t>GÄVLEBORGS LÄN</t>
        </is>
      </c>
      <c r="E4013" t="inlineStr">
        <is>
          <t>LJUSDAL</t>
        </is>
      </c>
      <c r="F4013" t="inlineStr">
        <is>
          <t>Holmen skog AB</t>
        </is>
      </c>
      <c r="G4013" t="n">
        <v>6.2</v>
      </c>
      <c r="H4013" t="n">
        <v>0</v>
      </c>
      <c r="I4013" t="n">
        <v>0</v>
      </c>
      <c r="J4013" t="n">
        <v>0</v>
      </c>
      <c r="K4013" t="n">
        <v>0</v>
      </c>
      <c r="L4013" t="n">
        <v>0</v>
      </c>
      <c r="M4013" t="n">
        <v>0</v>
      </c>
      <c r="N4013" t="n">
        <v>0</v>
      </c>
      <c r="O4013" t="n">
        <v>0</v>
      </c>
      <c r="P4013" t="n">
        <v>0</v>
      </c>
      <c r="Q4013" t="n">
        <v>0</v>
      </c>
      <c r="R4013" s="2" t="inlineStr"/>
    </row>
    <row r="4014" ht="15" customHeight="1">
      <c r="A4014" t="inlineStr">
        <is>
          <t>A 46733-2021</t>
        </is>
      </c>
      <c r="B4014" s="1" t="n">
        <v>44445</v>
      </c>
      <c r="C4014" s="1" t="n">
        <v>45344</v>
      </c>
      <c r="D4014" t="inlineStr">
        <is>
          <t>GÄVLEBORGS LÄN</t>
        </is>
      </c>
      <c r="E4014" t="inlineStr">
        <is>
          <t>OVANÅKER</t>
        </is>
      </c>
      <c r="F4014" t="inlineStr">
        <is>
          <t>Sveaskog</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46679-2021</t>
        </is>
      </c>
      <c r="B4015" s="1" t="n">
        <v>44445</v>
      </c>
      <c r="C4015" s="1" t="n">
        <v>45344</v>
      </c>
      <c r="D4015" t="inlineStr">
        <is>
          <t>GÄVLEBORGS LÄN</t>
        </is>
      </c>
      <c r="E4015" t="inlineStr">
        <is>
          <t>LJUSDAL</t>
        </is>
      </c>
      <c r="G4015" t="n">
        <v>4.3</v>
      </c>
      <c r="H4015" t="n">
        <v>0</v>
      </c>
      <c r="I4015" t="n">
        <v>0</v>
      </c>
      <c r="J4015" t="n">
        <v>0</v>
      </c>
      <c r="K4015" t="n">
        <v>0</v>
      </c>
      <c r="L4015" t="n">
        <v>0</v>
      </c>
      <c r="M4015" t="n">
        <v>0</v>
      </c>
      <c r="N4015" t="n">
        <v>0</v>
      </c>
      <c r="O4015" t="n">
        <v>0</v>
      </c>
      <c r="P4015" t="n">
        <v>0</v>
      </c>
      <c r="Q4015" t="n">
        <v>0</v>
      </c>
      <c r="R4015" s="2" t="inlineStr"/>
    </row>
    <row r="4016" ht="15" customHeight="1">
      <c r="A4016" t="inlineStr">
        <is>
          <t>A 46854-2021</t>
        </is>
      </c>
      <c r="B4016" s="1" t="n">
        <v>44446</v>
      </c>
      <c r="C4016" s="1" t="n">
        <v>45344</v>
      </c>
      <c r="D4016" t="inlineStr">
        <is>
          <t>GÄVLEBORGS LÄN</t>
        </is>
      </c>
      <c r="E4016" t="inlineStr">
        <is>
          <t>SANDVIKEN</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46860-2021</t>
        </is>
      </c>
      <c r="B4017" s="1" t="n">
        <v>44446</v>
      </c>
      <c r="C4017" s="1" t="n">
        <v>45344</v>
      </c>
      <c r="D4017" t="inlineStr">
        <is>
          <t>GÄVLEBORGS LÄN</t>
        </is>
      </c>
      <c r="E4017" t="inlineStr">
        <is>
          <t>LJUSDAL</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46800-2021</t>
        </is>
      </c>
      <c r="B4018" s="1" t="n">
        <v>44446</v>
      </c>
      <c r="C4018" s="1" t="n">
        <v>45344</v>
      </c>
      <c r="D4018" t="inlineStr">
        <is>
          <t>GÄVLEBORGS LÄN</t>
        </is>
      </c>
      <c r="E4018" t="inlineStr">
        <is>
          <t>GÄVLE</t>
        </is>
      </c>
      <c r="F4018" t="inlineStr">
        <is>
          <t>Bergvik skog väst AB</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46975-2021</t>
        </is>
      </c>
      <c r="B4019" s="1" t="n">
        <v>44446</v>
      </c>
      <c r="C4019" s="1" t="n">
        <v>45344</v>
      </c>
      <c r="D4019" t="inlineStr">
        <is>
          <t>GÄVLEBORGS LÄN</t>
        </is>
      </c>
      <c r="E4019" t="inlineStr">
        <is>
          <t>SÖDERHAMN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47268-2021</t>
        </is>
      </c>
      <c r="B4020" s="1" t="n">
        <v>44447</v>
      </c>
      <c r="C4020" s="1" t="n">
        <v>45344</v>
      </c>
      <c r="D4020" t="inlineStr">
        <is>
          <t>GÄVLEBORGS LÄN</t>
        </is>
      </c>
      <c r="E4020" t="inlineStr">
        <is>
          <t>LJUSDAL</t>
        </is>
      </c>
      <c r="F4020" t="inlineStr">
        <is>
          <t>Bergvik skog väst AB</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47481-2021</t>
        </is>
      </c>
      <c r="B4021" s="1" t="n">
        <v>44447</v>
      </c>
      <c r="C4021" s="1" t="n">
        <v>45344</v>
      </c>
      <c r="D4021" t="inlineStr">
        <is>
          <t>GÄVLEBORGS LÄN</t>
        </is>
      </c>
      <c r="E4021" t="inlineStr">
        <is>
          <t>OVANÅKER</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47486-2021</t>
        </is>
      </c>
      <c r="B4022" s="1" t="n">
        <v>44447</v>
      </c>
      <c r="C4022" s="1" t="n">
        <v>45344</v>
      </c>
      <c r="D4022" t="inlineStr">
        <is>
          <t>GÄVLEBORGS LÄN</t>
        </is>
      </c>
      <c r="E4022" t="inlineStr">
        <is>
          <t>OVANÅKER</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47531-2021</t>
        </is>
      </c>
      <c r="B4023" s="1" t="n">
        <v>44447</v>
      </c>
      <c r="C4023" s="1" t="n">
        <v>45344</v>
      </c>
      <c r="D4023" t="inlineStr">
        <is>
          <t>GÄVLEBORGS LÄN</t>
        </is>
      </c>
      <c r="E4023" t="inlineStr">
        <is>
          <t>HOFORS</t>
        </is>
      </c>
      <c r="G4023" t="n">
        <v>7.6</v>
      </c>
      <c r="H4023" t="n">
        <v>0</v>
      </c>
      <c r="I4023" t="n">
        <v>0</v>
      </c>
      <c r="J4023" t="n">
        <v>0</v>
      </c>
      <c r="K4023" t="n">
        <v>0</v>
      </c>
      <c r="L4023" t="n">
        <v>0</v>
      </c>
      <c r="M4023" t="n">
        <v>0</v>
      </c>
      <c r="N4023" t="n">
        <v>0</v>
      </c>
      <c r="O4023" t="n">
        <v>0</v>
      </c>
      <c r="P4023" t="n">
        <v>0</v>
      </c>
      <c r="Q4023" t="n">
        <v>0</v>
      </c>
      <c r="R4023" s="2" t="inlineStr"/>
    </row>
    <row r="4024" ht="15" customHeight="1">
      <c r="A4024" t="inlineStr">
        <is>
          <t>A 47485-2021</t>
        </is>
      </c>
      <c r="B4024" s="1" t="n">
        <v>44447</v>
      </c>
      <c r="C4024" s="1" t="n">
        <v>45344</v>
      </c>
      <c r="D4024" t="inlineStr">
        <is>
          <t>GÄVLEBORGS LÄN</t>
        </is>
      </c>
      <c r="E4024" t="inlineStr">
        <is>
          <t>HOFORS</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47538-2021</t>
        </is>
      </c>
      <c r="B4025" s="1" t="n">
        <v>44447</v>
      </c>
      <c r="C4025" s="1" t="n">
        <v>45344</v>
      </c>
      <c r="D4025" t="inlineStr">
        <is>
          <t>GÄVLEBORGS LÄN</t>
        </is>
      </c>
      <c r="E4025" t="inlineStr">
        <is>
          <t>HOFORS</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47628-2021</t>
        </is>
      </c>
      <c r="B4026" s="1" t="n">
        <v>44448</v>
      </c>
      <c r="C4026" s="1" t="n">
        <v>45344</v>
      </c>
      <c r="D4026" t="inlineStr">
        <is>
          <t>GÄVLEBORGS LÄN</t>
        </is>
      </c>
      <c r="E4026" t="inlineStr">
        <is>
          <t>SANDVIKEN</t>
        </is>
      </c>
      <c r="F4026" t="inlineStr">
        <is>
          <t>Sveaskog</t>
        </is>
      </c>
      <c r="G4026" t="n">
        <v>2.5</v>
      </c>
      <c r="H4026" t="n">
        <v>0</v>
      </c>
      <c r="I4026" t="n">
        <v>0</v>
      </c>
      <c r="J4026" t="n">
        <v>0</v>
      </c>
      <c r="K4026" t="n">
        <v>0</v>
      </c>
      <c r="L4026" t="n">
        <v>0</v>
      </c>
      <c r="M4026" t="n">
        <v>0</v>
      </c>
      <c r="N4026" t="n">
        <v>0</v>
      </c>
      <c r="O4026" t="n">
        <v>0</v>
      </c>
      <c r="P4026" t="n">
        <v>0</v>
      </c>
      <c r="Q4026" t="n">
        <v>0</v>
      </c>
      <c r="R4026" s="2" t="inlineStr"/>
    </row>
    <row r="4027" ht="15" customHeight="1">
      <c r="A4027" t="inlineStr">
        <is>
          <t>A 47632-2021</t>
        </is>
      </c>
      <c r="B4027" s="1" t="n">
        <v>44448</v>
      </c>
      <c r="C4027" s="1" t="n">
        <v>45344</v>
      </c>
      <c r="D4027" t="inlineStr">
        <is>
          <t>GÄVLEBORGS LÄN</t>
        </is>
      </c>
      <c r="E4027" t="inlineStr">
        <is>
          <t>SANDVIKEN</t>
        </is>
      </c>
      <c r="F4027" t="inlineStr">
        <is>
          <t>Sveaskog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47637-2021</t>
        </is>
      </c>
      <c r="B4028" s="1" t="n">
        <v>44448</v>
      </c>
      <c r="C4028" s="1" t="n">
        <v>45344</v>
      </c>
      <c r="D4028" t="inlineStr">
        <is>
          <t>GÄVLEBORGS LÄN</t>
        </is>
      </c>
      <c r="E4028" t="inlineStr">
        <is>
          <t>SANDVIKEN</t>
        </is>
      </c>
      <c r="F4028" t="inlineStr">
        <is>
          <t>Sveaskog</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47639-2021</t>
        </is>
      </c>
      <c r="B4029" s="1" t="n">
        <v>44448</v>
      </c>
      <c r="C4029" s="1" t="n">
        <v>45344</v>
      </c>
      <c r="D4029" t="inlineStr">
        <is>
          <t>GÄVLEBORGS LÄN</t>
        </is>
      </c>
      <c r="E4029" t="inlineStr">
        <is>
          <t>HOFORS</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47792-2021</t>
        </is>
      </c>
      <c r="B4030" s="1" t="n">
        <v>44448</v>
      </c>
      <c r="C4030" s="1" t="n">
        <v>45344</v>
      </c>
      <c r="D4030" t="inlineStr">
        <is>
          <t>GÄVLEBORGS LÄN</t>
        </is>
      </c>
      <c r="E4030" t="inlineStr">
        <is>
          <t>SANDVIKEN</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47849-2021</t>
        </is>
      </c>
      <c r="B4031" s="1" t="n">
        <v>44448</v>
      </c>
      <c r="C4031" s="1" t="n">
        <v>45344</v>
      </c>
      <c r="D4031" t="inlineStr">
        <is>
          <t>GÄVLEBORGS LÄN</t>
        </is>
      </c>
      <c r="E4031" t="inlineStr">
        <is>
          <t>OCKELBO</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47924-2021</t>
        </is>
      </c>
      <c r="B4032" s="1" t="n">
        <v>44448</v>
      </c>
      <c r="C4032" s="1" t="n">
        <v>45344</v>
      </c>
      <c r="D4032" t="inlineStr">
        <is>
          <t>GÄVLEBORGS LÄN</t>
        </is>
      </c>
      <c r="E4032" t="inlineStr">
        <is>
          <t>LJUSDAL</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47762-2021</t>
        </is>
      </c>
      <c r="B4033" s="1" t="n">
        <v>44448</v>
      </c>
      <c r="C4033" s="1" t="n">
        <v>45344</v>
      </c>
      <c r="D4033" t="inlineStr">
        <is>
          <t>GÄVLEBORGS LÄN</t>
        </is>
      </c>
      <c r="E4033" t="inlineStr">
        <is>
          <t>NORDANSTIG</t>
        </is>
      </c>
      <c r="F4033" t="inlineStr">
        <is>
          <t>Holmen skog AB</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47739-2021</t>
        </is>
      </c>
      <c r="B4034" s="1" t="n">
        <v>44448</v>
      </c>
      <c r="C4034" s="1" t="n">
        <v>45344</v>
      </c>
      <c r="D4034" t="inlineStr">
        <is>
          <t>GÄVLEBORGS LÄN</t>
        </is>
      </c>
      <c r="E4034" t="inlineStr">
        <is>
          <t>GÄVLE</t>
        </is>
      </c>
      <c r="G4034" t="n">
        <v>5.9</v>
      </c>
      <c r="H4034" t="n">
        <v>0</v>
      </c>
      <c r="I4034" t="n">
        <v>0</v>
      </c>
      <c r="J4034" t="n">
        <v>0</v>
      </c>
      <c r="K4034" t="n">
        <v>0</v>
      </c>
      <c r="L4034" t="n">
        <v>0</v>
      </c>
      <c r="M4034" t="n">
        <v>0</v>
      </c>
      <c r="N4034" t="n">
        <v>0</v>
      </c>
      <c r="O4034" t="n">
        <v>0</v>
      </c>
      <c r="P4034" t="n">
        <v>0</v>
      </c>
      <c r="Q4034" t="n">
        <v>0</v>
      </c>
      <c r="R4034" s="2" t="inlineStr"/>
    </row>
    <row r="4035" ht="15" customHeight="1">
      <c r="A4035" t="inlineStr">
        <is>
          <t>A 47925-2021</t>
        </is>
      </c>
      <c r="B4035" s="1" t="n">
        <v>44448</v>
      </c>
      <c r="C4035" s="1" t="n">
        <v>45344</v>
      </c>
      <c r="D4035" t="inlineStr">
        <is>
          <t>GÄVLEBORGS LÄN</t>
        </is>
      </c>
      <c r="E4035" t="inlineStr">
        <is>
          <t>LJUSDAL</t>
        </is>
      </c>
      <c r="G4035" t="n">
        <v>15.5</v>
      </c>
      <c r="H4035" t="n">
        <v>0</v>
      </c>
      <c r="I4035" t="n">
        <v>0</v>
      </c>
      <c r="J4035" t="n">
        <v>0</v>
      </c>
      <c r="K4035" t="n">
        <v>0</v>
      </c>
      <c r="L4035" t="n">
        <v>0</v>
      </c>
      <c r="M4035" t="n">
        <v>0</v>
      </c>
      <c r="N4035" t="n">
        <v>0</v>
      </c>
      <c r="O4035" t="n">
        <v>0</v>
      </c>
      <c r="P4035" t="n">
        <v>0</v>
      </c>
      <c r="Q4035" t="n">
        <v>0</v>
      </c>
      <c r="R4035" s="2" t="inlineStr"/>
    </row>
    <row r="4036" ht="15" customHeight="1">
      <c r="A4036" t="inlineStr">
        <is>
          <t>A 47865-2021</t>
        </is>
      </c>
      <c r="B4036" s="1" t="n">
        <v>44448</v>
      </c>
      <c r="C4036" s="1" t="n">
        <v>45344</v>
      </c>
      <c r="D4036" t="inlineStr">
        <is>
          <t>GÄVLEBORGS LÄN</t>
        </is>
      </c>
      <c r="E4036" t="inlineStr">
        <is>
          <t>OCKELBO</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48151-2021</t>
        </is>
      </c>
      <c r="B4037" s="1" t="n">
        <v>44449</v>
      </c>
      <c r="C4037" s="1" t="n">
        <v>45344</v>
      </c>
      <c r="D4037" t="inlineStr">
        <is>
          <t>GÄVLEBORGS LÄN</t>
        </is>
      </c>
      <c r="E4037" t="inlineStr">
        <is>
          <t>OVANÅKER</t>
        </is>
      </c>
      <c r="G4037" t="n">
        <v>0.2</v>
      </c>
      <c r="H4037" t="n">
        <v>0</v>
      </c>
      <c r="I4037" t="n">
        <v>0</v>
      </c>
      <c r="J4037" t="n">
        <v>0</v>
      </c>
      <c r="K4037" t="n">
        <v>0</v>
      </c>
      <c r="L4037" t="n">
        <v>0</v>
      </c>
      <c r="M4037" t="n">
        <v>0</v>
      </c>
      <c r="N4037" t="n">
        <v>0</v>
      </c>
      <c r="O4037" t="n">
        <v>0</v>
      </c>
      <c r="P4037" t="n">
        <v>0</v>
      </c>
      <c r="Q4037" t="n">
        <v>0</v>
      </c>
      <c r="R4037" s="2" t="inlineStr"/>
    </row>
    <row r="4038" ht="15" customHeight="1">
      <c r="A4038" t="inlineStr">
        <is>
          <t>A 48176-2021</t>
        </is>
      </c>
      <c r="B4038" s="1" t="n">
        <v>44449</v>
      </c>
      <c r="C4038" s="1" t="n">
        <v>45344</v>
      </c>
      <c r="D4038" t="inlineStr">
        <is>
          <t>GÄVLEBORGS LÄN</t>
        </is>
      </c>
      <c r="E4038" t="inlineStr">
        <is>
          <t>LJUSDAL</t>
        </is>
      </c>
      <c r="F4038" t="inlineStr">
        <is>
          <t>Sveaskog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48306-2021</t>
        </is>
      </c>
      <c r="B4039" s="1" t="n">
        <v>44450</v>
      </c>
      <c r="C4039" s="1" t="n">
        <v>45344</v>
      </c>
      <c r="D4039" t="inlineStr">
        <is>
          <t>GÄVLEBORGS LÄN</t>
        </is>
      </c>
      <c r="E4039" t="inlineStr">
        <is>
          <t>OCKELBO</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48443-2021</t>
        </is>
      </c>
      <c r="B4040" s="1" t="n">
        <v>44452</v>
      </c>
      <c r="C4040" s="1" t="n">
        <v>45344</v>
      </c>
      <c r="D4040" t="inlineStr">
        <is>
          <t>GÄVLEBORGS LÄN</t>
        </is>
      </c>
      <c r="E4040" t="inlineStr">
        <is>
          <t>BOLLNÄS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48451-2021</t>
        </is>
      </c>
      <c r="B4041" s="1" t="n">
        <v>44452</v>
      </c>
      <c r="C4041" s="1" t="n">
        <v>45344</v>
      </c>
      <c r="D4041" t="inlineStr">
        <is>
          <t>GÄVLEBORGS LÄN</t>
        </is>
      </c>
      <c r="E4041" t="inlineStr">
        <is>
          <t>BOLLNÄS</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48547-2021</t>
        </is>
      </c>
      <c r="B4042" s="1" t="n">
        <v>44452</v>
      </c>
      <c r="C4042" s="1" t="n">
        <v>45344</v>
      </c>
      <c r="D4042" t="inlineStr">
        <is>
          <t>GÄVLEBORGS LÄN</t>
        </is>
      </c>
      <c r="E4042" t="inlineStr">
        <is>
          <t>BOLLNÄS</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48581-2021</t>
        </is>
      </c>
      <c r="B4043" s="1" t="n">
        <v>44452</v>
      </c>
      <c r="C4043" s="1" t="n">
        <v>45344</v>
      </c>
      <c r="D4043" t="inlineStr">
        <is>
          <t>GÄVLEBORGS LÄN</t>
        </is>
      </c>
      <c r="E4043" t="inlineStr">
        <is>
          <t>LJUSDAL</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48603-2021</t>
        </is>
      </c>
      <c r="B4044" s="1" t="n">
        <v>44452</v>
      </c>
      <c r="C4044" s="1" t="n">
        <v>45344</v>
      </c>
      <c r="D4044" t="inlineStr">
        <is>
          <t>GÄVLEBORGS LÄN</t>
        </is>
      </c>
      <c r="E4044" t="inlineStr">
        <is>
          <t>OCKELBO</t>
        </is>
      </c>
      <c r="F4044" t="inlineStr">
        <is>
          <t>Bergvik skog väst AB</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48614-2021</t>
        </is>
      </c>
      <c r="B4045" s="1" t="n">
        <v>44452</v>
      </c>
      <c r="C4045" s="1" t="n">
        <v>45344</v>
      </c>
      <c r="D4045" t="inlineStr">
        <is>
          <t>GÄVLEBORGS LÄN</t>
        </is>
      </c>
      <c r="E4045" t="inlineStr">
        <is>
          <t>HUDIKSVALL</t>
        </is>
      </c>
      <c r="F4045" t="inlineStr">
        <is>
          <t>Holmen skog AB</t>
        </is>
      </c>
      <c r="G4045" t="n">
        <v>5.2</v>
      </c>
      <c r="H4045" t="n">
        <v>0</v>
      </c>
      <c r="I4045" t="n">
        <v>0</v>
      </c>
      <c r="J4045" t="n">
        <v>0</v>
      </c>
      <c r="K4045" t="n">
        <v>0</v>
      </c>
      <c r="L4045" t="n">
        <v>0</v>
      </c>
      <c r="M4045" t="n">
        <v>0</v>
      </c>
      <c r="N4045" t="n">
        <v>0</v>
      </c>
      <c r="O4045" t="n">
        <v>0</v>
      </c>
      <c r="P4045" t="n">
        <v>0</v>
      </c>
      <c r="Q4045" t="n">
        <v>0</v>
      </c>
      <c r="R4045" s="2" t="inlineStr"/>
    </row>
    <row r="4046" ht="15" customHeight="1">
      <c r="A4046" t="inlineStr">
        <is>
          <t>A 48674-2021</t>
        </is>
      </c>
      <c r="B4046" s="1" t="n">
        <v>44452</v>
      </c>
      <c r="C4046" s="1" t="n">
        <v>45344</v>
      </c>
      <c r="D4046" t="inlineStr">
        <is>
          <t>GÄVLEBORGS LÄN</t>
        </is>
      </c>
      <c r="E4046" t="inlineStr">
        <is>
          <t>LJUSDAL</t>
        </is>
      </c>
      <c r="F4046" t="inlineStr">
        <is>
          <t>Holmen skog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48733-2021</t>
        </is>
      </c>
      <c r="B4047" s="1" t="n">
        <v>44452</v>
      </c>
      <c r="C4047" s="1" t="n">
        <v>45344</v>
      </c>
      <c r="D4047" t="inlineStr">
        <is>
          <t>GÄVLEBORGS LÄN</t>
        </is>
      </c>
      <c r="E4047" t="inlineStr">
        <is>
          <t>HUDIKSVALL</t>
        </is>
      </c>
      <c r="F4047" t="inlineStr">
        <is>
          <t>Holmen skog AB</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48679-2021</t>
        </is>
      </c>
      <c r="B4048" s="1" t="n">
        <v>44452</v>
      </c>
      <c r="C4048" s="1" t="n">
        <v>45344</v>
      </c>
      <c r="D4048" t="inlineStr">
        <is>
          <t>GÄVLEBORGS LÄN</t>
        </is>
      </c>
      <c r="E4048" t="inlineStr">
        <is>
          <t>BOLLNÄS</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48731-2021</t>
        </is>
      </c>
      <c r="B4049" s="1" t="n">
        <v>44452</v>
      </c>
      <c r="C4049" s="1" t="n">
        <v>45344</v>
      </c>
      <c r="D4049" t="inlineStr">
        <is>
          <t>GÄVLEBORGS LÄN</t>
        </is>
      </c>
      <c r="E4049" t="inlineStr">
        <is>
          <t>NORDANSTIG</t>
        </is>
      </c>
      <c r="F4049" t="inlineStr">
        <is>
          <t>Holmen skog AB</t>
        </is>
      </c>
      <c r="G4049" t="n">
        <v>3.8</v>
      </c>
      <c r="H4049" t="n">
        <v>0</v>
      </c>
      <c r="I4049" t="n">
        <v>0</v>
      </c>
      <c r="J4049" t="n">
        <v>0</v>
      </c>
      <c r="K4049" t="n">
        <v>0</v>
      </c>
      <c r="L4049" t="n">
        <v>0</v>
      </c>
      <c r="M4049" t="n">
        <v>0</v>
      </c>
      <c r="N4049" t="n">
        <v>0</v>
      </c>
      <c r="O4049" t="n">
        <v>0</v>
      </c>
      <c r="P4049" t="n">
        <v>0</v>
      </c>
      <c r="Q4049" t="n">
        <v>0</v>
      </c>
      <c r="R4049" s="2" t="inlineStr"/>
    </row>
    <row r="4050" ht="15" customHeight="1">
      <c r="A4050" t="inlineStr">
        <is>
          <t>A 48718-2021</t>
        </is>
      </c>
      <c r="B4050" s="1" t="n">
        <v>44452</v>
      </c>
      <c r="C4050" s="1" t="n">
        <v>45344</v>
      </c>
      <c r="D4050" t="inlineStr">
        <is>
          <t>GÄVLEBORGS LÄN</t>
        </is>
      </c>
      <c r="E4050" t="inlineStr">
        <is>
          <t>BOLLNÄS</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48753-2021</t>
        </is>
      </c>
      <c r="B4051" s="1" t="n">
        <v>44452</v>
      </c>
      <c r="C4051" s="1" t="n">
        <v>45344</v>
      </c>
      <c r="D4051" t="inlineStr">
        <is>
          <t>GÄVLEBORGS LÄN</t>
        </is>
      </c>
      <c r="E4051" t="inlineStr">
        <is>
          <t>HUDIKSVALL</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48587-2021</t>
        </is>
      </c>
      <c r="B4052" s="1" t="n">
        <v>44452</v>
      </c>
      <c r="C4052" s="1" t="n">
        <v>45344</v>
      </c>
      <c r="D4052" t="inlineStr">
        <is>
          <t>GÄVLEBORGS LÄN</t>
        </is>
      </c>
      <c r="E4052" t="inlineStr">
        <is>
          <t>LJUSDAL</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48765-2021</t>
        </is>
      </c>
      <c r="B4053" s="1" t="n">
        <v>44452</v>
      </c>
      <c r="C4053" s="1" t="n">
        <v>45344</v>
      </c>
      <c r="D4053" t="inlineStr">
        <is>
          <t>GÄVLEBORGS LÄN</t>
        </is>
      </c>
      <c r="E4053" t="inlineStr">
        <is>
          <t>SANDVIKEN</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48804-2021</t>
        </is>
      </c>
      <c r="B4054" s="1" t="n">
        <v>44452</v>
      </c>
      <c r="C4054" s="1" t="n">
        <v>45344</v>
      </c>
      <c r="D4054" t="inlineStr">
        <is>
          <t>GÄVLEBORGS LÄN</t>
        </is>
      </c>
      <c r="E4054" t="inlineStr">
        <is>
          <t>SANDVIKEN</t>
        </is>
      </c>
      <c r="F4054" t="inlineStr">
        <is>
          <t>Sveaskog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48881-2021</t>
        </is>
      </c>
      <c r="B4055" s="1" t="n">
        <v>44452</v>
      </c>
      <c r="C4055" s="1" t="n">
        <v>45344</v>
      </c>
      <c r="D4055" t="inlineStr">
        <is>
          <t>GÄVLEBORGS LÄN</t>
        </is>
      </c>
      <c r="E4055" t="inlineStr">
        <is>
          <t>GÄVLE</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48953-2021</t>
        </is>
      </c>
      <c r="B4056" s="1" t="n">
        <v>44453</v>
      </c>
      <c r="C4056" s="1" t="n">
        <v>45344</v>
      </c>
      <c r="D4056" t="inlineStr">
        <is>
          <t>GÄVLEBORGS LÄN</t>
        </is>
      </c>
      <c r="E4056" t="inlineStr">
        <is>
          <t>LJUSDAL</t>
        </is>
      </c>
      <c r="G4056" t="n">
        <v>0.1</v>
      </c>
      <c r="H4056" t="n">
        <v>0</v>
      </c>
      <c r="I4056" t="n">
        <v>0</v>
      </c>
      <c r="J4056" t="n">
        <v>0</v>
      </c>
      <c r="K4056" t="n">
        <v>0</v>
      </c>
      <c r="L4056" t="n">
        <v>0</v>
      </c>
      <c r="M4056" t="n">
        <v>0</v>
      </c>
      <c r="N4056" t="n">
        <v>0</v>
      </c>
      <c r="O4056" t="n">
        <v>0</v>
      </c>
      <c r="P4056" t="n">
        <v>0</v>
      </c>
      <c r="Q4056" t="n">
        <v>0</v>
      </c>
      <c r="R4056" s="2" t="inlineStr"/>
    </row>
    <row r="4057" ht="15" customHeight="1">
      <c r="A4057" t="inlineStr">
        <is>
          <t>A 49068-2021</t>
        </is>
      </c>
      <c r="B4057" s="1" t="n">
        <v>44453</v>
      </c>
      <c r="C4057" s="1" t="n">
        <v>45344</v>
      </c>
      <c r="D4057" t="inlineStr">
        <is>
          <t>GÄVLEBORGS LÄN</t>
        </is>
      </c>
      <c r="E4057" t="inlineStr">
        <is>
          <t>LJUSDAL</t>
        </is>
      </c>
      <c r="F4057" t="inlineStr">
        <is>
          <t>Holmen skog AB</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49092-2021</t>
        </is>
      </c>
      <c r="B4058" s="1" t="n">
        <v>44453</v>
      </c>
      <c r="C4058" s="1" t="n">
        <v>45344</v>
      </c>
      <c r="D4058" t="inlineStr">
        <is>
          <t>GÄVLEBORGS LÄN</t>
        </is>
      </c>
      <c r="E4058" t="inlineStr">
        <is>
          <t>HUDIKSVALL</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49114-2021</t>
        </is>
      </c>
      <c r="B4059" s="1" t="n">
        <v>44453</v>
      </c>
      <c r="C4059" s="1" t="n">
        <v>45344</v>
      </c>
      <c r="D4059" t="inlineStr">
        <is>
          <t>GÄVLEBORGS LÄN</t>
        </is>
      </c>
      <c r="E4059" t="inlineStr">
        <is>
          <t>LJUSDAL</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49147-2021</t>
        </is>
      </c>
      <c r="B4060" s="1" t="n">
        <v>44453</v>
      </c>
      <c r="C4060" s="1" t="n">
        <v>45344</v>
      </c>
      <c r="D4060" t="inlineStr">
        <is>
          <t>GÄVLEBORGS LÄN</t>
        </is>
      </c>
      <c r="E4060" t="inlineStr">
        <is>
          <t>HUDIKSVALL</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49099-2021</t>
        </is>
      </c>
      <c r="B4061" s="1" t="n">
        <v>44453</v>
      </c>
      <c r="C4061" s="1" t="n">
        <v>45344</v>
      </c>
      <c r="D4061" t="inlineStr">
        <is>
          <t>GÄVLEBORGS LÄN</t>
        </is>
      </c>
      <c r="E4061" t="inlineStr">
        <is>
          <t>LJUSDAL</t>
        </is>
      </c>
      <c r="F4061" t="inlineStr">
        <is>
          <t>Sveaskog</t>
        </is>
      </c>
      <c r="G4061" t="n">
        <v>10</v>
      </c>
      <c r="H4061" t="n">
        <v>0</v>
      </c>
      <c r="I4061" t="n">
        <v>0</v>
      </c>
      <c r="J4061" t="n">
        <v>0</v>
      </c>
      <c r="K4061" t="n">
        <v>0</v>
      </c>
      <c r="L4061" t="n">
        <v>0</v>
      </c>
      <c r="M4061" t="n">
        <v>0</v>
      </c>
      <c r="N4061" t="n">
        <v>0</v>
      </c>
      <c r="O4061" t="n">
        <v>0</v>
      </c>
      <c r="P4061" t="n">
        <v>0</v>
      </c>
      <c r="Q4061" t="n">
        <v>0</v>
      </c>
      <c r="R4061" s="2" t="inlineStr"/>
    </row>
    <row r="4062" ht="15" customHeight="1">
      <c r="A4062" t="inlineStr">
        <is>
          <t>A 49197-2021</t>
        </is>
      </c>
      <c r="B4062" s="1" t="n">
        <v>44454</v>
      </c>
      <c r="C4062" s="1" t="n">
        <v>45344</v>
      </c>
      <c r="D4062" t="inlineStr">
        <is>
          <t>GÄVLEBORGS LÄN</t>
        </is>
      </c>
      <c r="E4062" t="inlineStr">
        <is>
          <t>NORDANSTIG</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49315-2021</t>
        </is>
      </c>
      <c r="B4063" s="1" t="n">
        <v>44454</v>
      </c>
      <c r="C4063" s="1" t="n">
        <v>45344</v>
      </c>
      <c r="D4063" t="inlineStr">
        <is>
          <t>GÄVLEBORGS LÄN</t>
        </is>
      </c>
      <c r="E4063" t="inlineStr">
        <is>
          <t>HUDIKSVALL</t>
        </is>
      </c>
      <c r="G4063" t="n">
        <v>3.3</v>
      </c>
      <c r="H4063" t="n">
        <v>0</v>
      </c>
      <c r="I4063" t="n">
        <v>0</v>
      </c>
      <c r="J4063" t="n">
        <v>0</v>
      </c>
      <c r="K4063" t="n">
        <v>0</v>
      </c>
      <c r="L4063" t="n">
        <v>0</v>
      </c>
      <c r="M4063" t="n">
        <v>0</v>
      </c>
      <c r="N4063" t="n">
        <v>0</v>
      </c>
      <c r="O4063" t="n">
        <v>0</v>
      </c>
      <c r="P4063" t="n">
        <v>0</v>
      </c>
      <c r="Q4063" t="n">
        <v>0</v>
      </c>
      <c r="R4063" s="2" t="inlineStr"/>
    </row>
    <row r="4064" ht="15" customHeight="1">
      <c r="A4064" t="inlineStr">
        <is>
          <t>A 49327-2021</t>
        </is>
      </c>
      <c r="B4064" s="1" t="n">
        <v>44454</v>
      </c>
      <c r="C4064" s="1" t="n">
        <v>45344</v>
      </c>
      <c r="D4064" t="inlineStr">
        <is>
          <t>GÄVLEBORGS LÄN</t>
        </is>
      </c>
      <c r="E4064" t="inlineStr">
        <is>
          <t>HUDIKSVALL</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49405-2021</t>
        </is>
      </c>
      <c r="B4065" s="1" t="n">
        <v>44454</v>
      </c>
      <c r="C4065" s="1" t="n">
        <v>45344</v>
      </c>
      <c r="D4065" t="inlineStr">
        <is>
          <t>GÄVLEBORGS LÄN</t>
        </is>
      </c>
      <c r="E4065" t="inlineStr">
        <is>
          <t>HUDIKSVALL</t>
        </is>
      </c>
      <c r="F4065" t="inlineStr">
        <is>
          <t>Holmen skog AB</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49445-2021</t>
        </is>
      </c>
      <c r="B4066" s="1" t="n">
        <v>44454</v>
      </c>
      <c r="C4066" s="1" t="n">
        <v>45344</v>
      </c>
      <c r="D4066" t="inlineStr">
        <is>
          <t>GÄVLEBORGS LÄN</t>
        </is>
      </c>
      <c r="E4066" t="inlineStr">
        <is>
          <t>BOLLNÄS</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49501-2021</t>
        </is>
      </c>
      <c r="B4067" s="1" t="n">
        <v>44455</v>
      </c>
      <c r="C4067" s="1" t="n">
        <v>45344</v>
      </c>
      <c r="D4067" t="inlineStr">
        <is>
          <t>GÄVLEBORGS LÄN</t>
        </is>
      </c>
      <c r="E4067" t="inlineStr">
        <is>
          <t>LJUSDAL</t>
        </is>
      </c>
      <c r="F4067" t="inlineStr">
        <is>
          <t>Allmännings- och besparingsskogar</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49565-2021</t>
        </is>
      </c>
      <c r="B4068" s="1" t="n">
        <v>44455</v>
      </c>
      <c r="C4068" s="1" t="n">
        <v>45344</v>
      </c>
      <c r="D4068" t="inlineStr">
        <is>
          <t>GÄVLEBORGS LÄN</t>
        </is>
      </c>
      <c r="E4068" t="inlineStr">
        <is>
          <t>OVANÅKER</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49604-2021</t>
        </is>
      </c>
      <c r="B4069" s="1" t="n">
        <v>44455</v>
      </c>
      <c r="C4069" s="1" t="n">
        <v>45344</v>
      </c>
      <c r="D4069" t="inlineStr">
        <is>
          <t>GÄVLEBORGS LÄN</t>
        </is>
      </c>
      <c r="E4069" t="inlineStr">
        <is>
          <t>HUDIKSVALL</t>
        </is>
      </c>
      <c r="F4069" t="inlineStr">
        <is>
          <t>Holmen skog AB</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49811-2021</t>
        </is>
      </c>
      <c r="B4070" s="1" t="n">
        <v>44455</v>
      </c>
      <c r="C4070" s="1" t="n">
        <v>45344</v>
      </c>
      <c r="D4070" t="inlineStr">
        <is>
          <t>GÄVLEBORGS LÄN</t>
        </is>
      </c>
      <c r="E4070" t="inlineStr">
        <is>
          <t>GÄVLE</t>
        </is>
      </c>
      <c r="F4070" t="inlineStr">
        <is>
          <t>Bergvik skog öst AB</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49827-2021</t>
        </is>
      </c>
      <c r="B4071" s="1" t="n">
        <v>44455</v>
      </c>
      <c r="C4071" s="1" t="n">
        <v>45344</v>
      </c>
      <c r="D4071" t="inlineStr">
        <is>
          <t>GÄVLEBORGS LÄN</t>
        </is>
      </c>
      <c r="E4071" t="inlineStr">
        <is>
          <t>GÄVLE</t>
        </is>
      </c>
      <c r="F4071" t="inlineStr">
        <is>
          <t>Bergvik skog öst AB</t>
        </is>
      </c>
      <c r="G4071" t="n">
        <v>9.1</v>
      </c>
      <c r="H4071" t="n">
        <v>0</v>
      </c>
      <c r="I4071" t="n">
        <v>0</v>
      </c>
      <c r="J4071" t="n">
        <v>0</v>
      </c>
      <c r="K4071" t="n">
        <v>0</v>
      </c>
      <c r="L4071" t="n">
        <v>0</v>
      </c>
      <c r="M4071" t="n">
        <v>0</v>
      </c>
      <c r="N4071" t="n">
        <v>0</v>
      </c>
      <c r="O4071" t="n">
        <v>0</v>
      </c>
      <c r="P4071" t="n">
        <v>0</v>
      </c>
      <c r="Q4071" t="n">
        <v>0</v>
      </c>
      <c r="R4071" s="2" t="inlineStr"/>
    </row>
    <row r="4072" ht="15" customHeight="1">
      <c r="A4072" t="inlineStr">
        <is>
          <t>A 49903-2021</t>
        </is>
      </c>
      <c r="B4072" s="1" t="n">
        <v>44455</v>
      </c>
      <c r="C4072" s="1" t="n">
        <v>45344</v>
      </c>
      <c r="D4072" t="inlineStr">
        <is>
          <t>GÄVLEBORGS LÄN</t>
        </is>
      </c>
      <c r="E4072" t="inlineStr">
        <is>
          <t>NORDANSTIG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49780-2021</t>
        </is>
      </c>
      <c r="B4073" s="1" t="n">
        <v>44455</v>
      </c>
      <c r="C4073" s="1" t="n">
        <v>45344</v>
      </c>
      <c r="D4073" t="inlineStr">
        <is>
          <t>GÄVLEBORGS LÄN</t>
        </is>
      </c>
      <c r="E4073" t="inlineStr">
        <is>
          <t>LJUSDAL</t>
        </is>
      </c>
      <c r="F4073" t="inlineStr">
        <is>
          <t>Holmen skog AB</t>
        </is>
      </c>
      <c r="G4073" t="n">
        <v>5</v>
      </c>
      <c r="H4073" t="n">
        <v>0</v>
      </c>
      <c r="I4073" t="n">
        <v>0</v>
      </c>
      <c r="J4073" t="n">
        <v>0</v>
      </c>
      <c r="K4073" t="n">
        <v>0</v>
      </c>
      <c r="L4073" t="n">
        <v>0</v>
      </c>
      <c r="M4073" t="n">
        <v>0</v>
      </c>
      <c r="N4073" t="n">
        <v>0</v>
      </c>
      <c r="O4073" t="n">
        <v>0</v>
      </c>
      <c r="P4073" t="n">
        <v>0</v>
      </c>
      <c r="Q4073" t="n">
        <v>0</v>
      </c>
      <c r="R4073" s="2" t="inlineStr"/>
    </row>
    <row r="4074" ht="15" customHeight="1">
      <c r="A4074" t="inlineStr">
        <is>
          <t>A 49928-2021</t>
        </is>
      </c>
      <c r="B4074" s="1" t="n">
        <v>44455</v>
      </c>
      <c r="C4074" s="1" t="n">
        <v>45344</v>
      </c>
      <c r="D4074" t="inlineStr">
        <is>
          <t>GÄVLEBORGS LÄN</t>
        </is>
      </c>
      <c r="E4074" t="inlineStr">
        <is>
          <t>HUDIKSVALL</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49925-2021</t>
        </is>
      </c>
      <c r="B4075" s="1" t="n">
        <v>44456</v>
      </c>
      <c r="C4075" s="1" t="n">
        <v>45344</v>
      </c>
      <c r="D4075" t="inlineStr">
        <is>
          <t>GÄVLEBORGS LÄN</t>
        </is>
      </c>
      <c r="E4075" t="inlineStr">
        <is>
          <t>HUDIKSVALL</t>
        </is>
      </c>
      <c r="G4075" t="n">
        <v>3.6</v>
      </c>
      <c r="H4075" t="n">
        <v>0</v>
      </c>
      <c r="I4075" t="n">
        <v>0</v>
      </c>
      <c r="J4075" t="n">
        <v>0</v>
      </c>
      <c r="K4075" t="n">
        <v>0</v>
      </c>
      <c r="L4075" t="n">
        <v>0</v>
      </c>
      <c r="M4075" t="n">
        <v>0</v>
      </c>
      <c r="N4075" t="n">
        <v>0</v>
      </c>
      <c r="O4075" t="n">
        <v>0</v>
      </c>
      <c r="P4075" t="n">
        <v>0</v>
      </c>
      <c r="Q4075" t="n">
        <v>0</v>
      </c>
      <c r="R4075" s="2" t="inlineStr"/>
    </row>
    <row r="4076" ht="15" customHeight="1">
      <c r="A4076" t="inlineStr">
        <is>
          <t>A 50036-2021</t>
        </is>
      </c>
      <c r="B4076" s="1" t="n">
        <v>44456</v>
      </c>
      <c r="C4076" s="1" t="n">
        <v>45344</v>
      </c>
      <c r="D4076" t="inlineStr">
        <is>
          <t>GÄVLEBORGS LÄN</t>
        </is>
      </c>
      <c r="E4076" t="inlineStr">
        <is>
          <t>NORDANSTIG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50055-2021</t>
        </is>
      </c>
      <c r="B4077" s="1" t="n">
        <v>44456</v>
      </c>
      <c r="C4077" s="1" t="n">
        <v>45344</v>
      </c>
      <c r="D4077" t="inlineStr">
        <is>
          <t>GÄVLEBORGS LÄN</t>
        </is>
      </c>
      <c r="E4077" t="inlineStr">
        <is>
          <t>LJUSDAL</t>
        </is>
      </c>
      <c r="F4077" t="inlineStr">
        <is>
          <t>Sveaskog</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50057-2021</t>
        </is>
      </c>
      <c r="B4078" s="1" t="n">
        <v>44456</v>
      </c>
      <c r="C4078" s="1" t="n">
        <v>45344</v>
      </c>
      <c r="D4078" t="inlineStr">
        <is>
          <t>GÄVLEBORGS LÄN</t>
        </is>
      </c>
      <c r="E4078" t="inlineStr">
        <is>
          <t>LJUSDAL</t>
        </is>
      </c>
      <c r="F4078" t="inlineStr">
        <is>
          <t>Sveaskog</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50278-2021</t>
        </is>
      </c>
      <c r="B4079" s="1" t="n">
        <v>44456</v>
      </c>
      <c r="C4079" s="1" t="n">
        <v>45344</v>
      </c>
      <c r="D4079" t="inlineStr">
        <is>
          <t>GÄVLEBORGS LÄN</t>
        </is>
      </c>
      <c r="E4079" t="inlineStr">
        <is>
          <t>HOFORS</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50331-2021</t>
        </is>
      </c>
      <c r="B4080" s="1" t="n">
        <v>44459</v>
      </c>
      <c r="C4080" s="1" t="n">
        <v>45344</v>
      </c>
      <c r="D4080" t="inlineStr">
        <is>
          <t>GÄVLEBORGS LÄN</t>
        </is>
      </c>
      <c r="E4080" t="inlineStr">
        <is>
          <t>LJUSDAL</t>
        </is>
      </c>
      <c r="F4080" t="inlineStr">
        <is>
          <t>Bergvik skog väst AB</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50389-2021</t>
        </is>
      </c>
      <c r="B4081" s="1" t="n">
        <v>44459</v>
      </c>
      <c r="C4081" s="1" t="n">
        <v>45344</v>
      </c>
      <c r="D4081" t="inlineStr">
        <is>
          <t>GÄVLEBORGS LÄN</t>
        </is>
      </c>
      <c r="E4081" t="inlineStr">
        <is>
          <t>GÄVLE</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50409-2021</t>
        </is>
      </c>
      <c r="B4082" s="1" t="n">
        <v>44459</v>
      </c>
      <c r="C4082" s="1" t="n">
        <v>45344</v>
      </c>
      <c r="D4082" t="inlineStr">
        <is>
          <t>GÄVLEBORGS LÄN</t>
        </is>
      </c>
      <c r="E4082" t="inlineStr">
        <is>
          <t>SANDVIKEN</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50716-2021</t>
        </is>
      </c>
      <c r="B4083" s="1" t="n">
        <v>44460</v>
      </c>
      <c r="C4083" s="1" t="n">
        <v>45344</v>
      </c>
      <c r="D4083" t="inlineStr">
        <is>
          <t>GÄVLEBORGS LÄN</t>
        </is>
      </c>
      <c r="E4083" t="inlineStr">
        <is>
          <t>NORDANSTIG</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50899-2021</t>
        </is>
      </c>
      <c r="B4084" s="1" t="n">
        <v>44460</v>
      </c>
      <c r="C4084" s="1" t="n">
        <v>45344</v>
      </c>
      <c r="D4084" t="inlineStr">
        <is>
          <t>GÄVLEBORGS LÄN</t>
        </is>
      </c>
      <c r="E4084" t="inlineStr">
        <is>
          <t>HUDIKSVALL</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50681-2021</t>
        </is>
      </c>
      <c r="B4085" s="1" t="n">
        <v>44460</v>
      </c>
      <c r="C4085" s="1" t="n">
        <v>45344</v>
      </c>
      <c r="D4085" t="inlineStr">
        <is>
          <t>GÄVLEBORGS LÄN</t>
        </is>
      </c>
      <c r="E4085" t="inlineStr">
        <is>
          <t>HOFORS</t>
        </is>
      </c>
      <c r="F4085" t="inlineStr">
        <is>
          <t>Bergvik skog öst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50732-2021</t>
        </is>
      </c>
      <c r="B4086" s="1" t="n">
        <v>44460</v>
      </c>
      <c r="C4086" s="1" t="n">
        <v>45344</v>
      </c>
      <c r="D4086" t="inlineStr">
        <is>
          <t>GÄVLEBORGS LÄN</t>
        </is>
      </c>
      <c r="E4086" t="inlineStr">
        <is>
          <t>LJUSDAL</t>
        </is>
      </c>
      <c r="F4086" t="inlineStr">
        <is>
          <t>Holmen skog AB</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50811-2021</t>
        </is>
      </c>
      <c r="B4087" s="1" t="n">
        <v>44460</v>
      </c>
      <c r="C4087" s="1" t="n">
        <v>45344</v>
      </c>
      <c r="D4087" t="inlineStr">
        <is>
          <t>GÄVLEBORGS LÄN</t>
        </is>
      </c>
      <c r="E4087" t="inlineStr">
        <is>
          <t>NORDANSTIG</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50762-2021</t>
        </is>
      </c>
      <c r="B4088" s="1" t="n">
        <v>44460</v>
      </c>
      <c r="C4088" s="1" t="n">
        <v>45344</v>
      </c>
      <c r="D4088" t="inlineStr">
        <is>
          <t>GÄVLEBORGS LÄN</t>
        </is>
      </c>
      <c r="E4088" t="inlineStr">
        <is>
          <t>OCKELBO</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50697-2021</t>
        </is>
      </c>
      <c r="B4089" s="1" t="n">
        <v>44460</v>
      </c>
      <c r="C4089" s="1" t="n">
        <v>45344</v>
      </c>
      <c r="D4089" t="inlineStr">
        <is>
          <t>GÄVLEBORGS LÄN</t>
        </is>
      </c>
      <c r="E4089" t="inlineStr">
        <is>
          <t>LJUSDAL</t>
        </is>
      </c>
      <c r="F4089" t="inlineStr">
        <is>
          <t>Holmen skog AB</t>
        </is>
      </c>
      <c r="G4089" t="n">
        <v>4.5</v>
      </c>
      <c r="H4089" t="n">
        <v>0</v>
      </c>
      <c r="I4089" t="n">
        <v>0</v>
      </c>
      <c r="J4089" t="n">
        <v>0</v>
      </c>
      <c r="K4089" t="n">
        <v>0</v>
      </c>
      <c r="L4089" t="n">
        <v>0</v>
      </c>
      <c r="M4089" t="n">
        <v>0</v>
      </c>
      <c r="N4089" t="n">
        <v>0</v>
      </c>
      <c r="O4089" t="n">
        <v>0</v>
      </c>
      <c r="P4089" t="n">
        <v>0</v>
      </c>
      <c r="Q4089" t="n">
        <v>0</v>
      </c>
      <c r="R4089" s="2" t="inlineStr"/>
    </row>
    <row r="4090" ht="15" customHeight="1">
      <c r="A4090" t="inlineStr">
        <is>
          <t>A 50739-2021</t>
        </is>
      </c>
      <c r="B4090" s="1" t="n">
        <v>44460</v>
      </c>
      <c r="C4090" s="1" t="n">
        <v>45344</v>
      </c>
      <c r="D4090" t="inlineStr">
        <is>
          <t>GÄVLEBORGS LÄN</t>
        </is>
      </c>
      <c r="E4090" t="inlineStr">
        <is>
          <t>OCKELBO</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50849-2021</t>
        </is>
      </c>
      <c r="B4091" s="1" t="n">
        <v>44460</v>
      </c>
      <c r="C4091" s="1" t="n">
        <v>45344</v>
      </c>
      <c r="D4091" t="inlineStr">
        <is>
          <t>GÄVLEBORGS LÄN</t>
        </is>
      </c>
      <c r="E4091" t="inlineStr">
        <is>
          <t>LJUSDAL</t>
        </is>
      </c>
      <c r="G4091" t="n">
        <v>2.7</v>
      </c>
      <c r="H4091" t="n">
        <v>0</v>
      </c>
      <c r="I4091" t="n">
        <v>0</v>
      </c>
      <c r="J4091" t="n">
        <v>0</v>
      </c>
      <c r="K4091" t="n">
        <v>0</v>
      </c>
      <c r="L4091" t="n">
        <v>0</v>
      </c>
      <c r="M4091" t="n">
        <v>0</v>
      </c>
      <c r="N4091" t="n">
        <v>0</v>
      </c>
      <c r="O4091" t="n">
        <v>0</v>
      </c>
      <c r="P4091" t="n">
        <v>0</v>
      </c>
      <c r="Q4091" t="n">
        <v>0</v>
      </c>
      <c r="R4091" s="2" t="inlineStr"/>
    </row>
    <row r="4092" ht="15" customHeight="1">
      <c r="A4092" t="inlineStr">
        <is>
          <t>A 50876-2021</t>
        </is>
      </c>
      <c r="B4092" s="1" t="n">
        <v>44460</v>
      </c>
      <c r="C4092" s="1" t="n">
        <v>45344</v>
      </c>
      <c r="D4092" t="inlineStr">
        <is>
          <t>GÄVLEBORGS LÄN</t>
        </is>
      </c>
      <c r="E4092" t="inlineStr">
        <is>
          <t>SANDVIKEN</t>
        </is>
      </c>
      <c r="F4092" t="inlineStr">
        <is>
          <t>Sveaskog</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50935-2021</t>
        </is>
      </c>
      <c r="B4093" s="1" t="n">
        <v>44460</v>
      </c>
      <c r="C4093" s="1" t="n">
        <v>45344</v>
      </c>
      <c r="D4093" t="inlineStr">
        <is>
          <t>GÄVLEBORGS LÄN</t>
        </is>
      </c>
      <c r="E4093" t="inlineStr">
        <is>
          <t>BOLLNÄS</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51250-2021</t>
        </is>
      </c>
      <c r="B4094" s="1" t="n">
        <v>44460</v>
      </c>
      <c r="C4094" s="1" t="n">
        <v>45344</v>
      </c>
      <c r="D4094" t="inlineStr">
        <is>
          <t>GÄVLEBORGS LÄN</t>
        </is>
      </c>
      <c r="E4094" t="inlineStr">
        <is>
          <t>OCKELBO</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51273-2021</t>
        </is>
      </c>
      <c r="B4095" s="1" t="n">
        <v>44460</v>
      </c>
      <c r="C4095" s="1" t="n">
        <v>45344</v>
      </c>
      <c r="D4095" t="inlineStr">
        <is>
          <t>GÄVLEBORGS LÄN</t>
        </is>
      </c>
      <c r="E4095" t="inlineStr">
        <is>
          <t>SÖDERHAMN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51271-2021</t>
        </is>
      </c>
      <c r="B4096" s="1" t="n">
        <v>44460</v>
      </c>
      <c r="C4096" s="1" t="n">
        <v>45344</v>
      </c>
      <c r="D4096" t="inlineStr">
        <is>
          <t>GÄVLEBORGS LÄN</t>
        </is>
      </c>
      <c r="E4096" t="inlineStr">
        <is>
          <t>OCKELBO</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51206-2021</t>
        </is>
      </c>
      <c r="B4097" s="1" t="n">
        <v>44460</v>
      </c>
      <c r="C4097" s="1" t="n">
        <v>45344</v>
      </c>
      <c r="D4097" t="inlineStr">
        <is>
          <t>GÄVLEBORGS LÄN</t>
        </is>
      </c>
      <c r="E4097" t="inlineStr">
        <is>
          <t>OCKELBO</t>
        </is>
      </c>
      <c r="G4097" t="n">
        <v>16.8</v>
      </c>
      <c r="H4097" t="n">
        <v>0</v>
      </c>
      <c r="I4097" t="n">
        <v>0</v>
      </c>
      <c r="J4097" t="n">
        <v>0</v>
      </c>
      <c r="K4097" t="n">
        <v>0</v>
      </c>
      <c r="L4097" t="n">
        <v>0</v>
      </c>
      <c r="M4097" t="n">
        <v>0</v>
      </c>
      <c r="N4097" t="n">
        <v>0</v>
      </c>
      <c r="O4097" t="n">
        <v>0</v>
      </c>
      <c r="P4097" t="n">
        <v>0</v>
      </c>
      <c r="Q4097" t="n">
        <v>0</v>
      </c>
      <c r="R4097" s="2" t="inlineStr"/>
    </row>
    <row r="4098" ht="15" customHeight="1">
      <c r="A4098" t="inlineStr">
        <is>
          <t>A 51565-2021</t>
        </is>
      </c>
      <c r="B4098" s="1" t="n">
        <v>44460</v>
      </c>
      <c r="C4098" s="1" t="n">
        <v>45344</v>
      </c>
      <c r="D4098" t="inlineStr">
        <is>
          <t>GÄVLEBORGS LÄN</t>
        </is>
      </c>
      <c r="E4098" t="inlineStr">
        <is>
          <t>OCKELBO</t>
        </is>
      </c>
      <c r="G4098" t="n">
        <v>8.800000000000001</v>
      </c>
      <c r="H4098" t="n">
        <v>0</v>
      </c>
      <c r="I4098" t="n">
        <v>0</v>
      </c>
      <c r="J4098" t="n">
        <v>0</v>
      </c>
      <c r="K4098" t="n">
        <v>0</v>
      </c>
      <c r="L4098" t="n">
        <v>0</v>
      </c>
      <c r="M4098" t="n">
        <v>0</v>
      </c>
      <c r="N4098" t="n">
        <v>0</v>
      </c>
      <c r="O4098" t="n">
        <v>0</v>
      </c>
      <c r="P4098" t="n">
        <v>0</v>
      </c>
      <c r="Q4098" t="n">
        <v>0</v>
      </c>
      <c r="R4098" s="2" t="inlineStr"/>
    </row>
    <row r="4099" ht="15" customHeight="1">
      <c r="A4099" t="inlineStr">
        <is>
          <t>A 51257-2021</t>
        </is>
      </c>
      <c r="B4099" s="1" t="n">
        <v>44460</v>
      </c>
      <c r="C4099" s="1" t="n">
        <v>45344</v>
      </c>
      <c r="D4099" t="inlineStr">
        <is>
          <t>GÄVLEBORGS LÄN</t>
        </is>
      </c>
      <c r="E4099" t="inlineStr">
        <is>
          <t>OCKELBO</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51249-2021</t>
        </is>
      </c>
      <c r="B4100" s="1" t="n">
        <v>44461</v>
      </c>
      <c r="C4100" s="1" t="n">
        <v>45344</v>
      </c>
      <c r="D4100" t="inlineStr">
        <is>
          <t>GÄVLEBORGS LÄN</t>
        </is>
      </c>
      <c r="E4100" t="inlineStr">
        <is>
          <t>GÄVLE</t>
        </is>
      </c>
      <c r="F4100" t="inlineStr">
        <is>
          <t>Bergvik skog öst AB</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51223-2021</t>
        </is>
      </c>
      <c r="B4101" s="1" t="n">
        <v>44461</v>
      </c>
      <c r="C4101" s="1" t="n">
        <v>45344</v>
      </c>
      <c r="D4101" t="inlineStr">
        <is>
          <t>GÄVLEBORGS LÄN</t>
        </is>
      </c>
      <c r="E4101" t="inlineStr">
        <is>
          <t>NORDANSTIG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51400-2021</t>
        </is>
      </c>
      <c r="B4102" s="1" t="n">
        <v>44461</v>
      </c>
      <c r="C4102" s="1" t="n">
        <v>45344</v>
      </c>
      <c r="D4102" t="inlineStr">
        <is>
          <t>GÄVLEBORGS LÄN</t>
        </is>
      </c>
      <c r="E4102" t="inlineStr">
        <is>
          <t>NORDANSTIG</t>
        </is>
      </c>
      <c r="F4102" t="inlineStr">
        <is>
          <t>Holmen skog AB</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51431-2021</t>
        </is>
      </c>
      <c r="B4103" s="1" t="n">
        <v>44461</v>
      </c>
      <c r="C4103" s="1" t="n">
        <v>45344</v>
      </c>
      <c r="D4103" t="inlineStr">
        <is>
          <t>GÄVLEBORGS LÄN</t>
        </is>
      </c>
      <c r="E4103" t="inlineStr">
        <is>
          <t>LJUSDAL</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51543-2021</t>
        </is>
      </c>
      <c r="B4104" s="1" t="n">
        <v>44461</v>
      </c>
      <c r="C4104" s="1" t="n">
        <v>45344</v>
      </c>
      <c r="D4104" t="inlineStr">
        <is>
          <t>GÄVLEBORGS LÄN</t>
        </is>
      </c>
      <c r="E4104" t="inlineStr">
        <is>
          <t>NORDANSTIG</t>
        </is>
      </c>
      <c r="G4104" t="n">
        <v>3.4</v>
      </c>
      <c r="H4104" t="n">
        <v>0</v>
      </c>
      <c r="I4104" t="n">
        <v>0</v>
      </c>
      <c r="J4104" t="n">
        <v>0</v>
      </c>
      <c r="K4104" t="n">
        <v>0</v>
      </c>
      <c r="L4104" t="n">
        <v>0</v>
      </c>
      <c r="M4104" t="n">
        <v>0</v>
      </c>
      <c r="N4104" t="n">
        <v>0</v>
      </c>
      <c r="O4104" t="n">
        <v>0</v>
      </c>
      <c r="P4104" t="n">
        <v>0</v>
      </c>
      <c r="Q4104" t="n">
        <v>0</v>
      </c>
      <c r="R4104" s="2" t="inlineStr"/>
    </row>
    <row r="4105" ht="15" customHeight="1">
      <c r="A4105" t="inlineStr">
        <is>
          <t>A 51571-2021</t>
        </is>
      </c>
      <c r="B4105" s="1" t="n">
        <v>44462</v>
      </c>
      <c r="C4105" s="1" t="n">
        <v>45344</v>
      </c>
      <c r="D4105" t="inlineStr">
        <is>
          <t>GÄVLEBORGS LÄN</t>
        </is>
      </c>
      <c r="E4105" t="inlineStr">
        <is>
          <t>OCKELBO</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51762-2021</t>
        </is>
      </c>
      <c r="B4106" s="1" t="n">
        <v>44462</v>
      </c>
      <c r="C4106" s="1" t="n">
        <v>45344</v>
      </c>
      <c r="D4106" t="inlineStr">
        <is>
          <t>GÄVLEBORGS LÄN</t>
        </is>
      </c>
      <c r="E4106" t="inlineStr">
        <is>
          <t>HUDIKSVALL</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51493-2021</t>
        </is>
      </c>
      <c r="B4107" s="1" t="n">
        <v>44462</v>
      </c>
      <c r="C4107" s="1" t="n">
        <v>45344</v>
      </c>
      <c r="D4107" t="inlineStr">
        <is>
          <t>GÄVLEBORGS LÄN</t>
        </is>
      </c>
      <c r="E4107" t="inlineStr">
        <is>
          <t>OCKELBO</t>
        </is>
      </c>
      <c r="F4107" t="inlineStr">
        <is>
          <t>Kyrkan</t>
        </is>
      </c>
      <c r="G4107" t="n">
        <v>15.4</v>
      </c>
      <c r="H4107" t="n">
        <v>0</v>
      </c>
      <c r="I4107" t="n">
        <v>0</v>
      </c>
      <c r="J4107" t="n">
        <v>0</v>
      </c>
      <c r="K4107" t="n">
        <v>0</v>
      </c>
      <c r="L4107" t="n">
        <v>0</v>
      </c>
      <c r="M4107" t="n">
        <v>0</v>
      </c>
      <c r="N4107" t="n">
        <v>0</v>
      </c>
      <c r="O4107" t="n">
        <v>0</v>
      </c>
      <c r="P4107" t="n">
        <v>0</v>
      </c>
      <c r="Q4107" t="n">
        <v>0</v>
      </c>
      <c r="R4107" s="2" t="inlineStr"/>
    </row>
    <row r="4108" ht="15" customHeight="1">
      <c r="A4108" t="inlineStr">
        <is>
          <t>A 51550-2021</t>
        </is>
      </c>
      <c r="B4108" s="1" t="n">
        <v>44462</v>
      </c>
      <c r="C4108" s="1" t="n">
        <v>45344</v>
      </c>
      <c r="D4108" t="inlineStr">
        <is>
          <t>GÄVLEBORGS LÄN</t>
        </is>
      </c>
      <c r="E4108" t="inlineStr">
        <is>
          <t>OCKELBO</t>
        </is>
      </c>
      <c r="F4108" t="inlineStr">
        <is>
          <t>Bergvik skog väst AB</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51551-2021</t>
        </is>
      </c>
      <c r="B4109" s="1" t="n">
        <v>44462</v>
      </c>
      <c r="C4109" s="1" t="n">
        <v>45344</v>
      </c>
      <c r="D4109" t="inlineStr">
        <is>
          <t>GÄVLEBORGS LÄN</t>
        </is>
      </c>
      <c r="E4109" t="inlineStr">
        <is>
          <t>NORDANSTIG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51692-2021</t>
        </is>
      </c>
      <c r="B4110" s="1" t="n">
        <v>44462</v>
      </c>
      <c r="C4110" s="1" t="n">
        <v>45344</v>
      </c>
      <c r="D4110" t="inlineStr">
        <is>
          <t>GÄVLEBORGS LÄN</t>
        </is>
      </c>
      <c r="E4110" t="inlineStr">
        <is>
          <t>HUDIKSVALL</t>
        </is>
      </c>
      <c r="F4110" t="inlineStr">
        <is>
          <t>Holmen skog AB</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51708-2021</t>
        </is>
      </c>
      <c r="B4111" s="1" t="n">
        <v>44462</v>
      </c>
      <c r="C4111" s="1" t="n">
        <v>45344</v>
      </c>
      <c r="D4111" t="inlineStr">
        <is>
          <t>GÄVLEBORGS LÄN</t>
        </is>
      </c>
      <c r="E4111" t="inlineStr">
        <is>
          <t>OCKELBO</t>
        </is>
      </c>
      <c r="F4111" t="inlineStr">
        <is>
          <t>Bergvik skog väst AB</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51721-2021</t>
        </is>
      </c>
      <c r="B4112" s="1" t="n">
        <v>44462</v>
      </c>
      <c r="C4112" s="1" t="n">
        <v>45344</v>
      </c>
      <c r="D4112" t="inlineStr">
        <is>
          <t>GÄVLEBORGS LÄN</t>
        </is>
      </c>
      <c r="E4112" t="inlineStr">
        <is>
          <t>NORDANSTIG</t>
        </is>
      </c>
      <c r="F4112" t="inlineStr">
        <is>
          <t>Holmen skog AB</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51761-2021</t>
        </is>
      </c>
      <c r="B4113" s="1" t="n">
        <v>44462</v>
      </c>
      <c r="C4113" s="1" t="n">
        <v>45344</v>
      </c>
      <c r="D4113" t="inlineStr">
        <is>
          <t>GÄVLEBORGS LÄN</t>
        </is>
      </c>
      <c r="E4113" t="inlineStr">
        <is>
          <t>BOLLNÄS</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51809-2021</t>
        </is>
      </c>
      <c r="B4114" s="1" t="n">
        <v>44462</v>
      </c>
      <c r="C4114" s="1" t="n">
        <v>45344</v>
      </c>
      <c r="D4114" t="inlineStr">
        <is>
          <t>GÄVLEBORGS LÄN</t>
        </is>
      </c>
      <c r="E4114" t="inlineStr">
        <is>
          <t>GÄVLE</t>
        </is>
      </c>
      <c r="G4114" t="n">
        <v>2.3</v>
      </c>
      <c r="H4114" t="n">
        <v>0</v>
      </c>
      <c r="I4114" t="n">
        <v>0</v>
      </c>
      <c r="J4114" t="n">
        <v>0</v>
      </c>
      <c r="K4114" t="n">
        <v>0</v>
      </c>
      <c r="L4114" t="n">
        <v>0</v>
      </c>
      <c r="M4114" t="n">
        <v>0</v>
      </c>
      <c r="N4114" t="n">
        <v>0</v>
      </c>
      <c r="O4114" t="n">
        <v>0</v>
      </c>
      <c r="P4114" t="n">
        <v>0</v>
      </c>
      <c r="Q4114" t="n">
        <v>0</v>
      </c>
      <c r="R4114" s="2" t="inlineStr"/>
    </row>
    <row r="4115" ht="15" customHeight="1">
      <c r="A4115" t="inlineStr">
        <is>
          <t>A 51716-2021</t>
        </is>
      </c>
      <c r="B4115" s="1" t="n">
        <v>44462</v>
      </c>
      <c r="C4115" s="1" t="n">
        <v>45344</v>
      </c>
      <c r="D4115" t="inlineStr">
        <is>
          <t>GÄVLEBORGS LÄN</t>
        </is>
      </c>
      <c r="E4115" t="inlineStr">
        <is>
          <t>HUDIKSVALL</t>
        </is>
      </c>
      <c r="F4115" t="inlineStr">
        <is>
          <t>Holmen skog AB</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52117-2021</t>
        </is>
      </c>
      <c r="B4116" s="1" t="n">
        <v>44462</v>
      </c>
      <c r="C4116" s="1" t="n">
        <v>45344</v>
      </c>
      <c r="D4116" t="inlineStr">
        <is>
          <t>GÄVLEBORGS LÄN</t>
        </is>
      </c>
      <c r="E4116" t="inlineStr">
        <is>
          <t>HUDIKSVALL</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52046-2021</t>
        </is>
      </c>
      <c r="B4117" s="1" t="n">
        <v>44463</v>
      </c>
      <c r="C4117" s="1" t="n">
        <v>45344</v>
      </c>
      <c r="D4117" t="inlineStr">
        <is>
          <t>GÄVLEBORGS LÄN</t>
        </is>
      </c>
      <c r="E4117" t="inlineStr">
        <is>
          <t>OVANÅKER</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52096-2021</t>
        </is>
      </c>
      <c r="B4118" s="1" t="n">
        <v>44463</v>
      </c>
      <c r="C4118" s="1" t="n">
        <v>45344</v>
      </c>
      <c r="D4118" t="inlineStr">
        <is>
          <t>GÄVLEBORGS LÄN</t>
        </is>
      </c>
      <c r="E4118" t="inlineStr">
        <is>
          <t>SANDVIKEN</t>
        </is>
      </c>
      <c r="G4118" t="n">
        <v>2.9</v>
      </c>
      <c r="H4118" t="n">
        <v>0</v>
      </c>
      <c r="I4118" t="n">
        <v>0</v>
      </c>
      <c r="J4118" t="n">
        <v>0</v>
      </c>
      <c r="K4118" t="n">
        <v>0</v>
      </c>
      <c r="L4118" t="n">
        <v>0</v>
      </c>
      <c r="M4118" t="n">
        <v>0</v>
      </c>
      <c r="N4118" t="n">
        <v>0</v>
      </c>
      <c r="O4118" t="n">
        <v>0</v>
      </c>
      <c r="P4118" t="n">
        <v>0</v>
      </c>
      <c r="Q4118" t="n">
        <v>0</v>
      </c>
      <c r="R4118" s="2" t="inlineStr"/>
    </row>
    <row r="4119" ht="15" customHeight="1">
      <c r="A4119" t="inlineStr">
        <is>
          <t>A 52256-2021</t>
        </is>
      </c>
      <c r="B4119" s="1" t="n">
        <v>44463</v>
      </c>
      <c r="C4119" s="1" t="n">
        <v>45344</v>
      </c>
      <c r="D4119" t="inlineStr">
        <is>
          <t>GÄVLEBORGS LÄN</t>
        </is>
      </c>
      <c r="E4119" t="inlineStr">
        <is>
          <t>HUDIKSVALL</t>
        </is>
      </c>
      <c r="F4119" t="inlineStr">
        <is>
          <t>Holmen skog AB</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52191-2021</t>
        </is>
      </c>
      <c r="B4120" s="1" t="n">
        <v>44463</v>
      </c>
      <c r="C4120" s="1" t="n">
        <v>45344</v>
      </c>
      <c r="D4120" t="inlineStr">
        <is>
          <t>GÄVLEBORGS LÄN</t>
        </is>
      </c>
      <c r="E4120" t="inlineStr">
        <is>
          <t>SÖDERHAMN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52613-2021</t>
        </is>
      </c>
      <c r="B4121" s="1" t="n">
        <v>44466</v>
      </c>
      <c r="C4121" s="1" t="n">
        <v>45344</v>
      </c>
      <c r="D4121" t="inlineStr">
        <is>
          <t>GÄVLEBORGS LÄN</t>
        </is>
      </c>
      <c r="E4121" t="inlineStr">
        <is>
          <t>LJUSDAL</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52664-2021</t>
        </is>
      </c>
      <c r="B4122" s="1" t="n">
        <v>44466</v>
      </c>
      <c r="C4122" s="1" t="n">
        <v>45344</v>
      </c>
      <c r="D4122" t="inlineStr">
        <is>
          <t>GÄVLEBORGS LÄN</t>
        </is>
      </c>
      <c r="E4122" t="inlineStr">
        <is>
          <t>GÄVLE</t>
        </is>
      </c>
      <c r="F4122" t="inlineStr">
        <is>
          <t>Bergvik skog väst AB</t>
        </is>
      </c>
      <c r="G4122" t="n">
        <v>18.2</v>
      </c>
      <c r="H4122" t="n">
        <v>0</v>
      </c>
      <c r="I4122" t="n">
        <v>0</v>
      </c>
      <c r="J4122" t="n">
        <v>0</v>
      </c>
      <c r="K4122" t="n">
        <v>0</v>
      </c>
      <c r="L4122" t="n">
        <v>0</v>
      </c>
      <c r="M4122" t="n">
        <v>0</v>
      </c>
      <c r="N4122" t="n">
        <v>0</v>
      </c>
      <c r="O4122" t="n">
        <v>0</v>
      </c>
      <c r="P4122" t="n">
        <v>0</v>
      </c>
      <c r="Q4122" t="n">
        <v>0</v>
      </c>
      <c r="R4122" s="2" t="inlineStr"/>
    </row>
    <row r="4123" ht="15" customHeight="1">
      <c r="A4123" t="inlineStr">
        <is>
          <t>A 52608-2021</t>
        </is>
      </c>
      <c r="B4123" s="1" t="n">
        <v>44466</v>
      </c>
      <c r="C4123" s="1" t="n">
        <v>45344</v>
      </c>
      <c r="D4123" t="inlineStr">
        <is>
          <t>GÄVLEBORGS LÄN</t>
        </is>
      </c>
      <c r="E4123" t="inlineStr">
        <is>
          <t>OVANÅKER</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52614-2021</t>
        </is>
      </c>
      <c r="B4124" s="1" t="n">
        <v>44466</v>
      </c>
      <c r="C4124" s="1" t="n">
        <v>45344</v>
      </c>
      <c r="D4124" t="inlineStr">
        <is>
          <t>GÄVLEBORGS LÄN</t>
        </is>
      </c>
      <c r="E4124" t="inlineStr">
        <is>
          <t>OVANÅKER</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52417-2021</t>
        </is>
      </c>
      <c r="B4125" s="1" t="n">
        <v>44466</v>
      </c>
      <c r="C4125" s="1" t="n">
        <v>45344</v>
      </c>
      <c r="D4125" t="inlineStr">
        <is>
          <t>GÄVLEBORGS LÄN</t>
        </is>
      </c>
      <c r="E4125" t="inlineStr">
        <is>
          <t>NORDANSTIG</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52495-2021</t>
        </is>
      </c>
      <c r="B4126" s="1" t="n">
        <v>44466</v>
      </c>
      <c r="C4126" s="1" t="n">
        <v>45344</v>
      </c>
      <c r="D4126" t="inlineStr">
        <is>
          <t>GÄVLEBORGS LÄN</t>
        </is>
      </c>
      <c r="E4126" t="inlineStr">
        <is>
          <t>GÄVLE</t>
        </is>
      </c>
      <c r="F4126" t="inlineStr">
        <is>
          <t>Bergvik skog väst AB</t>
        </is>
      </c>
      <c r="G4126" t="n">
        <v>5.9</v>
      </c>
      <c r="H4126" t="n">
        <v>0</v>
      </c>
      <c r="I4126" t="n">
        <v>0</v>
      </c>
      <c r="J4126" t="n">
        <v>0</v>
      </c>
      <c r="K4126" t="n">
        <v>0</v>
      </c>
      <c r="L4126" t="n">
        <v>0</v>
      </c>
      <c r="M4126" t="n">
        <v>0</v>
      </c>
      <c r="N4126" t="n">
        <v>0</v>
      </c>
      <c r="O4126" t="n">
        <v>0</v>
      </c>
      <c r="P4126" t="n">
        <v>0</v>
      </c>
      <c r="Q4126" t="n">
        <v>0</v>
      </c>
      <c r="R4126" s="2" t="inlineStr"/>
    </row>
    <row r="4127" ht="15" customHeight="1">
      <c r="A4127" t="inlineStr">
        <is>
          <t>A 52655-2021</t>
        </is>
      </c>
      <c r="B4127" s="1" t="n">
        <v>44466</v>
      </c>
      <c r="C4127" s="1" t="n">
        <v>45344</v>
      </c>
      <c r="D4127" t="inlineStr">
        <is>
          <t>GÄVLEBORGS LÄN</t>
        </is>
      </c>
      <c r="E4127" t="inlineStr">
        <is>
          <t>OCKELBO</t>
        </is>
      </c>
      <c r="F4127" t="inlineStr">
        <is>
          <t>Bergvik skog väst AB</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52780-2021</t>
        </is>
      </c>
      <c r="B4128" s="1" t="n">
        <v>44467</v>
      </c>
      <c r="C4128" s="1" t="n">
        <v>45344</v>
      </c>
      <c r="D4128" t="inlineStr">
        <is>
          <t>GÄVLEBORGS LÄN</t>
        </is>
      </c>
      <c r="E4128" t="inlineStr">
        <is>
          <t>LJUSDAL</t>
        </is>
      </c>
      <c r="F4128" t="inlineStr">
        <is>
          <t>Sveaskog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52778-2021</t>
        </is>
      </c>
      <c r="B4129" s="1" t="n">
        <v>44467</v>
      </c>
      <c r="C4129" s="1" t="n">
        <v>45344</v>
      </c>
      <c r="D4129" t="inlineStr">
        <is>
          <t>GÄVLEBORGS LÄN</t>
        </is>
      </c>
      <c r="E4129" t="inlineStr">
        <is>
          <t>LJUSDAL</t>
        </is>
      </c>
      <c r="F4129" t="inlineStr">
        <is>
          <t>Sveaskog</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52792-2021</t>
        </is>
      </c>
      <c r="B4130" s="1" t="n">
        <v>44467</v>
      </c>
      <c r="C4130" s="1" t="n">
        <v>45344</v>
      </c>
      <c r="D4130" t="inlineStr">
        <is>
          <t>GÄVLEBORGS LÄN</t>
        </is>
      </c>
      <c r="E4130" t="inlineStr">
        <is>
          <t>BOLLNÄS</t>
        </is>
      </c>
      <c r="F4130" t="inlineStr">
        <is>
          <t>Sveaskog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52839-2021</t>
        </is>
      </c>
      <c r="B4131" s="1" t="n">
        <v>44467</v>
      </c>
      <c r="C4131" s="1" t="n">
        <v>45344</v>
      </c>
      <c r="D4131" t="inlineStr">
        <is>
          <t>GÄVLEBORGS LÄN</t>
        </is>
      </c>
      <c r="E4131" t="inlineStr">
        <is>
          <t>LJUSDAL</t>
        </is>
      </c>
      <c r="F4131" t="inlineStr">
        <is>
          <t>Holmen skog AB</t>
        </is>
      </c>
      <c r="G4131" t="n">
        <v>14.9</v>
      </c>
      <c r="H4131" t="n">
        <v>0</v>
      </c>
      <c r="I4131" t="n">
        <v>0</v>
      </c>
      <c r="J4131" t="n">
        <v>0</v>
      </c>
      <c r="K4131" t="n">
        <v>0</v>
      </c>
      <c r="L4131" t="n">
        <v>0</v>
      </c>
      <c r="M4131" t="n">
        <v>0</v>
      </c>
      <c r="N4131" t="n">
        <v>0</v>
      </c>
      <c r="O4131" t="n">
        <v>0</v>
      </c>
      <c r="P4131" t="n">
        <v>0</v>
      </c>
      <c r="Q4131" t="n">
        <v>0</v>
      </c>
      <c r="R4131" s="2" t="inlineStr"/>
    </row>
    <row r="4132" ht="15" customHeight="1">
      <c r="A4132" t="inlineStr">
        <is>
          <t>A 52890-2021</t>
        </is>
      </c>
      <c r="B4132" s="1" t="n">
        <v>44467</v>
      </c>
      <c r="C4132" s="1" t="n">
        <v>45344</v>
      </c>
      <c r="D4132" t="inlineStr">
        <is>
          <t>GÄVLEBORGS LÄN</t>
        </is>
      </c>
      <c r="E4132" t="inlineStr">
        <is>
          <t>HOFORS</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52784-2021</t>
        </is>
      </c>
      <c r="B4133" s="1" t="n">
        <v>44467</v>
      </c>
      <c r="C4133" s="1" t="n">
        <v>45344</v>
      </c>
      <c r="D4133" t="inlineStr">
        <is>
          <t>GÄVLEBORGS LÄN</t>
        </is>
      </c>
      <c r="E4133" t="inlineStr">
        <is>
          <t>BOLLNÄS</t>
        </is>
      </c>
      <c r="F4133" t="inlineStr">
        <is>
          <t>Sveaskog</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52990-2021</t>
        </is>
      </c>
      <c r="B4134" s="1" t="n">
        <v>44467</v>
      </c>
      <c r="C4134" s="1" t="n">
        <v>45344</v>
      </c>
      <c r="D4134" t="inlineStr">
        <is>
          <t>GÄVLEBORGS LÄN</t>
        </is>
      </c>
      <c r="E4134" t="inlineStr">
        <is>
          <t>NORDANSTIG</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52948-2021</t>
        </is>
      </c>
      <c r="B4135" s="1" t="n">
        <v>44467</v>
      </c>
      <c r="C4135" s="1" t="n">
        <v>45344</v>
      </c>
      <c r="D4135" t="inlineStr">
        <is>
          <t>GÄVLEBORGS LÄN</t>
        </is>
      </c>
      <c r="E4135" t="inlineStr">
        <is>
          <t>LJUSDAL</t>
        </is>
      </c>
      <c r="F4135" t="inlineStr">
        <is>
          <t>Holmen skog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53306-2021</t>
        </is>
      </c>
      <c r="B4136" s="1" t="n">
        <v>44468</v>
      </c>
      <c r="C4136" s="1" t="n">
        <v>45344</v>
      </c>
      <c r="D4136" t="inlineStr">
        <is>
          <t>GÄVLEBORGS LÄN</t>
        </is>
      </c>
      <c r="E4136" t="inlineStr">
        <is>
          <t>SANDVIKEN</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53397-2021</t>
        </is>
      </c>
      <c r="B4137" s="1" t="n">
        <v>44468</v>
      </c>
      <c r="C4137" s="1" t="n">
        <v>45344</v>
      </c>
      <c r="D4137" t="inlineStr">
        <is>
          <t>GÄVLEBORGS LÄN</t>
        </is>
      </c>
      <c r="E4137" t="inlineStr">
        <is>
          <t>HUDIKSVALL</t>
        </is>
      </c>
      <c r="F4137" t="inlineStr">
        <is>
          <t>Holmen skog AB</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53432-2021</t>
        </is>
      </c>
      <c r="B4138" s="1" t="n">
        <v>44468</v>
      </c>
      <c r="C4138" s="1" t="n">
        <v>45344</v>
      </c>
      <c r="D4138" t="inlineStr">
        <is>
          <t>GÄVLEBORGS LÄN</t>
        </is>
      </c>
      <c r="E4138" t="inlineStr">
        <is>
          <t>GÄVLE</t>
        </is>
      </c>
      <c r="F4138" t="inlineStr">
        <is>
          <t>Bergvik skog öst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54013-2021</t>
        </is>
      </c>
      <c r="B4139" s="1" t="n">
        <v>44470</v>
      </c>
      <c r="C4139" s="1" t="n">
        <v>45344</v>
      </c>
      <c r="D4139" t="inlineStr">
        <is>
          <t>GÄVLEBORGS LÄN</t>
        </is>
      </c>
      <c r="E4139" t="inlineStr">
        <is>
          <t>OVANÅKER</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54113-2021</t>
        </is>
      </c>
      <c r="B4140" s="1" t="n">
        <v>44470</v>
      </c>
      <c r="C4140" s="1" t="n">
        <v>45344</v>
      </c>
      <c r="D4140" t="inlineStr">
        <is>
          <t>GÄVLEBORGS LÄN</t>
        </is>
      </c>
      <c r="E4140" t="inlineStr">
        <is>
          <t>LJUSDAL</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54126-2021</t>
        </is>
      </c>
      <c r="B4141" s="1" t="n">
        <v>44470</v>
      </c>
      <c r="C4141" s="1" t="n">
        <v>45344</v>
      </c>
      <c r="D4141" t="inlineStr">
        <is>
          <t>GÄVLEBORGS LÄN</t>
        </is>
      </c>
      <c r="E4141" t="inlineStr">
        <is>
          <t>HUDIKSVALL</t>
        </is>
      </c>
      <c r="G4141" t="n">
        <v>7</v>
      </c>
      <c r="H4141" t="n">
        <v>0</v>
      </c>
      <c r="I4141" t="n">
        <v>0</v>
      </c>
      <c r="J4141" t="n">
        <v>0</v>
      </c>
      <c r="K4141" t="n">
        <v>0</v>
      </c>
      <c r="L4141" t="n">
        <v>0</v>
      </c>
      <c r="M4141" t="n">
        <v>0</v>
      </c>
      <c r="N4141" t="n">
        <v>0</v>
      </c>
      <c r="O4141" t="n">
        <v>0</v>
      </c>
      <c r="P4141" t="n">
        <v>0</v>
      </c>
      <c r="Q4141" t="n">
        <v>0</v>
      </c>
      <c r="R4141" s="2" t="inlineStr"/>
    </row>
    <row r="4142" ht="15" customHeight="1">
      <c r="A4142" t="inlineStr">
        <is>
          <t>A 54154-2021</t>
        </is>
      </c>
      <c r="B4142" s="1" t="n">
        <v>44470</v>
      </c>
      <c r="C4142" s="1" t="n">
        <v>45344</v>
      </c>
      <c r="D4142" t="inlineStr">
        <is>
          <t>GÄVLEBORGS LÄN</t>
        </is>
      </c>
      <c r="E4142" t="inlineStr">
        <is>
          <t>HOFORS</t>
        </is>
      </c>
      <c r="F4142" t="inlineStr">
        <is>
          <t>Bergvik skog öst AB</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53999-2021</t>
        </is>
      </c>
      <c r="B4143" s="1" t="n">
        <v>44470</v>
      </c>
      <c r="C4143" s="1" t="n">
        <v>45344</v>
      </c>
      <c r="D4143" t="inlineStr">
        <is>
          <t>GÄVLEBORGS LÄN</t>
        </is>
      </c>
      <c r="E4143" t="inlineStr">
        <is>
          <t>LJUSDAL</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54080-2021</t>
        </is>
      </c>
      <c r="B4144" s="1" t="n">
        <v>44470</v>
      </c>
      <c r="C4144" s="1" t="n">
        <v>45344</v>
      </c>
      <c r="D4144" t="inlineStr">
        <is>
          <t>GÄVLEBORGS LÄN</t>
        </is>
      </c>
      <c r="E4144" t="inlineStr">
        <is>
          <t>OVANÅKER</t>
        </is>
      </c>
      <c r="F4144" t="inlineStr">
        <is>
          <t>Sveaskog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54237-2021</t>
        </is>
      </c>
      <c r="B4145" s="1" t="n">
        <v>44470</v>
      </c>
      <c r="C4145" s="1" t="n">
        <v>45344</v>
      </c>
      <c r="D4145" t="inlineStr">
        <is>
          <t>GÄVLEBORGS LÄN</t>
        </is>
      </c>
      <c r="E4145" t="inlineStr">
        <is>
          <t>LJUSDAL</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54363-2021</t>
        </is>
      </c>
      <c r="B4146" s="1" t="n">
        <v>44473</v>
      </c>
      <c r="C4146" s="1" t="n">
        <v>45344</v>
      </c>
      <c r="D4146" t="inlineStr">
        <is>
          <t>GÄVLEBORGS LÄN</t>
        </is>
      </c>
      <c r="E4146" t="inlineStr">
        <is>
          <t>HUDIKSVALL</t>
        </is>
      </c>
      <c r="F4146" t="inlineStr">
        <is>
          <t>Holmen skog AB</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54350-2021</t>
        </is>
      </c>
      <c r="B4147" s="1" t="n">
        <v>44473</v>
      </c>
      <c r="C4147" s="1" t="n">
        <v>45344</v>
      </c>
      <c r="D4147" t="inlineStr">
        <is>
          <t>GÄVLEBORGS LÄN</t>
        </is>
      </c>
      <c r="E4147" t="inlineStr">
        <is>
          <t>NORDANSTIG</t>
        </is>
      </c>
      <c r="F4147" t="inlineStr">
        <is>
          <t>Holmen skog AB</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54380-2021</t>
        </is>
      </c>
      <c r="B4148" s="1" t="n">
        <v>44473</v>
      </c>
      <c r="C4148" s="1" t="n">
        <v>45344</v>
      </c>
      <c r="D4148" t="inlineStr">
        <is>
          <t>GÄVLEBORGS LÄN</t>
        </is>
      </c>
      <c r="E4148" t="inlineStr">
        <is>
          <t>HUDIKSVALL</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54496-2021</t>
        </is>
      </c>
      <c r="B4149" s="1" t="n">
        <v>44473</v>
      </c>
      <c r="C4149" s="1" t="n">
        <v>45344</v>
      </c>
      <c r="D4149" t="inlineStr">
        <is>
          <t>GÄVLEBORGS LÄN</t>
        </is>
      </c>
      <c r="E4149" t="inlineStr">
        <is>
          <t>NORDANSTIG</t>
        </is>
      </c>
      <c r="F4149" t="inlineStr">
        <is>
          <t>Holmen skog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54529-2021</t>
        </is>
      </c>
      <c r="B4150" s="1" t="n">
        <v>44473</v>
      </c>
      <c r="C4150" s="1" t="n">
        <v>45344</v>
      </c>
      <c r="D4150" t="inlineStr">
        <is>
          <t>GÄVLEBORGS LÄN</t>
        </is>
      </c>
      <c r="E4150" t="inlineStr">
        <is>
          <t>LJUSDAL</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54570-2021</t>
        </is>
      </c>
      <c r="B4151" s="1" t="n">
        <v>44473</v>
      </c>
      <c r="C4151" s="1" t="n">
        <v>45344</v>
      </c>
      <c r="D4151" t="inlineStr">
        <is>
          <t>GÄVLEBORGS LÄN</t>
        </is>
      </c>
      <c r="E4151" t="inlineStr">
        <is>
          <t>NORDANSTIG</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54616-2021</t>
        </is>
      </c>
      <c r="B4152" s="1" t="n">
        <v>44473</v>
      </c>
      <c r="C4152" s="1" t="n">
        <v>45344</v>
      </c>
      <c r="D4152" t="inlineStr">
        <is>
          <t>GÄVLEBORGS LÄN</t>
        </is>
      </c>
      <c r="E4152" t="inlineStr">
        <is>
          <t>HOFORS</t>
        </is>
      </c>
      <c r="F4152" t="inlineStr">
        <is>
          <t>Bergvik skog väst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54565-2021</t>
        </is>
      </c>
      <c r="B4153" s="1" t="n">
        <v>44473</v>
      </c>
      <c r="C4153" s="1" t="n">
        <v>45344</v>
      </c>
      <c r="D4153" t="inlineStr">
        <is>
          <t>GÄVLEBORGS LÄN</t>
        </is>
      </c>
      <c r="E4153" t="inlineStr">
        <is>
          <t>HUDIKSVALL</t>
        </is>
      </c>
      <c r="F4153" t="inlineStr">
        <is>
          <t>Holmen skog AB</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54661-2021</t>
        </is>
      </c>
      <c r="B4154" s="1" t="n">
        <v>44473</v>
      </c>
      <c r="C4154" s="1" t="n">
        <v>45344</v>
      </c>
      <c r="D4154" t="inlineStr">
        <is>
          <t>GÄVLEBORGS LÄN</t>
        </is>
      </c>
      <c r="E4154" t="inlineStr">
        <is>
          <t>OVANÅKER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54834-2021</t>
        </is>
      </c>
      <c r="B4155" s="1" t="n">
        <v>44473</v>
      </c>
      <c r="C4155" s="1" t="n">
        <v>45344</v>
      </c>
      <c r="D4155" t="inlineStr">
        <is>
          <t>GÄVLEBORGS LÄN</t>
        </is>
      </c>
      <c r="E4155" t="inlineStr">
        <is>
          <t>GÄVLE</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54826-2021</t>
        </is>
      </c>
      <c r="B4156" s="1" t="n">
        <v>44473</v>
      </c>
      <c r="C4156" s="1" t="n">
        <v>45344</v>
      </c>
      <c r="D4156" t="inlineStr">
        <is>
          <t>GÄVLEBORGS LÄN</t>
        </is>
      </c>
      <c r="E4156" t="inlineStr">
        <is>
          <t>HOFORS</t>
        </is>
      </c>
      <c r="F4156" t="inlineStr">
        <is>
          <t>Bergvik skog väst AB</t>
        </is>
      </c>
      <c r="G4156" t="n">
        <v>6</v>
      </c>
      <c r="H4156" t="n">
        <v>0</v>
      </c>
      <c r="I4156" t="n">
        <v>0</v>
      </c>
      <c r="J4156" t="n">
        <v>0</v>
      </c>
      <c r="K4156" t="n">
        <v>0</v>
      </c>
      <c r="L4156" t="n">
        <v>0</v>
      </c>
      <c r="M4156" t="n">
        <v>0</v>
      </c>
      <c r="N4156" t="n">
        <v>0</v>
      </c>
      <c r="O4156" t="n">
        <v>0</v>
      </c>
      <c r="P4156" t="n">
        <v>0</v>
      </c>
      <c r="Q4156" t="n">
        <v>0</v>
      </c>
      <c r="R4156" s="2" t="inlineStr"/>
    </row>
    <row r="4157" ht="15" customHeight="1">
      <c r="A4157" t="inlineStr">
        <is>
          <t>A 55082-2021</t>
        </is>
      </c>
      <c r="B4157" s="1" t="n">
        <v>44474</v>
      </c>
      <c r="C4157" s="1" t="n">
        <v>45344</v>
      </c>
      <c r="D4157" t="inlineStr">
        <is>
          <t>GÄVLEBORGS LÄN</t>
        </is>
      </c>
      <c r="E4157" t="inlineStr">
        <is>
          <t>SANDVIKEN</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55243-2021</t>
        </is>
      </c>
      <c r="B4158" s="1" t="n">
        <v>44475</v>
      </c>
      <c r="C4158" s="1" t="n">
        <v>45344</v>
      </c>
      <c r="D4158" t="inlineStr">
        <is>
          <t>GÄVLEBORGS LÄN</t>
        </is>
      </c>
      <c r="E4158" t="inlineStr">
        <is>
          <t>OVANÅKER</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55230-2021</t>
        </is>
      </c>
      <c r="B4159" s="1" t="n">
        <v>44475</v>
      </c>
      <c r="C4159" s="1" t="n">
        <v>45344</v>
      </c>
      <c r="D4159" t="inlineStr">
        <is>
          <t>GÄVLEBORGS LÄN</t>
        </is>
      </c>
      <c r="E4159" t="inlineStr">
        <is>
          <t>LJUSDAL</t>
        </is>
      </c>
      <c r="F4159" t="inlineStr">
        <is>
          <t>Holmen skog AB</t>
        </is>
      </c>
      <c r="G4159" t="n">
        <v>2.6</v>
      </c>
      <c r="H4159" t="n">
        <v>0</v>
      </c>
      <c r="I4159" t="n">
        <v>0</v>
      </c>
      <c r="J4159" t="n">
        <v>0</v>
      </c>
      <c r="K4159" t="n">
        <v>0</v>
      </c>
      <c r="L4159" t="n">
        <v>0</v>
      </c>
      <c r="M4159" t="n">
        <v>0</v>
      </c>
      <c r="N4159" t="n">
        <v>0</v>
      </c>
      <c r="O4159" t="n">
        <v>0</v>
      </c>
      <c r="P4159" t="n">
        <v>0</v>
      </c>
      <c r="Q4159" t="n">
        <v>0</v>
      </c>
      <c r="R4159" s="2" t="inlineStr"/>
    </row>
    <row r="4160" ht="15" customHeight="1">
      <c r="A4160" t="inlineStr">
        <is>
          <t>A 55209-2021</t>
        </is>
      </c>
      <c r="B4160" s="1" t="n">
        <v>44475</v>
      </c>
      <c r="C4160" s="1" t="n">
        <v>45344</v>
      </c>
      <c r="D4160" t="inlineStr">
        <is>
          <t>GÄVLEBORGS LÄN</t>
        </is>
      </c>
      <c r="E4160" t="inlineStr">
        <is>
          <t>LJUSDAL</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55241-2021</t>
        </is>
      </c>
      <c r="B4161" s="1" t="n">
        <v>44475</v>
      </c>
      <c r="C4161" s="1" t="n">
        <v>45344</v>
      </c>
      <c r="D4161" t="inlineStr">
        <is>
          <t>GÄVLEBORGS LÄN</t>
        </is>
      </c>
      <c r="E4161" t="inlineStr">
        <is>
          <t>OVANÅKER</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55309-2021</t>
        </is>
      </c>
      <c r="B4162" s="1" t="n">
        <v>44475</v>
      </c>
      <c r="C4162" s="1" t="n">
        <v>45344</v>
      </c>
      <c r="D4162" t="inlineStr">
        <is>
          <t>GÄVLEBORGS LÄN</t>
        </is>
      </c>
      <c r="E4162" t="inlineStr">
        <is>
          <t>HUDIKSVALL</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55336-2021</t>
        </is>
      </c>
      <c r="B4163" s="1" t="n">
        <v>44475</v>
      </c>
      <c r="C4163" s="1" t="n">
        <v>45344</v>
      </c>
      <c r="D4163" t="inlineStr">
        <is>
          <t>GÄVLEBORGS LÄN</t>
        </is>
      </c>
      <c r="E4163" t="inlineStr">
        <is>
          <t>HUDIKSVALL</t>
        </is>
      </c>
      <c r="G4163" t="n">
        <v>2.5</v>
      </c>
      <c r="H4163" t="n">
        <v>0</v>
      </c>
      <c r="I4163" t="n">
        <v>0</v>
      </c>
      <c r="J4163" t="n">
        <v>0</v>
      </c>
      <c r="K4163" t="n">
        <v>0</v>
      </c>
      <c r="L4163" t="n">
        <v>0</v>
      </c>
      <c r="M4163" t="n">
        <v>0</v>
      </c>
      <c r="N4163" t="n">
        <v>0</v>
      </c>
      <c r="O4163" t="n">
        <v>0</v>
      </c>
      <c r="P4163" t="n">
        <v>0</v>
      </c>
      <c r="Q4163" t="n">
        <v>0</v>
      </c>
      <c r="R4163" s="2" t="inlineStr"/>
    </row>
    <row r="4164" ht="15" customHeight="1">
      <c r="A4164" t="inlineStr">
        <is>
          <t>A 55408-2021</t>
        </is>
      </c>
      <c r="B4164" s="1" t="n">
        <v>44475</v>
      </c>
      <c r="C4164" s="1" t="n">
        <v>45344</v>
      </c>
      <c r="D4164" t="inlineStr">
        <is>
          <t>GÄVLEBORGS LÄN</t>
        </is>
      </c>
      <c r="E4164" t="inlineStr">
        <is>
          <t>OVANÅKER</t>
        </is>
      </c>
      <c r="G4164" t="n">
        <v>0.5</v>
      </c>
      <c r="H4164" t="n">
        <v>0</v>
      </c>
      <c r="I4164" t="n">
        <v>0</v>
      </c>
      <c r="J4164" t="n">
        <v>0</v>
      </c>
      <c r="K4164" t="n">
        <v>0</v>
      </c>
      <c r="L4164" t="n">
        <v>0</v>
      </c>
      <c r="M4164" t="n">
        <v>0</v>
      </c>
      <c r="N4164" t="n">
        <v>0</v>
      </c>
      <c r="O4164" t="n">
        <v>0</v>
      </c>
      <c r="P4164" t="n">
        <v>0</v>
      </c>
      <c r="Q4164" t="n">
        <v>0</v>
      </c>
      <c r="R4164" s="2" t="inlineStr"/>
    </row>
    <row r="4165" ht="15" customHeight="1">
      <c r="A4165" t="inlineStr">
        <is>
          <t>A 55446-2021</t>
        </is>
      </c>
      <c r="B4165" s="1" t="n">
        <v>44475</v>
      </c>
      <c r="C4165" s="1" t="n">
        <v>45344</v>
      </c>
      <c r="D4165" t="inlineStr">
        <is>
          <t>GÄVLEBORGS LÄN</t>
        </is>
      </c>
      <c r="E4165" t="inlineStr">
        <is>
          <t>LJUSDAL</t>
        </is>
      </c>
      <c r="F4165" t="inlineStr">
        <is>
          <t>Holmen skog AB</t>
        </is>
      </c>
      <c r="G4165" t="n">
        <v>4.9</v>
      </c>
      <c r="H4165" t="n">
        <v>0</v>
      </c>
      <c r="I4165" t="n">
        <v>0</v>
      </c>
      <c r="J4165" t="n">
        <v>0</v>
      </c>
      <c r="K4165" t="n">
        <v>0</v>
      </c>
      <c r="L4165" t="n">
        <v>0</v>
      </c>
      <c r="M4165" t="n">
        <v>0</v>
      </c>
      <c r="N4165" t="n">
        <v>0</v>
      </c>
      <c r="O4165" t="n">
        <v>0</v>
      </c>
      <c r="P4165" t="n">
        <v>0</v>
      </c>
      <c r="Q4165" t="n">
        <v>0</v>
      </c>
      <c r="R4165" s="2" t="inlineStr"/>
    </row>
    <row r="4166" ht="15" customHeight="1">
      <c r="A4166" t="inlineStr">
        <is>
          <t>A 55489-2021</t>
        </is>
      </c>
      <c r="B4166" s="1" t="n">
        <v>44475</v>
      </c>
      <c r="C4166" s="1" t="n">
        <v>45344</v>
      </c>
      <c r="D4166" t="inlineStr">
        <is>
          <t>GÄVLEBORGS LÄN</t>
        </is>
      </c>
      <c r="E4166" t="inlineStr">
        <is>
          <t>HUDIKSVALL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55298-2021</t>
        </is>
      </c>
      <c r="B4167" s="1" t="n">
        <v>44475</v>
      </c>
      <c r="C4167" s="1" t="n">
        <v>45344</v>
      </c>
      <c r="D4167" t="inlineStr">
        <is>
          <t>GÄVLEBORGS LÄN</t>
        </is>
      </c>
      <c r="E4167" t="inlineStr">
        <is>
          <t>OVANÅKER</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55319-2021</t>
        </is>
      </c>
      <c r="B4168" s="1" t="n">
        <v>44475</v>
      </c>
      <c r="C4168" s="1" t="n">
        <v>45344</v>
      </c>
      <c r="D4168" t="inlineStr">
        <is>
          <t>GÄVLEBORGS LÄN</t>
        </is>
      </c>
      <c r="E4168" t="inlineStr">
        <is>
          <t>HUDIKSVALL</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55330-2021</t>
        </is>
      </c>
      <c r="B4169" s="1" t="n">
        <v>44475</v>
      </c>
      <c r="C4169" s="1" t="n">
        <v>45344</v>
      </c>
      <c r="D4169" t="inlineStr">
        <is>
          <t>GÄVLEBORGS LÄN</t>
        </is>
      </c>
      <c r="E4169" t="inlineStr">
        <is>
          <t>HUDIKSVALL</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55371-2021</t>
        </is>
      </c>
      <c r="B4170" s="1" t="n">
        <v>44475</v>
      </c>
      <c r="C4170" s="1" t="n">
        <v>45344</v>
      </c>
      <c r="D4170" t="inlineStr">
        <is>
          <t>GÄVLEBORGS LÄN</t>
        </is>
      </c>
      <c r="E4170" t="inlineStr">
        <is>
          <t>OVANÅKER</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55403-2021</t>
        </is>
      </c>
      <c r="B4171" s="1" t="n">
        <v>44475</v>
      </c>
      <c r="C4171" s="1" t="n">
        <v>45344</v>
      </c>
      <c r="D4171" t="inlineStr">
        <is>
          <t>GÄVLEBORGS LÄN</t>
        </is>
      </c>
      <c r="E4171" t="inlineStr">
        <is>
          <t>OVANÅKER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55409-2021</t>
        </is>
      </c>
      <c r="B4172" s="1" t="n">
        <v>44475</v>
      </c>
      <c r="C4172" s="1" t="n">
        <v>45344</v>
      </c>
      <c r="D4172" t="inlineStr">
        <is>
          <t>GÄVLEBORGS LÄN</t>
        </is>
      </c>
      <c r="E4172" t="inlineStr">
        <is>
          <t>LJUSDAL</t>
        </is>
      </c>
      <c r="F4172" t="inlineStr">
        <is>
          <t>Holmen skog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55534-2021</t>
        </is>
      </c>
      <c r="B4173" s="1" t="n">
        <v>44475</v>
      </c>
      <c r="C4173" s="1" t="n">
        <v>45344</v>
      </c>
      <c r="D4173" t="inlineStr">
        <is>
          <t>GÄVLEBORGS LÄN</t>
        </is>
      </c>
      <c r="E4173" t="inlineStr">
        <is>
          <t>LJUSDAL</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55535-2021</t>
        </is>
      </c>
      <c r="B4174" s="1" t="n">
        <v>44475</v>
      </c>
      <c r="C4174" s="1" t="n">
        <v>45344</v>
      </c>
      <c r="D4174" t="inlineStr">
        <is>
          <t>GÄVLEBORGS LÄN</t>
        </is>
      </c>
      <c r="E4174" t="inlineStr">
        <is>
          <t>LJUSDAL</t>
        </is>
      </c>
      <c r="F4174" t="inlineStr">
        <is>
          <t>Holmen skog AB</t>
        </is>
      </c>
      <c r="G4174" t="n">
        <v>3.1</v>
      </c>
      <c r="H4174" t="n">
        <v>0</v>
      </c>
      <c r="I4174" t="n">
        <v>0</v>
      </c>
      <c r="J4174" t="n">
        <v>0</v>
      </c>
      <c r="K4174" t="n">
        <v>0</v>
      </c>
      <c r="L4174" t="n">
        <v>0</v>
      </c>
      <c r="M4174" t="n">
        <v>0</v>
      </c>
      <c r="N4174" t="n">
        <v>0</v>
      </c>
      <c r="O4174" t="n">
        <v>0</v>
      </c>
      <c r="P4174" t="n">
        <v>0</v>
      </c>
      <c r="Q4174" t="n">
        <v>0</v>
      </c>
      <c r="R4174" s="2" t="inlineStr"/>
    </row>
    <row r="4175" ht="15" customHeight="1">
      <c r="A4175" t="inlineStr">
        <is>
          <t>A 55563-2021</t>
        </is>
      </c>
      <c r="B4175" s="1" t="n">
        <v>44475</v>
      </c>
      <c r="C4175" s="1" t="n">
        <v>45344</v>
      </c>
      <c r="D4175" t="inlineStr">
        <is>
          <t>GÄVLEBORGS LÄN</t>
        </is>
      </c>
      <c r="E4175" t="inlineStr">
        <is>
          <t>OCKELBO</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55314-2021</t>
        </is>
      </c>
      <c r="B4176" s="1" t="n">
        <v>44475</v>
      </c>
      <c r="C4176" s="1" t="n">
        <v>45344</v>
      </c>
      <c r="D4176" t="inlineStr">
        <is>
          <t>GÄVLEBORGS LÄN</t>
        </is>
      </c>
      <c r="E4176" t="inlineStr">
        <is>
          <t>NORDANSTIG</t>
        </is>
      </c>
      <c r="F4176" t="inlineStr">
        <is>
          <t>Holmen skog AB</t>
        </is>
      </c>
      <c r="G4176" t="n">
        <v>8.199999999999999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55666-2021</t>
        </is>
      </c>
      <c r="B4177" s="1" t="n">
        <v>44476</v>
      </c>
      <c r="C4177" s="1" t="n">
        <v>45344</v>
      </c>
      <c r="D4177" t="inlineStr">
        <is>
          <t>GÄVLEBORGS LÄN</t>
        </is>
      </c>
      <c r="E4177" t="inlineStr">
        <is>
          <t>SÖDERHAMN</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56136-2021</t>
        </is>
      </c>
      <c r="B4178" s="1" t="n">
        <v>44477</v>
      </c>
      <c r="C4178" s="1" t="n">
        <v>45344</v>
      </c>
      <c r="D4178" t="inlineStr">
        <is>
          <t>GÄVLEBORGS LÄN</t>
        </is>
      </c>
      <c r="E4178" t="inlineStr">
        <is>
          <t>HUDIKSVALL</t>
        </is>
      </c>
      <c r="F4178" t="inlineStr">
        <is>
          <t>Kommuner</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56016-2021</t>
        </is>
      </c>
      <c r="B4179" s="1" t="n">
        <v>44477</v>
      </c>
      <c r="C4179" s="1" t="n">
        <v>45344</v>
      </c>
      <c r="D4179" t="inlineStr">
        <is>
          <t>GÄVLEBORGS LÄN</t>
        </is>
      </c>
      <c r="E4179" t="inlineStr">
        <is>
          <t>LJUSDAL</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56310-2021</t>
        </is>
      </c>
      <c r="B4180" s="1" t="n">
        <v>44477</v>
      </c>
      <c r="C4180" s="1" t="n">
        <v>45344</v>
      </c>
      <c r="D4180" t="inlineStr">
        <is>
          <t>GÄVLEBORGS LÄN</t>
        </is>
      </c>
      <c r="E4180" t="inlineStr">
        <is>
          <t>SANDVIKEN</t>
        </is>
      </c>
      <c r="F4180" t="inlineStr">
        <is>
          <t>Bergvik skog väst AB</t>
        </is>
      </c>
      <c r="G4180" t="n">
        <v>18.5</v>
      </c>
      <c r="H4180" t="n">
        <v>0</v>
      </c>
      <c r="I4180" t="n">
        <v>0</v>
      </c>
      <c r="J4180" t="n">
        <v>0</v>
      </c>
      <c r="K4180" t="n">
        <v>0</v>
      </c>
      <c r="L4180" t="n">
        <v>0</v>
      </c>
      <c r="M4180" t="n">
        <v>0</v>
      </c>
      <c r="N4180" t="n">
        <v>0</v>
      </c>
      <c r="O4180" t="n">
        <v>0</v>
      </c>
      <c r="P4180" t="n">
        <v>0</v>
      </c>
      <c r="Q4180" t="n">
        <v>0</v>
      </c>
      <c r="R4180" s="2" t="inlineStr"/>
    </row>
    <row r="4181" ht="15" customHeight="1">
      <c r="A4181" t="inlineStr">
        <is>
          <t>A 56282-2021</t>
        </is>
      </c>
      <c r="B4181" s="1" t="n">
        <v>44479</v>
      </c>
      <c r="C4181" s="1" t="n">
        <v>45344</v>
      </c>
      <c r="D4181" t="inlineStr">
        <is>
          <t>GÄVLEBORGS LÄN</t>
        </is>
      </c>
      <c r="E4181" t="inlineStr">
        <is>
          <t>OCKELBO</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56418-2021</t>
        </is>
      </c>
      <c r="B4182" s="1" t="n">
        <v>44480</v>
      </c>
      <c r="C4182" s="1" t="n">
        <v>45344</v>
      </c>
      <c r="D4182" t="inlineStr">
        <is>
          <t>GÄVLEBORGS LÄN</t>
        </is>
      </c>
      <c r="E4182" t="inlineStr">
        <is>
          <t>BOLLNÄS</t>
        </is>
      </c>
      <c r="F4182" t="inlineStr">
        <is>
          <t>Bergvik skog väst AB</t>
        </is>
      </c>
      <c r="G4182" t="n">
        <v>4</v>
      </c>
      <c r="H4182" t="n">
        <v>0</v>
      </c>
      <c r="I4182" t="n">
        <v>0</v>
      </c>
      <c r="J4182" t="n">
        <v>0</v>
      </c>
      <c r="K4182" t="n">
        <v>0</v>
      </c>
      <c r="L4182" t="n">
        <v>0</v>
      </c>
      <c r="M4182" t="n">
        <v>0</v>
      </c>
      <c r="N4182" t="n">
        <v>0</v>
      </c>
      <c r="O4182" t="n">
        <v>0</v>
      </c>
      <c r="P4182" t="n">
        <v>0</v>
      </c>
      <c r="Q4182" t="n">
        <v>0</v>
      </c>
      <c r="R4182" s="2" t="inlineStr"/>
    </row>
    <row r="4183" ht="15" customHeight="1">
      <c r="A4183" t="inlineStr">
        <is>
          <t>A 56410-2021</t>
        </is>
      </c>
      <c r="B4183" s="1" t="n">
        <v>44480</v>
      </c>
      <c r="C4183" s="1" t="n">
        <v>45344</v>
      </c>
      <c r="D4183" t="inlineStr">
        <is>
          <t>GÄVLEBORGS LÄN</t>
        </is>
      </c>
      <c r="E4183" t="inlineStr">
        <is>
          <t>BOLLNÄS</t>
        </is>
      </c>
      <c r="F4183" t="inlineStr">
        <is>
          <t>Bergvik skog väst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56301-2021</t>
        </is>
      </c>
      <c r="B4184" s="1" t="n">
        <v>44480</v>
      </c>
      <c r="C4184" s="1" t="n">
        <v>45344</v>
      </c>
      <c r="D4184" t="inlineStr">
        <is>
          <t>GÄVLEBORGS LÄN</t>
        </is>
      </c>
      <c r="E4184" t="inlineStr">
        <is>
          <t>LJUSDAL</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56416-2021</t>
        </is>
      </c>
      <c r="B4185" s="1" t="n">
        <v>44480</v>
      </c>
      <c r="C4185" s="1" t="n">
        <v>45344</v>
      </c>
      <c r="D4185" t="inlineStr">
        <is>
          <t>GÄVLEBORGS LÄN</t>
        </is>
      </c>
      <c r="E4185" t="inlineStr">
        <is>
          <t>BOLLNÄS</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56481-2021</t>
        </is>
      </c>
      <c r="B4186" s="1" t="n">
        <v>44480</v>
      </c>
      <c r="C4186" s="1" t="n">
        <v>45344</v>
      </c>
      <c r="D4186" t="inlineStr">
        <is>
          <t>GÄVLEBORGS LÄN</t>
        </is>
      </c>
      <c r="E4186" t="inlineStr">
        <is>
          <t>BOLLNÄS</t>
        </is>
      </c>
      <c r="F4186" t="inlineStr">
        <is>
          <t>Bergvik skog väst AB</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56576-2021</t>
        </is>
      </c>
      <c r="B4187" s="1" t="n">
        <v>44480</v>
      </c>
      <c r="C4187" s="1" t="n">
        <v>45344</v>
      </c>
      <c r="D4187" t="inlineStr">
        <is>
          <t>GÄVLEBORGS LÄN</t>
        </is>
      </c>
      <c r="E4187" t="inlineStr">
        <is>
          <t>HUDIKSVALL</t>
        </is>
      </c>
      <c r="F4187" t="inlineStr">
        <is>
          <t>Holmen skog AB</t>
        </is>
      </c>
      <c r="G4187" t="n">
        <v>2.6</v>
      </c>
      <c r="H4187" t="n">
        <v>0</v>
      </c>
      <c r="I4187" t="n">
        <v>0</v>
      </c>
      <c r="J4187" t="n">
        <v>0</v>
      </c>
      <c r="K4187" t="n">
        <v>0</v>
      </c>
      <c r="L4187" t="n">
        <v>0</v>
      </c>
      <c r="M4187" t="n">
        <v>0</v>
      </c>
      <c r="N4187" t="n">
        <v>0</v>
      </c>
      <c r="O4187" t="n">
        <v>0</v>
      </c>
      <c r="P4187" t="n">
        <v>0</v>
      </c>
      <c r="Q4187" t="n">
        <v>0</v>
      </c>
      <c r="R4187" s="2" t="inlineStr"/>
    </row>
    <row r="4188" ht="15" customHeight="1">
      <c r="A4188" t="inlineStr">
        <is>
          <t>A 56635-2021</t>
        </is>
      </c>
      <c r="B4188" s="1" t="n">
        <v>44480</v>
      </c>
      <c r="C4188" s="1" t="n">
        <v>45344</v>
      </c>
      <c r="D4188" t="inlineStr">
        <is>
          <t>GÄVLEBORGS LÄN</t>
        </is>
      </c>
      <c r="E4188" t="inlineStr">
        <is>
          <t>OCKELBO</t>
        </is>
      </c>
      <c r="G4188" t="n">
        <v>10.8</v>
      </c>
      <c r="H4188" t="n">
        <v>0</v>
      </c>
      <c r="I4188" t="n">
        <v>0</v>
      </c>
      <c r="J4188" t="n">
        <v>0</v>
      </c>
      <c r="K4188" t="n">
        <v>0</v>
      </c>
      <c r="L4188" t="n">
        <v>0</v>
      </c>
      <c r="M4188" t="n">
        <v>0</v>
      </c>
      <c r="N4188" t="n">
        <v>0</v>
      </c>
      <c r="O4188" t="n">
        <v>0</v>
      </c>
      <c r="P4188" t="n">
        <v>0</v>
      </c>
      <c r="Q4188" t="n">
        <v>0</v>
      </c>
      <c r="R4188" s="2" t="inlineStr"/>
    </row>
    <row r="4189" ht="15" customHeight="1">
      <c r="A4189" t="inlineStr">
        <is>
          <t>A 56686-2021</t>
        </is>
      </c>
      <c r="B4189" s="1" t="n">
        <v>44481</v>
      </c>
      <c r="C4189" s="1" t="n">
        <v>45344</v>
      </c>
      <c r="D4189" t="inlineStr">
        <is>
          <t>GÄVLEBORGS LÄN</t>
        </is>
      </c>
      <c r="E4189" t="inlineStr">
        <is>
          <t>BOLLNÄS</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56846-2021</t>
        </is>
      </c>
      <c r="B4190" s="1" t="n">
        <v>44481</v>
      </c>
      <c r="C4190" s="1" t="n">
        <v>45344</v>
      </c>
      <c r="D4190" t="inlineStr">
        <is>
          <t>GÄVLEBORGS LÄN</t>
        </is>
      </c>
      <c r="E4190" t="inlineStr">
        <is>
          <t>LJUSDAL</t>
        </is>
      </c>
      <c r="G4190" t="n">
        <v>11.9</v>
      </c>
      <c r="H4190" t="n">
        <v>0</v>
      </c>
      <c r="I4190" t="n">
        <v>0</v>
      </c>
      <c r="J4190" t="n">
        <v>0</v>
      </c>
      <c r="K4190" t="n">
        <v>0</v>
      </c>
      <c r="L4190" t="n">
        <v>0</v>
      </c>
      <c r="M4190" t="n">
        <v>0</v>
      </c>
      <c r="N4190" t="n">
        <v>0</v>
      </c>
      <c r="O4190" t="n">
        <v>0</v>
      </c>
      <c r="P4190" t="n">
        <v>0</v>
      </c>
      <c r="Q4190" t="n">
        <v>0</v>
      </c>
      <c r="R4190" s="2" t="inlineStr"/>
    </row>
    <row r="4191" ht="15" customHeight="1">
      <c r="A4191" t="inlineStr">
        <is>
          <t>A 56787-2021</t>
        </is>
      </c>
      <c r="B4191" s="1" t="n">
        <v>44481</v>
      </c>
      <c r="C4191" s="1" t="n">
        <v>45344</v>
      </c>
      <c r="D4191" t="inlineStr">
        <is>
          <t>GÄVLEBORGS LÄN</t>
        </is>
      </c>
      <c r="E4191" t="inlineStr">
        <is>
          <t>LJUSDAL</t>
        </is>
      </c>
      <c r="F4191" t="inlineStr">
        <is>
          <t>Bergvik skog väst AB</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56734-2021</t>
        </is>
      </c>
      <c r="B4192" s="1" t="n">
        <v>44481</v>
      </c>
      <c r="C4192" s="1" t="n">
        <v>45344</v>
      </c>
      <c r="D4192" t="inlineStr">
        <is>
          <t>GÄVLEBORGS LÄN</t>
        </is>
      </c>
      <c r="E4192" t="inlineStr">
        <is>
          <t>SANDVIKEN</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56985-2021</t>
        </is>
      </c>
      <c r="B4193" s="1" t="n">
        <v>44482</v>
      </c>
      <c r="C4193" s="1" t="n">
        <v>45344</v>
      </c>
      <c r="D4193" t="inlineStr">
        <is>
          <t>GÄVLEBORGS LÄN</t>
        </is>
      </c>
      <c r="E4193" t="inlineStr">
        <is>
          <t>LJUSDAL</t>
        </is>
      </c>
      <c r="F4193" t="inlineStr">
        <is>
          <t>Holmen skog AB</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57072-2021</t>
        </is>
      </c>
      <c r="B4194" s="1" t="n">
        <v>44482</v>
      </c>
      <c r="C4194" s="1" t="n">
        <v>45344</v>
      </c>
      <c r="D4194" t="inlineStr">
        <is>
          <t>GÄVLEBORGS LÄN</t>
        </is>
      </c>
      <c r="E4194" t="inlineStr">
        <is>
          <t>LJUSDAL</t>
        </is>
      </c>
      <c r="F4194" t="inlineStr">
        <is>
          <t>Holmen skog AB</t>
        </is>
      </c>
      <c r="G4194" t="n">
        <v>6.3</v>
      </c>
      <c r="H4194" t="n">
        <v>0</v>
      </c>
      <c r="I4194" t="n">
        <v>0</v>
      </c>
      <c r="J4194" t="n">
        <v>0</v>
      </c>
      <c r="K4194" t="n">
        <v>0</v>
      </c>
      <c r="L4194" t="n">
        <v>0</v>
      </c>
      <c r="M4194" t="n">
        <v>0</v>
      </c>
      <c r="N4194" t="n">
        <v>0</v>
      </c>
      <c r="O4194" t="n">
        <v>0</v>
      </c>
      <c r="P4194" t="n">
        <v>0</v>
      </c>
      <c r="Q4194" t="n">
        <v>0</v>
      </c>
      <c r="R4194" s="2" t="inlineStr"/>
    </row>
    <row r="4195" ht="15" customHeight="1">
      <c r="A4195" t="inlineStr">
        <is>
          <t>A 56992-2021</t>
        </is>
      </c>
      <c r="B4195" s="1" t="n">
        <v>44482</v>
      </c>
      <c r="C4195" s="1" t="n">
        <v>45344</v>
      </c>
      <c r="D4195" t="inlineStr">
        <is>
          <t>GÄVLEBORGS LÄN</t>
        </is>
      </c>
      <c r="E4195" t="inlineStr">
        <is>
          <t>NORDANSTIG</t>
        </is>
      </c>
      <c r="G4195" t="n">
        <v>5</v>
      </c>
      <c r="H4195" t="n">
        <v>0</v>
      </c>
      <c r="I4195" t="n">
        <v>0</v>
      </c>
      <c r="J4195" t="n">
        <v>0</v>
      </c>
      <c r="K4195" t="n">
        <v>0</v>
      </c>
      <c r="L4195" t="n">
        <v>0</v>
      </c>
      <c r="M4195" t="n">
        <v>0</v>
      </c>
      <c r="N4195" t="n">
        <v>0</v>
      </c>
      <c r="O4195" t="n">
        <v>0</v>
      </c>
      <c r="P4195" t="n">
        <v>0</v>
      </c>
      <c r="Q4195" t="n">
        <v>0</v>
      </c>
      <c r="R4195" s="2" t="inlineStr"/>
    </row>
    <row r="4196" ht="15" customHeight="1">
      <c r="A4196" t="inlineStr">
        <is>
          <t>A 57029-2021</t>
        </is>
      </c>
      <c r="B4196" s="1" t="n">
        <v>44482</v>
      </c>
      <c r="C4196" s="1" t="n">
        <v>45344</v>
      </c>
      <c r="D4196" t="inlineStr">
        <is>
          <t>GÄVLEBORGS LÄN</t>
        </is>
      </c>
      <c r="E4196" t="inlineStr">
        <is>
          <t>LJUSDAL</t>
        </is>
      </c>
      <c r="F4196" t="inlineStr">
        <is>
          <t>Holmen skog AB</t>
        </is>
      </c>
      <c r="G4196" t="n">
        <v>3.3</v>
      </c>
      <c r="H4196" t="n">
        <v>0</v>
      </c>
      <c r="I4196" t="n">
        <v>0</v>
      </c>
      <c r="J4196" t="n">
        <v>0</v>
      </c>
      <c r="K4196" t="n">
        <v>0</v>
      </c>
      <c r="L4196" t="n">
        <v>0</v>
      </c>
      <c r="M4196" t="n">
        <v>0</v>
      </c>
      <c r="N4196" t="n">
        <v>0</v>
      </c>
      <c r="O4196" t="n">
        <v>0</v>
      </c>
      <c r="P4196" t="n">
        <v>0</v>
      </c>
      <c r="Q4196" t="n">
        <v>0</v>
      </c>
      <c r="R4196" s="2" t="inlineStr"/>
    </row>
    <row r="4197" ht="15" customHeight="1">
      <c r="A4197" t="inlineStr">
        <is>
          <t>A 57121-2021</t>
        </is>
      </c>
      <c r="B4197" s="1" t="n">
        <v>44482</v>
      </c>
      <c r="C4197" s="1" t="n">
        <v>45344</v>
      </c>
      <c r="D4197" t="inlineStr">
        <is>
          <t>GÄVLEBORGS LÄN</t>
        </is>
      </c>
      <c r="E4197" t="inlineStr">
        <is>
          <t>LJUSDAL</t>
        </is>
      </c>
      <c r="F4197" t="inlineStr">
        <is>
          <t>Holmen skog AB</t>
        </is>
      </c>
      <c r="G4197" t="n">
        <v>3.3</v>
      </c>
      <c r="H4197" t="n">
        <v>0</v>
      </c>
      <c r="I4197" t="n">
        <v>0</v>
      </c>
      <c r="J4197" t="n">
        <v>0</v>
      </c>
      <c r="K4197" t="n">
        <v>0</v>
      </c>
      <c r="L4197" t="n">
        <v>0</v>
      </c>
      <c r="M4197" t="n">
        <v>0</v>
      </c>
      <c r="N4197" t="n">
        <v>0</v>
      </c>
      <c r="O4197" t="n">
        <v>0</v>
      </c>
      <c r="P4197" t="n">
        <v>0</v>
      </c>
      <c r="Q4197" t="n">
        <v>0</v>
      </c>
      <c r="R4197" s="2" t="inlineStr"/>
    </row>
    <row r="4198" ht="15" customHeight="1">
      <c r="A4198" t="inlineStr">
        <is>
          <t>A 57123-2021</t>
        </is>
      </c>
      <c r="B4198" s="1" t="n">
        <v>44482</v>
      </c>
      <c r="C4198" s="1" t="n">
        <v>45344</v>
      </c>
      <c r="D4198" t="inlineStr">
        <is>
          <t>GÄVLEBORGS LÄN</t>
        </is>
      </c>
      <c r="E4198" t="inlineStr">
        <is>
          <t>LJUSDAL</t>
        </is>
      </c>
      <c r="F4198" t="inlineStr">
        <is>
          <t>Holmen skog AB</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57124-2021</t>
        </is>
      </c>
      <c r="B4199" s="1" t="n">
        <v>44482</v>
      </c>
      <c r="C4199" s="1" t="n">
        <v>45344</v>
      </c>
      <c r="D4199" t="inlineStr">
        <is>
          <t>GÄVLEBORGS LÄN</t>
        </is>
      </c>
      <c r="E4199" t="inlineStr">
        <is>
          <t>OVANÅKER</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57369-2021</t>
        </is>
      </c>
      <c r="B4200" s="1" t="n">
        <v>44483</v>
      </c>
      <c r="C4200" s="1" t="n">
        <v>45344</v>
      </c>
      <c r="D4200" t="inlineStr">
        <is>
          <t>GÄVLEBORGS LÄN</t>
        </is>
      </c>
      <c r="E4200" t="inlineStr">
        <is>
          <t>HUDIKSVALL</t>
        </is>
      </c>
      <c r="F4200" t="inlineStr">
        <is>
          <t>Holmen skog AB</t>
        </is>
      </c>
      <c r="G4200" t="n">
        <v>3.1</v>
      </c>
      <c r="H4200" t="n">
        <v>0</v>
      </c>
      <c r="I4200" t="n">
        <v>0</v>
      </c>
      <c r="J4200" t="n">
        <v>0</v>
      </c>
      <c r="K4200" t="n">
        <v>0</v>
      </c>
      <c r="L4200" t="n">
        <v>0</v>
      </c>
      <c r="M4200" t="n">
        <v>0</v>
      </c>
      <c r="N4200" t="n">
        <v>0</v>
      </c>
      <c r="O4200" t="n">
        <v>0</v>
      </c>
      <c r="P4200" t="n">
        <v>0</v>
      </c>
      <c r="Q4200" t="n">
        <v>0</v>
      </c>
      <c r="R4200" s="2" t="inlineStr"/>
    </row>
    <row r="4201" ht="15" customHeight="1">
      <c r="A4201" t="inlineStr">
        <is>
          <t>A 57333-2021</t>
        </is>
      </c>
      <c r="B4201" s="1" t="n">
        <v>44483</v>
      </c>
      <c r="C4201" s="1" t="n">
        <v>45344</v>
      </c>
      <c r="D4201" t="inlineStr">
        <is>
          <t>GÄVLEBORGS LÄN</t>
        </is>
      </c>
      <c r="E4201" t="inlineStr">
        <is>
          <t>HUDIKSVALL</t>
        </is>
      </c>
      <c r="F4201" t="inlineStr">
        <is>
          <t>Holmen skog AB</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57344-2021</t>
        </is>
      </c>
      <c r="B4202" s="1" t="n">
        <v>44483</v>
      </c>
      <c r="C4202" s="1" t="n">
        <v>45344</v>
      </c>
      <c r="D4202" t="inlineStr">
        <is>
          <t>GÄVLEBORGS LÄN</t>
        </is>
      </c>
      <c r="E4202" t="inlineStr">
        <is>
          <t>LJUSDAL</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57337-2021</t>
        </is>
      </c>
      <c r="B4203" s="1" t="n">
        <v>44483</v>
      </c>
      <c r="C4203" s="1" t="n">
        <v>45344</v>
      </c>
      <c r="D4203" t="inlineStr">
        <is>
          <t>GÄVLEBORGS LÄN</t>
        </is>
      </c>
      <c r="E4203" t="inlineStr">
        <is>
          <t>BOLLNÄS</t>
        </is>
      </c>
      <c r="G4203" t="n">
        <v>0.4</v>
      </c>
      <c r="H4203" t="n">
        <v>0</v>
      </c>
      <c r="I4203" t="n">
        <v>0</v>
      </c>
      <c r="J4203" t="n">
        <v>0</v>
      </c>
      <c r="K4203" t="n">
        <v>0</v>
      </c>
      <c r="L4203" t="n">
        <v>0</v>
      </c>
      <c r="M4203" t="n">
        <v>0</v>
      </c>
      <c r="N4203" t="n">
        <v>0</v>
      </c>
      <c r="O4203" t="n">
        <v>0</v>
      </c>
      <c r="P4203" t="n">
        <v>0</v>
      </c>
      <c r="Q4203" t="n">
        <v>0</v>
      </c>
      <c r="R4203" s="2" t="inlineStr"/>
    </row>
    <row r="4204" ht="15" customHeight="1">
      <c r="A4204" t="inlineStr">
        <is>
          <t>A 57399-2021</t>
        </is>
      </c>
      <c r="B4204" s="1" t="n">
        <v>44483</v>
      </c>
      <c r="C4204" s="1" t="n">
        <v>45344</v>
      </c>
      <c r="D4204" t="inlineStr">
        <is>
          <t>GÄVLEBORGS LÄN</t>
        </is>
      </c>
      <c r="E4204" t="inlineStr">
        <is>
          <t>SÖDERHAMN</t>
        </is>
      </c>
      <c r="G4204" t="n">
        <v>9.300000000000001</v>
      </c>
      <c r="H4204" t="n">
        <v>0</v>
      </c>
      <c r="I4204" t="n">
        <v>0</v>
      </c>
      <c r="J4204" t="n">
        <v>0</v>
      </c>
      <c r="K4204" t="n">
        <v>0</v>
      </c>
      <c r="L4204" t="n">
        <v>0</v>
      </c>
      <c r="M4204" t="n">
        <v>0</v>
      </c>
      <c r="N4204" t="n">
        <v>0</v>
      </c>
      <c r="O4204" t="n">
        <v>0</v>
      </c>
      <c r="P4204" t="n">
        <v>0</v>
      </c>
      <c r="Q4204" t="n">
        <v>0</v>
      </c>
      <c r="R4204" s="2" t="inlineStr"/>
    </row>
    <row r="4205" ht="15" customHeight="1">
      <c r="A4205" t="inlineStr">
        <is>
          <t>A 57458-2021</t>
        </is>
      </c>
      <c r="B4205" s="1" t="n">
        <v>44483</v>
      </c>
      <c r="C4205" s="1" t="n">
        <v>45344</v>
      </c>
      <c r="D4205" t="inlineStr">
        <is>
          <t>GÄVLEBORGS LÄN</t>
        </is>
      </c>
      <c r="E4205" t="inlineStr">
        <is>
          <t>LJUSDAL</t>
        </is>
      </c>
      <c r="F4205" t="inlineStr">
        <is>
          <t>Holmen skog AB</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57561-2021</t>
        </is>
      </c>
      <c r="B4206" s="1" t="n">
        <v>44483</v>
      </c>
      <c r="C4206" s="1" t="n">
        <v>45344</v>
      </c>
      <c r="D4206" t="inlineStr">
        <is>
          <t>GÄVLEBORGS LÄN</t>
        </is>
      </c>
      <c r="E4206" t="inlineStr">
        <is>
          <t>LJUSDAL</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57570-2021</t>
        </is>
      </c>
      <c r="B4207" s="1" t="n">
        <v>44484</v>
      </c>
      <c r="C4207" s="1" t="n">
        <v>45344</v>
      </c>
      <c r="D4207" t="inlineStr">
        <is>
          <t>GÄVLEBORGS LÄN</t>
        </is>
      </c>
      <c r="E4207" t="inlineStr">
        <is>
          <t>BOLLNÄS</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57595-2021</t>
        </is>
      </c>
      <c r="B4208" s="1" t="n">
        <v>44484</v>
      </c>
      <c r="C4208" s="1" t="n">
        <v>45344</v>
      </c>
      <c r="D4208" t="inlineStr">
        <is>
          <t>GÄVLEBORGS LÄN</t>
        </is>
      </c>
      <c r="E4208" t="inlineStr">
        <is>
          <t>SÖDERHAMN</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57726-2021</t>
        </is>
      </c>
      <c r="B4209" s="1" t="n">
        <v>44484</v>
      </c>
      <c r="C4209" s="1" t="n">
        <v>45344</v>
      </c>
      <c r="D4209" t="inlineStr">
        <is>
          <t>GÄVLEBORGS LÄN</t>
        </is>
      </c>
      <c r="E4209" t="inlineStr">
        <is>
          <t>LJUSDAL</t>
        </is>
      </c>
      <c r="F4209" t="inlineStr">
        <is>
          <t>Sveaskog</t>
        </is>
      </c>
      <c r="G4209" t="n">
        <v>4.2</v>
      </c>
      <c r="H4209" t="n">
        <v>0</v>
      </c>
      <c r="I4209" t="n">
        <v>0</v>
      </c>
      <c r="J4209" t="n">
        <v>0</v>
      </c>
      <c r="K4209" t="n">
        <v>0</v>
      </c>
      <c r="L4209" t="n">
        <v>0</v>
      </c>
      <c r="M4209" t="n">
        <v>0</v>
      </c>
      <c r="N4209" t="n">
        <v>0</v>
      </c>
      <c r="O4209" t="n">
        <v>0</v>
      </c>
      <c r="P4209" t="n">
        <v>0</v>
      </c>
      <c r="Q4209" t="n">
        <v>0</v>
      </c>
      <c r="R4209" s="2" t="inlineStr"/>
    </row>
    <row r="4210" ht="15" customHeight="1">
      <c r="A4210" t="inlineStr">
        <is>
          <t>A 57658-2021</t>
        </is>
      </c>
      <c r="B4210" s="1" t="n">
        <v>44484</v>
      </c>
      <c r="C4210" s="1" t="n">
        <v>45344</v>
      </c>
      <c r="D4210" t="inlineStr">
        <is>
          <t>GÄVLEBORGS LÄN</t>
        </is>
      </c>
      <c r="E4210" t="inlineStr">
        <is>
          <t>HUDIKSVALL</t>
        </is>
      </c>
      <c r="G4210" t="n">
        <v>3.3</v>
      </c>
      <c r="H4210" t="n">
        <v>0</v>
      </c>
      <c r="I4210" t="n">
        <v>0</v>
      </c>
      <c r="J4210" t="n">
        <v>0</v>
      </c>
      <c r="K4210" t="n">
        <v>0</v>
      </c>
      <c r="L4210" t="n">
        <v>0</v>
      </c>
      <c r="M4210" t="n">
        <v>0</v>
      </c>
      <c r="N4210" t="n">
        <v>0</v>
      </c>
      <c r="O4210" t="n">
        <v>0</v>
      </c>
      <c r="P4210" t="n">
        <v>0</v>
      </c>
      <c r="Q4210" t="n">
        <v>0</v>
      </c>
      <c r="R4210" s="2" t="inlineStr"/>
    </row>
    <row r="4211" ht="15" customHeight="1">
      <c r="A4211" t="inlineStr">
        <is>
          <t>A 57576-2021</t>
        </is>
      </c>
      <c r="B4211" s="1" t="n">
        <v>44484</v>
      </c>
      <c r="C4211" s="1" t="n">
        <v>45344</v>
      </c>
      <c r="D4211" t="inlineStr">
        <is>
          <t>GÄVLEBORGS LÄN</t>
        </is>
      </c>
      <c r="E4211" t="inlineStr">
        <is>
          <t>HUDIKSVALL</t>
        </is>
      </c>
      <c r="F4211" t="inlineStr">
        <is>
          <t>Holmen skog AB</t>
        </is>
      </c>
      <c r="G4211" t="n">
        <v>2.7</v>
      </c>
      <c r="H4211" t="n">
        <v>0</v>
      </c>
      <c r="I4211" t="n">
        <v>0</v>
      </c>
      <c r="J4211" t="n">
        <v>0</v>
      </c>
      <c r="K4211" t="n">
        <v>0</v>
      </c>
      <c r="L4211" t="n">
        <v>0</v>
      </c>
      <c r="M4211" t="n">
        <v>0</v>
      </c>
      <c r="N4211" t="n">
        <v>0</v>
      </c>
      <c r="O4211" t="n">
        <v>0</v>
      </c>
      <c r="P4211" t="n">
        <v>0</v>
      </c>
      <c r="Q4211" t="n">
        <v>0</v>
      </c>
      <c r="R4211" s="2" t="inlineStr"/>
    </row>
    <row r="4212" ht="15" customHeight="1">
      <c r="A4212" t="inlineStr">
        <is>
          <t>A 57609-2021</t>
        </is>
      </c>
      <c r="B4212" s="1" t="n">
        <v>44484</v>
      </c>
      <c r="C4212" s="1" t="n">
        <v>45344</v>
      </c>
      <c r="D4212" t="inlineStr">
        <is>
          <t>GÄVLEBORGS LÄN</t>
        </is>
      </c>
      <c r="E4212" t="inlineStr">
        <is>
          <t>NORDANSTIG</t>
        </is>
      </c>
      <c r="G4212" t="n">
        <v>3.9</v>
      </c>
      <c r="H4212" t="n">
        <v>0</v>
      </c>
      <c r="I4212" t="n">
        <v>0</v>
      </c>
      <c r="J4212" t="n">
        <v>0</v>
      </c>
      <c r="K4212" t="n">
        <v>0</v>
      </c>
      <c r="L4212" t="n">
        <v>0</v>
      </c>
      <c r="M4212" t="n">
        <v>0</v>
      </c>
      <c r="N4212" t="n">
        <v>0</v>
      </c>
      <c r="O4212" t="n">
        <v>0</v>
      </c>
      <c r="P4212" t="n">
        <v>0</v>
      </c>
      <c r="Q4212" t="n">
        <v>0</v>
      </c>
      <c r="R4212" s="2" t="inlineStr"/>
    </row>
    <row r="4213" ht="15" customHeight="1">
      <c r="A4213" t="inlineStr">
        <is>
          <t>A 57624-2021</t>
        </is>
      </c>
      <c r="B4213" s="1" t="n">
        <v>44484</v>
      </c>
      <c r="C4213" s="1" t="n">
        <v>45344</v>
      </c>
      <c r="D4213" t="inlineStr">
        <is>
          <t>GÄVLEBORGS LÄN</t>
        </is>
      </c>
      <c r="E4213" t="inlineStr">
        <is>
          <t>NORDANSTIG</t>
        </is>
      </c>
      <c r="G4213" t="n">
        <v>2.7</v>
      </c>
      <c r="H4213" t="n">
        <v>0</v>
      </c>
      <c r="I4213" t="n">
        <v>0</v>
      </c>
      <c r="J4213" t="n">
        <v>0</v>
      </c>
      <c r="K4213" t="n">
        <v>0</v>
      </c>
      <c r="L4213" t="n">
        <v>0</v>
      </c>
      <c r="M4213" t="n">
        <v>0</v>
      </c>
      <c r="N4213" t="n">
        <v>0</v>
      </c>
      <c r="O4213" t="n">
        <v>0</v>
      </c>
      <c r="P4213" t="n">
        <v>0</v>
      </c>
      <c r="Q4213" t="n">
        <v>0</v>
      </c>
      <c r="R4213" s="2" t="inlineStr"/>
    </row>
    <row r="4214" ht="15" customHeight="1">
      <c r="A4214" t="inlineStr">
        <is>
          <t>A 57638-2021</t>
        </is>
      </c>
      <c r="B4214" s="1" t="n">
        <v>44484</v>
      </c>
      <c r="C4214" s="1" t="n">
        <v>45344</v>
      </c>
      <c r="D4214" t="inlineStr">
        <is>
          <t>GÄVLEBORGS LÄN</t>
        </is>
      </c>
      <c r="E4214" t="inlineStr">
        <is>
          <t>HUDIKSVALL</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57632-2021</t>
        </is>
      </c>
      <c r="B4215" s="1" t="n">
        <v>44484</v>
      </c>
      <c r="C4215" s="1" t="n">
        <v>45344</v>
      </c>
      <c r="D4215" t="inlineStr">
        <is>
          <t>GÄVLEBORGS LÄN</t>
        </is>
      </c>
      <c r="E4215" t="inlineStr">
        <is>
          <t>HOFORS</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57798-2021</t>
        </is>
      </c>
      <c r="B4216" s="1" t="n">
        <v>44484</v>
      </c>
      <c r="C4216" s="1" t="n">
        <v>45344</v>
      </c>
      <c r="D4216" t="inlineStr">
        <is>
          <t>GÄVLEBORGS LÄN</t>
        </is>
      </c>
      <c r="E4216" t="inlineStr">
        <is>
          <t>OVANÅKER</t>
        </is>
      </c>
      <c r="G4216" t="n">
        <v>13.4</v>
      </c>
      <c r="H4216" t="n">
        <v>0</v>
      </c>
      <c r="I4216" t="n">
        <v>0</v>
      </c>
      <c r="J4216" t="n">
        <v>0</v>
      </c>
      <c r="K4216" t="n">
        <v>0</v>
      </c>
      <c r="L4216" t="n">
        <v>0</v>
      </c>
      <c r="M4216" t="n">
        <v>0</v>
      </c>
      <c r="N4216" t="n">
        <v>0</v>
      </c>
      <c r="O4216" t="n">
        <v>0</v>
      </c>
      <c r="P4216" t="n">
        <v>0</v>
      </c>
      <c r="Q4216" t="n">
        <v>0</v>
      </c>
      <c r="R4216" s="2" t="inlineStr"/>
    </row>
    <row r="4217" ht="15" customHeight="1">
      <c r="A4217" t="inlineStr">
        <is>
          <t>A 58198-2021</t>
        </is>
      </c>
      <c r="B4217" s="1" t="n">
        <v>44487</v>
      </c>
      <c r="C4217" s="1" t="n">
        <v>45344</v>
      </c>
      <c r="D4217" t="inlineStr">
        <is>
          <t>GÄVLEBORGS LÄN</t>
        </is>
      </c>
      <c r="E4217" t="inlineStr">
        <is>
          <t>SÖDERHAMN</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58112-2021</t>
        </is>
      </c>
      <c r="B4218" s="1" t="n">
        <v>44487</v>
      </c>
      <c r="C4218" s="1" t="n">
        <v>45344</v>
      </c>
      <c r="D4218" t="inlineStr">
        <is>
          <t>GÄVLEBORGS LÄN</t>
        </is>
      </c>
      <c r="E4218" t="inlineStr">
        <is>
          <t>BOLLNÄS</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58240-2021</t>
        </is>
      </c>
      <c r="B4219" s="1" t="n">
        <v>44487</v>
      </c>
      <c r="C4219" s="1" t="n">
        <v>45344</v>
      </c>
      <c r="D4219" t="inlineStr">
        <is>
          <t>GÄVLEBORGS LÄN</t>
        </is>
      </c>
      <c r="E4219" t="inlineStr">
        <is>
          <t>HOFORS</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58356-2021</t>
        </is>
      </c>
      <c r="B4220" s="1" t="n">
        <v>44488</v>
      </c>
      <c r="C4220" s="1" t="n">
        <v>45344</v>
      </c>
      <c r="D4220" t="inlineStr">
        <is>
          <t>GÄVLEBORGS LÄN</t>
        </is>
      </c>
      <c r="E4220" t="inlineStr">
        <is>
          <t>OCKELBO</t>
        </is>
      </c>
      <c r="F4220" t="inlineStr">
        <is>
          <t>Bergvik skog väst AB</t>
        </is>
      </c>
      <c r="G4220" t="n">
        <v>4.1</v>
      </c>
      <c r="H4220" t="n">
        <v>0</v>
      </c>
      <c r="I4220" t="n">
        <v>0</v>
      </c>
      <c r="J4220" t="n">
        <v>0</v>
      </c>
      <c r="K4220" t="n">
        <v>0</v>
      </c>
      <c r="L4220" t="n">
        <v>0</v>
      </c>
      <c r="M4220" t="n">
        <v>0</v>
      </c>
      <c r="N4220" t="n">
        <v>0</v>
      </c>
      <c r="O4220" t="n">
        <v>0</v>
      </c>
      <c r="P4220" t="n">
        <v>0</v>
      </c>
      <c r="Q4220" t="n">
        <v>0</v>
      </c>
      <c r="R4220" s="2" t="inlineStr"/>
    </row>
    <row r="4221" ht="15" customHeight="1">
      <c r="A4221" t="inlineStr">
        <is>
          <t>A 58397-2021</t>
        </is>
      </c>
      <c r="B4221" s="1" t="n">
        <v>44488</v>
      </c>
      <c r="C4221" s="1" t="n">
        <v>45344</v>
      </c>
      <c r="D4221" t="inlineStr">
        <is>
          <t>GÄVLEBORGS LÄN</t>
        </is>
      </c>
      <c r="E4221" t="inlineStr">
        <is>
          <t>LJUSDAL</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58374-2021</t>
        </is>
      </c>
      <c r="B4222" s="1" t="n">
        <v>44488</v>
      </c>
      <c r="C4222" s="1" t="n">
        <v>45344</v>
      </c>
      <c r="D4222" t="inlineStr">
        <is>
          <t>GÄVLEBORGS LÄN</t>
        </is>
      </c>
      <c r="E4222" t="inlineStr">
        <is>
          <t>OCKELBO</t>
        </is>
      </c>
      <c r="F4222" t="inlineStr">
        <is>
          <t>Bergvik skog väst AB</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58385-2021</t>
        </is>
      </c>
      <c r="B4223" s="1" t="n">
        <v>44488</v>
      </c>
      <c r="C4223" s="1" t="n">
        <v>45344</v>
      </c>
      <c r="D4223" t="inlineStr">
        <is>
          <t>GÄVLEBORGS LÄN</t>
        </is>
      </c>
      <c r="E4223" t="inlineStr">
        <is>
          <t>LJUSDAL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58434-2021</t>
        </is>
      </c>
      <c r="B4224" s="1" t="n">
        <v>44488</v>
      </c>
      <c r="C4224" s="1" t="n">
        <v>45344</v>
      </c>
      <c r="D4224" t="inlineStr">
        <is>
          <t>GÄVLEBORGS LÄN</t>
        </is>
      </c>
      <c r="E4224" t="inlineStr">
        <is>
          <t>BOLLNÄS</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58449-2021</t>
        </is>
      </c>
      <c r="B4225" s="1" t="n">
        <v>44488</v>
      </c>
      <c r="C4225" s="1" t="n">
        <v>45344</v>
      </c>
      <c r="D4225" t="inlineStr">
        <is>
          <t>GÄVLEBORGS LÄN</t>
        </is>
      </c>
      <c r="E4225" t="inlineStr">
        <is>
          <t>GÄVLE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58515-2021</t>
        </is>
      </c>
      <c r="B4226" s="1" t="n">
        <v>44488</v>
      </c>
      <c r="C4226" s="1" t="n">
        <v>45344</v>
      </c>
      <c r="D4226" t="inlineStr">
        <is>
          <t>GÄVLEBORGS LÄN</t>
        </is>
      </c>
      <c r="E4226" t="inlineStr">
        <is>
          <t>BOLLNÄS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58431-2021</t>
        </is>
      </c>
      <c r="B4227" s="1" t="n">
        <v>44488</v>
      </c>
      <c r="C4227" s="1" t="n">
        <v>45344</v>
      </c>
      <c r="D4227" t="inlineStr">
        <is>
          <t>GÄVLEBORGS LÄN</t>
        </is>
      </c>
      <c r="E4227" t="inlineStr">
        <is>
          <t>BOLLNÄS</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58445-2021</t>
        </is>
      </c>
      <c r="B4228" s="1" t="n">
        <v>44488</v>
      </c>
      <c r="C4228" s="1" t="n">
        <v>45344</v>
      </c>
      <c r="D4228" t="inlineStr">
        <is>
          <t>GÄVLEBORGS LÄN</t>
        </is>
      </c>
      <c r="E4228" t="inlineStr">
        <is>
          <t>GÄVLE</t>
        </is>
      </c>
      <c r="G4228" t="n">
        <v>2.3</v>
      </c>
      <c r="H4228" t="n">
        <v>0</v>
      </c>
      <c r="I4228" t="n">
        <v>0</v>
      </c>
      <c r="J4228" t="n">
        <v>0</v>
      </c>
      <c r="K4228" t="n">
        <v>0</v>
      </c>
      <c r="L4228" t="n">
        <v>0</v>
      </c>
      <c r="M4228" t="n">
        <v>0</v>
      </c>
      <c r="N4228" t="n">
        <v>0</v>
      </c>
      <c r="O4228" t="n">
        <v>0</v>
      </c>
      <c r="P4228" t="n">
        <v>0</v>
      </c>
      <c r="Q4228" t="n">
        <v>0</v>
      </c>
      <c r="R4228" s="2" t="inlineStr"/>
    </row>
    <row r="4229" ht="15" customHeight="1">
      <c r="A4229" t="inlineStr">
        <is>
          <t>A 58523-2021</t>
        </is>
      </c>
      <c r="B4229" s="1" t="n">
        <v>44488</v>
      </c>
      <c r="C4229" s="1" t="n">
        <v>45344</v>
      </c>
      <c r="D4229" t="inlineStr">
        <is>
          <t>GÄVLEBORGS LÄN</t>
        </is>
      </c>
      <c r="E4229" t="inlineStr">
        <is>
          <t>BOLLNÄS</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58528-2021</t>
        </is>
      </c>
      <c r="B4230" s="1" t="n">
        <v>44488</v>
      </c>
      <c r="C4230" s="1" t="n">
        <v>45344</v>
      </c>
      <c r="D4230" t="inlineStr">
        <is>
          <t>GÄVLEBORGS LÄN</t>
        </is>
      </c>
      <c r="E4230" t="inlineStr">
        <is>
          <t>BOLLNÄS</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58648-2021</t>
        </is>
      </c>
      <c r="B4231" s="1" t="n">
        <v>44489</v>
      </c>
      <c r="C4231" s="1" t="n">
        <v>45344</v>
      </c>
      <c r="D4231" t="inlineStr">
        <is>
          <t>GÄVLEBORGS LÄN</t>
        </is>
      </c>
      <c r="E4231" t="inlineStr">
        <is>
          <t>LJUSDAL</t>
        </is>
      </c>
      <c r="F4231" t="inlineStr">
        <is>
          <t>Holmen skog AB</t>
        </is>
      </c>
      <c r="G4231" t="n">
        <v>4.5</v>
      </c>
      <c r="H4231" t="n">
        <v>0</v>
      </c>
      <c r="I4231" t="n">
        <v>0</v>
      </c>
      <c r="J4231" t="n">
        <v>0</v>
      </c>
      <c r="K4231" t="n">
        <v>0</v>
      </c>
      <c r="L4231" t="n">
        <v>0</v>
      </c>
      <c r="M4231" t="n">
        <v>0</v>
      </c>
      <c r="N4231" t="n">
        <v>0</v>
      </c>
      <c r="O4231" t="n">
        <v>0</v>
      </c>
      <c r="P4231" t="n">
        <v>0</v>
      </c>
      <c r="Q4231" t="n">
        <v>0</v>
      </c>
      <c r="R4231" s="2" t="inlineStr"/>
    </row>
    <row r="4232" ht="15" customHeight="1">
      <c r="A4232" t="inlineStr">
        <is>
          <t>A 58787-2021</t>
        </is>
      </c>
      <c r="B4232" s="1" t="n">
        <v>44489</v>
      </c>
      <c r="C4232" s="1" t="n">
        <v>45344</v>
      </c>
      <c r="D4232" t="inlineStr">
        <is>
          <t>GÄVLEBORGS LÄN</t>
        </is>
      </c>
      <c r="E4232" t="inlineStr">
        <is>
          <t>HOFORS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58731-2021</t>
        </is>
      </c>
      <c r="B4233" s="1" t="n">
        <v>44489</v>
      </c>
      <c r="C4233" s="1" t="n">
        <v>45344</v>
      </c>
      <c r="D4233" t="inlineStr">
        <is>
          <t>GÄVLEBORGS LÄN</t>
        </is>
      </c>
      <c r="E4233" t="inlineStr">
        <is>
          <t>LJUSDAL</t>
        </is>
      </c>
      <c r="F4233" t="inlineStr">
        <is>
          <t>Holmen skog AB</t>
        </is>
      </c>
      <c r="G4233" t="n">
        <v>2.5</v>
      </c>
      <c r="H4233" t="n">
        <v>0</v>
      </c>
      <c r="I4233" t="n">
        <v>0</v>
      </c>
      <c r="J4233" t="n">
        <v>0</v>
      </c>
      <c r="K4233" t="n">
        <v>0</v>
      </c>
      <c r="L4233" t="n">
        <v>0</v>
      </c>
      <c r="M4233" t="n">
        <v>0</v>
      </c>
      <c r="N4233" t="n">
        <v>0</v>
      </c>
      <c r="O4233" t="n">
        <v>0</v>
      </c>
      <c r="P4233" t="n">
        <v>0</v>
      </c>
      <c r="Q4233" t="n">
        <v>0</v>
      </c>
      <c r="R4233" s="2" t="inlineStr"/>
    </row>
    <row r="4234" ht="15" customHeight="1">
      <c r="A4234" t="inlineStr">
        <is>
          <t>A 58624-2021</t>
        </is>
      </c>
      <c r="B4234" s="1" t="n">
        <v>44489</v>
      </c>
      <c r="C4234" s="1" t="n">
        <v>45344</v>
      </c>
      <c r="D4234" t="inlineStr">
        <is>
          <t>GÄVLEBORGS LÄN</t>
        </is>
      </c>
      <c r="E4234" t="inlineStr">
        <is>
          <t>LJUSDAL</t>
        </is>
      </c>
      <c r="F4234" t="inlineStr">
        <is>
          <t>Holmen skog AB</t>
        </is>
      </c>
      <c r="G4234" t="n">
        <v>33.3</v>
      </c>
      <c r="H4234" t="n">
        <v>0</v>
      </c>
      <c r="I4234" t="n">
        <v>0</v>
      </c>
      <c r="J4234" t="n">
        <v>0</v>
      </c>
      <c r="K4234" t="n">
        <v>0</v>
      </c>
      <c r="L4234" t="n">
        <v>0</v>
      </c>
      <c r="M4234" t="n">
        <v>0</v>
      </c>
      <c r="N4234" t="n">
        <v>0</v>
      </c>
      <c r="O4234" t="n">
        <v>0</v>
      </c>
      <c r="P4234" t="n">
        <v>0</v>
      </c>
      <c r="Q4234" t="n">
        <v>0</v>
      </c>
      <c r="R4234" s="2" t="inlineStr"/>
    </row>
    <row r="4235" ht="15" customHeight="1">
      <c r="A4235" t="inlineStr">
        <is>
          <t>A 58874-2021</t>
        </is>
      </c>
      <c r="B4235" s="1" t="n">
        <v>44489</v>
      </c>
      <c r="C4235" s="1" t="n">
        <v>45344</v>
      </c>
      <c r="D4235" t="inlineStr">
        <is>
          <t>GÄVLEBORGS LÄN</t>
        </is>
      </c>
      <c r="E4235" t="inlineStr">
        <is>
          <t>LJUSDAL</t>
        </is>
      </c>
      <c r="F4235" t="inlineStr">
        <is>
          <t>Holmen skog AB</t>
        </is>
      </c>
      <c r="G4235" t="n">
        <v>17.2</v>
      </c>
      <c r="H4235" t="n">
        <v>0</v>
      </c>
      <c r="I4235" t="n">
        <v>0</v>
      </c>
      <c r="J4235" t="n">
        <v>0</v>
      </c>
      <c r="K4235" t="n">
        <v>0</v>
      </c>
      <c r="L4235" t="n">
        <v>0</v>
      </c>
      <c r="M4235" t="n">
        <v>0</v>
      </c>
      <c r="N4235" t="n">
        <v>0</v>
      </c>
      <c r="O4235" t="n">
        <v>0</v>
      </c>
      <c r="P4235" t="n">
        <v>0</v>
      </c>
      <c r="Q4235" t="n">
        <v>0</v>
      </c>
      <c r="R4235" s="2" t="inlineStr"/>
    </row>
    <row r="4236" ht="15" customHeight="1">
      <c r="A4236" t="inlineStr">
        <is>
          <t>A 58891-2021</t>
        </is>
      </c>
      <c r="B4236" s="1" t="n">
        <v>44489</v>
      </c>
      <c r="C4236" s="1" t="n">
        <v>45344</v>
      </c>
      <c r="D4236" t="inlineStr">
        <is>
          <t>GÄVLEBORGS LÄN</t>
        </is>
      </c>
      <c r="E4236" t="inlineStr">
        <is>
          <t>NORDANSTIG</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58720-2021</t>
        </is>
      </c>
      <c r="B4237" s="1" t="n">
        <v>44489</v>
      </c>
      <c r="C4237" s="1" t="n">
        <v>45344</v>
      </c>
      <c r="D4237" t="inlineStr">
        <is>
          <t>GÄVLEBORGS LÄN</t>
        </is>
      </c>
      <c r="E4237" t="inlineStr">
        <is>
          <t>BOLLNÄS</t>
        </is>
      </c>
      <c r="F4237" t="inlineStr">
        <is>
          <t>Holmen skog AB</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58753-2021</t>
        </is>
      </c>
      <c r="B4238" s="1" t="n">
        <v>44489</v>
      </c>
      <c r="C4238" s="1" t="n">
        <v>45344</v>
      </c>
      <c r="D4238" t="inlineStr">
        <is>
          <t>GÄVLEBORGS LÄN</t>
        </is>
      </c>
      <c r="E4238" t="inlineStr">
        <is>
          <t>BOLLNÄS</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58817-2021</t>
        </is>
      </c>
      <c r="B4239" s="1" t="n">
        <v>44489</v>
      </c>
      <c r="C4239" s="1" t="n">
        <v>45344</v>
      </c>
      <c r="D4239" t="inlineStr">
        <is>
          <t>GÄVLEBORGS LÄN</t>
        </is>
      </c>
      <c r="E4239" t="inlineStr">
        <is>
          <t>OVANÅKER</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59061-2021</t>
        </is>
      </c>
      <c r="B4240" s="1" t="n">
        <v>44490</v>
      </c>
      <c r="C4240" s="1" t="n">
        <v>45344</v>
      </c>
      <c r="D4240" t="inlineStr">
        <is>
          <t>GÄVLEBORGS LÄN</t>
        </is>
      </c>
      <c r="E4240" t="inlineStr">
        <is>
          <t>GÄVLE</t>
        </is>
      </c>
      <c r="F4240" t="inlineStr">
        <is>
          <t>Kyrkan</t>
        </is>
      </c>
      <c r="G4240" t="n">
        <v>3.8</v>
      </c>
      <c r="H4240" t="n">
        <v>0</v>
      </c>
      <c r="I4240" t="n">
        <v>0</v>
      </c>
      <c r="J4240" t="n">
        <v>0</v>
      </c>
      <c r="K4240" t="n">
        <v>0</v>
      </c>
      <c r="L4240" t="n">
        <v>0</v>
      </c>
      <c r="M4240" t="n">
        <v>0</v>
      </c>
      <c r="N4240" t="n">
        <v>0</v>
      </c>
      <c r="O4240" t="n">
        <v>0</v>
      </c>
      <c r="P4240" t="n">
        <v>0</v>
      </c>
      <c r="Q4240" t="n">
        <v>0</v>
      </c>
      <c r="R4240" s="2" t="inlineStr"/>
    </row>
    <row r="4241" ht="15" customHeight="1">
      <c r="A4241" t="inlineStr">
        <is>
          <t>A 59085-2021</t>
        </is>
      </c>
      <c r="B4241" s="1" t="n">
        <v>44490</v>
      </c>
      <c r="C4241" s="1" t="n">
        <v>45344</v>
      </c>
      <c r="D4241" t="inlineStr">
        <is>
          <t>GÄVLEBORGS LÄN</t>
        </is>
      </c>
      <c r="E4241" t="inlineStr">
        <is>
          <t>BOLLNÄS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59129-2021</t>
        </is>
      </c>
      <c r="B4242" s="1" t="n">
        <v>44490</v>
      </c>
      <c r="C4242" s="1" t="n">
        <v>45344</v>
      </c>
      <c r="D4242" t="inlineStr">
        <is>
          <t>GÄVLEBORGS LÄN</t>
        </is>
      </c>
      <c r="E4242" t="inlineStr">
        <is>
          <t>LJUSDAL</t>
        </is>
      </c>
      <c r="F4242" t="inlineStr">
        <is>
          <t>Sveaskog</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59216-2021</t>
        </is>
      </c>
      <c r="B4243" s="1" t="n">
        <v>44490</v>
      </c>
      <c r="C4243" s="1" t="n">
        <v>45344</v>
      </c>
      <c r="D4243" t="inlineStr">
        <is>
          <t>GÄVLEBORGS LÄN</t>
        </is>
      </c>
      <c r="E4243" t="inlineStr">
        <is>
          <t>SÖDERHAMN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59214-2021</t>
        </is>
      </c>
      <c r="B4244" s="1" t="n">
        <v>44490</v>
      </c>
      <c r="C4244" s="1" t="n">
        <v>45344</v>
      </c>
      <c r="D4244" t="inlineStr">
        <is>
          <t>GÄVLEBORGS LÄN</t>
        </is>
      </c>
      <c r="E4244" t="inlineStr">
        <is>
          <t>SÖDERHAMN</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59211-2021</t>
        </is>
      </c>
      <c r="B4245" s="1" t="n">
        <v>44490</v>
      </c>
      <c r="C4245" s="1" t="n">
        <v>45344</v>
      </c>
      <c r="D4245" t="inlineStr">
        <is>
          <t>GÄVLEBORGS LÄN</t>
        </is>
      </c>
      <c r="E4245" t="inlineStr">
        <is>
          <t>NORDANSTIG</t>
        </is>
      </c>
      <c r="F4245" t="inlineStr">
        <is>
          <t>Holmen skog AB</t>
        </is>
      </c>
      <c r="G4245" t="n">
        <v>4.2</v>
      </c>
      <c r="H4245" t="n">
        <v>0</v>
      </c>
      <c r="I4245" t="n">
        <v>0</v>
      </c>
      <c r="J4245" t="n">
        <v>0</v>
      </c>
      <c r="K4245" t="n">
        <v>0</v>
      </c>
      <c r="L4245" t="n">
        <v>0</v>
      </c>
      <c r="M4245" t="n">
        <v>0</v>
      </c>
      <c r="N4245" t="n">
        <v>0</v>
      </c>
      <c r="O4245" t="n">
        <v>0</v>
      </c>
      <c r="P4245" t="n">
        <v>0</v>
      </c>
      <c r="Q4245" t="n">
        <v>0</v>
      </c>
      <c r="R4245" s="2" t="inlineStr"/>
    </row>
    <row r="4246" ht="15" customHeight="1">
      <c r="A4246" t="inlineStr">
        <is>
          <t>A 59267-2021</t>
        </is>
      </c>
      <c r="B4246" s="1" t="n">
        <v>44490</v>
      </c>
      <c r="C4246" s="1" t="n">
        <v>45344</v>
      </c>
      <c r="D4246" t="inlineStr">
        <is>
          <t>GÄVLEBORGS LÄN</t>
        </is>
      </c>
      <c r="E4246" t="inlineStr">
        <is>
          <t>NORDANSTIG</t>
        </is>
      </c>
      <c r="G4246" t="n">
        <v>10.3</v>
      </c>
      <c r="H4246" t="n">
        <v>0</v>
      </c>
      <c r="I4246" t="n">
        <v>0</v>
      </c>
      <c r="J4246" t="n">
        <v>0</v>
      </c>
      <c r="K4246" t="n">
        <v>0</v>
      </c>
      <c r="L4246" t="n">
        <v>0</v>
      </c>
      <c r="M4246" t="n">
        <v>0</v>
      </c>
      <c r="N4246" t="n">
        <v>0</v>
      </c>
      <c r="O4246" t="n">
        <v>0</v>
      </c>
      <c r="P4246" t="n">
        <v>0</v>
      </c>
      <c r="Q4246" t="n">
        <v>0</v>
      </c>
      <c r="R4246" s="2" t="inlineStr"/>
    </row>
    <row r="4247" ht="15" customHeight="1">
      <c r="A4247" t="inlineStr">
        <is>
          <t>A 59270-2021</t>
        </is>
      </c>
      <c r="B4247" s="1" t="n">
        <v>44490</v>
      </c>
      <c r="C4247" s="1" t="n">
        <v>45344</v>
      </c>
      <c r="D4247" t="inlineStr">
        <is>
          <t>GÄVLEBORGS LÄN</t>
        </is>
      </c>
      <c r="E4247" t="inlineStr">
        <is>
          <t>NORDANSTIG</t>
        </is>
      </c>
      <c r="G4247" t="n">
        <v>5.4</v>
      </c>
      <c r="H4247" t="n">
        <v>0</v>
      </c>
      <c r="I4247" t="n">
        <v>0</v>
      </c>
      <c r="J4247" t="n">
        <v>0</v>
      </c>
      <c r="K4247" t="n">
        <v>0</v>
      </c>
      <c r="L4247" t="n">
        <v>0</v>
      </c>
      <c r="M4247" t="n">
        <v>0</v>
      </c>
      <c r="N4247" t="n">
        <v>0</v>
      </c>
      <c r="O4247" t="n">
        <v>0</v>
      </c>
      <c r="P4247" t="n">
        <v>0</v>
      </c>
      <c r="Q4247" t="n">
        <v>0</v>
      </c>
      <c r="R4247" s="2" t="inlineStr"/>
    </row>
    <row r="4248" ht="15" customHeight="1">
      <c r="A4248" t="inlineStr">
        <is>
          <t>A 59442-2021</t>
        </is>
      </c>
      <c r="B4248" s="1" t="n">
        <v>44491</v>
      </c>
      <c r="C4248" s="1" t="n">
        <v>45344</v>
      </c>
      <c r="D4248" t="inlineStr">
        <is>
          <t>GÄVLEBORGS LÄN</t>
        </is>
      </c>
      <c r="E4248" t="inlineStr">
        <is>
          <t>OVANÅKER</t>
        </is>
      </c>
      <c r="G4248" t="n">
        <v>2.9</v>
      </c>
      <c r="H4248" t="n">
        <v>0</v>
      </c>
      <c r="I4248" t="n">
        <v>0</v>
      </c>
      <c r="J4248" t="n">
        <v>0</v>
      </c>
      <c r="K4248" t="n">
        <v>0</v>
      </c>
      <c r="L4248" t="n">
        <v>0</v>
      </c>
      <c r="M4248" t="n">
        <v>0</v>
      </c>
      <c r="N4248" t="n">
        <v>0</v>
      </c>
      <c r="O4248" t="n">
        <v>0</v>
      </c>
      <c r="P4248" t="n">
        <v>0</v>
      </c>
      <c r="Q4248" t="n">
        <v>0</v>
      </c>
      <c r="R4248" s="2" t="inlineStr"/>
    </row>
    <row r="4249" ht="15" customHeight="1">
      <c r="A4249" t="inlineStr">
        <is>
          <t>A 59513-2021</t>
        </is>
      </c>
      <c r="B4249" s="1" t="n">
        <v>44491</v>
      </c>
      <c r="C4249" s="1" t="n">
        <v>45344</v>
      </c>
      <c r="D4249" t="inlineStr">
        <is>
          <t>GÄVLEBORGS LÄN</t>
        </is>
      </c>
      <c r="E4249" t="inlineStr">
        <is>
          <t>HUDIKSVALL</t>
        </is>
      </c>
      <c r="F4249" t="inlineStr">
        <is>
          <t>Holmen skog AB</t>
        </is>
      </c>
      <c r="G4249" t="n">
        <v>9.800000000000001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59611-2021</t>
        </is>
      </c>
      <c r="B4250" s="1" t="n">
        <v>44491</v>
      </c>
      <c r="C4250" s="1" t="n">
        <v>45344</v>
      </c>
      <c r="D4250" t="inlineStr">
        <is>
          <t>GÄVLEBORGS LÄN</t>
        </is>
      </c>
      <c r="E4250" t="inlineStr">
        <is>
          <t>SÖDERHAMN</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59515-2021</t>
        </is>
      </c>
      <c r="B4251" s="1" t="n">
        <v>44491</v>
      </c>
      <c r="C4251" s="1" t="n">
        <v>45344</v>
      </c>
      <c r="D4251" t="inlineStr">
        <is>
          <t>GÄVLEBORGS LÄN</t>
        </is>
      </c>
      <c r="E4251" t="inlineStr">
        <is>
          <t>GÄVLE</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59582-2021</t>
        </is>
      </c>
      <c r="B4252" s="1" t="n">
        <v>44491</v>
      </c>
      <c r="C4252" s="1" t="n">
        <v>45344</v>
      </c>
      <c r="D4252" t="inlineStr">
        <is>
          <t>GÄVLEBORGS LÄN</t>
        </is>
      </c>
      <c r="E4252" t="inlineStr">
        <is>
          <t>GÄVLE</t>
        </is>
      </c>
      <c r="F4252" t="inlineStr">
        <is>
          <t>Bergvik skog öst AB</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59583-2021</t>
        </is>
      </c>
      <c r="B4253" s="1" t="n">
        <v>44491</v>
      </c>
      <c r="C4253" s="1" t="n">
        <v>45344</v>
      </c>
      <c r="D4253" t="inlineStr">
        <is>
          <t>GÄVLEBORGS LÄN</t>
        </is>
      </c>
      <c r="E4253" t="inlineStr">
        <is>
          <t>NORDANSTIG</t>
        </is>
      </c>
      <c r="F4253" t="inlineStr">
        <is>
          <t>Holmen skog AB</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59593-2021</t>
        </is>
      </c>
      <c r="B4254" s="1" t="n">
        <v>44491</v>
      </c>
      <c r="C4254" s="1" t="n">
        <v>45344</v>
      </c>
      <c r="D4254" t="inlineStr">
        <is>
          <t>GÄVLEBORGS LÄN</t>
        </is>
      </c>
      <c r="E4254" t="inlineStr">
        <is>
          <t>HUDIKSVALL</t>
        </is>
      </c>
      <c r="G4254" t="n">
        <v>2.8</v>
      </c>
      <c r="H4254" t="n">
        <v>0</v>
      </c>
      <c r="I4254" t="n">
        <v>0</v>
      </c>
      <c r="J4254" t="n">
        <v>0</v>
      </c>
      <c r="K4254" t="n">
        <v>0</v>
      </c>
      <c r="L4254" t="n">
        <v>0</v>
      </c>
      <c r="M4254" t="n">
        <v>0</v>
      </c>
      <c r="N4254" t="n">
        <v>0</v>
      </c>
      <c r="O4254" t="n">
        <v>0</v>
      </c>
      <c r="P4254" t="n">
        <v>0</v>
      </c>
      <c r="Q4254" t="n">
        <v>0</v>
      </c>
      <c r="R4254" s="2" t="inlineStr"/>
    </row>
    <row r="4255" ht="15" customHeight="1">
      <c r="A4255" t="inlineStr">
        <is>
          <t>A 59629-2021</t>
        </is>
      </c>
      <c r="B4255" s="1" t="n">
        <v>44492</v>
      </c>
      <c r="C4255" s="1" t="n">
        <v>45344</v>
      </c>
      <c r="D4255" t="inlineStr">
        <is>
          <t>GÄVLEBORGS LÄN</t>
        </is>
      </c>
      <c r="E4255" t="inlineStr">
        <is>
          <t>OCKELBO</t>
        </is>
      </c>
      <c r="G4255" t="n">
        <v>1.1</v>
      </c>
      <c r="H4255" t="n">
        <v>0</v>
      </c>
      <c r="I4255" t="n">
        <v>0</v>
      </c>
      <c r="J4255" t="n">
        <v>0</v>
      </c>
      <c r="K4255" t="n">
        <v>0</v>
      </c>
      <c r="L4255" t="n">
        <v>0</v>
      </c>
      <c r="M4255" t="n">
        <v>0</v>
      </c>
      <c r="N4255" t="n">
        <v>0</v>
      </c>
      <c r="O4255" t="n">
        <v>0</v>
      </c>
      <c r="P4255" t="n">
        <v>0</v>
      </c>
      <c r="Q4255" t="n">
        <v>0</v>
      </c>
      <c r="R4255" s="2" t="inlineStr"/>
    </row>
    <row r="4256" ht="15" customHeight="1">
      <c r="A4256" t="inlineStr">
        <is>
          <t>A 59718-2021</t>
        </is>
      </c>
      <c r="B4256" s="1" t="n">
        <v>44494</v>
      </c>
      <c r="C4256" s="1" t="n">
        <v>45344</v>
      </c>
      <c r="D4256" t="inlineStr">
        <is>
          <t>GÄVLEBORGS LÄN</t>
        </is>
      </c>
      <c r="E4256" t="inlineStr">
        <is>
          <t>OVANÅKER</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59810-2021</t>
        </is>
      </c>
      <c r="B4257" s="1" t="n">
        <v>44494</v>
      </c>
      <c r="C4257" s="1" t="n">
        <v>45344</v>
      </c>
      <c r="D4257" t="inlineStr">
        <is>
          <t>GÄVLEBORGS LÄN</t>
        </is>
      </c>
      <c r="E4257" t="inlineStr">
        <is>
          <t>GÄVLE</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60127-2021</t>
        </is>
      </c>
      <c r="B4258" s="1" t="n">
        <v>44495</v>
      </c>
      <c r="C4258" s="1" t="n">
        <v>45344</v>
      </c>
      <c r="D4258" t="inlineStr">
        <is>
          <t>GÄVLEBORGS LÄN</t>
        </is>
      </c>
      <c r="E4258" t="inlineStr">
        <is>
          <t>BOLLNÄS</t>
        </is>
      </c>
      <c r="G4258" t="n">
        <v>2.7</v>
      </c>
      <c r="H4258" t="n">
        <v>0</v>
      </c>
      <c r="I4258" t="n">
        <v>0</v>
      </c>
      <c r="J4258" t="n">
        <v>0</v>
      </c>
      <c r="K4258" t="n">
        <v>0</v>
      </c>
      <c r="L4258" t="n">
        <v>0</v>
      </c>
      <c r="M4258" t="n">
        <v>0</v>
      </c>
      <c r="N4258" t="n">
        <v>0</v>
      </c>
      <c r="O4258" t="n">
        <v>0</v>
      </c>
      <c r="P4258" t="n">
        <v>0</v>
      </c>
      <c r="Q4258" t="n">
        <v>0</v>
      </c>
      <c r="R4258" s="2" t="inlineStr"/>
    </row>
    <row r="4259" ht="15" customHeight="1">
      <c r="A4259" t="inlineStr">
        <is>
          <t>A 60040-2021</t>
        </is>
      </c>
      <c r="B4259" s="1" t="n">
        <v>44495</v>
      </c>
      <c r="C4259" s="1" t="n">
        <v>45344</v>
      </c>
      <c r="D4259" t="inlineStr">
        <is>
          <t>GÄVLEBORGS LÄN</t>
        </is>
      </c>
      <c r="E4259" t="inlineStr">
        <is>
          <t>HUDIKSVALL</t>
        </is>
      </c>
      <c r="F4259" t="inlineStr">
        <is>
          <t>Holmen skog AB</t>
        </is>
      </c>
      <c r="G4259" t="n">
        <v>10.4</v>
      </c>
      <c r="H4259" t="n">
        <v>0</v>
      </c>
      <c r="I4259" t="n">
        <v>0</v>
      </c>
      <c r="J4259" t="n">
        <v>0</v>
      </c>
      <c r="K4259" t="n">
        <v>0</v>
      </c>
      <c r="L4259" t="n">
        <v>0</v>
      </c>
      <c r="M4259" t="n">
        <v>0</v>
      </c>
      <c r="N4259" t="n">
        <v>0</v>
      </c>
      <c r="O4259" t="n">
        <v>0</v>
      </c>
      <c r="P4259" t="n">
        <v>0</v>
      </c>
      <c r="Q4259" t="n">
        <v>0</v>
      </c>
      <c r="R4259" s="2" t="inlineStr"/>
    </row>
    <row r="4260" ht="15" customHeight="1">
      <c r="A4260" t="inlineStr">
        <is>
          <t>A 60149-2021</t>
        </is>
      </c>
      <c r="B4260" s="1" t="n">
        <v>44495</v>
      </c>
      <c r="C4260" s="1" t="n">
        <v>45344</v>
      </c>
      <c r="D4260" t="inlineStr">
        <is>
          <t>GÄVLEBORGS LÄN</t>
        </is>
      </c>
      <c r="E4260" t="inlineStr">
        <is>
          <t>BOLLNÄS</t>
        </is>
      </c>
      <c r="G4260" t="n">
        <v>1.6</v>
      </c>
      <c r="H4260" t="n">
        <v>0</v>
      </c>
      <c r="I4260" t="n">
        <v>0</v>
      </c>
      <c r="J4260" t="n">
        <v>0</v>
      </c>
      <c r="K4260" t="n">
        <v>0</v>
      </c>
      <c r="L4260" t="n">
        <v>0</v>
      </c>
      <c r="M4260" t="n">
        <v>0</v>
      </c>
      <c r="N4260" t="n">
        <v>0</v>
      </c>
      <c r="O4260" t="n">
        <v>0</v>
      </c>
      <c r="P4260" t="n">
        <v>0</v>
      </c>
      <c r="Q4260" t="n">
        <v>0</v>
      </c>
      <c r="R4260" s="2" t="inlineStr"/>
    </row>
    <row r="4261" ht="15" customHeight="1">
      <c r="A4261" t="inlineStr">
        <is>
          <t>A 60346-2021</t>
        </is>
      </c>
      <c r="B4261" s="1" t="n">
        <v>44496</v>
      </c>
      <c r="C4261" s="1" t="n">
        <v>45344</v>
      </c>
      <c r="D4261" t="inlineStr">
        <is>
          <t>GÄVLEBORGS LÄN</t>
        </is>
      </c>
      <c r="E4261" t="inlineStr">
        <is>
          <t>LJUSDAL</t>
        </is>
      </c>
      <c r="F4261" t="inlineStr">
        <is>
          <t>Kommuner</t>
        </is>
      </c>
      <c r="G4261" t="n">
        <v>8.1</v>
      </c>
      <c r="H4261" t="n">
        <v>0</v>
      </c>
      <c r="I4261" t="n">
        <v>0</v>
      </c>
      <c r="J4261" t="n">
        <v>0</v>
      </c>
      <c r="K4261" t="n">
        <v>0</v>
      </c>
      <c r="L4261" t="n">
        <v>0</v>
      </c>
      <c r="M4261" t="n">
        <v>0</v>
      </c>
      <c r="N4261" t="n">
        <v>0</v>
      </c>
      <c r="O4261" t="n">
        <v>0</v>
      </c>
      <c r="P4261" t="n">
        <v>0</v>
      </c>
      <c r="Q4261" t="n">
        <v>0</v>
      </c>
      <c r="R4261" s="2" t="inlineStr"/>
    </row>
    <row r="4262" ht="15" customHeight="1">
      <c r="A4262" t="inlineStr">
        <is>
          <t>A 60476-2021</t>
        </is>
      </c>
      <c r="B4262" s="1" t="n">
        <v>44496</v>
      </c>
      <c r="C4262" s="1" t="n">
        <v>45344</v>
      </c>
      <c r="D4262" t="inlineStr">
        <is>
          <t>GÄVLEBORGS LÄN</t>
        </is>
      </c>
      <c r="E4262" t="inlineStr">
        <is>
          <t>GÄVLE</t>
        </is>
      </c>
      <c r="F4262" t="inlineStr">
        <is>
          <t>Bergvik skog väst AB</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60481-2021</t>
        </is>
      </c>
      <c r="B4263" s="1" t="n">
        <v>44496</v>
      </c>
      <c r="C4263" s="1" t="n">
        <v>45344</v>
      </c>
      <c r="D4263" t="inlineStr">
        <is>
          <t>GÄVLEBORGS LÄN</t>
        </is>
      </c>
      <c r="E4263" t="inlineStr">
        <is>
          <t>BOLLNÄS</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60347-2021</t>
        </is>
      </c>
      <c r="B4264" s="1" t="n">
        <v>44496</v>
      </c>
      <c r="C4264" s="1" t="n">
        <v>45344</v>
      </c>
      <c r="D4264" t="inlineStr">
        <is>
          <t>GÄVLEBORGS LÄN</t>
        </is>
      </c>
      <c r="E4264" t="inlineStr">
        <is>
          <t>BOLLNÄS</t>
        </is>
      </c>
      <c r="F4264" t="inlineStr">
        <is>
          <t>Bergvik skog väst AB</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60569-2021</t>
        </is>
      </c>
      <c r="B4265" s="1" t="n">
        <v>44496</v>
      </c>
      <c r="C4265" s="1" t="n">
        <v>45344</v>
      </c>
      <c r="D4265" t="inlineStr">
        <is>
          <t>GÄVLEBORGS LÄN</t>
        </is>
      </c>
      <c r="E4265" t="inlineStr">
        <is>
          <t>LJUSDAL</t>
        </is>
      </c>
      <c r="F4265" t="inlineStr">
        <is>
          <t>Bergvik skog väst AB</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60497-2021</t>
        </is>
      </c>
      <c r="B4266" s="1" t="n">
        <v>44496</v>
      </c>
      <c r="C4266" s="1" t="n">
        <v>45344</v>
      </c>
      <c r="D4266" t="inlineStr">
        <is>
          <t>GÄVLEBORGS LÄN</t>
        </is>
      </c>
      <c r="E4266" t="inlineStr">
        <is>
          <t>OCKELBO</t>
        </is>
      </c>
      <c r="F4266" t="inlineStr">
        <is>
          <t>Bergvik skog väst AB</t>
        </is>
      </c>
      <c r="G4266" t="n">
        <v>3.7</v>
      </c>
      <c r="H4266" t="n">
        <v>0</v>
      </c>
      <c r="I4266" t="n">
        <v>0</v>
      </c>
      <c r="J4266" t="n">
        <v>0</v>
      </c>
      <c r="K4266" t="n">
        <v>0</v>
      </c>
      <c r="L4266" t="n">
        <v>0</v>
      </c>
      <c r="M4266" t="n">
        <v>0</v>
      </c>
      <c r="N4266" t="n">
        <v>0</v>
      </c>
      <c r="O4266" t="n">
        <v>0</v>
      </c>
      <c r="P4266" t="n">
        <v>0</v>
      </c>
      <c r="Q4266" t="n">
        <v>0</v>
      </c>
      <c r="R4266" s="2" t="inlineStr"/>
    </row>
    <row r="4267" ht="15" customHeight="1">
      <c r="A4267" t="inlineStr">
        <is>
          <t>A 60626-2021</t>
        </is>
      </c>
      <c r="B4267" s="1" t="n">
        <v>44496</v>
      </c>
      <c r="C4267" s="1" t="n">
        <v>45344</v>
      </c>
      <c r="D4267" t="inlineStr">
        <is>
          <t>GÄVLEBORGS LÄN</t>
        </is>
      </c>
      <c r="E4267" t="inlineStr">
        <is>
          <t>HUDIKSVALL</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60405-2021</t>
        </is>
      </c>
      <c r="B4268" s="1" t="n">
        <v>44496</v>
      </c>
      <c r="C4268" s="1" t="n">
        <v>45344</v>
      </c>
      <c r="D4268" t="inlineStr">
        <is>
          <t>GÄVLEBORGS LÄN</t>
        </is>
      </c>
      <c r="E4268" t="inlineStr">
        <is>
          <t>SANDVIKEN</t>
        </is>
      </c>
      <c r="G4268" t="n">
        <v>4.6</v>
      </c>
      <c r="H4268" t="n">
        <v>0</v>
      </c>
      <c r="I4268" t="n">
        <v>0</v>
      </c>
      <c r="J4268" t="n">
        <v>0</v>
      </c>
      <c r="K4268" t="n">
        <v>0</v>
      </c>
      <c r="L4268" t="n">
        <v>0</v>
      </c>
      <c r="M4268" t="n">
        <v>0</v>
      </c>
      <c r="N4268" t="n">
        <v>0</v>
      </c>
      <c r="O4268" t="n">
        <v>0</v>
      </c>
      <c r="P4268" t="n">
        <v>0</v>
      </c>
      <c r="Q4268" t="n">
        <v>0</v>
      </c>
      <c r="R4268" s="2" t="inlineStr"/>
    </row>
    <row r="4269" ht="15" customHeight="1">
      <c r="A4269" t="inlineStr">
        <is>
          <t>A 60574-2021</t>
        </is>
      </c>
      <c r="B4269" s="1" t="n">
        <v>44496</v>
      </c>
      <c r="C4269" s="1" t="n">
        <v>45344</v>
      </c>
      <c r="D4269" t="inlineStr">
        <is>
          <t>GÄVLEBORGS LÄN</t>
        </is>
      </c>
      <c r="E4269" t="inlineStr">
        <is>
          <t>OCKELBO</t>
        </is>
      </c>
      <c r="F4269" t="inlineStr">
        <is>
          <t>Bergvik skog väst AB</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60689-2021</t>
        </is>
      </c>
      <c r="B4270" s="1" t="n">
        <v>44496</v>
      </c>
      <c r="C4270" s="1" t="n">
        <v>45344</v>
      </c>
      <c r="D4270" t="inlineStr">
        <is>
          <t>GÄVLEBORGS LÄN</t>
        </is>
      </c>
      <c r="E4270" t="inlineStr">
        <is>
          <t>LJUSDAL</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60755-2021</t>
        </is>
      </c>
      <c r="B4271" s="1" t="n">
        <v>44496</v>
      </c>
      <c r="C4271" s="1" t="n">
        <v>45344</v>
      </c>
      <c r="D4271" t="inlineStr">
        <is>
          <t>GÄVLEBORGS LÄN</t>
        </is>
      </c>
      <c r="E4271" t="inlineStr">
        <is>
          <t>HUDIKSVALL</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60768-2021</t>
        </is>
      </c>
      <c r="B4272" s="1" t="n">
        <v>44497</v>
      </c>
      <c r="C4272" s="1" t="n">
        <v>45344</v>
      </c>
      <c r="D4272" t="inlineStr">
        <is>
          <t>GÄVLEBORGS LÄN</t>
        </is>
      </c>
      <c r="E4272" t="inlineStr">
        <is>
          <t>LJUSDAL</t>
        </is>
      </c>
      <c r="F4272" t="inlineStr">
        <is>
          <t>SCA</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60999-2021</t>
        </is>
      </c>
      <c r="B4273" s="1" t="n">
        <v>44497</v>
      </c>
      <c r="C4273" s="1" t="n">
        <v>45344</v>
      </c>
      <c r="D4273" t="inlineStr">
        <is>
          <t>GÄVLEBORGS LÄN</t>
        </is>
      </c>
      <c r="E4273" t="inlineStr">
        <is>
          <t>OVANÅKER</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61012-2021</t>
        </is>
      </c>
      <c r="B4274" s="1" t="n">
        <v>44497</v>
      </c>
      <c r="C4274" s="1" t="n">
        <v>45344</v>
      </c>
      <c r="D4274" t="inlineStr">
        <is>
          <t>GÄVLEBORGS LÄN</t>
        </is>
      </c>
      <c r="E4274" t="inlineStr">
        <is>
          <t>LJUSDAL</t>
        </is>
      </c>
      <c r="F4274" t="inlineStr">
        <is>
          <t>Holmen skog AB</t>
        </is>
      </c>
      <c r="G4274" t="n">
        <v>4</v>
      </c>
      <c r="H4274" t="n">
        <v>0</v>
      </c>
      <c r="I4274" t="n">
        <v>0</v>
      </c>
      <c r="J4274" t="n">
        <v>0</v>
      </c>
      <c r="K4274" t="n">
        <v>0</v>
      </c>
      <c r="L4274" t="n">
        <v>0</v>
      </c>
      <c r="M4274" t="n">
        <v>0</v>
      </c>
      <c r="N4274" t="n">
        <v>0</v>
      </c>
      <c r="O4274" t="n">
        <v>0</v>
      </c>
      <c r="P4274" t="n">
        <v>0</v>
      </c>
      <c r="Q4274" t="n">
        <v>0</v>
      </c>
      <c r="R4274" s="2" t="inlineStr"/>
    </row>
    <row r="4275" ht="15" customHeight="1">
      <c r="A4275" t="inlineStr">
        <is>
          <t>A 61010-2021</t>
        </is>
      </c>
      <c r="B4275" s="1" t="n">
        <v>44497</v>
      </c>
      <c r="C4275" s="1" t="n">
        <v>45344</v>
      </c>
      <c r="D4275" t="inlineStr">
        <is>
          <t>GÄVLEBORGS LÄN</t>
        </is>
      </c>
      <c r="E4275" t="inlineStr">
        <is>
          <t>LJUSDAL</t>
        </is>
      </c>
      <c r="F4275" t="inlineStr">
        <is>
          <t>Holmen skog AB</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61164-2021</t>
        </is>
      </c>
      <c r="B4276" s="1" t="n">
        <v>44497</v>
      </c>
      <c r="C4276" s="1" t="n">
        <v>45344</v>
      </c>
      <c r="D4276" t="inlineStr">
        <is>
          <t>GÄVLEBORGS LÄN</t>
        </is>
      </c>
      <c r="E4276" t="inlineStr">
        <is>
          <t>LJUSDAL</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60902-2021</t>
        </is>
      </c>
      <c r="B4277" s="1" t="n">
        <v>44497</v>
      </c>
      <c r="C4277" s="1" t="n">
        <v>45344</v>
      </c>
      <c r="D4277" t="inlineStr">
        <is>
          <t>GÄVLEBORGS LÄN</t>
        </is>
      </c>
      <c r="E4277" t="inlineStr">
        <is>
          <t>LJUSDAL</t>
        </is>
      </c>
      <c r="F4277" t="inlineStr">
        <is>
          <t>Holmen skog AB</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61020-2021</t>
        </is>
      </c>
      <c r="B4278" s="1" t="n">
        <v>44497</v>
      </c>
      <c r="C4278" s="1" t="n">
        <v>45344</v>
      </c>
      <c r="D4278" t="inlineStr">
        <is>
          <t>GÄVLEBORGS LÄN</t>
        </is>
      </c>
      <c r="E4278" t="inlineStr">
        <is>
          <t>OVANÅKER</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61062-2021</t>
        </is>
      </c>
      <c r="B4279" s="1" t="n">
        <v>44497</v>
      </c>
      <c r="C4279" s="1" t="n">
        <v>45344</v>
      </c>
      <c r="D4279" t="inlineStr">
        <is>
          <t>GÄVLEBORGS LÄN</t>
        </is>
      </c>
      <c r="E4279" t="inlineStr">
        <is>
          <t>GÄVLE</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61162-2021</t>
        </is>
      </c>
      <c r="B4280" s="1" t="n">
        <v>44497</v>
      </c>
      <c r="C4280" s="1" t="n">
        <v>45344</v>
      </c>
      <c r="D4280" t="inlineStr">
        <is>
          <t>GÄVLEBORGS LÄN</t>
        </is>
      </c>
      <c r="E4280" t="inlineStr">
        <is>
          <t>LJUSDAL</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60968-2021</t>
        </is>
      </c>
      <c r="B4281" s="1" t="n">
        <v>44497</v>
      </c>
      <c r="C4281" s="1" t="n">
        <v>45344</v>
      </c>
      <c r="D4281" t="inlineStr">
        <is>
          <t>GÄVLEBORGS LÄN</t>
        </is>
      </c>
      <c r="E4281" t="inlineStr">
        <is>
          <t>NORDANSTIG</t>
        </is>
      </c>
      <c r="F4281" t="inlineStr">
        <is>
          <t>Holmen skog AB</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61222-2021</t>
        </is>
      </c>
      <c r="B4282" s="1" t="n">
        <v>44498</v>
      </c>
      <c r="C4282" s="1" t="n">
        <v>45344</v>
      </c>
      <c r="D4282" t="inlineStr">
        <is>
          <t>GÄVLEBORGS LÄN</t>
        </is>
      </c>
      <c r="E4282" t="inlineStr">
        <is>
          <t>GÄVLE</t>
        </is>
      </c>
      <c r="F4282" t="inlineStr">
        <is>
          <t>Bergvik skog öst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61351-2021</t>
        </is>
      </c>
      <c r="B4283" s="1" t="n">
        <v>44498</v>
      </c>
      <c r="C4283" s="1" t="n">
        <v>45344</v>
      </c>
      <c r="D4283" t="inlineStr">
        <is>
          <t>GÄVLEBORGS LÄN</t>
        </is>
      </c>
      <c r="E4283" t="inlineStr">
        <is>
          <t>GÄVLE</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61352-2021</t>
        </is>
      </c>
      <c r="B4284" s="1" t="n">
        <v>44498</v>
      </c>
      <c r="C4284" s="1" t="n">
        <v>45344</v>
      </c>
      <c r="D4284" t="inlineStr">
        <is>
          <t>GÄVLEBORGS LÄN</t>
        </is>
      </c>
      <c r="E4284" t="inlineStr">
        <is>
          <t>GÄVLE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61502-2021</t>
        </is>
      </c>
      <c r="B4285" s="1" t="n">
        <v>44498</v>
      </c>
      <c r="C4285" s="1" t="n">
        <v>45344</v>
      </c>
      <c r="D4285" t="inlineStr">
        <is>
          <t>GÄVLEBORGS LÄN</t>
        </is>
      </c>
      <c r="E4285" t="inlineStr">
        <is>
          <t>SÖDERHAMN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61670-2021</t>
        </is>
      </c>
      <c r="B4286" s="1" t="n">
        <v>44501</v>
      </c>
      <c r="C4286" s="1" t="n">
        <v>45344</v>
      </c>
      <c r="D4286" t="inlineStr">
        <is>
          <t>GÄVLEBORGS LÄN</t>
        </is>
      </c>
      <c r="E4286" t="inlineStr">
        <is>
          <t>LJUSDAL</t>
        </is>
      </c>
      <c r="F4286" t="inlineStr">
        <is>
          <t>Holmen skog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61622-2021</t>
        </is>
      </c>
      <c r="B4287" s="1" t="n">
        <v>44501</v>
      </c>
      <c r="C4287" s="1" t="n">
        <v>45344</v>
      </c>
      <c r="D4287" t="inlineStr">
        <is>
          <t>GÄVLEBORGS LÄN</t>
        </is>
      </c>
      <c r="E4287" t="inlineStr">
        <is>
          <t>OCKELBO</t>
        </is>
      </c>
      <c r="F4287" t="inlineStr">
        <is>
          <t>Bergvik skog väst AB</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61694-2021</t>
        </is>
      </c>
      <c r="B4288" s="1" t="n">
        <v>44501</v>
      </c>
      <c r="C4288" s="1" t="n">
        <v>45344</v>
      </c>
      <c r="D4288" t="inlineStr">
        <is>
          <t>GÄVLEBORGS LÄN</t>
        </is>
      </c>
      <c r="E4288" t="inlineStr">
        <is>
          <t>SANDVIKEN</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61616-2021</t>
        </is>
      </c>
      <c r="B4289" s="1" t="n">
        <v>44501</v>
      </c>
      <c r="C4289" s="1" t="n">
        <v>45344</v>
      </c>
      <c r="D4289" t="inlineStr">
        <is>
          <t>GÄVLEBORGS LÄN</t>
        </is>
      </c>
      <c r="E4289" t="inlineStr">
        <is>
          <t>SANDVIKEN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61729-2021</t>
        </is>
      </c>
      <c r="B4290" s="1" t="n">
        <v>44501</v>
      </c>
      <c r="C4290" s="1" t="n">
        <v>45344</v>
      </c>
      <c r="D4290" t="inlineStr">
        <is>
          <t>GÄVLEBORGS LÄN</t>
        </is>
      </c>
      <c r="E4290" t="inlineStr">
        <is>
          <t>SANDVIKEN</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61777-2021</t>
        </is>
      </c>
      <c r="B4291" s="1" t="n">
        <v>44501</v>
      </c>
      <c r="C4291" s="1" t="n">
        <v>45344</v>
      </c>
      <c r="D4291" t="inlineStr">
        <is>
          <t>GÄVLEBORGS LÄN</t>
        </is>
      </c>
      <c r="E4291" t="inlineStr">
        <is>
          <t>NORDANSTIG</t>
        </is>
      </c>
      <c r="F4291" t="inlineStr">
        <is>
          <t>Holmen skog AB</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61687-2021</t>
        </is>
      </c>
      <c r="B4292" s="1" t="n">
        <v>44501</v>
      </c>
      <c r="C4292" s="1" t="n">
        <v>45344</v>
      </c>
      <c r="D4292" t="inlineStr">
        <is>
          <t>GÄVLEBORGS LÄN</t>
        </is>
      </c>
      <c r="E4292" t="inlineStr">
        <is>
          <t>HOFORS</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61772-2021</t>
        </is>
      </c>
      <c r="B4293" s="1" t="n">
        <v>44501</v>
      </c>
      <c r="C4293" s="1" t="n">
        <v>45344</v>
      </c>
      <c r="D4293" t="inlineStr">
        <is>
          <t>GÄVLEBORGS LÄN</t>
        </is>
      </c>
      <c r="E4293" t="inlineStr">
        <is>
          <t>NORDANSTIG</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62089-2021</t>
        </is>
      </c>
      <c r="B4294" s="1" t="n">
        <v>44502</v>
      </c>
      <c r="C4294" s="1" t="n">
        <v>45344</v>
      </c>
      <c r="D4294" t="inlineStr">
        <is>
          <t>GÄVLEBORGS LÄN</t>
        </is>
      </c>
      <c r="E4294" t="inlineStr">
        <is>
          <t>NORDANSTIG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62111-2021</t>
        </is>
      </c>
      <c r="B4295" s="1" t="n">
        <v>44502</v>
      </c>
      <c r="C4295" s="1" t="n">
        <v>45344</v>
      </c>
      <c r="D4295" t="inlineStr">
        <is>
          <t>GÄVLEBORGS LÄN</t>
        </is>
      </c>
      <c r="E4295" t="inlineStr">
        <is>
          <t>NORDANSTIG</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62065-2021</t>
        </is>
      </c>
      <c r="B4296" s="1" t="n">
        <v>44502</v>
      </c>
      <c r="C4296" s="1" t="n">
        <v>45344</v>
      </c>
      <c r="D4296" t="inlineStr">
        <is>
          <t>GÄVLEBORGS LÄN</t>
        </is>
      </c>
      <c r="E4296" t="inlineStr">
        <is>
          <t>NORDANSTIG</t>
        </is>
      </c>
      <c r="G4296" t="n">
        <v>2.4</v>
      </c>
      <c r="H4296" t="n">
        <v>0</v>
      </c>
      <c r="I4296" t="n">
        <v>0</v>
      </c>
      <c r="J4296" t="n">
        <v>0</v>
      </c>
      <c r="K4296" t="n">
        <v>0</v>
      </c>
      <c r="L4296" t="n">
        <v>0</v>
      </c>
      <c r="M4296" t="n">
        <v>0</v>
      </c>
      <c r="N4296" t="n">
        <v>0</v>
      </c>
      <c r="O4296" t="n">
        <v>0</v>
      </c>
      <c r="P4296" t="n">
        <v>0</v>
      </c>
      <c r="Q4296" t="n">
        <v>0</v>
      </c>
      <c r="R4296" s="2" t="inlineStr"/>
    </row>
    <row r="4297" ht="15" customHeight="1">
      <c r="A4297" t="inlineStr">
        <is>
          <t>A 62107-2021</t>
        </is>
      </c>
      <c r="B4297" s="1" t="n">
        <v>44502</v>
      </c>
      <c r="C4297" s="1" t="n">
        <v>45344</v>
      </c>
      <c r="D4297" t="inlineStr">
        <is>
          <t>GÄVLEBORGS LÄN</t>
        </is>
      </c>
      <c r="E4297" t="inlineStr">
        <is>
          <t>BOLLNÄS</t>
        </is>
      </c>
      <c r="G4297" t="n">
        <v>2.3</v>
      </c>
      <c r="H4297" t="n">
        <v>0</v>
      </c>
      <c r="I4297" t="n">
        <v>0</v>
      </c>
      <c r="J4297" t="n">
        <v>0</v>
      </c>
      <c r="K4297" t="n">
        <v>0</v>
      </c>
      <c r="L4297" t="n">
        <v>0</v>
      </c>
      <c r="M4297" t="n">
        <v>0</v>
      </c>
      <c r="N4297" t="n">
        <v>0</v>
      </c>
      <c r="O4297" t="n">
        <v>0</v>
      </c>
      <c r="P4297" t="n">
        <v>0</v>
      </c>
      <c r="Q4297" t="n">
        <v>0</v>
      </c>
      <c r="R4297" s="2" t="inlineStr"/>
    </row>
    <row r="4298" ht="15" customHeight="1">
      <c r="A4298" t="inlineStr">
        <is>
          <t>A 62146-2021</t>
        </is>
      </c>
      <c r="B4298" s="1" t="n">
        <v>44502</v>
      </c>
      <c r="C4298" s="1" t="n">
        <v>45344</v>
      </c>
      <c r="D4298" t="inlineStr">
        <is>
          <t>GÄVLEBORGS LÄN</t>
        </is>
      </c>
      <c r="E4298" t="inlineStr">
        <is>
          <t>LJUSDAL</t>
        </is>
      </c>
      <c r="G4298" t="n">
        <v>6</v>
      </c>
      <c r="H4298" t="n">
        <v>0</v>
      </c>
      <c r="I4298" t="n">
        <v>0</v>
      </c>
      <c r="J4298" t="n">
        <v>0</v>
      </c>
      <c r="K4298" t="n">
        <v>0</v>
      </c>
      <c r="L4298" t="n">
        <v>0</v>
      </c>
      <c r="M4298" t="n">
        <v>0</v>
      </c>
      <c r="N4298" t="n">
        <v>0</v>
      </c>
      <c r="O4298" t="n">
        <v>0</v>
      </c>
      <c r="P4298" t="n">
        <v>0</v>
      </c>
      <c r="Q4298" t="n">
        <v>0</v>
      </c>
      <c r="R4298" s="2" t="inlineStr"/>
    </row>
    <row r="4299" ht="15" customHeight="1">
      <c r="A4299" t="inlineStr">
        <is>
          <t>A 62192-2021</t>
        </is>
      </c>
      <c r="B4299" s="1" t="n">
        <v>44502</v>
      </c>
      <c r="C4299" s="1" t="n">
        <v>45344</v>
      </c>
      <c r="D4299" t="inlineStr">
        <is>
          <t>GÄVLEBORGS LÄN</t>
        </is>
      </c>
      <c r="E4299" t="inlineStr">
        <is>
          <t>GÄVLE</t>
        </is>
      </c>
      <c r="G4299" t="n">
        <v>4.4</v>
      </c>
      <c r="H4299" t="n">
        <v>0</v>
      </c>
      <c r="I4299" t="n">
        <v>0</v>
      </c>
      <c r="J4299" t="n">
        <v>0</v>
      </c>
      <c r="K4299" t="n">
        <v>0</v>
      </c>
      <c r="L4299" t="n">
        <v>0</v>
      </c>
      <c r="M4299" t="n">
        <v>0</v>
      </c>
      <c r="N4299" t="n">
        <v>0</v>
      </c>
      <c r="O4299" t="n">
        <v>0</v>
      </c>
      <c r="P4299" t="n">
        <v>0</v>
      </c>
      <c r="Q4299" t="n">
        <v>0</v>
      </c>
      <c r="R4299" s="2" t="inlineStr"/>
    </row>
    <row r="4300" ht="15" customHeight="1">
      <c r="A4300" t="inlineStr">
        <is>
          <t>A 62250-2021</t>
        </is>
      </c>
      <c r="B4300" s="1" t="n">
        <v>44503</v>
      </c>
      <c r="C4300" s="1" t="n">
        <v>45344</v>
      </c>
      <c r="D4300" t="inlineStr">
        <is>
          <t>GÄVLEBORGS LÄN</t>
        </is>
      </c>
      <c r="E4300" t="inlineStr">
        <is>
          <t>BOLLNÄS</t>
        </is>
      </c>
      <c r="F4300" t="inlineStr">
        <is>
          <t>Bergvik skog väst AB</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62424-2021</t>
        </is>
      </c>
      <c r="B4301" s="1" t="n">
        <v>44503</v>
      </c>
      <c r="C4301" s="1" t="n">
        <v>45344</v>
      </c>
      <c r="D4301" t="inlineStr">
        <is>
          <t>GÄVLEBORGS LÄN</t>
        </is>
      </c>
      <c r="E4301" t="inlineStr">
        <is>
          <t>LJUSDAL</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62256-2021</t>
        </is>
      </c>
      <c r="B4302" s="1" t="n">
        <v>44503</v>
      </c>
      <c r="C4302" s="1" t="n">
        <v>45344</v>
      </c>
      <c r="D4302" t="inlineStr">
        <is>
          <t>GÄVLEBORGS LÄN</t>
        </is>
      </c>
      <c r="E4302" t="inlineStr">
        <is>
          <t>LJUSDAL</t>
        </is>
      </c>
      <c r="F4302" t="inlineStr">
        <is>
          <t>Holmen skog AB</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62522-2021</t>
        </is>
      </c>
      <c r="B4303" s="1" t="n">
        <v>44503</v>
      </c>
      <c r="C4303" s="1" t="n">
        <v>45344</v>
      </c>
      <c r="D4303" t="inlineStr">
        <is>
          <t>GÄVLEBORGS LÄN</t>
        </is>
      </c>
      <c r="E4303" t="inlineStr">
        <is>
          <t>HUDIKSVALL</t>
        </is>
      </c>
      <c r="F4303" t="inlineStr">
        <is>
          <t>Holmen skog AB</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62583-2021</t>
        </is>
      </c>
      <c r="B4304" s="1" t="n">
        <v>44503</v>
      </c>
      <c r="C4304" s="1" t="n">
        <v>45344</v>
      </c>
      <c r="D4304" t="inlineStr">
        <is>
          <t>GÄVLEBORGS LÄN</t>
        </is>
      </c>
      <c r="E4304" t="inlineStr">
        <is>
          <t>LJUSDAL</t>
        </is>
      </c>
      <c r="F4304" t="inlineStr">
        <is>
          <t>Holmen skog AB</t>
        </is>
      </c>
      <c r="G4304" t="n">
        <v>3.6</v>
      </c>
      <c r="H4304" t="n">
        <v>0</v>
      </c>
      <c r="I4304" t="n">
        <v>0</v>
      </c>
      <c r="J4304" t="n">
        <v>0</v>
      </c>
      <c r="K4304" t="n">
        <v>0</v>
      </c>
      <c r="L4304" t="n">
        <v>0</v>
      </c>
      <c r="M4304" t="n">
        <v>0</v>
      </c>
      <c r="N4304" t="n">
        <v>0</v>
      </c>
      <c r="O4304" t="n">
        <v>0</v>
      </c>
      <c r="P4304" t="n">
        <v>0</v>
      </c>
      <c r="Q4304" t="n">
        <v>0</v>
      </c>
      <c r="R4304" s="2" t="inlineStr"/>
    </row>
    <row r="4305" ht="15" customHeight="1">
      <c r="A4305" t="inlineStr">
        <is>
          <t>A 62450-2021</t>
        </is>
      </c>
      <c r="B4305" s="1" t="n">
        <v>44503</v>
      </c>
      <c r="C4305" s="1" t="n">
        <v>45344</v>
      </c>
      <c r="D4305" t="inlineStr">
        <is>
          <t>GÄVLEBORGS LÄN</t>
        </is>
      </c>
      <c r="E4305" t="inlineStr">
        <is>
          <t>NORDANSTIG</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62321-2021</t>
        </is>
      </c>
      <c r="B4306" s="1" t="n">
        <v>44503</v>
      </c>
      <c r="C4306" s="1" t="n">
        <v>45344</v>
      </c>
      <c r="D4306" t="inlineStr">
        <is>
          <t>GÄVLEBORGS LÄN</t>
        </is>
      </c>
      <c r="E4306" t="inlineStr">
        <is>
          <t>HUDIKSVALL</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62505-2021</t>
        </is>
      </c>
      <c r="B4307" s="1" t="n">
        <v>44503</v>
      </c>
      <c r="C4307" s="1" t="n">
        <v>45344</v>
      </c>
      <c r="D4307" t="inlineStr">
        <is>
          <t>GÄVLEBORGS LÄN</t>
        </is>
      </c>
      <c r="E4307" t="inlineStr">
        <is>
          <t>LJUSDAL</t>
        </is>
      </c>
      <c r="F4307" t="inlineStr">
        <is>
          <t>Holmen skog AB</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62595-2021</t>
        </is>
      </c>
      <c r="B4308" s="1" t="n">
        <v>44503</v>
      </c>
      <c r="C4308" s="1" t="n">
        <v>45344</v>
      </c>
      <c r="D4308" t="inlineStr">
        <is>
          <t>GÄVLEBORGS LÄN</t>
        </is>
      </c>
      <c r="E4308" t="inlineStr">
        <is>
          <t>OVANÅKER</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62465-2021</t>
        </is>
      </c>
      <c r="B4309" s="1" t="n">
        <v>44503</v>
      </c>
      <c r="C4309" s="1" t="n">
        <v>45344</v>
      </c>
      <c r="D4309" t="inlineStr">
        <is>
          <t>GÄVLEBORGS LÄN</t>
        </is>
      </c>
      <c r="E4309" t="inlineStr">
        <is>
          <t>NORDANSTIG</t>
        </is>
      </c>
      <c r="G4309" t="n">
        <v>3.1</v>
      </c>
      <c r="H4309" t="n">
        <v>0</v>
      </c>
      <c r="I4309" t="n">
        <v>0</v>
      </c>
      <c r="J4309" t="n">
        <v>0</v>
      </c>
      <c r="K4309" t="n">
        <v>0</v>
      </c>
      <c r="L4309" t="n">
        <v>0</v>
      </c>
      <c r="M4309" t="n">
        <v>0</v>
      </c>
      <c r="N4309" t="n">
        <v>0</v>
      </c>
      <c r="O4309" t="n">
        <v>0</v>
      </c>
      <c r="P4309" t="n">
        <v>0</v>
      </c>
      <c r="Q4309" t="n">
        <v>0</v>
      </c>
      <c r="R4309" s="2" t="inlineStr"/>
    </row>
    <row r="4310" ht="15" customHeight="1">
      <c r="A4310" t="inlineStr">
        <is>
          <t>A 62532-2021</t>
        </is>
      </c>
      <c r="B4310" s="1" t="n">
        <v>44503</v>
      </c>
      <c r="C4310" s="1" t="n">
        <v>45344</v>
      </c>
      <c r="D4310" t="inlineStr">
        <is>
          <t>GÄVLEBORGS LÄN</t>
        </is>
      </c>
      <c r="E4310" t="inlineStr">
        <is>
          <t>HUDIKSVALL</t>
        </is>
      </c>
      <c r="F4310" t="inlineStr">
        <is>
          <t>Holmen skog AB</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62538-2021</t>
        </is>
      </c>
      <c r="B4311" s="1" t="n">
        <v>44503</v>
      </c>
      <c r="C4311" s="1" t="n">
        <v>45344</v>
      </c>
      <c r="D4311" t="inlineStr">
        <is>
          <t>GÄVLEBORGS LÄN</t>
        </is>
      </c>
      <c r="E4311" t="inlineStr">
        <is>
          <t>SÖDERHAMN</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62568-2021</t>
        </is>
      </c>
      <c r="B4312" s="1" t="n">
        <v>44503</v>
      </c>
      <c r="C4312" s="1" t="n">
        <v>45344</v>
      </c>
      <c r="D4312" t="inlineStr">
        <is>
          <t>GÄVLEBORGS LÄN</t>
        </is>
      </c>
      <c r="E4312" t="inlineStr">
        <is>
          <t>HUDIKSVALL</t>
        </is>
      </c>
      <c r="F4312" t="inlineStr">
        <is>
          <t>Holmen skog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62589-2021</t>
        </is>
      </c>
      <c r="B4313" s="1" t="n">
        <v>44503</v>
      </c>
      <c r="C4313" s="1" t="n">
        <v>45344</v>
      </c>
      <c r="D4313" t="inlineStr">
        <is>
          <t>GÄVLEBORGS LÄN</t>
        </is>
      </c>
      <c r="E4313" t="inlineStr">
        <is>
          <t>OCKELBO</t>
        </is>
      </c>
      <c r="F4313" t="inlineStr">
        <is>
          <t>Bergvik skog väst AB</t>
        </is>
      </c>
      <c r="G4313" t="n">
        <v>6.5</v>
      </c>
      <c r="H4313" t="n">
        <v>0</v>
      </c>
      <c r="I4313" t="n">
        <v>0</v>
      </c>
      <c r="J4313" t="n">
        <v>0</v>
      </c>
      <c r="K4313" t="n">
        <v>0</v>
      </c>
      <c r="L4313" t="n">
        <v>0</v>
      </c>
      <c r="M4313" t="n">
        <v>0</v>
      </c>
      <c r="N4313" t="n">
        <v>0</v>
      </c>
      <c r="O4313" t="n">
        <v>0</v>
      </c>
      <c r="P4313" t="n">
        <v>0</v>
      </c>
      <c r="Q4313" t="n">
        <v>0</v>
      </c>
      <c r="R4313" s="2" t="inlineStr"/>
    </row>
    <row r="4314" ht="15" customHeight="1">
      <c r="A4314" t="inlineStr">
        <is>
          <t>A 62650-2021</t>
        </is>
      </c>
      <c r="B4314" s="1" t="n">
        <v>44503</v>
      </c>
      <c r="C4314" s="1" t="n">
        <v>45344</v>
      </c>
      <c r="D4314" t="inlineStr">
        <is>
          <t>GÄVLEBORGS LÄN</t>
        </is>
      </c>
      <c r="E4314" t="inlineStr">
        <is>
          <t>LJUSDAL</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62774-2021</t>
        </is>
      </c>
      <c r="B4315" s="1" t="n">
        <v>44503</v>
      </c>
      <c r="C4315" s="1" t="n">
        <v>45344</v>
      </c>
      <c r="D4315" t="inlineStr">
        <is>
          <t>GÄVLEBORGS LÄN</t>
        </is>
      </c>
      <c r="E4315" t="inlineStr">
        <is>
          <t>OVANÅKER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62707-2021</t>
        </is>
      </c>
      <c r="B4316" s="1" t="n">
        <v>44504</v>
      </c>
      <c r="C4316" s="1" t="n">
        <v>45344</v>
      </c>
      <c r="D4316" t="inlineStr">
        <is>
          <t>GÄVLEBORGS LÄN</t>
        </is>
      </c>
      <c r="E4316" t="inlineStr">
        <is>
          <t>LJUSDAL</t>
        </is>
      </c>
      <c r="F4316" t="inlineStr">
        <is>
          <t>Holmen skog AB</t>
        </is>
      </c>
      <c r="G4316" t="n">
        <v>0.2</v>
      </c>
      <c r="H4316" t="n">
        <v>0</v>
      </c>
      <c r="I4316" t="n">
        <v>0</v>
      </c>
      <c r="J4316" t="n">
        <v>0</v>
      </c>
      <c r="K4316" t="n">
        <v>0</v>
      </c>
      <c r="L4316" t="n">
        <v>0</v>
      </c>
      <c r="M4316" t="n">
        <v>0</v>
      </c>
      <c r="N4316" t="n">
        <v>0</v>
      </c>
      <c r="O4316" t="n">
        <v>0</v>
      </c>
      <c r="P4316" t="n">
        <v>0</v>
      </c>
      <c r="Q4316" t="n">
        <v>0</v>
      </c>
      <c r="R4316" s="2" t="inlineStr"/>
    </row>
    <row r="4317" ht="15" customHeight="1">
      <c r="A4317" t="inlineStr">
        <is>
          <t>A 62875-2021</t>
        </is>
      </c>
      <c r="B4317" s="1" t="n">
        <v>44504</v>
      </c>
      <c r="C4317" s="1" t="n">
        <v>45344</v>
      </c>
      <c r="D4317" t="inlineStr">
        <is>
          <t>GÄVLEBORGS LÄN</t>
        </is>
      </c>
      <c r="E4317" t="inlineStr">
        <is>
          <t>HOFORS</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63108-2021</t>
        </is>
      </c>
      <c r="B4318" s="1" t="n">
        <v>44505</v>
      </c>
      <c r="C4318" s="1" t="n">
        <v>45344</v>
      </c>
      <c r="D4318" t="inlineStr">
        <is>
          <t>GÄVLEBORGS LÄN</t>
        </is>
      </c>
      <c r="E4318" t="inlineStr">
        <is>
          <t>BOLLNÄS</t>
        </is>
      </c>
      <c r="F4318" t="inlineStr">
        <is>
          <t>Bergvik skog väst AB</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63128-2021</t>
        </is>
      </c>
      <c r="B4319" s="1" t="n">
        <v>44505</v>
      </c>
      <c r="C4319" s="1" t="n">
        <v>45344</v>
      </c>
      <c r="D4319" t="inlineStr">
        <is>
          <t>GÄVLEBORGS LÄN</t>
        </is>
      </c>
      <c r="E4319" t="inlineStr">
        <is>
          <t>BOLLNÄS</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62990-2021</t>
        </is>
      </c>
      <c r="B4320" s="1" t="n">
        <v>44505</v>
      </c>
      <c r="C4320" s="1" t="n">
        <v>45344</v>
      </c>
      <c r="D4320" t="inlineStr">
        <is>
          <t>GÄVLEBORGS LÄN</t>
        </is>
      </c>
      <c r="E4320" t="inlineStr">
        <is>
          <t>BOLLNÄS</t>
        </is>
      </c>
      <c r="F4320" t="inlineStr">
        <is>
          <t>Bergvik skog väst AB</t>
        </is>
      </c>
      <c r="G4320" t="n">
        <v>11.6</v>
      </c>
      <c r="H4320" t="n">
        <v>0</v>
      </c>
      <c r="I4320" t="n">
        <v>0</v>
      </c>
      <c r="J4320" t="n">
        <v>0</v>
      </c>
      <c r="K4320" t="n">
        <v>0</v>
      </c>
      <c r="L4320" t="n">
        <v>0</v>
      </c>
      <c r="M4320" t="n">
        <v>0</v>
      </c>
      <c r="N4320" t="n">
        <v>0</v>
      </c>
      <c r="O4320" t="n">
        <v>0</v>
      </c>
      <c r="P4320" t="n">
        <v>0</v>
      </c>
      <c r="Q4320" t="n">
        <v>0</v>
      </c>
      <c r="R4320" s="2" t="inlineStr"/>
    </row>
    <row r="4321" ht="15" customHeight="1">
      <c r="A4321" t="inlineStr">
        <is>
          <t>A 62983-2021</t>
        </is>
      </c>
      <c r="B4321" s="1" t="n">
        <v>44505</v>
      </c>
      <c r="C4321" s="1" t="n">
        <v>45344</v>
      </c>
      <c r="D4321" t="inlineStr">
        <is>
          <t>GÄVLEBORGS LÄN</t>
        </is>
      </c>
      <c r="E4321" t="inlineStr">
        <is>
          <t>BOLLNÄS</t>
        </is>
      </c>
      <c r="F4321" t="inlineStr">
        <is>
          <t>Bergvik skog väst AB</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62991-2021</t>
        </is>
      </c>
      <c r="B4322" s="1" t="n">
        <v>44505</v>
      </c>
      <c r="C4322" s="1" t="n">
        <v>45344</v>
      </c>
      <c r="D4322" t="inlineStr">
        <is>
          <t>GÄVLEBORGS LÄN</t>
        </is>
      </c>
      <c r="E4322" t="inlineStr">
        <is>
          <t>LJUSDAL</t>
        </is>
      </c>
      <c r="F4322" t="inlineStr">
        <is>
          <t>Bergvik skog väst AB</t>
        </is>
      </c>
      <c r="G4322" t="n">
        <v>4.5</v>
      </c>
      <c r="H4322" t="n">
        <v>0</v>
      </c>
      <c r="I4322" t="n">
        <v>0</v>
      </c>
      <c r="J4322" t="n">
        <v>0</v>
      </c>
      <c r="K4322" t="n">
        <v>0</v>
      </c>
      <c r="L4322" t="n">
        <v>0</v>
      </c>
      <c r="M4322" t="n">
        <v>0</v>
      </c>
      <c r="N4322" t="n">
        <v>0</v>
      </c>
      <c r="O4322" t="n">
        <v>0</v>
      </c>
      <c r="P4322" t="n">
        <v>0</v>
      </c>
      <c r="Q4322" t="n">
        <v>0</v>
      </c>
      <c r="R4322" s="2" t="inlineStr"/>
    </row>
    <row r="4323" ht="15" customHeight="1">
      <c r="A4323" t="inlineStr">
        <is>
          <t>A 62978-2021</t>
        </is>
      </c>
      <c r="B4323" s="1" t="n">
        <v>44505</v>
      </c>
      <c r="C4323" s="1" t="n">
        <v>45344</v>
      </c>
      <c r="D4323" t="inlineStr">
        <is>
          <t>GÄVLEBORGS LÄN</t>
        </is>
      </c>
      <c r="E4323" t="inlineStr">
        <is>
          <t>BOLLNÄS</t>
        </is>
      </c>
      <c r="F4323" t="inlineStr">
        <is>
          <t>Bergvik skog väst AB</t>
        </is>
      </c>
      <c r="G4323" t="n">
        <v>4.3</v>
      </c>
      <c r="H4323" t="n">
        <v>0</v>
      </c>
      <c r="I4323" t="n">
        <v>0</v>
      </c>
      <c r="J4323" t="n">
        <v>0</v>
      </c>
      <c r="K4323" t="n">
        <v>0</v>
      </c>
      <c r="L4323" t="n">
        <v>0</v>
      </c>
      <c r="M4323" t="n">
        <v>0</v>
      </c>
      <c r="N4323" t="n">
        <v>0</v>
      </c>
      <c r="O4323" t="n">
        <v>0</v>
      </c>
      <c r="P4323" t="n">
        <v>0</v>
      </c>
      <c r="Q4323" t="n">
        <v>0</v>
      </c>
      <c r="R4323" s="2" t="inlineStr"/>
    </row>
    <row r="4324" ht="15" customHeight="1">
      <c r="A4324" t="inlineStr">
        <is>
          <t>A 63084-2021</t>
        </is>
      </c>
      <c r="B4324" s="1" t="n">
        <v>44505</v>
      </c>
      <c r="C4324" s="1" t="n">
        <v>45344</v>
      </c>
      <c r="D4324" t="inlineStr">
        <is>
          <t>GÄVLEBORGS LÄN</t>
        </is>
      </c>
      <c r="E4324" t="inlineStr">
        <is>
          <t>SANDVIKEN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63109-2021</t>
        </is>
      </c>
      <c r="B4325" s="1" t="n">
        <v>44505</v>
      </c>
      <c r="C4325" s="1" t="n">
        <v>45344</v>
      </c>
      <c r="D4325" t="inlineStr">
        <is>
          <t>GÄVLEBORGS LÄN</t>
        </is>
      </c>
      <c r="E4325" t="inlineStr">
        <is>
          <t>OVANÅKER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63121-2021</t>
        </is>
      </c>
      <c r="B4326" s="1" t="n">
        <v>44505</v>
      </c>
      <c r="C4326" s="1" t="n">
        <v>45344</v>
      </c>
      <c r="D4326" t="inlineStr">
        <is>
          <t>GÄVLEBORGS LÄN</t>
        </is>
      </c>
      <c r="E4326" t="inlineStr">
        <is>
          <t>BOLLNÄS</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63033-2021</t>
        </is>
      </c>
      <c r="B4327" s="1" t="n">
        <v>44505</v>
      </c>
      <c r="C4327" s="1" t="n">
        <v>45344</v>
      </c>
      <c r="D4327" t="inlineStr">
        <is>
          <t>GÄVLEBORGS LÄN</t>
        </is>
      </c>
      <c r="E4327" t="inlineStr">
        <is>
          <t>SANDVIKEN</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63127-2021</t>
        </is>
      </c>
      <c r="B4328" s="1" t="n">
        <v>44505</v>
      </c>
      <c r="C4328" s="1" t="n">
        <v>45344</v>
      </c>
      <c r="D4328" t="inlineStr">
        <is>
          <t>GÄVLEBORGS LÄN</t>
        </is>
      </c>
      <c r="E4328" t="inlineStr">
        <is>
          <t>BOLLNÄS</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63086-2021</t>
        </is>
      </c>
      <c r="B4329" s="1" t="n">
        <v>44505</v>
      </c>
      <c r="C4329" s="1" t="n">
        <v>45344</v>
      </c>
      <c r="D4329" t="inlineStr">
        <is>
          <t>GÄVLEBORGS LÄN</t>
        </is>
      </c>
      <c r="E4329" t="inlineStr">
        <is>
          <t>SANDVIKEN</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63149-2021</t>
        </is>
      </c>
      <c r="B4330" s="1" t="n">
        <v>44505</v>
      </c>
      <c r="C4330" s="1" t="n">
        <v>45344</v>
      </c>
      <c r="D4330" t="inlineStr">
        <is>
          <t>GÄVLEBORGS LÄN</t>
        </is>
      </c>
      <c r="E4330" t="inlineStr">
        <is>
          <t>LJUSDAL</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63528-2021</t>
        </is>
      </c>
      <c r="B4331" s="1" t="n">
        <v>44508</v>
      </c>
      <c r="C4331" s="1" t="n">
        <v>45344</v>
      </c>
      <c r="D4331" t="inlineStr">
        <is>
          <t>GÄVLEBORGS LÄN</t>
        </is>
      </c>
      <c r="E4331" t="inlineStr">
        <is>
          <t>LJUSDAL</t>
        </is>
      </c>
      <c r="F4331" t="inlineStr">
        <is>
          <t>Holmen skog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63249-2021</t>
        </is>
      </c>
      <c r="B4332" s="1" t="n">
        <v>44508</v>
      </c>
      <c r="C4332" s="1" t="n">
        <v>45344</v>
      </c>
      <c r="D4332" t="inlineStr">
        <is>
          <t>GÄVLEBORGS LÄN</t>
        </is>
      </c>
      <c r="E4332" t="inlineStr">
        <is>
          <t>OCKELBO</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63423-2021</t>
        </is>
      </c>
      <c r="B4333" s="1" t="n">
        <v>44508</v>
      </c>
      <c r="C4333" s="1" t="n">
        <v>45344</v>
      </c>
      <c r="D4333" t="inlineStr">
        <is>
          <t>GÄVLEBORGS LÄN</t>
        </is>
      </c>
      <c r="E4333" t="inlineStr">
        <is>
          <t>SÖDERHAMN</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63431-2021</t>
        </is>
      </c>
      <c r="B4334" s="1" t="n">
        <v>44508</v>
      </c>
      <c r="C4334" s="1" t="n">
        <v>45344</v>
      </c>
      <c r="D4334" t="inlineStr">
        <is>
          <t>GÄVLEBORGS LÄN</t>
        </is>
      </c>
      <c r="E4334" t="inlineStr">
        <is>
          <t>SÖDERHAMN</t>
        </is>
      </c>
      <c r="F4334" t="inlineStr">
        <is>
          <t>Bergvik skog väst AB</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63731-2021</t>
        </is>
      </c>
      <c r="B4335" s="1" t="n">
        <v>44509</v>
      </c>
      <c r="C4335" s="1" t="n">
        <v>45344</v>
      </c>
      <c r="D4335" t="inlineStr">
        <is>
          <t>GÄVLEBORGS LÄN</t>
        </is>
      </c>
      <c r="E4335" t="inlineStr">
        <is>
          <t>OCKELBO</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63803-2021</t>
        </is>
      </c>
      <c r="B4336" s="1" t="n">
        <v>44509</v>
      </c>
      <c r="C4336" s="1" t="n">
        <v>45344</v>
      </c>
      <c r="D4336" t="inlineStr">
        <is>
          <t>GÄVLEBORGS LÄN</t>
        </is>
      </c>
      <c r="E4336" t="inlineStr">
        <is>
          <t>BOLLNÄS</t>
        </is>
      </c>
      <c r="F4336" t="inlineStr">
        <is>
          <t>Bergvik skog väst AB</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63825-2021</t>
        </is>
      </c>
      <c r="B4337" s="1" t="n">
        <v>44509</v>
      </c>
      <c r="C4337" s="1" t="n">
        <v>45344</v>
      </c>
      <c r="D4337" t="inlineStr">
        <is>
          <t>GÄVLEBORGS LÄN</t>
        </is>
      </c>
      <c r="E4337" t="inlineStr">
        <is>
          <t>HUDIKSVALL</t>
        </is>
      </c>
      <c r="F4337" t="inlineStr">
        <is>
          <t>Holmen skog AB</t>
        </is>
      </c>
      <c r="G4337" t="n">
        <v>14.3</v>
      </c>
      <c r="H4337" t="n">
        <v>0</v>
      </c>
      <c r="I4337" t="n">
        <v>0</v>
      </c>
      <c r="J4337" t="n">
        <v>0</v>
      </c>
      <c r="K4337" t="n">
        <v>0</v>
      </c>
      <c r="L4337" t="n">
        <v>0</v>
      </c>
      <c r="M4337" t="n">
        <v>0</v>
      </c>
      <c r="N4337" t="n">
        <v>0</v>
      </c>
      <c r="O4337" t="n">
        <v>0</v>
      </c>
      <c r="P4337" t="n">
        <v>0</v>
      </c>
      <c r="Q4337" t="n">
        <v>0</v>
      </c>
      <c r="R4337" s="2" t="inlineStr"/>
    </row>
    <row r="4338" ht="15" customHeight="1">
      <c r="A4338" t="inlineStr">
        <is>
          <t>A 63621-2021</t>
        </is>
      </c>
      <c r="B4338" s="1" t="n">
        <v>44509</v>
      </c>
      <c r="C4338" s="1" t="n">
        <v>45344</v>
      </c>
      <c r="D4338" t="inlineStr">
        <is>
          <t>GÄVLEBORGS LÄN</t>
        </is>
      </c>
      <c r="E4338" t="inlineStr">
        <is>
          <t>SANDVIKEN</t>
        </is>
      </c>
      <c r="F4338" t="inlineStr">
        <is>
          <t>Kommuner</t>
        </is>
      </c>
      <c r="G4338" t="n">
        <v>18.3</v>
      </c>
      <c r="H4338" t="n">
        <v>0</v>
      </c>
      <c r="I4338" t="n">
        <v>0</v>
      </c>
      <c r="J4338" t="n">
        <v>0</v>
      </c>
      <c r="K4338" t="n">
        <v>0</v>
      </c>
      <c r="L4338" t="n">
        <v>0</v>
      </c>
      <c r="M4338" t="n">
        <v>0</v>
      </c>
      <c r="N4338" t="n">
        <v>0</v>
      </c>
      <c r="O4338" t="n">
        <v>0</v>
      </c>
      <c r="P4338" t="n">
        <v>0</v>
      </c>
      <c r="Q4338" t="n">
        <v>0</v>
      </c>
      <c r="R4338" s="2" t="inlineStr"/>
    </row>
    <row r="4339" ht="15" customHeight="1">
      <c r="A4339" t="inlineStr">
        <is>
          <t>A 63695-2021</t>
        </is>
      </c>
      <c r="B4339" s="1" t="n">
        <v>44509</v>
      </c>
      <c r="C4339" s="1" t="n">
        <v>45344</v>
      </c>
      <c r="D4339" t="inlineStr">
        <is>
          <t>GÄVLEBORGS LÄN</t>
        </is>
      </c>
      <c r="E4339" t="inlineStr">
        <is>
          <t>BOLLNÄS</t>
        </is>
      </c>
      <c r="F4339" t="inlineStr">
        <is>
          <t>Bergvik skog väst AB</t>
        </is>
      </c>
      <c r="G4339" t="n">
        <v>5.1</v>
      </c>
      <c r="H4339" t="n">
        <v>0</v>
      </c>
      <c r="I4339" t="n">
        <v>0</v>
      </c>
      <c r="J4339" t="n">
        <v>0</v>
      </c>
      <c r="K4339" t="n">
        <v>0</v>
      </c>
      <c r="L4339" t="n">
        <v>0</v>
      </c>
      <c r="M4339" t="n">
        <v>0</v>
      </c>
      <c r="N4339" t="n">
        <v>0</v>
      </c>
      <c r="O4339" t="n">
        <v>0</v>
      </c>
      <c r="P4339" t="n">
        <v>0</v>
      </c>
      <c r="Q4339" t="n">
        <v>0</v>
      </c>
      <c r="R4339" s="2" t="inlineStr"/>
    </row>
    <row r="4340" ht="15" customHeight="1">
      <c r="A4340" t="inlineStr">
        <is>
          <t>A 63702-2021</t>
        </is>
      </c>
      <c r="B4340" s="1" t="n">
        <v>44509</v>
      </c>
      <c r="C4340" s="1" t="n">
        <v>45344</v>
      </c>
      <c r="D4340" t="inlineStr">
        <is>
          <t>GÄVLEBORGS LÄN</t>
        </is>
      </c>
      <c r="E4340" t="inlineStr">
        <is>
          <t>BOLLNÄS</t>
        </is>
      </c>
      <c r="F4340" t="inlineStr">
        <is>
          <t>Bergvik skog väst AB</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63758-2021</t>
        </is>
      </c>
      <c r="B4341" s="1" t="n">
        <v>44509</v>
      </c>
      <c r="C4341" s="1" t="n">
        <v>45344</v>
      </c>
      <c r="D4341" t="inlineStr">
        <is>
          <t>GÄVLEBORGS LÄN</t>
        </is>
      </c>
      <c r="E4341" t="inlineStr">
        <is>
          <t>BOLLNÄS</t>
        </is>
      </c>
      <c r="F4341" t="inlineStr">
        <is>
          <t>Bergvik skog väst AB</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63656-2021</t>
        </is>
      </c>
      <c r="B4342" s="1" t="n">
        <v>44509</v>
      </c>
      <c r="C4342" s="1" t="n">
        <v>45344</v>
      </c>
      <c r="D4342" t="inlineStr">
        <is>
          <t>GÄVLEBORGS LÄN</t>
        </is>
      </c>
      <c r="E4342" t="inlineStr">
        <is>
          <t>NORDANSTIG</t>
        </is>
      </c>
      <c r="F4342" t="inlineStr">
        <is>
          <t>Holmen skog AB</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63706-2021</t>
        </is>
      </c>
      <c r="B4343" s="1" t="n">
        <v>44509</v>
      </c>
      <c r="C4343" s="1" t="n">
        <v>45344</v>
      </c>
      <c r="D4343" t="inlineStr">
        <is>
          <t>GÄVLEBORGS LÄN</t>
        </is>
      </c>
      <c r="E4343" t="inlineStr">
        <is>
          <t>BOLLNÄS</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63727-2021</t>
        </is>
      </c>
      <c r="B4344" s="1" t="n">
        <v>44509</v>
      </c>
      <c r="C4344" s="1" t="n">
        <v>45344</v>
      </c>
      <c r="D4344" t="inlineStr">
        <is>
          <t>GÄVLEBORGS LÄN</t>
        </is>
      </c>
      <c r="E4344" t="inlineStr">
        <is>
          <t>BOLLNÄS</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63783-2021</t>
        </is>
      </c>
      <c r="B4345" s="1" t="n">
        <v>44509</v>
      </c>
      <c r="C4345" s="1" t="n">
        <v>45344</v>
      </c>
      <c r="D4345" t="inlineStr">
        <is>
          <t>GÄVLEBORGS LÄN</t>
        </is>
      </c>
      <c r="E4345" t="inlineStr">
        <is>
          <t>HUDIKSVALL</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63798-2021</t>
        </is>
      </c>
      <c r="B4346" s="1" t="n">
        <v>44509</v>
      </c>
      <c r="C4346" s="1" t="n">
        <v>45344</v>
      </c>
      <c r="D4346" t="inlineStr">
        <is>
          <t>GÄVLEBORGS LÄN</t>
        </is>
      </c>
      <c r="E4346" t="inlineStr">
        <is>
          <t>HUDIKSVALL</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63882-2021</t>
        </is>
      </c>
      <c r="B4347" s="1" t="n">
        <v>44509</v>
      </c>
      <c r="C4347" s="1" t="n">
        <v>45344</v>
      </c>
      <c r="D4347" t="inlineStr">
        <is>
          <t>GÄVLEBORGS LÄN</t>
        </is>
      </c>
      <c r="E4347" t="inlineStr">
        <is>
          <t>BOLLNÄS</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63697-2021</t>
        </is>
      </c>
      <c r="B4348" s="1" t="n">
        <v>44509</v>
      </c>
      <c r="C4348" s="1" t="n">
        <v>45344</v>
      </c>
      <c r="D4348" t="inlineStr">
        <is>
          <t>GÄVLEBORGS LÄN</t>
        </is>
      </c>
      <c r="E4348" t="inlineStr">
        <is>
          <t>BOLLNÄS</t>
        </is>
      </c>
      <c r="F4348" t="inlineStr">
        <is>
          <t>Bergvik skog väst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63703-2021</t>
        </is>
      </c>
      <c r="B4349" s="1" t="n">
        <v>44509</v>
      </c>
      <c r="C4349" s="1" t="n">
        <v>45344</v>
      </c>
      <c r="D4349" t="inlineStr">
        <is>
          <t>GÄVLEBORGS LÄN</t>
        </is>
      </c>
      <c r="E4349" t="inlineStr">
        <is>
          <t>NORDANSTIG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63716-2021</t>
        </is>
      </c>
      <c r="B4350" s="1" t="n">
        <v>44509</v>
      </c>
      <c r="C4350" s="1" t="n">
        <v>45344</v>
      </c>
      <c r="D4350" t="inlineStr">
        <is>
          <t>GÄVLEBORGS LÄN</t>
        </is>
      </c>
      <c r="E4350" t="inlineStr">
        <is>
          <t>BOLLNÄS</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63750-2021</t>
        </is>
      </c>
      <c r="B4351" s="1" t="n">
        <v>44509</v>
      </c>
      <c r="C4351" s="1" t="n">
        <v>45344</v>
      </c>
      <c r="D4351" t="inlineStr">
        <is>
          <t>GÄVLEBORGS LÄN</t>
        </is>
      </c>
      <c r="E4351" t="inlineStr">
        <is>
          <t>BOLLNÄS</t>
        </is>
      </c>
      <c r="F4351" t="inlineStr">
        <is>
          <t>Bergvik skog väst AB</t>
        </is>
      </c>
      <c r="G4351" t="n">
        <v>14.2</v>
      </c>
      <c r="H4351" t="n">
        <v>0</v>
      </c>
      <c r="I4351" t="n">
        <v>0</v>
      </c>
      <c r="J4351" t="n">
        <v>0</v>
      </c>
      <c r="K4351" t="n">
        <v>0</v>
      </c>
      <c r="L4351" t="n">
        <v>0</v>
      </c>
      <c r="M4351" t="n">
        <v>0</v>
      </c>
      <c r="N4351" t="n">
        <v>0</v>
      </c>
      <c r="O4351" t="n">
        <v>0</v>
      </c>
      <c r="P4351" t="n">
        <v>0</v>
      </c>
      <c r="Q4351" t="n">
        <v>0</v>
      </c>
      <c r="R4351" s="2" t="inlineStr"/>
    </row>
    <row r="4352" ht="15" customHeight="1">
      <c r="A4352" t="inlineStr">
        <is>
          <t>A 63760-2021</t>
        </is>
      </c>
      <c r="B4352" s="1" t="n">
        <v>44509</v>
      </c>
      <c r="C4352" s="1" t="n">
        <v>45344</v>
      </c>
      <c r="D4352" t="inlineStr">
        <is>
          <t>GÄVLEBORGS LÄN</t>
        </is>
      </c>
      <c r="E4352" t="inlineStr">
        <is>
          <t>LJUSDAL</t>
        </is>
      </c>
      <c r="F4352" t="inlineStr">
        <is>
          <t>Holmen skog AB</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63884-2021</t>
        </is>
      </c>
      <c r="B4353" s="1" t="n">
        <v>44509</v>
      </c>
      <c r="C4353" s="1" t="n">
        <v>45344</v>
      </c>
      <c r="D4353" t="inlineStr">
        <is>
          <t>GÄVLEBORGS LÄN</t>
        </is>
      </c>
      <c r="E4353" t="inlineStr">
        <is>
          <t>BOLLNÄS</t>
        </is>
      </c>
      <c r="F4353" t="inlineStr">
        <is>
          <t>Bergvik skog väst AB</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64068-2021</t>
        </is>
      </c>
      <c r="B4354" s="1" t="n">
        <v>44510</v>
      </c>
      <c r="C4354" s="1" t="n">
        <v>45344</v>
      </c>
      <c r="D4354" t="inlineStr">
        <is>
          <t>GÄVLEBORGS LÄN</t>
        </is>
      </c>
      <c r="E4354" t="inlineStr">
        <is>
          <t>SANDVIKEN</t>
        </is>
      </c>
      <c r="G4354" t="n">
        <v>4.8</v>
      </c>
      <c r="H4354" t="n">
        <v>0</v>
      </c>
      <c r="I4354" t="n">
        <v>0</v>
      </c>
      <c r="J4354" t="n">
        <v>0</v>
      </c>
      <c r="K4354" t="n">
        <v>0</v>
      </c>
      <c r="L4354" t="n">
        <v>0</v>
      </c>
      <c r="M4354" t="n">
        <v>0</v>
      </c>
      <c r="N4354" t="n">
        <v>0</v>
      </c>
      <c r="O4354" t="n">
        <v>0</v>
      </c>
      <c r="P4354" t="n">
        <v>0</v>
      </c>
      <c r="Q4354" t="n">
        <v>0</v>
      </c>
      <c r="R4354" s="2" t="inlineStr"/>
    </row>
    <row r="4355" ht="15" customHeight="1">
      <c r="A4355" t="inlineStr">
        <is>
          <t>A 64152-2021</t>
        </is>
      </c>
      <c r="B4355" s="1" t="n">
        <v>44510</v>
      </c>
      <c r="C4355" s="1" t="n">
        <v>45344</v>
      </c>
      <c r="D4355" t="inlineStr">
        <is>
          <t>GÄVLEBORGS LÄN</t>
        </is>
      </c>
      <c r="E4355" t="inlineStr">
        <is>
          <t>SÖDERHAMN</t>
        </is>
      </c>
      <c r="F4355" t="inlineStr">
        <is>
          <t>Bergvik skog väst AB</t>
        </is>
      </c>
      <c r="G4355" t="n">
        <v>2.6</v>
      </c>
      <c r="H4355" t="n">
        <v>0</v>
      </c>
      <c r="I4355" t="n">
        <v>0</v>
      </c>
      <c r="J4355" t="n">
        <v>0</v>
      </c>
      <c r="K4355" t="n">
        <v>0</v>
      </c>
      <c r="L4355" t="n">
        <v>0</v>
      </c>
      <c r="M4355" t="n">
        <v>0</v>
      </c>
      <c r="N4355" t="n">
        <v>0</v>
      </c>
      <c r="O4355" t="n">
        <v>0</v>
      </c>
      <c r="P4355" t="n">
        <v>0</v>
      </c>
      <c r="Q4355" t="n">
        <v>0</v>
      </c>
      <c r="R4355" s="2" t="inlineStr"/>
    </row>
    <row r="4356" ht="15" customHeight="1">
      <c r="A4356" t="inlineStr">
        <is>
          <t>A 64120-2021</t>
        </is>
      </c>
      <c r="B4356" s="1" t="n">
        <v>44510</v>
      </c>
      <c r="C4356" s="1" t="n">
        <v>45344</v>
      </c>
      <c r="D4356" t="inlineStr">
        <is>
          <t>GÄVLEBORGS LÄN</t>
        </is>
      </c>
      <c r="E4356" t="inlineStr">
        <is>
          <t>LJUSDAL</t>
        </is>
      </c>
      <c r="F4356" t="inlineStr">
        <is>
          <t>Kommuner</t>
        </is>
      </c>
      <c r="G4356" t="n">
        <v>7.3</v>
      </c>
      <c r="H4356" t="n">
        <v>0</v>
      </c>
      <c r="I4356" t="n">
        <v>0</v>
      </c>
      <c r="J4356" t="n">
        <v>0</v>
      </c>
      <c r="K4356" t="n">
        <v>0</v>
      </c>
      <c r="L4356" t="n">
        <v>0</v>
      </c>
      <c r="M4356" t="n">
        <v>0</v>
      </c>
      <c r="N4356" t="n">
        <v>0</v>
      </c>
      <c r="O4356" t="n">
        <v>0</v>
      </c>
      <c r="P4356" t="n">
        <v>0</v>
      </c>
      <c r="Q4356" t="n">
        <v>0</v>
      </c>
      <c r="R4356" s="2" t="inlineStr"/>
    </row>
    <row r="4357" ht="15" customHeight="1">
      <c r="A4357" t="inlineStr">
        <is>
          <t>A 64215-2021</t>
        </is>
      </c>
      <c r="B4357" s="1" t="n">
        <v>44510</v>
      </c>
      <c r="C4357" s="1" t="n">
        <v>45344</v>
      </c>
      <c r="D4357" t="inlineStr">
        <is>
          <t>GÄVLEBORGS LÄN</t>
        </is>
      </c>
      <c r="E4357" t="inlineStr">
        <is>
          <t>SÖDERHAMN</t>
        </is>
      </c>
      <c r="F4357" t="inlineStr">
        <is>
          <t>Bergvik skog väst AB</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64225-2021</t>
        </is>
      </c>
      <c r="B4358" s="1" t="n">
        <v>44510</v>
      </c>
      <c r="C4358" s="1" t="n">
        <v>45344</v>
      </c>
      <c r="D4358" t="inlineStr">
        <is>
          <t>GÄVLEBORGS LÄN</t>
        </is>
      </c>
      <c r="E4358" t="inlineStr">
        <is>
          <t>SANDVIKEN</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64344-2021</t>
        </is>
      </c>
      <c r="B4359" s="1" t="n">
        <v>44511</v>
      </c>
      <c r="C4359" s="1" t="n">
        <v>45344</v>
      </c>
      <c r="D4359" t="inlineStr">
        <is>
          <t>GÄVLEBORGS LÄN</t>
        </is>
      </c>
      <c r="E4359" t="inlineStr">
        <is>
          <t>HUDIKSVALL</t>
        </is>
      </c>
      <c r="G4359" t="n">
        <v>5.2</v>
      </c>
      <c r="H4359" t="n">
        <v>0</v>
      </c>
      <c r="I4359" t="n">
        <v>0</v>
      </c>
      <c r="J4359" t="n">
        <v>0</v>
      </c>
      <c r="K4359" t="n">
        <v>0</v>
      </c>
      <c r="L4359" t="n">
        <v>0</v>
      </c>
      <c r="M4359" t="n">
        <v>0</v>
      </c>
      <c r="N4359" t="n">
        <v>0</v>
      </c>
      <c r="O4359" t="n">
        <v>0</v>
      </c>
      <c r="P4359" t="n">
        <v>0</v>
      </c>
      <c r="Q4359" t="n">
        <v>0</v>
      </c>
      <c r="R4359" s="2" t="inlineStr"/>
    </row>
    <row r="4360" ht="15" customHeight="1">
      <c r="A4360" t="inlineStr">
        <is>
          <t>A 64423-2021</t>
        </is>
      </c>
      <c r="B4360" s="1" t="n">
        <v>44511</v>
      </c>
      <c r="C4360" s="1" t="n">
        <v>45344</v>
      </c>
      <c r="D4360" t="inlineStr">
        <is>
          <t>GÄVLEBORGS LÄN</t>
        </is>
      </c>
      <c r="E4360" t="inlineStr">
        <is>
          <t>LJUSDAL</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64556-2021</t>
        </is>
      </c>
      <c r="B4361" s="1" t="n">
        <v>44511</v>
      </c>
      <c r="C4361" s="1" t="n">
        <v>45344</v>
      </c>
      <c r="D4361" t="inlineStr">
        <is>
          <t>GÄVLEBORGS LÄN</t>
        </is>
      </c>
      <c r="E4361" t="inlineStr">
        <is>
          <t>LJUSDAL</t>
        </is>
      </c>
      <c r="F4361" t="inlineStr">
        <is>
          <t>Holmen skog AB</t>
        </is>
      </c>
      <c r="G4361" t="n">
        <v>4.3</v>
      </c>
      <c r="H4361" t="n">
        <v>0</v>
      </c>
      <c r="I4361" t="n">
        <v>0</v>
      </c>
      <c r="J4361" t="n">
        <v>0</v>
      </c>
      <c r="K4361" t="n">
        <v>0</v>
      </c>
      <c r="L4361" t="n">
        <v>0</v>
      </c>
      <c r="M4361" t="n">
        <v>0</v>
      </c>
      <c r="N4361" t="n">
        <v>0</v>
      </c>
      <c r="O4361" t="n">
        <v>0</v>
      </c>
      <c r="P4361" t="n">
        <v>0</v>
      </c>
      <c r="Q4361" t="n">
        <v>0</v>
      </c>
      <c r="R4361" s="2" t="inlineStr"/>
    </row>
    <row r="4362" ht="15" customHeight="1">
      <c r="A4362" t="inlineStr">
        <is>
          <t>A 64632-2021</t>
        </is>
      </c>
      <c r="B4362" s="1" t="n">
        <v>44511</v>
      </c>
      <c r="C4362" s="1" t="n">
        <v>45344</v>
      </c>
      <c r="D4362" t="inlineStr">
        <is>
          <t>GÄVLEBORGS LÄN</t>
        </is>
      </c>
      <c r="E4362" t="inlineStr">
        <is>
          <t>HUDIKSVALL</t>
        </is>
      </c>
      <c r="G4362" t="n">
        <v>4.2</v>
      </c>
      <c r="H4362" t="n">
        <v>0</v>
      </c>
      <c r="I4362" t="n">
        <v>0</v>
      </c>
      <c r="J4362" t="n">
        <v>0</v>
      </c>
      <c r="K4362" t="n">
        <v>0</v>
      </c>
      <c r="L4362" t="n">
        <v>0</v>
      </c>
      <c r="M4362" t="n">
        <v>0</v>
      </c>
      <c r="N4362" t="n">
        <v>0</v>
      </c>
      <c r="O4362" t="n">
        <v>0</v>
      </c>
      <c r="P4362" t="n">
        <v>0</v>
      </c>
      <c r="Q4362" t="n">
        <v>0</v>
      </c>
      <c r="R4362" s="2" t="inlineStr"/>
    </row>
    <row r="4363" ht="15" customHeight="1">
      <c r="A4363" t="inlineStr">
        <is>
          <t>A 64538-2021</t>
        </is>
      </c>
      <c r="B4363" s="1" t="n">
        <v>44511</v>
      </c>
      <c r="C4363" s="1" t="n">
        <v>45344</v>
      </c>
      <c r="D4363" t="inlineStr">
        <is>
          <t>GÄVLEBORGS LÄN</t>
        </is>
      </c>
      <c r="E4363" t="inlineStr">
        <is>
          <t>BOLLNÄS</t>
        </is>
      </c>
      <c r="F4363" t="inlineStr">
        <is>
          <t>Bergvik skog väst AB</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64601-2021</t>
        </is>
      </c>
      <c r="B4364" s="1" t="n">
        <v>44511</v>
      </c>
      <c r="C4364" s="1" t="n">
        <v>45344</v>
      </c>
      <c r="D4364" t="inlineStr">
        <is>
          <t>GÄVLEBORGS LÄN</t>
        </is>
      </c>
      <c r="E4364" t="inlineStr">
        <is>
          <t>LJUSDAL</t>
        </is>
      </c>
      <c r="F4364" t="inlineStr">
        <is>
          <t>Kommuner</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64633-2021</t>
        </is>
      </c>
      <c r="B4365" s="1" t="n">
        <v>44511</v>
      </c>
      <c r="C4365" s="1" t="n">
        <v>45344</v>
      </c>
      <c r="D4365" t="inlineStr">
        <is>
          <t>GÄVLEBORGS LÄN</t>
        </is>
      </c>
      <c r="E4365" t="inlineStr">
        <is>
          <t>BOLLNÄS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64706-2021</t>
        </is>
      </c>
      <c r="B4366" s="1" t="n">
        <v>44512</v>
      </c>
      <c r="C4366" s="1" t="n">
        <v>45344</v>
      </c>
      <c r="D4366" t="inlineStr">
        <is>
          <t>GÄVLEBORGS LÄN</t>
        </is>
      </c>
      <c r="E4366" t="inlineStr">
        <is>
          <t>HOFORS</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64829-2021</t>
        </is>
      </c>
      <c r="B4367" s="1" t="n">
        <v>44512</v>
      </c>
      <c r="C4367" s="1" t="n">
        <v>45344</v>
      </c>
      <c r="D4367" t="inlineStr">
        <is>
          <t>GÄVLEBORGS LÄN</t>
        </is>
      </c>
      <c r="E4367" t="inlineStr">
        <is>
          <t>BOLLNÄS</t>
        </is>
      </c>
      <c r="F4367" t="inlineStr">
        <is>
          <t>Bergvik skog väst AB</t>
        </is>
      </c>
      <c r="G4367" t="n">
        <v>5.7</v>
      </c>
      <c r="H4367" t="n">
        <v>0</v>
      </c>
      <c r="I4367" t="n">
        <v>0</v>
      </c>
      <c r="J4367" t="n">
        <v>0</v>
      </c>
      <c r="K4367" t="n">
        <v>0</v>
      </c>
      <c r="L4367" t="n">
        <v>0</v>
      </c>
      <c r="M4367" t="n">
        <v>0</v>
      </c>
      <c r="N4367" t="n">
        <v>0</v>
      </c>
      <c r="O4367" t="n">
        <v>0</v>
      </c>
      <c r="P4367" t="n">
        <v>0</v>
      </c>
      <c r="Q4367" t="n">
        <v>0</v>
      </c>
      <c r="R4367" s="2" t="inlineStr"/>
    </row>
    <row r="4368" ht="15" customHeight="1">
      <c r="A4368" t="inlineStr">
        <is>
          <t>A 64712-2021</t>
        </is>
      </c>
      <c r="B4368" s="1" t="n">
        <v>44512</v>
      </c>
      <c r="C4368" s="1" t="n">
        <v>45344</v>
      </c>
      <c r="D4368" t="inlineStr">
        <is>
          <t>GÄVLEBORGS LÄN</t>
        </is>
      </c>
      <c r="E4368" t="inlineStr">
        <is>
          <t>NORDANSTIG</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64720-2021</t>
        </is>
      </c>
      <c r="B4369" s="1" t="n">
        <v>44512</v>
      </c>
      <c r="C4369" s="1" t="n">
        <v>45344</v>
      </c>
      <c r="D4369" t="inlineStr">
        <is>
          <t>GÄVLEBORGS LÄN</t>
        </is>
      </c>
      <c r="E4369" t="inlineStr">
        <is>
          <t>SANDVIKEN</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64835-2021</t>
        </is>
      </c>
      <c r="B4370" s="1" t="n">
        <v>44512</v>
      </c>
      <c r="C4370" s="1" t="n">
        <v>45344</v>
      </c>
      <c r="D4370" t="inlineStr">
        <is>
          <t>GÄVLEBORGS LÄN</t>
        </is>
      </c>
      <c r="E4370" t="inlineStr">
        <is>
          <t>NORDANSTIG</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64843-2021</t>
        </is>
      </c>
      <c r="B4371" s="1" t="n">
        <v>44512</v>
      </c>
      <c r="C4371" s="1" t="n">
        <v>45344</v>
      </c>
      <c r="D4371" t="inlineStr">
        <is>
          <t>GÄVLEBORGS LÄN</t>
        </is>
      </c>
      <c r="E4371" t="inlineStr">
        <is>
          <t>OVANÅKER</t>
        </is>
      </c>
      <c r="F4371" t="inlineStr">
        <is>
          <t>Bergvik skog väst AB</t>
        </is>
      </c>
      <c r="G4371" t="n">
        <v>0.3</v>
      </c>
      <c r="H4371" t="n">
        <v>0</v>
      </c>
      <c r="I4371" t="n">
        <v>0</v>
      </c>
      <c r="J4371" t="n">
        <v>0</v>
      </c>
      <c r="K4371" t="n">
        <v>0</v>
      </c>
      <c r="L4371" t="n">
        <v>0</v>
      </c>
      <c r="M4371" t="n">
        <v>0</v>
      </c>
      <c r="N4371" t="n">
        <v>0</v>
      </c>
      <c r="O4371" t="n">
        <v>0</v>
      </c>
      <c r="P4371" t="n">
        <v>0</v>
      </c>
      <c r="Q4371" t="n">
        <v>0</v>
      </c>
      <c r="R4371" s="2" t="inlineStr"/>
    </row>
    <row r="4372" ht="15" customHeight="1">
      <c r="A4372" t="inlineStr">
        <is>
          <t>A 64875-2021</t>
        </is>
      </c>
      <c r="B4372" s="1" t="n">
        <v>44512</v>
      </c>
      <c r="C4372" s="1" t="n">
        <v>45344</v>
      </c>
      <c r="D4372" t="inlineStr">
        <is>
          <t>GÄVLEBORGS LÄN</t>
        </is>
      </c>
      <c r="E4372" t="inlineStr">
        <is>
          <t>LJUSDAL</t>
        </is>
      </c>
      <c r="F4372" t="inlineStr">
        <is>
          <t>Sveaskog</t>
        </is>
      </c>
      <c r="G4372" t="n">
        <v>19.8</v>
      </c>
      <c r="H4372" t="n">
        <v>0</v>
      </c>
      <c r="I4372" t="n">
        <v>0</v>
      </c>
      <c r="J4372" t="n">
        <v>0</v>
      </c>
      <c r="K4372" t="n">
        <v>0</v>
      </c>
      <c r="L4372" t="n">
        <v>0</v>
      </c>
      <c r="M4372" t="n">
        <v>0</v>
      </c>
      <c r="N4372" t="n">
        <v>0</v>
      </c>
      <c r="O4372" t="n">
        <v>0</v>
      </c>
      <c r="P4372" t="n">
        <v>0</v>
      </c>
      <c r="Q4372" t="n">
        <v>0</v>
      </c>
      <c r="R4372" s="2" t="inlineStr"/>
    </row>
    <row r="4373" ht="15" customHeight="1">
      <c r="A4373" t="inlineStr">
        <is>
          <t>A 65030-2021</t>
        </is>
      </c>
      <c r="B4373" s="1" t="n">
        <v>44515</v>
      </c>
      <c r="C4373" s="1" t="n">
        <v>45344</v>
      </c>
      <c r="D4373" t="inlineStr">
        <is>
          <t>GÄVLEBORGS LÄN</t>
        </is>
      </c>
      <c r="E4373" t="inlineStr">
        <is>
          <t>BOLLNÄS</t>
        </is>
      </c>
      <c r="F4373" t="inlineStr">
        <is>
          <t>Bergvik skog väst AB</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65027-2021</t>
        </is>
      </c>
      <c r="B4374" s="1" t="n">
        <v>44515</v>
      </c>
      <c r="C4374" s="1" t="n">
        <v>45344</v>
      </c>
      <c r="D4374" t="inlineStr">
        <is>
          <t>GÄVLEBORGS LÄN</t>
        </is>
      </c>
      <c r="E4374" t="inlineStr">
        <is>
          <t>BOLLNÄS</t>
        </is>
      </c>
      <c r="F4374" t="inlineStr">
        <is>
          <t>Bergvik skog väst AB</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65041-2021</t>
        </is>
      </c>
      <c r="B4375" s="1" t="n">
        <v>44515</v>
      </c>
      <c r="C4375" s="1" t="n">
        <v>45344</v>
      </c>
      <c r="D4375" t="inlineStr">
        <is>
          <t>GÄVLEBORGS LÄN</t>
        </is>
      </c>
      <c r="E4375" t="inlineStr">
        <is>
          <t>BOLLNÄS</t>
        </is>
      </c>
      <c r="F4375" t="inlineStr">
        <is>
          <t>Bergvik skog väst AB</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65270-2021</t>
        </is>
      </c>
      <c r="B4376" s="1" t="n">
        <v>44515</v>
      </c>
      <c r="C4376" s="1" t="n">
        <v>45344</v>
      </c>
      <c r="D4376" t="inlineStr">
        <is>
          <t>GÄVLEBORGS LÄN</t>
        </is>
      </c>
      <c r="E4376" t="inlineStr">
        <is>
          <t>SANDVIKEN</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65345-2021</t>
        </is>
      </c>
      <c r="B4377" s="1" t="n">
        <v>44515</v>
      </c>
      <c r="C4377" s="1" t="n">
        <v>45344</v>
      </c>
      <c r="D4377" t="inlineStr">
        <is>
          <t>GÄVLEBORGS LÄN</t>
        </is>
      </c>
      <c r="E4377" t="inlineStr">
        <is>
          <t>LJUSDAL</t>
        </is>
      </c>
      <c r="F4377" t="inlineStr">
        <is>
          <t>Holmen skog AB</t>
        </is>
      </c>
      <c r="G4377" t="n">
        <v>9.300000000000001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65403-2021</t>
        </is>
      </c>
      <c r="B4378" s="1" t="n">
        <v>44515</v>
      </c>
      <c r="C4378" s="1" t="n">
        <v>45344</v>
      </c>
      <c r="D4378" t="inlineStr">
        <is>
          <t>GÄVLEBORGS LÄN</t>
        </is>
      </c>
      <c r="E4378" t="inlineStr">
        <is>
          <t>BOLLNÄS</t>
        </is>
      </c>
      <c r="F4378" t="inlineStr">
        <is>
          <t>Bergvik skog väst AB</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65363-2021</t>
        </is>
      </c>
      <c r="B4379" s="1" t="n">
        <v>44515</v>
      </c>
      <c r="C4379" s="1" t="n">
        <v>45344</v>
      </c>
      <c r="D4379" t="inlineStr">
        <is>
          <t>GÄVLEBORGS LÄN</t>
        </is>
      </c>
      <c r="E4379" t="inlineStr">
        <is>
          <t>HUDIKSVALL</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65470-2021</t>
        </is>
      </c>
      <c r="B4380" s="1" t="n">
        <v>44516</v>
      </c>
      <c r="C4380" s="1" t="n">
        <v>45344</v>
      </c>
      <c r="D4380" t="inlineStr">
        <is>
          <t>GÄVLEBORGS LÄN</t>
        </is>
      </c>
      <c r="E4380" t="inlineStr">
        <is>
          <t>SANDVIKEN</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65542-2021</t>
        </is>
      </c>
      <c r="B4381" s="1" t="n">
        <v>44516</v>
      </c>
      <c r="C4381" s="1" t="n">
        <v>45344</v>
      </c>
      <c r="D4381" t="inlineStr">
        <is>
          <t>GÄVLEBORGS LÄN</t>
        </is>
      </c>
      <c r="E4381" t="inlineStr">
        <is>
          <t>OVANÅKER</t>
        </is>
      </c>
      <c r="G4381" t="n">
        <v>9</v>
      </c>
      <c r="H4381" t="n">
        <v>0</v>
      </c>
      <c r="I4381" t="n">
        <v>0</v>
      </c>
      <c r="J4381" t="n">
        <v>0</v>
      </c>
      <c r="K4381" t="n">
        <v>0</v>
      </c>
      <c r="L4381" t="n">
        <v>0</v>
      </c>
      <c r="M4381" t="n">
        <v>0</v>
      </c>
      <c r="N4381" t="n">
        <v>0</v>
      </c>
      <c r="O4381" t="n">
        <v>0</v>
      </c>
      <c r="P4381" t="n">
        <v>0</v>
      </c>
      <c r="Q4381" t="n">
        <v>0</v>
      </c>
      <c r="R4381" s="2" t="inlineStr"/>
    </row>
    <row r="4382" ht="15" customHeight="1">
      <c r="A4382" t="inlineStr">
        <is>
          <t>A 65592-2021</t>
        </is>
      </c>
      <c r="B4382" s="1" t="n">
        <v>44516</v>
      </c>
      <c r="C4382" s="1" t="n">
        <v>45344</v>
      </c>
      <c r="D4382" t="inlineStr">
        <is>
          <t>GÄVLEBORGS LÄN</t>
        </is>
      </c>
      <c r="E4382" t="inlineStr">
        <is>
          <t>GÄVLE</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65601-2021</t>
        </is>
      </c>
      <c r="B4383" s="1" t="n">
        <v>44516</v>
      </c>
      <c r="C4383" s="1" t="n">
        <v>45344</v>
      </c>
      <c r="D4383" t="inlineStr">
        <is>
          <t>GÄVLEBORGS LÄN</t>
        </is>
      </c>
      <c r="E4383" t="inlineStr">
        <is>
          <t>SANDVIKEN</t>
        </is>
      </c>
      <c r="F4383" t="inlineStr">
        <is>
          <t>Kommuner</t>
        </is>
      </c>
      <c r="G4383" t="n">
        <v>2.9</v>
      </c>
      <c r="H4383" t="n">
        <v>0</v>
      </c>
      <c r="I4383" t="n">
        <v>0</v>
      </c>
      <c r="J4383" t="n">
        <v>0</v>
      </c>
      <c r="K4383" t="n">
        <v>0</v>
      </c>
      <c r="L4383" t="n">
        <v>0</v>
      </c>
      <c r="M4383" t="n">
        <v>0</v>
      </c>
      <c r="N4383" t="n">
        <v>0</v>
      </c>
      <c r="O4383" t="n">
        <v>0</v>
      </c>
      <c r="P4383" t="n">
        <v>0</v>
      </c>
      <c r="Q4383" t="n">
        <v>0</v>
      </c>
      <c r="R4383" s="2" t="inlineStr"/>
    </row>
    <row r="4384" ht="15" customHeight="1">
      <c r="A4384" t="inlineStr">
        <is>
          <t>A 65606-2021</t>
        </is>
      </c>
      <c r="B4384" s="1" t="n">
        <v>44516</v>
      </c>
      <c r="C4384" s="1" t="n">
        <v>45344</v>
      </c>
      <c r="D4384" t="inlineStr">
        <is>
          <t>GÄVLEBORGS LÄN</t>
        </is>
      </c>
      <c r="E4384" t="inlineStr">
        <is>
          <t>NORDANSTIG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65907-2021</t>
        </is>
      </c>
      <c r="B4385" s="1" t="n">
        <v>44517</v>
      </c>
      <c r="C4385" s="1" t="n">
        <v>45344</v>
      </c>
      <c r="D4385" t="inlineStr">
        <is>
          <t>GÄVLEBORGS LÄN</t>
        </is>
      </c>
      <c r="E4385" t="inlineStr">
        <is>
          <t>HUDIKSVALL</t>
        </is>
      </c>
      <c r="F4385" t="inlineStr">
        <is>
          <t>Holmen skog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65936-2021</t>
        </is>
      </c>
      <c r="B4386" s="1" t="n">
        <v>44517</v>
      </c>
      <c r="C4386" s="1" t="n">
        <v>45344</v>
      </c>
      <c r="D4386" t="inlineStr">
        <is>
          <t>GÄVLEBORGS LÄN</t>
        </is>
      </c>
      <c r="E4386" t="inlineStr">
        <is>
          <t>HUDIKSVALL</t>
        </is>
      </c>
      <c r="F4386" t="inlineStr">
        <is>
          <t>Holmen skog AB</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65879-2021</t>
        </is>
      </c>
      <c r="B4387" s="1" t="n">
        <v>44517</v>
      </c>
      <c r="C4387" s="1" t="n">
        <v>45344</v>
      </c>
      <c r="D4387" t="inlineStr">
        <is>
          <t>GÄVLEBORGS LÄN</t>
        </is>
      </c>
      <c r="E4387" t="inlineStr">
        <is>
          <t>GÄVLE</t>
        </is>
      </c>
      <c r="F4387" t="inlineStr">
        <is>
          <t>Kyrkan</t>
        </is>
      </c>
      <c r="G4387" t="n">
        <v>5.6</v>
      </c>
      <c r="H4387" t="n">
        <v>0</v>
      </c>
      <c r="I4387" t="n">
        <v>0</v>
      </c>
      <c r="J4387" t="n">
        <v>0</v>
      </c>
      <c r="K4387" t="n">
        <v>0</v>
      </c>
      <c r="L4387" t="n">
        <v>0</v>
      </c>
      <c r="M4387" t="n">
        <v>0</v>
      </c>
      <c r="N4387" t="n">
        <v>0</v>
      </c>
      <c r="O4387" t="n">
        <v>0</v>
      </c>
      <c r="P4387" t="n">
        <v>0</v>
      </c>
      <c r="Q4387" t="n">
        <v>0</v>
      </c>
      <c r="R4387" s="2" t="inlineStr"/>
    </row>
    <row r="4388" ht="15" customHeight="1">
      <c r="A4388" t="inlineStr">
        <is>
          <t>A 65960-2021</t>
        </is>
      </c>
      <c r="B4388" s="1" t="n">
        <v>44517</v>
      </c>
      <c r="C4388" s="1" t="n">
        <v>45344</v>
      </c>
      <c r="D4388" t="inlineStr">
        <is>
          <t>GÄVLEBORGS LÄN</t>
        </is>
      </c>
      <c r="E4388" t="inlineStr">
        <is>
          <t>OVANÅKER</t>
        </is>
      </c>
      <c r="G4388" t="n">
        <v>4.8</v>
      </c>
      <c r="H4388" t="n">
        <v>0</v>
      </c>
      <c r="I4388" t="n">
        <v>0</v>
      </c>
      <c r="J4388" t="n">
        <v>0</v>
      </c>
      <c r="K4388" t="n">
        <v>0</v>
      </c>
      <c r="L4388" t="n">
        <v>0</v>
      </c>
      <c r="M4388" t="n">
        <v>0</v>
      </c>
      <c r="N4388" t="n">
        <v>0</v>
      </c>
      <c r="O4388" t="n">
        <v>0</v>
      </c>
      <c r="P4388" t="n">
        <v>0</v>
      </c>
      <c r="Q4388" t="n">
        <v>0</v>
      </c>
      <c r="R4388" s="2" t="inlineStr"/>
    </row>
    <row r="4389" ht="15" customHeight="1">
      <c r="A4389" t="inlineStr">
        <is>
          <t>A 66083-2021</t>
        </is>
      </c>
      <c r="B4389" s="1" t="n">
        <v>44517</v>
      </c>
      <c r="C4389" s="1" t="n">
        <v>45344</v>
      </c>
      <c r="D4389" t="inlineStr">
        <is>
          <t>GÄVLEBORGS LÄN</t>
        </is>
      </c>
      <c r="E4389" t="inlineStr">
        <is>
          <t>OVANÅKER</t>
        </is>
      </c>
      <c r="F4389" t="inlineStr">
        <is>
          <t>Bergvik skog väst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66042-2021</t>
        </is>
      </c>
      <c r="B4390" s="1" t="n">
        <v>44517</v>
      </c>
      <c r="C4390" s="1" t="n">
        <v>45344</v>
      </c>
      <c r="D4390" t="inlineStr">
        <is>
          <t>GÄVLEBORGS LÄN</t>
        </is>
      </c>
      <c r="E4390" t="inlineStr">
        <is>
          <t>BOLLNÄS</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66120-2021</t>
        </is>
      </c>
      <c r="B4391" s="1" t="n">
        <v>44517</v>
      </c>
      <c r="C4391" s="1" t="n">
        <v>45344</v>
      </c>
      <c r="D4391" t="inlineStr">
        <is>
          <t>GÄVLEBORGS LÄN</t>
        </is>
      </c>
      <c r="E4391" t="inlineStr">
        <is>
          <t>BOLLNÄS</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66129-2021</t>
        </is>
      </c>
      <c r="B4392" s="1" t="n">
        <v>44517</v>
      </c>
      <c r="C4392" s="1" t="n">
        <v>45344</v>
      </c>
      <c r="D4392" t="inlineStr">
        <is>
          <t>GÄVLEBORGS LÄN</t>
        </is>
      </c>
      <c r="E4392" t="inlineStr">
        <is>
          <t>BOLLNÄS</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66125-2021</t>
        </is>
      </c>
      <c r="B4393" s="1" t="n">
        <v>44517</v>
      </c>
      <c r="C4393" s="1" t="n">
        <v>45344</v>
      </c>
      <c r="D4393" t="inlineStr">
        <is>
          <t>GÄVLEBORGS LÄN</t>
        </is>
      </c>
      <c r="E4393" t="inlineStr">
        <is>
          <t>BOLLNÄS</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66121-2021</t>
        </is>
      </c>
      <c r="B4394" s="1" t="n">
        <v>44517</v>
      </c>
      <c r="C4394" s="1" t="n">
        <v>45344</v>
      </c>
      <c r="D4394" t="inlineStr">
        <is>
          <t>GÄVLEBORGS LÄN</t>
        </is>
      </c>
      <c r="E4394" t="inlineStr">
        <is>
          <t>BOLLNÄS</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66118-2021</t>
        </is>
      </c>
      <c r="B4395" s="1" t="n">
        <v>44517</v>
      </c>
      <c r="C4395" s="1" t="n">
        <v>45344</v>
      </c>
      <c r="D4395" t="inlineStr">
        <is>
          <t>GÄVLEBORGS LÄN</t>
        </is>
      </c>
      <c r="E4395" t="inlineStr">
        <is>
          <t>OCKELBO</t>
        </is>
      </c>
      <c r="F4395" t="inlineStr">
        <is>
          <t>Bergvik skog väst AB</t>
        </is>
      </c>
      <c r="G4395" t="n">
        <v>7.6</v>
      </c>
      <c r="H4395" t="n">
        <v>0</v>
      </c>
      <c r="I4395" t="n">
        <v>0</v>
      </c>
      <c r="J4395" t="n">
        <v>0</v>
      </c>
      <c r="K4395" t="n">
        <v>0</v>
      </c>
      <c r="L4395" t="n">
        <v>0</v>
      </c>
      <c r="M4395" t="n">
        <v>0</v>
      </c>
      <c r="N4395" t="n">
        <v>0</v>
      </c>
      <c r="O4395" t="n">
        <v>0</v>
      </c>
      <c r="P4395" t="n">
        <v>0</v>
      </c>
      <c r="Q4395" t="n">
        <v>0</v>
      </c>
      <c r="R4395" s="2" t="inlineStr"/>
    </row>
    <row r="4396" ht="15" customHeight="1">
      <c r="A4396" t="inlineStr">
        <is>
          <t>A 66128-2021</t>
        </is>
      </c>
      <c r="B4396" s="1" t="n">
        <v>44517</v>
      </c>
      <c r="C4396" s="1" t="n">
        <v>45344</v>
      </c>
      <c r="D4396" t="inlineStr">
        <is>
          <t>GÄVLEBORGS LÄN</t>
        </is>
      </c>
      <c r="E4396" t="inlineStr">
        <is>
          <t>BOLLNÄS</t>
        </is>
      </c>
      <c r="G4396" t="n">
        <v>0.3</v>
      </c>
      <c r="H4396" t="n">
        <v>0</v>
      </c>
      <c r="I4396" t="n">
        <v>0</v>
      </c>
      <c r="J4396" t="n">
        <v>0</v>
      </c>
      <c r="K4396" t="n">
        <v>0</v>
      </c>
      <c r="L4396" t="n">
        <v>0</v>
      </c>
      <c r="M4396" t="n">
        <v>0</v>
      </c>
      <c r="N4396" t="n">
        <v>0</v>
      </c>
      <c r="O4396" t="n">
        <v>0</v>
      </c>
      <c r="P4396" t="n">
        <v>0</v>
      </c>
      <c r="Q4396" t="n">
        <v>0</v>
      </c>
      <c r="R4396" s="2" t="inlineStr"/>
    </row>
    <row r="4397" ht="15" customHeight="1">
      <c r="A4397" t="inlineStr">
        <is>
          <t>A 66208-2021</t>
        </is>
      </c>
      <c r="B4397" s="1" t="n">
        <v>44518</v>
      </c>
      <c r="C4397" s="1" t="n">
        <v>45344</v>
      </c>
      <c r="D4397" t="inlineStr">
        <is>
          <t>GÄVLEBORGS LÄN</t>
        </is>
      </c>
      <c r="E4397" t="inlineStr">
        <is>
          <t>LJUSDAL</t>
        </is>
      </c>
      <c r="F4397" t="inlineStr">
        <is>
          <t>Sveaskog</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66217-2021</t>
        </is>
      </c>
      <c r="B4398" s="1" t="n">
        <v>44518</v>
      </c>
      <c r="C4398" s="1" t="n">
        <v>45344</v>
      </c>
      <c r="D4398" t="inlineStr">
        <is>
          <t>GÄVLEBORGS LÄN</t>
        </is>
      </c>
      <c r="E4398" t="inlineStr">
        <is>
          <t>NORDANSTIG</t>
        </is>
      </c>
      <c r="G4398" t="n">
        <v>6.9</v>
      </c>
      <c r="H4398" t="n">
        <v>0</v>
      </c>
      <c r="I4398" t="n">
        <v>0</v>
      </c>
      <c r="J4398" t="n">
        <v>0</v>
      </c>
      <c r="K4398" t="n">
        <v>0</v>
      </c>
      <c r="L4398" t="n">
        <v>0</v>
      </c>
      <c r="M4398" t="n">
        <v>0</v>
      </c>
      <c r="N4398" t="n">
        <v>0</v>
      </c>
      <c r="O4398" t="n">
        <v>0</v>
      </c>
      <c r="P4398" t="n">
        <v>0</v>
      </c>
      <c r="Q4398" t="n">
        <v>0</v>
      </c>
      <c r="R4398" s="2" t="inlineStr"/>
    </row>
    <row r="4399" ht="15" customHeight="1">
      <c r="A4399" t="inlineStr">
        <is>
          <t>A 66299-2021</t>
        </is>
      </c>
      <c r="B4399" s="1" t="n">
        <v>44518</v>
      </c>
      <c r="C4399" s="1" t="n">
        <v>45344</v>
      </c>
      <c r="D4399" t="inlineStr">
        <is>
          <t>GÄVLEBORGS LÄN</t>
        </is>
      </c>
      <c r="E4399" t="inlineStr">
        <is>
          <t>OVANÅKER</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66316-2021</t>
        </is>
      </c>
      <c r="B4400" s="1" t="n">
        <v>44518</v>
      </c>
      <c r="C4400" s="1" t="n">
        <v>45344</v>
      </c>
      <c r="D4400" t="inlineStr">
        <is>
          <t>GÄVLEBORGS LÄN</t>
        </is>
      </c>
      <c r="E4400" t="inlineStr">
        <is>
          <t>SANDVIKEN</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66345-2021</t>
        </is>
      </c>
      <c r="B4401" s="1" t="n">
        <v>44518</v>
      </c>
      <c r="C4401" s="1" t="n">
        <v>45344</v>
      </c>
      <c r="D4401" t="inlineStr">
        <is>
          <t>GÄVLEBORGS LÄN</t>
        </is>
      </c>
      <c r="E4401" t="inlineStr">
        <is>
          <t>SANDVIKEN</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66351-2021</t>
        </is>
      </c>
      <c r="B4402" s="1" t="n">
        <v>44518</v>
      </c>
      <c r="C4402" s="1" t="n">
        <v>45344</v>
      </c>
      <c r="D4402" t="inlineStr">
        <is>
          <t>GÄVLEBORGS LÄN</t>
        </is>
      </c>
      <c r="E4402" t="inlineStr">
        <is>
          <t>GÄVLE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66420-2021</t>
        </is>
      </c>
      <c r="B4403" s="1" t="n">
        <v>44518</v>
      </c>
      <c r="C4403" s="1" t="n">
        <v>45344</v>
      </c>
      <c r="D4403" t="inlineStr">
        <is>
          <t>GÄVLEBORGS LÄN</t>
        </is>
      </c>
      <c r="E4403" t="inlineStr">
        <is>
          <t>OCKELBO</t>
        </is>
      </c>
      <c r="G4403" t="n">
        <v>0.3</v>
      </c>
      <c r="H4403" t="n">
        <v>0</v>
      </c>
      <c r="I4403" t="n">
        <v>0</v>
      </c>
      <c r="J4403" t="n">
        <v>0</v>
      </c>
      <c r="K4403" t="n">
        <v>0</v>
      </c>
      <c r="L4403" t="n">
        <v>0</v>
      </c>
      <c r="M4403" t="n">
        <v>0</v>
      </c>
      <c r="N4403" t="n">
        <v>0</v>
      </c>
      <c r="O4403" t="n">
        <v>0</v>
      </c>
      <c r="P4403" t="n">
        <v>0</v>
      </c>
      <c r="Q4403" t="n">
        <v>0</v>
      </c>
      <c r="R4403" s="2" t="inlineStr"/>
    </row>
    <row r="4404" ht="15" customHeight="1">
      <c r="A4404" t="inlineStr">
        <is>
          <t>A 66359-2021</t>
        </is>
      </c>
      <c r="B4404" s="1" t="n">
        <v>44518</v>
      </c>
      <c r="C4404" s="1" t="n">
        <v>45344</v>
      </c>
      <c r="D4404" t="inlineStr">
        <is>
          <t>GÄVLEBORGS LÄN</t>
        </is>
      </c>
      <c r="E4404" t="inlineStr">
        <is>
          <t>OCKELBO</t>
        </is>
      </c>
      <c r="G4404" t="n">
        <v>13.8</v>
      </c>
      <c r="H4404" t="n">
        <v>0</v>
      </c>
      <c r="I4404" t="n">
        <v>0</v>
      </c>
      <c r="J4404" t="n">
        <v>0</v>
      </c>
      <c r="K4404" t="n">
        <v>0</v>
      </c>
      <c r="L4404" t="n">
        <v>0</v>
      </c>
      <c r="M4404" t="n">
        <v>0</v>
      </c>
      <c r="N4404" t="n">
        <v>0</v>
      </c>
      <c r="O4404" t="n">
        <v>0</v>
      </c>
      <c r="P4404" t="n">
        <v>0</v>
      </c>
      <c r="Q4404" t="n">
        <v>0</v>
      </c>
      <c r="R4404" s="2" t="inlineStr"/>
    </row>
    <row r="4405" ht="15" customHeight="1">
      <c r="A4405" t="inlineStr">
        <is>
          <t>A 66403-2021</t>
        </is>
      </c>
      <c r="B4405" s="1" t="n">
        <v>44518</v>
      </c>
      <c r="C4405" s="1" t="n">
        <v>45344</v>
      </c>
      <c r="D4405" t="inlineStr">
        <is>
          <t>GÄVLEBORGS LÄN</t>
        </is>
      </c>
      <c r="E4405" t="inlineStr">
        <is>
          <t>OVANÅKER</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66418-2021</t>
        </is>
      </c>
      <c r="B4406" s="1" t="n">
        <v>44518</v>
      </c>
      <c r="C4406" s="1" t="n">
        <v>45344</v>
      </c>
      <c r="D4406" t="inlineStr">
        <is>
          <t>GÄVLEBORGS LÄN</t>
        </is>
      </c>
      <c r="E4406" t="inlineStr">
        <is>
          <t>HUDIKSVALL</t>
        </is>
      </c>
      <c r="F4406" t="inlineStr">
        <is>
          <t>Holmen skog AB</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66494-2021</t>
        </is>
      </c>
      <c r="B4407" s="1" t="n">
        <v>44519</v>
      </c>
      <c r="C4407" s="1" t="n">
        <v>45344</v>
      </c>
      <c r="D4407" t="inlineStr">
        <is>
          <t>GÄVLEBORGS LÄN</t>
        </is>
      </c>
      <c r="E4407" t="inlineStr">
        <is>
          <t>GÄVLE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66590-2021</t>
        </is>
      </c>
      <c r="B4408" s="1" t="n">
        <v>44519</v>
      </c>
      <c r="C4408" s="1" t="n">
        <v>45344</v>
      </c>
      <c r="D4408" t="inlineStr">
        <is>
          <t>GÄVLEBORGS LÄN</t>
        </is>
      </c>
      <c r="E4408" t="inlineStr">
        <is>
          <t>SANDVIKEN</t>
        </is>
      </c>
      <c r="G4408" t="n">
        <v>7.2</v>
      </c>
      <c r="H4408" t="n">
        <v>0</v>
      </c>
      <c r="I4408" t="n">
        <v>0</v>
      </c>
      <c r="J4408" t="n">
        <v>0</v>
      </c>
      <c r="K4408" t="n">
        <v>0</v>
      </c>
      <c r="L4408" t="n">
        <v>0</v>
      </c>
      <c r="M4408" t="n">
        <v>0</v>
      </c>
      <c r="N4408" t="n">
        <v>0</v>
      </c>
      <c r="O4408" t="n">
        <v>0</v>
      </c>
      <c r="P4408" t="n">
        <v>0</v>
      </c>
      <c r="Q4408" t="n">
        <v>0</v>
      </c>
      <c r="R4408" s="2" t="inlineStr"/>
    </row>
    <row r="4409" ht="15" customHeight="1">
      <c r="A4409" t="inlineStr">
        <is>
          <t>A 66493-2021</t>
        </is>
      </c>
      <c r="B4409" s="1" t="n">
        <v>44519</v>
      </c>
      <c r="C4409" s="1" t="n">
        <v>45344</v>
      </c>
      <c r="D4409" t="inlineStr">
        <is>
          <t>GÄVLEBORGS LÄN</t>
        </is>
      </c>
      <c r="E4409" t="inlineStr">
        <is>
          <t>GÄVLE</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66491-2021</t>
        </is>
      </c>
      <c r="B4410" s="1" t="n">
        <v>44519</v>
      </c>
      <c r="C4410" s="1" t="n">
        <v>45344</v>
      </c>
      <c r="D4410" t="inlineStr">
        <is>
          <t>GÄVLEBORGS LÄN</t>
        </is>
      </c>
      <c r="E4410" t="inlineStr">
        <is>
          <t>GÄVLE</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66718-2021</t>
        </is>
      </c>
      <c r="B4411" s="1" t="n">
        <v>44519</v>
      </c>
      <c r="C4411" s="1" t="n">
        <v>45344</v>
      </c>
      <c r="D4411" t="inlineStr">
        <is>
          <t>GÄVLEBORGS LÄN</t>
        </is>
      </c>
      <c r="E4411" t="inlineStr">
        <is>
          <t>OCKELBO</t>
        </is>
      </c>
      <c r="F4411" t="inlineStr">
        <is>
          <t>Bergvik skog väst AB</t>
        </is>
      </c>
      <c r="G4411" t="n">
        <v>4.6</v>
      </c>
      <c r="H4411" t="n">
        <v>0</v>
      </c>
      <c r="I4411" t="n">
        <v>0</v>
      </c>
      <c r="J4411" t="n">
        <v>0</v>
      </c>
      <c r="K4411" t="n">
        <v>0</v>
      </c>
      <c r="L4411" t="n">
        <v>0</v>
      </c>
      <c r="M4411" t="n">
        <v>0</v>
      </c>
      <c r="N4411" t="n">
        <v>0</v>
      </c>
      <c r="O4411" t="n">
        <v>0</v>
      </c>
      <c r="P4411" t="n">
        <v>0</v>
      </c>
      <c r="Q4411" t="n">
        <v>0</v>
      </c>
      <c r="R4411" s="2" t="inlineStr"/>
    </row>
    <row r="4412" ht="15" customHeight="1">
      <c r="A4412" t="inlineStr">
        <is>
          <t>A 66758-2021</t>
        </is>
      </c>
      <c r="B4412" s="1" t="n">
        <v>44521</v>
      </c>
      <c r="C4412" s="1" t="n">
        <v>45344</v>
      </c>
      <c r="D4412" t="inlineStr">
        <is>
          <t>GÄVLEBORGS LÄN</t>
        </is>
      </c>
      <c r="E4412" t="inlineStr">
        <is>
          <t>HUDIKSVALL</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66814-2021</t>
        </is>
      </c>
      <c r="B4413" s="1" t="n">
        <v>44522</v>
      </c>
      <c r="C4413" s="1" t="n">
        <v>45344</v>
      </c>
      <c r="D4413" t="inlineStr">
        <is>
          <t>GÄVLEBORGS LÄN</t>
        </is>
      </c>
      <c r="E4413" t="inlineStr">
        <is>
          <t>NORDANSTIG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66825-2021</t>
        </is>
      </c>
      <c r="B4414" s="1" t="n">
        <v>44522</v>
      </c>
      <c r="C4414" s="1" t="n">
        <v>45344</v>
      </c>
      <c r="D4414" t="inlineStr">
        <is>
          <t>GÄVLEBORGS LÄN</t>
        </is>
      </c>
      <c r="E4414" t="inlineStr">
        <is>
          <t>OCKELBO</t>
        </is>
      </c>
      <c r="F4414" t="inlineStr">
        <is>
          <t>Bergvik skog väst AB</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66986-2021</t>
        </is>
      </c>
      <c r="B4415" s="1" t="n">
        <v>44522</v>
      </c>
      <c r="C4415" s="1" t="n">
        <v>45344</v>
      </c>
      <c r="D4415" t="inlineStr">
        <is>
          <t>GÄVLEBORGS LÄN</t>
        </is>
      </c>
      <c r="E4415" t="inlineStr">
        <is>
          <t>BOLLNÄS</t>
        </is>
      </c>
      <c r="F4415" t="inlineStr">
        <is>
          <t>Kommuner</t>
        </is>
      </c>
      <c r="G4415" t="n">
        <v>2.5</v>
      </c>
      <c r="H4415" t="n">
        <v>0</v>
      </c>
      <c r="I4415" t="n">
        <v>0</v>
      </c>
      <c r="J4415" t="n">
        <v>0</v>
      </c>
      <c r="K4415" t="n">
        <v>0</v>
      </c>
      <c r="L4415" t="n">
        <v>0</v>
      </c>
      <c r="M4415" t="n">
        <v>0</v>
      </c>
      <c r="N4415" t="n">
        <v>0</v>
      </c>
      <c r="O4415" t="n">
        <v>0</v>
      </c>
      <c r="P4415" t="n">
        <v>0</v>
      </c>
      <c r="Q4415" t="n">
        <v>0</v>
      </c>
      <c r="R4415" s="2" t="inlineStr"/>
    </row>
    <row r="4416" ht="15" customHeight="1">
      <c r="A4416" t="inlineStr">
        <is>
          <t>A 67049-2021</t>
        </is>
      </c>
      <c r="B4416" s="1" t="n">
        <v>44522</v>
      </c>
      <c r="C4416" s="1" t="n">
        <v>45344</v>
      </c>
      <c r="D4416" t="inlineStr">
        <is>
          <t>GÄVLEBORGS LÄN</t>
        </is>
      </c>
      <c r="E4416" t="inlineStr">
        <is>
          <t>HUDIKSVALL</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67082-2021</t>
        </is>
      </c>
      <c r="B4417" s="1" t="n">
        <v>44522</v>
      </c>
      <c r="C4417" s="1" t="n">
        <v>45344</v>
      </c>
      <c r="D4417" t="inlineStr">
        <is>
          <t>GÄVLEBORGS LÄN</t>
        </is>
      </c>
      <c r="E4417" t="inlineStr">
        <is>
          <t>HUDIKSVALL</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67043-2021</t>
        </is>
      </c>
      <c r="B4418" s="1" t="n">
        <v>44522</v>
      </c>
      <c r="C4418" s="1" t="n">
        <v>45344</v>
      </c>
      <c r="D4418" t="inlineStr">
        <is>
          <t>GÄVLEBORGS LÄN</t>
        </is>
      </c>
      <c r="E4418" t="inlineStr">
        <is>
          <t>HUDIKSVALL</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67088-2021</t>
        </is>
      </c>
      <c r="B4419" s="1" t="n">
        <v>44522</v>
      </c>
      <c r="C4419" s="1" t="n">
        <v>45344</v>
      </c>
      <c r="D4419" t="inlineStr">
        <is>
          <t>GÄVLEBORGS LÄN</t>
        </is>
      </c>
      <c r="E4419" t="inlineStr">
        <is>
          <t>HUDIKSVALL</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67180-2021</t>
        </is>
      </c>
      <c r="B4420" s="1" t="n">
        <v>44523</v>
      </c>
      <c r="C4420" s="1" t="n">
        <v>45344</v>
      </c>
      <c r="D4420" t="inlineStr">
        <is>
          <t>GÄVLEBORGS LÄN</t>
        </is>
      </c>
      <c r="E4420" t="inlineStr">
        <is>
          <t>SANDVIKEN</t>
        </is>
      </c>
      <c r="G4420" t="n">
        <v>3.9</v>
      </c>
      <c r="H4420" t="n">
        <v>0</v>
      </c>
      <c r="I4420" t="n">
        <v>0</v>
      </c>
      <c r="J4420" t="n">
        <v>0</v>
      </c>
      <c r="K4420" t="n">
        <v>0</v>
      </c>
      <c r="L4420" t="n">
        <v>0</v>
      </c>
      <c r="M4420" t="n">
        <v>0</v>
      </c>
      <c r="N4420" t="n">
        <v>0</v>
      </c>
      <c r="O4420" t="n">
        <v>0</v>
      </c>
      <c r="P4420" t="n">
        <v>0</v>
      </c>
      <c r="Q4420" t="n">
        <v>0</v>
      </c>
      <c r="R4420" s="2" t="inlineStr"/>
    </row>
    <row r="4421" ht="15" customHeight="1">
      <c r="A4421" t="inlineStr">
        <is>
          <t>A 67188-2021</t>
        </is>
      </c>
      <c r="B4421" s="1" t="n">
        <v>44523</v>
      </c>
      <c r="C4421" s="1" t="n">
        <v>45344</v>
      </c>
      <c r="D4421" t="inlineStr">
        <is>
          <t>GÄVLEBORGS LÄN</t>
        </is>
      </c>
      <c r="E4421" t="inlineStr">
        <is>
          <t>OVANÅKER</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67300-2021</t>
        </is>
      </c>
      <c r="B4422" s="1" t="n">
        <v>44523</v>
      </c>
      <c r="C4422" s="1" t="n">
        <v>45344</v>
      </c>
      <c r="D4422" t="inlineStr">
        <is>
          <t>GÄVLEBORGS LÄN</t>
        </is>
      </c>
      <c r="E4422" t="inlineStr">
        <is>
          <t>SÖDERHAMN</t>
        </is>
      </c>
      <c r="G4422" t="n">
        <v>9.5</v>
      </c>
      <c r="H4422" t="n">
        <v>0</v>
      </c>
      <c r="I4422" t="n">
        <v>0</v>
      </c>
      <c r="J4422" t="n">
        <v>0</v>
      </c>
      <c r="K4422" t="n">
        <v>0</v>
      </c>
      <c r="L4422" t="n">
        <v>0</v>
      </c>
      <c r="M4422" t="n">
        <v>0</v>
      </c>
      <c r="N4422" t="n">
        <v>0</v>
      </c>
      <c r="O4422" t="n">
        <v>0</v>
      </c>
      <c r="P4422" t="n">
        <v>0</v>
      </c>
      <c r="Q4422" t="n">
        <v>0</v>
      </c>
      <c r="R4422" s="2" t="inlineStr"/>
    </row>
    <row r="4423" ht="15" customHeight="1">
      <c r="A4423" t="inlineStr">
        <is>
          <t>A 67307-2021</t>
        </is>
      </c>
      <c r="B4423" s="1" t="n">
        <v>44523</v>
      </c>
      <c r="C4423" s="1" t="n">
        <v>45344</v>
      </c>
      <c r="D4423" t="inlineStr">
        <is>
          <t>GÄVLEBORGS LÄN</t>
        </is>
      </c>
      <c r="E4423" t="inlineStr">
        <is>
          <t>HUDIKSVALL</t>
        </is>
      </c>
      <c r="F4423" t="inlineStr">
        <is>
          <t>Naturvårdsverket</t>
        </is>
      </c>
      <c r="G4423" t="n">
        <v>3.7</v>
      </c>
      <c r="H4423" t="n">
        <v>0</v>
      </c>
      <c r="I4423" t="n">
        <v>0</v>
      </c>
      <c r="J4423" t="n">
        <v>0</v>
      </c>
      <c r="K4423" t="n">
        <v>0</v>
      </c>
      <c r="L4423" t="n">
        <v>0</v>
      </c>
      <c r="M4423" t="n">
        <v>0</v>
      </c>
      <c r="N4423" t="n">
        <v>0</v>
      </c>
      <c r="O4423" t="n">
        <v>0</v>
      </c>
      <c r="P4423" t="n">
        <v>0</v>
      </c>
      <c r="Q4423" t="n">
        <v>0</v>
      </c>
      <c r="R4423" s="2" t="inlineStr"/>
    </row>
    <row r="4424" ht="15" customHeight="1">
      <c r="A4424" t="inlineStr">
        <is>
          <t>A 67315-2021</t>
        </is>
      </c>
      <c r="B4424" s="1" t="n">
        <v>44523</v>
      </c>
      <c r="C4424" s="1" t="n">
        <v>45344</v>
      </c>
      <c r="D4424" t="inlineStr">
        <is>
          <t>GÄVLEBORGS LÄN</t>
        </is>
      </c>
      <c r="E4424" t="inlineStr">
        <is>
          <t>OVANÅKER</t>
        </is>
      </c>
      <c r="F4424" t="inlineStr">
        <is>
          <t>Bergvik skog väst AB</t>
        </is>
      </c>
      <c r="G4424" t="n">
        <v>5.4</v>
      </c>
      <c r="H4424" t="n">
        <v>0</v>
      </c>
      <c r="I4424" t="n">
        <v>0</v>
      </c>
      <c r="J4424" t="n">
        <v>0</v>
      </c>
      <c r="K4424" t="n">
        <v>0</v>
      </c>
      <c r="L4424" t="n">
        <v>0</v>
      </c>
      <c r="M4424" t="n">
        <v>0</v>
      </c>
      <c r="N4424" t="n">
        <v>0</v>
      </c>
      <c r="O4424" t="n">
        <v>0</v>
      </c>
      <c r="P4424" t="n">
        <v>0</v>
      </c>
      <c r="Q4424" t="n">
        <v>0</v>
      </c>
      <c r="R4424" s="2" t="inlineStr"/>
    </row>
    <row r="4425" ht="15" customHeight="1">
      <c r="A4425" t="inlineStr">
        <is>
          <t>A 67327-2021</t>
        </is>
      </c>
      <c r="B4425" s="1" t="n">
        <v>44523</v>
      </c>
      <c r="C4425" s="1" t="n">
        <v>45344</v>
      </c>
      <c r="D4425" t="inlineStr">
        <is>
          <t>GÄVLEBORGS LÄN</t>
        </is>
      </c>
      <c r="E4425" t="inlineStr">
        <is>
          <t>LJUSDAL</t>
        </is>
      </c>
      <c r="F4425" t="inlineStr">
        <is>
          <t>Holmen skog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67334-2021</t>
        </is>
      </c>
      <c r="B4426" s="1" t="n">
        <v>44523</v>
      </c>
      <c r="C4426" s="1" t="n">
        <v>45344</v>
      </c>
      <c r="D4426" t="inlineStr">
        <is>
          <t>GÄVLEBORGS LÄN</t>
        </is>
      </c>
      <c r="E4426" t="inlineStr">
        <is>
          <t>GÄVLE</t>
        </is>
      </c>
      <c r="G4426" t="n">
        <v>3.3</v>
      </c>
      <c r="H4426" t="n">
        <v>0</v>
      </c>
      <c r="I4426" t="n">
        <v>0</v>
      </c>
      <c r="J4426" t="n">
        <v>0</v>
      </c>
      <c r="K4426" t="n">
        <v>0</v>
      </c>
      <c r="L4426" t="n">
        <v>0</v>
      </c>
      <c r="M4426" t="n">
        <v>0</v>
      </c>
      <c r="N4426" t="n">
        <v>0</v>
      </c>
      <c r="O4426" t="n">
        <v>0</v>
      </c>
      <c r="P4426" t="n">
        <v>0</v>
      </c>
      <c r="Q4426" t="n">
        <v>0</v>
      </c>
      <c r="R4426" s="2" t="inlineStr"/>
    </row>
    <row r="4427" ht="15" customHeight="1">
      <c r="A4427" t="inlineStr">
        <is>
          <t>A 67380-2021</t>
        </is>
      </c>
      <c r="B4427" s="1" t="n">
        <v>44523</v>
      </c>
      <c r="C4427" s="1" t="n">
        <v>45344</v>
      </c>
      <c r="D4427" t="inlineStr">
        <is>
          <t>GÄVLEBORGS LÄN</t>
        </is>
      </c>
      <c r="E4427" t="inlineStr">
        <is>
          <t>LJUSDAL</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67527-2021</t>
        </is>
      </c>
      <c r="B4428" s="1" t="n">
        <v>44524</v>
      </c>
      <c r="C4428" s="1" t="n">
        <v>45344</v>
      </c>
      <c r="D4428" t="inlineStr">
        <is>
          <t>GÄVLEBORGS LÄN</t>
        </is>
      </c>
      <c r="E4428" t="inlineStr">
        <is>
          <t>BOLLNÄS</t>
        </is>
      </c>
      <c r="F4428" t="inlineStr">
        <is>
          <t>Övriga statliga verk och myndigheter</t>
        </is>
      </c>
      <c r="G4428" t="n">
        <v>3.1</v>
      </c>
      <c r="H4428" t="n">
        <v>0</v>
      </c>
      <c r="I4428" t="n">
        <v>0</v>
      </c>
      <c r="J4428" t="n">
        <v>0</v>
      </c>
      <c r="K4428" t="n">
        <v>0</v>
      </c>
      <c r="L4428" t="n">
        <v>0</v>
      </c>
      <c r="M4428" t="n">
        <v>0</v>
      </c>
      <c r="N4428" t="n">
        <v>0</v>
      </c>
      <c r="O4428" t="n">
        <v>0</v>
      </c>
      <c r="P4428" t="n">
        <v>0</v>
      </c>
      <c r="Q4428" t="n">
        <v>0</v>
      </c>
      <c r="R4428" s="2" t="inlineStr"/>
    </row>
    <row r="4429" ht="15" customHeight="1">
      <c r="A4429" t="inlineStr">
        <is>
          <t>A 67558-2021</t>
        </is>
      </c>
      <c r="B4429" s="1" t="n">
        <v>44524</v>
      </c>
      <c r="C4429" s="1" t="n">
        <v>45344</v>
      </c>
      <c r="D4429" t="inlineStr">
        <is>
          <t>GÄVLEBORGS LÄN</t>
        </is>
      </c>
      <c r="E4429" t="inlineStr">
        <is>
          <t>HUDIKSVALL</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67547-2021</t>
        </is>
      </c>
      <c r="B4430" s="1" t="n">
        <v>44524</v>
      </c>
      <c r="C4430" s="1" t="n">
        <v>45344</v>
      </c>
      <c r="D4430" t="inlineStr">
        <is>
          <t>GÄVLEBORGS LÄN</t>
        </is>
      </c>
      <c r="E4430" t="inlineStr">
        <is>
          <t>BOLLNÄS</t>
        </is>
      </c>
      <c r="F4430" t="inlineStr">
        <is>
          <t>Övriga statliga verk och myndigheter</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67573-2021</t>
        </is>
      </c>
      <c r="B4431" s="1" t="n">
        <v>44524</v>
      </c>
      <c r="C4431" s="1" t="n">
        <v>45344</v>
      </c>
      <c r="D4431" t="inlineStr">
        <is>
          <t>GÄVLEBORGS LÄN</t>
        </is>
      </c>
      <c r="E4431" t="inlineStr">
        <is>
          <t>SANDVIKEN</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67634-2021</t>
        </is>
      </c>
      <c r="B4432" s="1" t="n">
        <v>44524</v>
      </c>
      <c r="C4432" s="1" t="n">
        <v>45344</v>
      </c>
      <c r="D4432" t="inlineStr">
        <is>
          <t>GÄVLEBORGS LÄN</t>
        </is>
      </c>
      <c r="E4432" t="inlineStr">
        <is>
          <t>SÖDERHAMN</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67716-2021</t>
        </is>
      </c>
      <c r="B4433" s="1" t="n">
        <v>44525</v>
      </c>
      <c r="C4433" s="1" t="n">
        <v>45344</v>
      </c>
      <c r="D4433" t="inlineStr">
        <is>
          <t>GÄVLEBORGS LÄN</t>
        </is>
      </c>
      <c r="E4433" t="inlineStr">
        <is>
          <t>NORDANSTIG</t>
        </is>
      </c>
      <c r="F4433" t="inlineStr">
        <is>
          <t>Holmen skog AB</t>
        </is>
      </c>
      <c r="G4433" t="n">
        <v>7.4</v>
      </c>
      <c r="H4433" t="n">
        <v>0</v>
      </c>
      <c r="I4433" t="n">
        <v>0</v>
      </c>
      <c r="J4433" t="n">
        <v>0</v>
      </c>
      <c r="K4433" t="n">
        <v>0</v>
      </c>
      <c r="L4433" t="n">
        <v>0</v>
      </c>
      <c r="M4433" t="n">
        <v>0</v>
      </c>
      <c r="N4433" t="n">
        <v>0</v>
      </c>
      <c r="O4433" t="n">
        <v>0</v>
      </c>
      <c r="P4433" t="n">
        <v>0</v>
      </c>
      <c r="Q4433" t="n">
        <v>0</v>
      </c>
      <c r="R4433" s="2" t="inlineStr"/>
    </row>
    <row r="4434" ht="15" customHeight="1">
      <c r="A4434" t="inlineStr">
        <is>
          <t>A 67768-2021</t>
        </is>
      </c>
      <c r="B4434" s="1" t="n">
        <v>44525</v>
      </c>
      <c r="C4434" s="1" t="n">
        <v>45344</v>
      </c>
      <c r="D4434" t="inlineStr">
        <is>
          <t>GÄVLEBORGS LÄN</t>
        </is>
      </c>
      <c r="E4434" t="inlineStr">
        <is>
          <t>OCKELBO</t>
        </is>
      </c>
      <c r="F4434" t="inlineStr">
        <is>
          <t>Bergvik skog väst AB</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67781-2021</t>
        </is>
      </c>
      <c r="B4435" s="1" t="n">
        <v>44525</v>
      </c>
      <c r="C4435" s="1" t="n">
        <v>45344</v>
      </c>
      <c r="D4435" t="inlineStr">
        <is>
          <t>GÄVLEBORGS LÄN</t>
        </is>
      </c>
      <c r="E4435" t="inlineStr">
        <is>
          <t>LJUSDAL</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67757-2021</t>
        </is>
      </c>
      <c r="B4436" s="1" t="n">
        <v>44525</v>
      </c>
      <c r="C4436" s="1" t="n">
        <v>45344</v>
      </c>
      <c r="D4436" t="inlineStr">
        <is>
          <t>GÄVLEBORGS LÄN</t>
        </is>
      </c>
      <c r="E4436" t="inlineStr">
        <is>
          <t>SANDVIKEN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67776-2021</t>
        </is>
      </c>
      <c r="B4437" s="1" t="n">
        <v>44525</v>
      </c>
      <c r="C4437" s="1" t="n">
        <v>45344</v>
      </c>
      <c r="D4437" t="inlineStr">
        <is>
          <t>GÄVLEBORGS LÄN</t>
        </is>
      </c>
      <c r="E4437" t="inlineStr">
        <is>
          <t>LJUSDAL</t>
        </is>
      </c>
      <c r="F4437" t="inlineStr">
        <is>
          <t>Holmen skog AB</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67854-2021</t>
        </is>
      </c>
      <c r="B4438" s="1" t="n">
        <v>44525</v>
      </c>
      <c r="C4438" s="1" t="n">
        <v>45344</v>
      </c>
      <c r="D4438" t="inlineStr">
        <is>
          <t>GÄVLEBORGS LÄN</t>
        </is>
      </c>
      <c r="E4438" t="inlineStr">
        <is>
          <t>LJUSDAL</t>
        </is>
      </c>
      <c r="F4438" t="inlineStr">
        <is>
          <t>Bergvik skog väst AB</t>
        </is>
      </c>
      <c r="G4438" t="n">
        <v>10.1</v>
      </c>
      <c r="H4438" t="n">
        <v>0</v>
      </c>
      <c r="I4438" t="n">
        <v>0</v>
      </c>
      <c r="J4438" t="n">
        <v>0</v>
      </c>
      <c r="K4438" t="n">
        <v>0</v>
      </c>
      <c r="L4438" t="n">
        <v>0</v>
      </c>
      <c r="M4438" t="n">
        <v>0</v>
      </c>
      <c r="N4438" t="n">
        <v>0</v>
      </c>
      <c r="O4438" t="n">
        <v>0</v>
      </c>
      <c r="P4438" t="n">
        <v>0</v>
      </c>
      <c r="Q4438" t="n">
        <v>0</v>
      </c>
      <c r="R4438" s="2" t="inlineStr"/>
    </row>
    <row r="4439" ht="15" customHeight="1">
      <c r="A4439" t="inlineStr">
        <is>
          <t>A 67794-2021</t>
        </is>
      </c>
      <c r="B4439" s="1" t="n">
        <v>44525</v>
      </c>
      <c r="C4439" s="1" t="n">
        <v>45344</v>
      </c>
      <c r="D4439" t="inlineStr">
        <is>
          <t>GÄVLEBORGS LÄN</t>
        </is>
      </c>
      <c r="E4439" t="inlineStr">
        <is>
          <t>LJUSDAL</t>
        </is>
      </c>
      <c r="F4439" t="inlineStr">
        <is>
          <t>Allmännings- och besparingsskogar</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67879-2021</t>
        </is>
      </c>
      <c r="B4440" s="1" t="n">
        <v>44525</v>
      </c>
      <c r="C4440" s="1" t="n">
        <v>45344</v>
      </c>
      <c r="D4440" t="inlineStr">
        <is>
          <t>GÄVLEBORGS LÄN</t>
        </is>
      </c>
      <c r="E4440" t="inlineStr">
        <is>
          <t>NORDANSTIG</t>
        </is>
      </c>
      <c r="F4440" t="inlineStr">
        <is>
          <t>Holmen skog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67923-2021</t>
        </is>
      </c>
      <c r="B4441" s="1" t="n">
        <v>44525</v>
      </c>
      <c r="C4441" s="1" t="n">
        <v>45344</v>
      </c>
      <c r="D4441" t="inlineStr">
        <is>
          <t>GÄVLEBORGS LÄN</t>
        </is>
      </c>
      <c r="E4441" t="inlineStr">
        <is>
          <t>LJUSDAL</t>
        </is>
      </c>
      <c r="G4441" t="n">
        <v>2.6</v>
      </c>
      <c r="H4441" t="n">
        <v>0</v>
      </c>
      <c r="I4441" t="n">
        <v>0</v>
      </c>
      <c r="J4441" t="n">
        <v>0</v>
      </c>
      <c r="K4441" t="n">
        <v>0</v>
      </c>
      <c r="L4441" t="n">
        <v>0</v>
      </c>
      <c r="M4441" t="n">
        <v>0</v>
      </c>
      <c r="N4441" t="n">
        <v>0</v>
      </c>
      <c r="O4441" t="n">
        <v>0</v>
      </c>
      <c r="P4441" t="n">
        <v>0</v>
      </c>
      <c r="Q4441" t="n">
        <v>0</v>
      </c>
      <c r="R4441" s="2" t="inlineStr"/>
    </row>
    <row r="4442" ht="15" customHeight="1">
      <c r="A4442" t="inlineStr">
        <is>
          <t>A 67931-2021</t>
        </is>
      </c>
      <c r="B4442" s="1" t="n">
        <v>44525</v>
      </c>
      <c r="C4442" s="1" t="n">
        <v>45344</v>
      </c>
      <c r="D4442" t="inlineStr">
        <is>
          <t>GÄVLEBORGS LÄN</t>
        </is>
      </c>
      <c r="E4442" t="inlineStr">
        <is>
          <t>NORDANSTIG</t>
        </is>
      </c>
      <c r="F4442" t="inlineStr">
        <is>
          <t>Holmen skog AB</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68154-2021</t>
        </is>
      </c>
      <c r="B4443" s="1" t="n">
        <v>44526</v>
      </c>
      <c r="C4443" s="1" t="n">
        <v>45344</v>
      </c>
      <c r="D4443" t="inlineStr">
        <is>
          <t>GÄVLEBORGS LÄN</t>
        </is>
      </c>
      <c r="E4443" t="inlineStr">
        <is>
          <t>HUDIKSVALL</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68242-2021</t>
        </is>
      </c>
      <c r="B4444" s="1" t="n">
        <v>44526</v>
      </c>
      <c r="C4444" s="1" t="n">
        <v>45344</v>
      </c>
      <c r="D4444" t="inlineStr">
        <is>
          <t>GÄVLEBORGS LÄN</t>
        </is>
      </c>
      <c r="E4444" t="inlineStr">
        <is>
          <t>BOLLNÄS</t>
        </is>
      </c>
      <c r="F4444" t="inlineStr">
        <is>
          <t>Holmen skog AB</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68516-2021</t>
        </is>
      </c>
      <c r="B4445" s="1" t="n">
        <v>44526</v>
      </c>
      <c r="C4445" s="1" t="n">
        <v>45344</v>
      </c>
      <c r="D4445" t="inlineStr">
        <is>
          <t>GÄVLEBORGS LÄN</t>
        </is>
      </c>
      <c r="E4445" t="inlineStr">
        <is>
          <t>BOLLNÄS</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68079-2021</t>
        </is>
      </c>
      <c r="B4446" s="1" t="n">
        <v>44526</v>
      </c>
      <c r="C4446" s="1" t="n">
        <v>45344</v>
      </c>
      <c r="D4446" t="inlineStr">
        <is>
          <t>GÄVLEBORGS LÄN</t>
        </is>
      </c>
      <c r="E4446" t="inlineStr">
        <is>
          <t>HOFORS</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68156-2021</t>
        </is>
      </c>
      <c r="B4447" s="1" t="n">
        <v>44526</v>
      </c>
      <c r="C4447" s="1" t="n">
        <v>45344</v>
      </c>
      <c r="D4447" t="inlineStr">
        <is>
          <t>GÄVLEBORGS LÄN</t>
        </is>
      </c>
      <c r="E4447" t="inlineStr">
        <is>
          <t>BOLLNÄS</t>
        </is>
      </c>
      <c r="F4447" t="inlineStr">
        <is>
          <t>Kyrkan</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68076-2021</t>
        </is>
      </c>
      <c r="B4448" s="1" t="n">
        <v>44526</v>
      </c>
      <c r="C4448" s="1" t="n">
        <v>45344</v>
      </c>
      <c r="D4448" t="inlineStr">
        <is>
          <t>GÄVLEBORGS LÄN</t>
        </is>
      </c>
      <c r="E4448" t="inlineStr">
        <is>
          <t>HOFORS</t>
        </is>
      </c>
      <c r="G4448" t="n">
        <v>4.2</v>
      </c>
      <c r="H4448" t="n">
        <v>0</v>
      </c>
      <c r="I4448" t="n">
        <v>0</v>
      </c>
      <c r="J4448" t="n">
        <v>0</v>
      </c>
      <c r="K4448" t="n">
        <v>0</v>
      </c>
      <c r="L4448" t="n">
        <v>0</v>
      </c>
      <c r="M4448" t="n">
        <v>0</v>
      </c>
      <c r="N4448" t="n">
        <v>0</v>
      </c>
      <c r="O4448" t="n">
        <v>0</v>
      </c>
      <c r="P4448" t="n">
        <v>0</v>
      </c>
      <c r="Q4448" t="n">
        <v>0</v>
      </c>
      <c r="R4448" s="2" t="inlineStr"/>
    </row>
    <row r="4449" ht="15" customHeight="1">
      <c r="A4449" t="inlineStr">
        <is>
          <t>A 68119-2021</t>
        </is>
      </c>
      <c r="B4449" s="1" t="n">
        <v>44526</v>
      </c>
      <c r="C4449" s="1" t="n">
        <v>45344</v>
      </c>
      <c r="D4449" t="inlineStr">
        <is>
          <t>GÄVLEBORGS LÄN</t>
        </is>
      </c>
      <c r="E4449" t="inlineStr">
        <is>
          <t>GÄVLE</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68078-2021</t>
        </is>
      </c>
      <c r="B4450" s="1" t="n">
        <v>44526</v>
      </c>
      <c r="C4450" s="1" t="n">
        <v>45344</v>
      </c>
      <c r="D4450" t="inlineStr">
        <is>
          <t>GÄVLEBORGS LÄN</t>
        </is>
      </c>
      <c r="E4450" t="inlineStr">
        <is>
          <t>HOFORS</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68112-2021</t>
        </is>
      </c>
      <c r="B4451" s="1" t="n">
        <v>44526</v>
      </c>
      <c r="C4451" s="1" t="n">
        <v>45344</v>
      </c>
      <c r="D4451" t="inlineStr">
        <is>
          <t>GÄVLEBORGS LÄN</t>
        </is>
      </c>
      <c r="E4451" t="inlineStr">
        <is>
          <t>BOLLNÄS</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68245-2021</t>
        </is>
      </c>
      <c r="B4452" s="1" t="n">
        <v>44526</v>
      </c>
      <c r="C4452" s="1" t="n">
        <v>45344</v>
      </c>
      <c r="D4452" t="inlineStr">
        <is>
          <t>GÄVLEBORGS LÄN</t>
        </is>
      </c>
      <c r="E4452" t="inlineStr">
        <is>
          <t>OVANÅKER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68342-2021</t>
        </is>
      </c>
      <c r="B4453" s="1" t="n">
        <v>44528</v>
      </c>
      <c r="C4453" s="1" t="n">
        <v>45344</v>
      </c>
      <c r="D4453" t="inlineStr">
        <is>
          <t>GÄVLEBORGS LÄN</t>
        </is>
      </c>
      <c r="E4453" t="inlineStr">
        <is>
          <t>HUDIKSVALL</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68541-2021</t>
        </is>
      </c>
      <c r="B4454" s="1" t="n">
        <v>44529</v>
      </c>
      <c r="C4454" s="1" t="n">
        <v>45344</v>
      </c>
      <c r="D4454" t="inlineStr">
        <is>
          <t>GÄVLEBORGS LÄN</t>
        </is>
      </c>
      <c r="E4454" t="inlineStr">
        <is>
          <t>OCKELBO</t>
        </is>
      </c>
      <c r="G4454" t="n">
        <v>3.4</v>
      </c>
      <c r="H4454" t="n">
        <v>0</v>
      </c>
      <c r="I4454" t="n">
        <v>0</v>
      </c>
      <c r="J4454" t="n">
        <v>0</v>
      </c>
      <c r="K4454" t="n">
        <v>0</v>
      </c>
      <c r="L4454" t="n">
        <v>0</v>
      </c>
      <c r="M4454" t="n">
        <v>0</v>
      </c>
      <c r="N4454" t="n">
        <v>0</v>
      </c>
      <c r="O4454" t="n">
        <v>0</v>
      </c>
      <c r="P4454" t="n">
        <v>0</v>
      </c>
      <c r="Q4454" t="n">
        <v>0</v>
      </c>
      <c r="R4454" s="2" t="inlineStr"/>
    </row>
    <row r="4455" ht="15" customHeight="1">
      <c r="A4455" t="inlineStr">
        <is>
          <t>A 68659-2021</t>
        </is>
      </c>
      <c r="B4455" s="1" t="n">
        <v>44529</v>
      </c>
      <c r="C4455" s="1" t="n">
        <v>45344</v>
      </c>
      <c r="D4455" t="inlineStr">
        <is>
          <t>GÄVLEBORGS LÄN</t>
        </is>
      </c>
      <c r="E4455" t="inlineStr">
        <is>
          <t>HUDIKSVALL</t>
        </is>
      </c>
      <c r="F4455" t="inlineStr">
        <is>
          <t>Holmen skog AB</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68396-2021</t>
        </is>
      </c>
      <c r="B4456" s="1" t="n">
        <v>44529</v>
      </c>
      <c r="C4456" s="1" t="n">
        <v>45344</v>
      </c>
      <c r="D4456" t="inlineStr">
        <is>
          <t>GÄVLEBORGS LÄN</t>
        </is>
      </c>
      <c r="E4456" t="inlineStr">
        <is>
          <t>NORDANSTIG</t>
        </is>
      </c>
      <c r="G4456" t="n">
        <v>4.5</v>
      </c>
      <c r="H4456" t="n">
        <v>0</v>
      </c>
      <c r="I4456" t="n">
        <v>0</v>
      </c>
      <c r="J4456" t="n">
        <v>0</v>
      </c>
      <c r="K4456" t="n">
        <v>0</v>
      </c>
      <c r="L4456" t="n">
        <v>0</v>
      </c>
      <c r="M4456" t="n">
        <v>0</v>
      </c>
      <c r="N4456" t="n">
        <v>0</v>
      </c>
      <c r="O4456" t="n">
        <v>0</v>
      </c>
      <c r="P4456" t="n">
        <v>0</v>
      </c>
      <c r="Q4456" t="n">
        <v>0</v>
      </c>
      <c r="R4456" s="2" t="inlineStr"/>
    </row>
    <row r="4457" ht="15" customHeight="1">
      <c r="A4457" t="inlineStr">
        <is>
          <t>A 68612-2021</t>
        </is>
      </c>
      <c r="B4457" s="1" t="n">
        <v>44529</v>
      </c>
      <c r="C4457" s="1" t="n">
        <v>45344</v>
      </c>
      <c r="D4457" t="inlineStr">
        <is>
          <t>GÄVLEBORGS LÄN</t>
        </is>
      </c>
      <c r="E4457" t="inlineStr">
        <is>
          <t>SÖDERHAMN</t>
        </is>
      </c>
      <c r="G4457" t="n">
        <v>2.1</v>
      </c>
      <c r="H4457" t="n">
        <v>0</v>
      </c>
      <c r="I4457" t="n">
        <v>0</v>
      </c>
      <c r="J4457" t="n">
        <v>0</v>
      </c>
      <c r="K4457" t="n">
        <v>0</v>
      </c>
      <c r="L4457" t="n">
        <v>0</v>
      </c>
      <c r="M4457" t="n">
        <v>0</v>
      </c>
      <c r="N4457" t="n">
        <v>0</v>
      </c>
      <c r="O4457" t="n">
        <v>0</v>
      </c>
      <c r="P4457" t="n">
        <v>0</v>
      </c>
      <c r="Q4457" t="n">
        <v>0</v>
      </c>
      <c r="R4457" s="2" t="inlineStr"/>
    </row>
    <row r="4458" ht="15" customHeight="1">
      <c r="A4458" t="inlineStr">
        <is>
          <t>A 68662-2021</t>
        </is>
      </c>
      <c r="B4458" s="1" t="n">
        <v>44529</v>
      </c>
      <c r="C4458" s="1" t="n">
        <v>45344</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68730-2021</t>
        </is>
      </c>
      <c r="B4459" s="1" t="n">
        <v>44529</v>
      </c>
      <c r="C4459" s="1" t="n">
        <v>45344</v>
      </c>
      <c r="D4459" t="inlineStr">
        <is>
          <t>GÄVLEBORGS LÄN</t>
        </is>
      </c>
      <c r="E4459" t="inlineStr">
        <is>
          <t>HUDIKSVALL</t>
        </is>
      </c>
      <c r="G4459" t="n">
        <v>4.4</v>
      </c>
      <c r="H4459" t="n">
        <v>0</v>
      </c>
      <c r="I4459" t="n">
        <v>0</v>
      </c>
      <c r="J4459" t="n">
        <v>0</v>
      </c>
      <c r="K4459" t="n">
        <v>0</v>
      </c>
      <c r="L4459" t="n">
        <v>0</v>
      </c>
      <c r="M4459" t="n">
        <v>0</v>
      </c>
      <c r="N4459" t="n">
        <v>0</v>
      </c>
      <c r="O4459" t="n">
        <v>0</v>
      </c>
      <c r="P4459" t="n">
        <v>0</v>
      </c>
      <c r="Q4459" t="n">
        <v>0</v>
      </c>
      <c r="R4459" s="2" t="inlineStr"/>
    </row>
    <row r="4460" ht="15" customHeight="1">
      <c r="A4460" t="inlineStr">
        <is>
          <t>A 69001-2021</t>
        </is>
      </c>
      <c r="B4460" s="1" t="n">
        <v>44530</v>
      </c>
      <c r="C4460" s="1" t="n">
        <v>45344</v>
      </c>
      <c r="D4460" t="inlineStr">
        <is>
          <t>GÄVLEBORGS LÄN</t>
        </is>
      </c>
      <c r="E4460" t="inlineStr">
        <is>
          <t>OVANÅKER</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69057-2021</t>
        </is>
      </c>
      <c r="B4461" s="1" t="n">
        <v>44530</v>
      </c>
      <c r="C4461" s="1" t="n">
        <v>45344</v>
      </c>
      <c r="D4461" t="inlineStr">
        <is>
          <t>GÄVLEBORGS LÄN</t>
        </is>
      </c>
      <c r="E4461" t="inlineStr">
        <is>
          <t>LJUSDAL</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69127-2021</t>
        </is>
      </c>
      <c r="B4462" s="1" t="n">
        <v>44530</v>
      </c>
      <c r="C4462" s="1" t="n">
        <v>45344</v>
      </c>
      <c r="D4462" t="inlineStr">
        <is>
          <t>GÄVLEBORGS LÄN</t>
        </is>
      </c>
      <c r="E4462" t="inlineStr">
        <is>
          <t>NORDANSTIG</t>
        </is>
      </c>
      <c r="G4462" t="n">
        <v>7.8</v>
      </c>
      <c r="H4462" t="n">
        <v>0</v>
      </c>
      <c r="I4462" t="n">
        <v>0</v>
      </c>
      <c r="J4462" t="n">
        <v>0</v>
      </c>
      <c r="K4462" t="n">
        <v>0</v>
      </c>
      <c r="L4462" t="n">
        <v>0</v>
      </c>
      <c r="M4462" t="n">
        <v>0</v>
      </c>
      <c r="N4462" t="n">
        <v>0</v>
      </c>
      <c r="O4462" t="n">
        <v>0</v>
      </c>
      <c r="P4462" t="n">
        <v>0</v>
      </c>
      <c r="Q4462" t="n">
        <v>0</v>
      </c>
      <c r="R4462" s="2" t="inlineStr"/>
    </row>
    <row r="4463" ht="15" customHeight="1">
      <c r="A4463" t="inlineStr">
        <is>
          <t>A 69007-2021</t>
        </is>
      </c>
      <c r="B4463" s="1" t="n">
        <v>44530</v>
      </c>
      <c r="C4463" s="1" t="n">
        <v>45344</v>
      </c>
      <c r="D4463" t="inlineStr">
        <is>
          <t>GÄVLEBORGS LÄN</t>
        </is>
      </c>
      <c r="E4463" t="inlineStr">
        <is>
          <t>OVANÅKER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69125-2021</t>
        </is>
      </c>
      <c r="B4464" s="1" t="n">
        <v>44530</v>
      </c>
      <c r="C4464" s="1" t="n">
        <v>45344</v>
      </c>
      <c r="D4464" t="inlineStr">
        <is>
          <t>GÄVLEBORGS LÄN</t>
        </is>
      </c>
      <c r="E4464" t="inlineStr">
        <is>
          <t>NORDANSTIG</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69184-2021</t>
        </is>
      </c>
      <c r="B4465" s="1" t="n">
        <v>44531</v>
      </c>
      <c r="C4465" s="1" t="n">
        <v>45344</v>
      </c>
      <c r="D4465" t="inlineStr">
        <is>
          <t>GÄVLEBORGS LÄN</t>
        </is>
      </c>
      <c r="E4465" t="inlineStr">
        <is>
          <t>BOLLNÄS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69378-2021</t>
        </is>
      </c>
      <c r="B4466" s="1" t="n">
        <v>44531</v>
      </c>
      <c r="C4466" s="1" t="n">
        <v>45344</v>
      </c>
      <c r="D4466" t="inlineStr">
        <is>
          <t>GÄVLEBORGS LÄN</t>
        </is>
      </c>
      <c r="E4466" t="inlineStr">
        <is>
          <t>BOLLNÄS</t>
        </is>
      </c>
      <c r="F4466" t="inlineStr">
        <is>
          <t>Bergvik skog väst AB</t>
        </is>
      </c>
      <c r="G4466" t="n">
        <v>5</v>
      </c>
      <c r="H4466" t="n">
        <v>0</v>
      </c>
      <c r="I4466" t="n">
        <v>0</v>
      </c>
      <c r="J4466" t="n">
        <v>0</v>
      </c>
      <c r="K4466" t="n">
        <v>0</v>
      </c>
      <c r="L4466" t="n">
        <v>0</v>
      </c>
      <c r="M4466" t="n">
        <v>0</v>
      </c>
      <c r="N4466" t="n">
        <v>0</v>
      </c>
      <c r="O4466" t="n">
        <v>0</v>
      </c>
      <c r="P4466" t="n">
        <v>0</v>
      </c>
      <c r="Q4466" t="n">
        <v>0</v>
      </c>
      <c r="R4466" s="2" t="inlineStr"/>
    </row>
    <row r="4467" ht="15" customHeight="1">
      <c r="A4467" t="inlineStr">
        <is>
          <t>A 69406-2021</t>
        </is>
      </c>
      <c r="B4467" s="1" t="n">
        <v>44531</v>
      </c>
      <c r="C4467" s="1" t="n">
        <v>45344</v>
      </c>
      <c r="D4467" t="inlineStr">
        <is>
          <t>GÄVLEBORGS LÄN</t>
        </is>
      </c>
      <c r="E4467" t="inlineStr">
        <is>
          <t>BOLLNÄS</t>
        </is>
      </c>
      <c r="F4467" t="inlineStr">
        <is>
          <t>Holmen skog AB</t>
        </is>
      </c>
      <c r="G4467" t="n">
        <v>2.2</v>
      </c>
      <c r="H4467" t="n">
        <v>0</v>
      </c>
      <c r="I4467" t="n">
        <v>0</v>
      </c>
      <c r="J4467" t="n">
        <v>0</v>
      </c>
      <c r="K4467" t="n">
        <v>0</v>
      </c>
      <c r="L4467" t="n">
        <v>0</v>
      </c>
      <c r="M4467" t="n">
        <v>0</v>
      </c>
      <c r="N4467" t="n">
        <v>0</v>
      </c>
      <c r="O4467" t="n">
        <v>0</v>
      </c>
      <c r="P4467" t="n">
        <v>0</v>
      </c>
      <c r="Q4467" t="n">
        <v>0</v>
      </c>
      <c r="R4467" s="2" t="inlineStr"/>
    </row>
    <row r="4468" ht="15" customHeight="1">
      <c r="A4468" t="inlineStr">
        <is>
          <t>A 69445-2021</t>
        </is>
      </c>
      <c r="B4468" s="1" t="n">
        <v>44531</v>
      </c>
      <c r="C4468" s="1" t="n">
        <v>45344</v>
      </c>
      <c r="D4468" t="inlineStr">
        <is>
          <t>GÄVLEBORGS LÄN</t>
        </is>
      </c>
      <c r="E4468" t="inlineStr">
        <is>
          <t>OVANÅKER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69521-2021</t>
        </is>
      </c>
      <c r="B4469" s="1" t="n">
        <v>44531</v>
      </c>
      <c r="C4469" s="1" t="n">
        <v>45344</v>
      </c>
      <c r="D4469" t="inlineStr">
        <is>
          <t>GÄVLEBORGS LÄN</t>
        </is>
      </c>
      <c r="E4469" t="inlineStr">
        <is>
          <t>SANDVIKEN</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69572-2021</t>
        </is>
      </c>
      <c r="B4470" s="1" t="n">
        <v>44532</v>
      </c>
      <c r="C4470" s="1" t="n">
        <v>45344</v>
      </c>
      <c r="D4470" t="inlineStr">
        <is>
          <t>GÄVLEBORGS LÄN</t>
        </is>
      </c>
      <c r="E4470" t="inlineStr">
        <is>
          <t>OCKELBO</t>
        </is>
      </c>
      <c r="F4470" t="inlineStr">
        <is>
          <t>Bergvik skog väst AB</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69580-2021</t>
        </is>
      </c>
      <c r="B4471" s="1" t="n">
        <v>44532</v>
      </c>
      <c r="C4471" s="1" t="n">
        <v>45344</v>
      </c>
      <c r="D4471" t="inlineStr">
        <is>
          <t>GÄVLEBORGS LÄN</t>
        </is>
      </c>
      <c r="E4471" t="inlineStr">
        <is>
          <t>OCKELBO</t>
        </is>
      </c>
      <c r="F4471" t="inlineStr">
        <is>
          <t>Bergvik skog väst AB</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69613-2021</t>
        </is>
      </c>
      <c r="B4472" s="1" t="n">
        <v>44532</v>
      </c>
      <c r="C4472" s="1" t="n">
        <v>45344</v>
      </c>
      <c r="D4472" t="inlineStr">
        <is>
          <t>GÄVLEBORGS LÄN</t>
        </is>
      </c>
      <c r="E4472" t="inlineStr">
        <is>
          <t>BOLLNÄS</t>
        </is>
      </c>
      <c r="F4472" t="inlineStr">
        <is>
          <t>Bergvik skog väst AB</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69620-2021</t>
        </is>
      </c>
      <c r="B4473" s="1" t="n">
        <v>44532</v>
      </c>
      <c r="C4473" s="1" t="n">
        <v>45344</v>
      </c>
      <c r="D4473" t="inlineStr">
        <is>
          <t>GÄVLEBORGS LÄN</t>
        </is>
      </c>
      <c r="E4473" t="inlineStr">
        <is>
          <t>BOLLNÄS</t>
        </is>
      </c>
      <c r="F4473" t="inlineStr">
        <is>
          <t>Bergvik skog väst AB</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69617-2021</t>
        </is>
      </c>
      <c r="B4474" s="1" t="n">
        <v>44532</v>
      </c>
      <c r="C4474" s="1" t="n">
        <v>45344</v>
      </c>
      <c r="D4474" t="inlineStr">
        <is>
          <t>GÄVLEBORGS LÄN</t>
        </is>
      </c>
      <c r="E4474" t="inlineStr">
        <is>
          <t>NORDANSTIG</t>
        </is>
      </c>
      <c r="F4474" t="inlineStr">
        <is>
          <t>Holmen skog AB</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69688-2021</t>
        </is>
      </c>
      <c r="B4475" s="1" t="n">
        <v>44532</v>
      </c>
      <c r="C4475" s="1" t="n">
        <v>45344</v>
      </c>
      <c r="D4475" t="inlineStr">
        <is>
          <t>GÄVLEBORGS LÄN</t>
        </is>
      </c>
      <c r="E4475" t="inlineStr">
        <is>
          <t>OVANÅKER</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69851-2021</t>
        </is>
      </c>
      <c r="B4476" s="1" t="n">
        <v>44532</v>
      </c>
      <c r="C4476" s="1" t="n">
        <v>45344</v>
      </c>
      <c r="D4476" t="inlineStr">
        <is>
          <t>GÄVLEBORGS LÄN</t>
        </is>
      </c>
      <c r="E4476" t="inlineStr">
        <is>
          <t>HUDIKSVALL</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69836-2021</t>
        </is>
      </c>
      <c r="B4477" s="1" t="n">
        <v>44532</v>
      </c>
      <c r="C4477" s="1" t="n">
        <v>45344</v>
      </c>
      <c r="D4477" t="inlineStr">
        <is>
          <t>GÄVLEBORGS LÄN</t>
        </is>
      </c>
      <c r="E4477" t="inlineStr">
        <is>
          <t>BOLLNÄS</t>
        </is>
      </c>
      <c r="F4477" t="inlineStr">
        <is>
          <t>Sveaskog</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69784-2021</t>
        </is>
      </c>
      <c r="B4478" s="1" t="n">
        <v>44532</v>
      </c>
      <c r="C4478" s="1" t="n">
        <v>45344</v>
      </c>
      <c r="D4478" t="inlineStr">
        <is>
          <t>GÄVLEBORGS LÄN</t>
        </is>
      </c>
      <c r="E4478" t="inlineStr">
        <is>
          <t>BOLLNÄS</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69833-2021</t>
        </is>
      </c>
      <c r="B4479" s="1" t="n">
        <v>44532</v>
      </c>
      <c r="C4479" s="1" t="n">
        <v>45344</v>
      </c>
      <c r="D4479" t="inlineStr">
        <is>
          <t>GÄVLEBORGS LÄN</t>
        </is>
      </c>
      <c r="E4479" t="inlineStr">
        <is>
          <t>OCKELBO</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69880-2021</t>
        </is>
      </c>
      <c r="B4480" s="1" t="n">
        <v>44532</v>
      </c>
      <c r="C4480" s="1" t="n">
        <v>45344</v>
      </c>
      <c r="D4480" t="inlineStr">
        <is>
          <t>GÄVLEBORGS LÄN</t>
        </is>
      </c>
      <c r="E4480" t="inlineStr">
        <is>
          <t>OCKELBO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69942-2021</t>
        </is>
      </c>
      <c r="B4481" s="1" t="n">
        <v>44533</v>
      </c>
      <c r="C4481" s="1" t="n">
        <v>45344</v>
      </c>
      <c r="D4481" t="inlineStr">
        <is>
          <t>GÄVLEBORGS LÄN</t>
        </is>
      </c>
      <c r="E4481" t="inlineStr">
        <is>
          <t>SÖDERHAMN</t>
        </is>
      </c>
      <c r="G4481" t="n">
        <v>3</v>
      </c>
      <c r="H4481" t="n">
        <v>0</v>
      </c>
      <c r="I4481" t="n">
        <v>0</v>
      </c>
      <c r="J4481" t="n">
        <v>0</v>
      </c>
      <c r="K4481" t="n">
        <v>0</v>
      </c>
      <c r="L4481" t="n">
        <v>0</v>
      </c>
      <c r="M4481" t="n">
        <v>0</v>
      </c>
      <c r="N4481" t="n">
        <v>0</v>
      </c>
      <c r="O4481" t="n">
        <v>0</v>
      </c>
      <c r="P4481" t="n">
        <v>0</v>
      </c>
      <c r="Q4481" t="n">
        <v>0</v>
      </c>
      <c r="R4481" s="2" t="inlineStr"/>
    </row>
    <row r="4482" ht="15" customHeight="1">
      <c r="A4482" t="inlineStr">
        <is>
          <t>A 70150-2021</t>
        </is>
      </c>
      <c r="B4482" s="1" t="n">
        <v>44533</v>
      </c>
      <c r="C4482" s="1" t="n">
        <v>45344</v>
      </c>
      <c r="D4482" t="inlineStr">
        <is>
          <t>GÄVLEBORGS LÄN</t>
        </is>
      </c>
      <c r="E4482" t="inlineStr">
        <is>
          <t>SANDVIKEN</t>
        </is>
      </c>
      <c r="F4482" t="inlineStr">
        <is>
          <t>Naturvårdsverket</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70096-2021</t>
        </is>
      </c>
      <c r="B4483" s="1" t="n">
        <v>44533</v>
      </c>
      <c r="C4483" s="1" t="n">
        <v>45344</v>
      </c>
      <c r="D4483" t="inlineStr">
        <is>
          <t>GÄVLEBORGS LÄN</t>
        </is>
      </c>
      <c r="E4483" t="inlineStr">
        <is>
          <t>BOLLNÄS</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70043-2021</t>
        </is>
      </c>
      <c r="B4484" s="1" t="n">
        <v>44533</v>
      </c>
      <c r="C4484" s="1" t="n">
        <v>45344</v>
      </c>
      <c r="D4484" t="inlineStr">
        <is>
          <t>GÄVLEBORGS LÄN</t>
        </is>
      </c>
      <c r="E4484" t="inlineStr">
        <is>
          <t>GÄVLE</t>
        </is>
      </c>
      <c r="F4484" t="inlineStr">
        <is>
          <t>Bergvik skog öst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70219-2021</t>
        </is>
      </c>
      <c r="B4485" s="1" t="n">
        <v>44535</v>
      </c>
      <c r="C4485" s="1" t="n">
        <v>45344</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70305-2021</t>
        </is>
      </c>
      <c r="B4486" s="1" t="n">
        <v>44536</v>
      </c>
      <c r="C4486" s="1" t="n">
        <v>45344</v>
      </c>
      <c r="D4486" t="inlineStr">
        <is>
          <t>GÄVLEBORGS LÄN</t>
        </is>
      </c>
      <c r="E4486" t="inlineStr">
        <is>
          <t>OVANÅKER</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70264-2021</t>
        </is>
      </c>
      <c r="B4487" s="1" t="n">
        <v>44536</v>
      </c>
      <c r="C4487" s="1" t="n">
        <v>45344</v>
      </c>
      <c r="D4487" t="inlineStr">
        <is>
          <t>GÄVLEBORGS LÄN</t>
        </is>
      </c>
      <c r="E4487" t="inlineStr">
        <is>
          <t>HUDIKSVALL</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70288-2021</t>
        </is>
      </c>
      <c r="B4488" s="1" t="n">
        <v>44536</v>
      </c>
      <c r="C4488" s="1" t="n">
        <v>45344</v>
      </c>
      <c r="D4488" t="inlineStr">
        <is>
          <t>GÄVLEBORGS LÄN</t>
        </is>
      </c>
      <c r="E4488" t="inlineStr">
        <is>
          <t>SANDVIKEN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70258-2021</t>
        </is>
      </c>
      <c r="B4489" s="1" t="n">
        <v>44536</v>
      </c>
      <c r="C4489" s="1" t="n">
        <v>45344</v>
      </c>
      <c r="D4489" t="inlineStr">
        <is>
          <t>GÄVLEBORGS LÄN</t>
        </is>
      </c>
      <c r="E4489" t="inlineStr">
        <is>
          <t>HUDIKSVALL</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70432-2021</t>
        </is>
      </c>
      <c r="B4490" s="1" t="n">
        <v>44536</v>
      </c>
      <c r="C4490" s="1" t="n">
        <v>45344</v>
      </c>
      <c r="D4490" t="inlineStr">
        <is>
          <t>GÄVLEBORGS LÄN</t>
        </is>
      </c>
      <c r="E4490" t="inlineStr">
        <is>
          <t>HUDIKSVALL</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70478-2021</t>
        </is>
      </c>
      <c r="B4491" s="1" t="n">
        <v>44536</v>
      </c>
      <c r="C4491" s="1" t="n">
        <v>45344</v>
      </c>
      <c r="D4491" t="inlineStr">
        <is>
          <t>GÄVLEBORGS LÄN</t>
        </is>
      </c>
      <c r="E4491" t="inlineStr">
        <is>
          <t>LJUSDAL</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70473-2021</t>
        </is>
      </c>
      <c r="B4492" s="1" t="n">
        <v>44536</v>
      </c>
      <c r="C4492" s="1" t="n">
        <v>45344</v>
      </c>
      <c r="D4492" t="inlineStr">
        <is>
          <t>GÄVLEBORGS LÄN</t>
        </is>
      </c>
      <c r="E4492" t="inlineStr">
        <is>
          <t>BOLLNÄS</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70454-2021</t>
        </is>
      </c>
      <c r="B4493" s="1" t="n">
        <v>44536</v>
      </c>
      <c r="C4493" s="1" t="n">
        <v>45344</v>
      </c>
      <c r="D4493" t="inlineStr">
        <is>
          <t>GÄVLEBORGS LÄN</t>
        </is>
      </c>
      <c r="E4493" t="inlineStr">
        <is>
          <t>HUDIKSVALL</t>
        </is>
      </c>
      <c r="G4493" t="n">
        <v>7.8</v>
      </c>
      <c r="H4493" t="n">
        <v>0</v>
      </c>
      <c r="I4493" t="n">
        <v>0</v>
      </c>
      <c r="J4493" t="n">
        <v>0</v>
      </c>
      <c r="K4493" t="n">
        <v>0</v>
      </c>
      <c r="L4493" t="n">
        <v>0</v>
      </c>
      <c r="M4493" t="n">
        <v>0</v>
      </c>
      <c r="N4493" t="n">
        <v>0</v>
      </c>
      <c r="O4493" t="n">
        <v>0</v>
      </c>
      <c r="P4493" t="n">
        <v>0</v>
      </c>
      <c r="Q4493" t="n">
        <v>0</v>
      </c>
      <c r="R4493" s="2" t="inlineStr"/>
    </row>
    <row r="4494" ht="15" customHeight="1">
      <c r="A4494" t="inlineStr">
        <is>
          <t>A 70573-2021</t>
        </is>
      </c>
      <c r="B4494" s="1" t="n">
        <v>44537</v>
      </c>
      <c r="C4494" s="1" t="n">
        <v>45344</v>
      </c>
      <c r="D4494" t="inlineStr">
        <is>
          <t>GÄVLEBORGS LÄN</t>
        </is>
      </c>
      <c r="E4494" t="inlineStr">
        <is>
          <t>OVANÅKER</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70972-2021</t>
        </is>
      </c>
      <c r="B4495" s="1" t="n">
        <v>44538</v>
      </c>
      <c r="C4495" s="1" t="n">
        <v>45344</v>
      </c>
      <c r="D4495" t="inlineStr">
        <is>
          <t>GÄVLEBORGS LÄN</t>
        </is>
      </c>
      <c r="E4495" t="inlineStr">
        <is>
          <t>OCKELBO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70914-2021</t>
        </is>
      </c>
      <c r="B4496" s="1" t="n">
        <v>44538</v>
      </c>
      <c r="C4496" s="1" t="n">
        <v>45344</v>
      </c>
      <c r="D4496" t="inlineStr">
        <is>
          <t>GÄVLEBORGS LÄN</t>
        </is>
      </c>
      <c r="E4496" t="inlineStr">
        <is>
          <t>BOLLNÄS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71070-2021</t>
        </is>
      </c>
      <c r="B4497" s="1" t="n">
        <v>44538</v>
      </c>
      <c r="C4497" s="1" t="n">
        <v>45344</v>
      </c>
      <c r="D4497" t="inlineStr">
        <is>
          <t>GÄVLEBORGS LÄN</t>
        </is>
      </c>
      <c r="E4497" t="inlineStr">
        <is>
          <t>LJUSDAL</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71068-2021</t>
        </is>
      </c>
      <c r="B4498" s="1" t="n">
        <v>44538</v>
      </c>
      <c r="C4498" s="1" t="n">
        <v>45344</v>
      </c>
      <c r="D4498" t="inlineStr">
        <is>
          <t>GÄVLEBORGS LÄN</t>
        </is>
      </c>
      <c r="E4498" t="inlineStr">
        <is>
          <t>LJUSDAL</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71057-2021</t>
        </is>
      </c>
      <c r="B4499" s="1" t="n">
        <v>44538</v>
      </c>
      <c r="C4499" s="1" t="n">
        <v>45344</v>
      </c>
      <c r="D4499" t="inlineStr">
        <is>
          <t>GÄVLEBORGS LÄN</t>
        </is>
      </c>
      <c r="E4499" t="inlineStr">
        <is>
          <t>GÄVLE</t>
        </is>
      </c>
      <c r="G4499" t="n">
        <v>4.2</v>
      </c>
      <c r="H4499" t="n">
        <v>0</v>
      </c>
      <c r="I4499" t="n">
        <v>0</v>
      </c>
      <c r="J4499" t="n">
        <v>0</v>
      </c>
      <c r="K4499" t="n">
        <v>0</v>
      </c>
      <c r="L4499" t="n">
        <v>0</v>
      </c>
      <c r="M4499" t="n">
        <v>0</v>
      </c>
      <c r="N4499" t="n">
        <v>0</v>
      </c>
      <c r="O4499" t="n">
        <v>0</v>
      </c>
      <c r="P4499" t="n">
        <v>0</v>
      </c>
      <c r="Q4499" t="n">
        <v>0</v>
      </c>
      <c r="R4499" s="2" t="inlineStr"/>
    </row>
    <row r="4500" ht="15" customHeight="1">
      <c r="A4500" t="inlineStr">
        <is>
          <t>A 71122-2021</t>
        </is>
      </c>
      <c r="B4500" s="1" t="n">
        <v>44539</v>
      </c>
      <c r="C4500" s="1" t="n">
        <v>45344</v>
      </c>
      <c r="D4500" t="inlineStr">
        <is>
          <t>GÄVLEBORGS LÄN</t>
        </is>
      </c>
      <c r="E4500" t="inlineStr">
        <is>
          <t>HUDIKSVALL</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71249-2021</t>
        </is>
      </c>
      <c r="B4501" s="1" t="n">
        <v>44539</v>
      </c>
      <c r="C4501" s="1" t="n">
        <v>45344</v>
      </c>
      <c r="D4501" t="inlineStr">
        <is>
          <t>GÄVLEBORGS LÄN</t>
        </is>
      </c>
      <c r="E4501" t="inlineStr">
        <is>
          <t>GÄVLE</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71215-2021</t>
        </is>
      </c>
      <c r="B4502" s="1" t="n">
        <v>44539</v>
      </c>
      <c r="C4502" s="1" t="n">
        <v>45344</v>
      </c>
      <c r="D4502" t="inlineStr">
        <is>
          <t>GÄVLEBORGS LÄN</t>
        </is>
      </c>
      <c r="E4502" t="inlineStr">
        <is>
          <t>GÄVLE</t>
        </is>
      </c>
      <c r="G4502" t="n">
        <v>2.9</v>
      </c>
      <c r="H4502" t="n">
        <v>0</v>
      </c>
      <c r="I4502" t="n">
        <v>0</v>
      </c>
      <c r="J4502" t="n">
        <v>0</v>
      </c>
      <c r="K4502" t="n">
        <v>0</v>
      </c>
      <c r="L4502" t="n">
        <v>0</v>
      </c>
      <c r="M4502" t="n">
        <v>0</v>
      </c>
      <c r="N4502" t="n">
        <v>0</v>
      </c>
      <c r="O4502" t="n">
        <v>0</v>
      </c>
      <c r="P4502" t="n">
        <v>0</v>
      </c>
      <c r="Q4502" t="n">
        <v>0</v>
      </c>
      <c r="R4502" s="2" t="inlineStr"/>
    </row>
    <row r="4503" ht="15" customHeight="1">
      <c r="A4503" t="inlineStr">
        <is>
          <t>A 71305-2021</t>
        </is>
      </c>
      <c r="B4503" s="1" t="n">
        <v>44539</v>
      </c>
      <c r="C4503" s="1" t="n">
        <v>45344</v>
      </c>
      <c r="D4503" t="inlineStr">
        <is>
          <t>GÄVLEBORGS LÄN</t>
        </is>
      </c>
      <c r="E4503" t="inlineStr">
        <is>
          <t>LJUSDAL</t>
        </is>
      </c>
      <c r="F4503" t="inlineStr">
        <is>
          <t>Kommuner</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71489-2021</t>
        </is>
      </c>
      <c r="B4504" s="1" t="n">
        <v>44540</v>
      </c>
      <c r="C4504" s="1" t="n">
        <v>45344</v>
      </c>
      <c r="D4504" t="inlineStr">
        <is>
          <t>GÄVLEBORGS LÄN</t>
        </is>
      </c>
      <c r="E4504" t="inlineStr">
        <is>
          <t>BOLLNÄS</t>
        </is>
      </c>
      <c r="F4504" t="inlineStr">
        <is>
          <t>Holmen skog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71408-2021</t>
        </is>
      </c>
      <c r="B4505" s="1" t="n">
        <v>44540</v>
      </c>
      <c r="C4505" s="1" t="n">
        <v>45344</v>
      </c>
      <c r="D4505" t="inlineStr">
        <is>
          <t>GÄVLEBORGS LÄN</t>
        </is>
      </c>
      <c r="E4505" t="inlineStr">
        <is>
          <t>HUDIKSVALL</t>
        </is>
      </c>
      <c r="F4505" t="inlineStr">
        <is>
          <t>Holmen skog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71415-2021</t>
        </is>
      </c>
      <c r="B4506" s="1" t="n">
        <v>44540</v>
      </c>
      <c r="C4506" s="1" t="n">
        <v>45344</v>
      </c>
      <c r="D4506" t="inlineStr">
        <is>
          <t>GÄVLEBORGS LÄN</t>
        </is>
      </c>
      <c r="E4506" t="inlineStr">
        <is>
          <t>NORDANSTIG</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71442-2021</t>
        </is>
      </c>
      <c r="B4507" s="1" t="n">
        <v>44540</v>
      </c>
      <c r="C4507" s="1" t="n">
        <v>45344</v>
      </c>
      <c r="D4507" t="inlineStr">
        <is>
          <t>GÄVLEBORGS LÄN</t>
        </is>
      </c>
      <c r="E4507" t="inlineStr">
        <is>
          <t>NORDANSTIG</t>
        </is>
      </c>
      <c r="F4507" t="inlineStr">
        <is>
          <t>Holmen skog AB</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71515-2021</t>
        </is>
      </c>
      <c r="B4508" s="1" t="n">
        <v>44540</v>
      </c>
      <c r="C4508" s="1" t="n">
        <v>45344</v>
      </c>
      <c r="D4508" t="inlineStr">
        <is>
          <t>GÄVLEBORGS LÄN</t>
        </is>
      </c>
      <c r="E4508" t="inlineStr">
        <is>
          <t>BOLLNÄS</t>
        </is>
      </c>
      <c r="F4508" t="inlineStr">
        <is>
          <t>Holmen skog AB</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71532-2021</t>
        </is>
      </c>
      <c r="B4509" s="1" t="n">
        <v>44540</v>
      </c>
      <c r="C4509" s="1" t="n">
        <v>45344</v>
      </c>
      <c r="D4509" t="inlineStr">
        <is>
          <t>GÄVLEBORGS LÄN</t>
        </is>
      </c>
      <c r="E4509" t="inlineStr">
        <is>
          <t>NORDANSTIG</t>
        </is>
      </c>
      <c r="F4509" t="inlineStr">
        <is>
          <t>Holmen skog AB</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71490-2021</t>
        </is>
      </c>
      <c r="B4510" s="1" t="n">
        <v>44540</v>
      </c>
      <c r="C4510" s="1" t="n">
        <v>45344</v>
      </c>
      <c r="D4510" t="inlineStr">
        <is>
          <t>GÄVLEBORGS LÄN</t>
        </is>
      </c>
      <c r="E4510" t="inlineStr">
        <is>
          <t>NORDANSTIG</t>
        </is>
      </c>
      <c r="F4510" t="inlineStr">
        <is>
          <t>Holmen skog AB</t>
        </is>
      </c>
      <c r="G4510" t="n">
        <v>5.9</v>
      </c>
      <c r="H4510" t="n">
        <v>0</v>
      </c>
      <c r="I4510" t="n">
        <v>0</v>
      </c>
      <c r="J4510" t="n">
        <v>0</v>
      </c>
      <c r="K4510" t="n">
        <v>0</v>
      </c>
      <c r="L4510" t="n">
        <v>0</v>
      </c>
      <c r="M4510" t="n">
        <v>0</v>
      </c>
      <c r="N4510" t="n">
        <v>0</v>
      </c>
      <c r="O4510" t="n">
        <v>0</v>
      </c>
      <c r="P4510" t="n">
        <v>0</v>
      </c>
      <c r="Q4510" t="n">
        <v>0</v>
      </c>
      <c r="R4510" s="2" t="inlineStr"/>
    </row>
    <row r="4511" ht="15" customHeight="1">
      <c r="A4511" t="inlineStr">
        <is>
          <t>A 71526-2021</t>
        </is>
      </c>
      <c r="B4511" s="1" t="n">
        <v>44540</v>
      </c>
      <c r="C4511" s="1" t="n">
        <v>45344</v>
      </c>
      <c r="D4511" t="inlineStr">
        <is>
          <t>GÄVLEBORGS LÄN</t>
        </is>
      </c>
      <c r="E4511" t="inlineStr">
        <is>
          <t>NORDANSTIG</t>
        </is>
      </c>
      <c r="F4511" t="inlineStr">
        <is>
          <t>Holmen skog AB</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71698-2021</t>
        </is>
      </c>
      <c r="B4512" s="1" t="n">
        <v>44543</v>
      </c>
      <c r="C4512" s="1" t="n">
        <v>45344</v>
      </c>
      <c r="D4512" t="inlineStr">
        <is>
          <t>GÄVLEBORGS LÄN</t>
        </is>
      </c>
      <c r="E4512" t="inlineStr">
        <is>
          <t>LJUSDAL</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71710-2021</t>
        </is>
      </c>
      <c r="B4513" s="1" t="n">
        <v>44543</v>
      </c>
      <c r="C4513" s="1" t="n">
        <v>45344</v>
      </c>
      <c r="D4513" t="inlineStr">
        <is>
          <t>GÄVLEBORGS LÄN</t>
        </is>
      </c>
      <c r="E4513" t="inlineStr">
        <is>
          <t>GÄVLE</t>
        </is>
      </c>
      <c r="G4513" t="n">
        <v>4.6</v>
      </c>
      <c r="H4513" t="n">
        <v>0</v>
      </c>
      <c r="I4513" t="n">
        <v>0</v>
      </c>
      <c r="J4513" t="n">
        <v>0</v>
      </c>
      <c r="K4513" t="n">
        <v>0</v>
      </c>
      <c r="L4513" t="n">
        <v>0</v>
      </c>
      <c r="M4513" t="n">
        <v>0</v>
      </c>
      <c r="N4513" t="n">
        <v>0</v>
      </c>
      <c r="O4513" t="n">
        <v>0</v>
      </c>
      <c r="P4513" t="n">
        <v>0</v>
      </c>
      <c r="Q4513" t="n">
        <v>0</v>
      </c>
      <c r="R4513" s="2" t="inlineStr"/>
    </row>
    <row r="4514" ht="15" customHeight="1">
      <c r="A4514" t="inlineStr">
        <is>
          <t>A 71645-2021</t>
        </is>
      </c>
      <c r="B4514" s="1" t="n">
        <v>44543</v>
      </c>
      <c r="C4514" s="1" t="n">
        <v>45344</v>
      </c>
      <c r="D4514" t="inlineStr">
        <is>
          <t>GÄVLEBORGS LÄN</t>
        </is>
      </c>
      <c r="E4514" t="inlineStr">
        <is>
          <t>SÖDERHAMN</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71657-2021</t>
        </is>
      </c>
      <c r="B4515" s="1" t="n">
        <v>44543</v>
      </c>
      <c r="C4515" s="1" t="n">
        <v>45344</v>
      </c>
      <c r="D4515" t="inlineStr">
        <is>
          <t>GÄVLEBORGS LÄN</t>
        </is>
      </c>
      <c r="E4515" t="inlineStr">
        <is>
          <t>BOLLNÄS</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71658-2021</t>
        </is>
      </c>
      <c r="B4516" s="1" t="n">
        <v>44543</v>
      </c>
      <c r="C4516" s="1" t="n">
        <v>45344</v>
      </c>
      <c r="D4516" t="inlineStr">
        <is>
          <t>GÄVLEBORGS LÄN</t>
        </is>
      </c>
      <c r="E4516" t="inlineStr">
        <is>
          <t>OCKELBO</t>
        </is>
      </c>
      <c r="F4516" t="inlineStr">
        <is>
          <t>Kyrkan</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71678-2021</t>
        </is>
      </c>
      <c r="B4517" s="1" t="n">
        <v>44543</v>
      </c>
      <c r="C4517" s="1" t="n">
        <v>45344</v>
      </c>
      <c r="D4517" t="inlineStr">
        <is>
          <t>GÄVLEBORGS LÄN</t>
        </is>
      </c>
      <c r="E4517" t="inlineStr">
        <is>
          <t>BOLLNÄS</t>
        </is>
      </c>
      <c r="G4517" t="n">
        <v>1</v>
      </c>
      <c r="H4517" t="n">
        <v>0</v>
      </c>
      <c r="I4517" t="n">
        <v>0</v>
      </c>
      <c r="J4517" t="n">
        <v>0</v>
      </c>
      <c r="K4517" t="n">
        <v>0</v>
      </c>
      <c r="L4517" t="n">
        <v>0</v>
      </c>
      <c r="M4517" t="n">
        <v>0</v>
      </c>
      <c r="N4517" t="n">
        <v>0</v>
      </c>
      <c r="O4517" t="n">
        <v>0</v>
      </c>
      <c r="P4517" t="n">
        <v>0</v>
      </c>
      <c r="Q4517" t="n">
        <v>0</v>
      </c>
      <c r="R4517" s="2" t="inlineStr"/>
    </row>
    <row r="4518" ht="15" customHeight="1">
      <c r="A4518" t="inlineStr">
        <is>
          <t>A 71790-2021</t>
        </is>
      </c>
      <c r="B4518" s="1" t="n">
        <v>44543</v>
      </c>
      <c r="C4518" s="1" t="n">
        <v>45344</v>
      </c>
      <c r="D4518" t="inlineStr">
        <is>
          <t>GÄVLEBORGS LÄN</t>
        </is>
      </c>
      <c r="E4518" t="inlineStr">
        <is>
          <t>SANDVIKEN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71680-2021</t>
        </is>
      </c>
      <c r="B4519" s="1" t="n">
        <v>44543</v>
      </c>
      <c r="C4519" s="1" t="n">
        <v>45344</v>
      </c>
      <c r="D4519" t="inlineStr">
        <is>
          <t>GÄVLEBORGS LÄN</t>
        </is>
      </c>
      <c r="E4519" t="inlineStr">
        <is>
          <t>LJUSDAL</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72077-2021</t>
        </is>
      </c>
      <c r="B4520" s="1" t="n">
        <v>44544</v>
      </c>
      <c r="C4520" s="1" t="n">
        <v>45344</v>
      </c>
      <c r="D4520" t="inlineStr">
        <is>
          <t>GÄVLEBORGS LÄN</t>
        </is>
      </c>
      <c r="E4520" t="inlineStr">
        <is>
          <t>HUDIKSVALL</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72083-2021</t>
        </is>
      </c>
      <c r="B4521" s="1" t="n">
        <v>44544</v>
      </c>
      <c r="C4521" s="1" t="n">
        <v>45344</v>
      </c>
      <c r="D4521" t="inlineStr">
        <is>
          <t>GÄVLEBORGS LÄN</t>
        </is>
      </c>
      <c r="E4521" t="inlineStr">
        <is>
          <t>HUDIKSVALL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71995-2021</t>
        </is>
      </c>
      <c r="B4522" s="1" t="n">
        <v>44544</v>
      </c>
      <c r="C4522" s="1" t="n">
        <v>45344</v>
      </c>
      <c r="D4522" t="inlineStr">
        <is>
          <t>GÄVLEBORGS LÄN</t>
        </is>
      </c>
      <c r="E4522" t="inlineStr">
        <is>
          <t>SANDVIKEN</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72150-2021</t>
        </is>
      </c>
      <c r="B4523" s="1" t="n">
        <v>44544</v>
      </c>
      <c r="C4523" s="1" t="n">
        <v>45344</v>
      </c>
      <c r="D4523" t="inlineStr">
        <is>
          <t>GÄVLEBORGS LÄN</t>
        </is>
      </c>
      <c r="E4523" t="inlineStr">
        <is>
          <t>LJUSDAL</t>
        </is>
      </c>
      <c r="F4523" t="inlineStr">
        <is>
          <t>Holmen skog AB</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71973-2021</t>
        </is>
      </c>
      <c r="B4524" s="1" t="n">
        <v>44544</v>
      </c>
      <c r="C4524" s="1" t="n">
        <v>45344</v>
      </c>
      <c r="D4524" t="inlineStr">
        <is>
          <t>GÄVLEBORGS LÄN</t>
        </is>
      </c>
      <c r="E4524" t="inlineStr">
        <is>
          <t>NORDANSTIG</t>
        </is>
      </c>
      <c r="F4524" t="inlineStr">
        <is>
          <t>Holmen skog AB</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72082-2021</t>
        </is>
      </c>
      <c r="B4525" s="1" t="n">
        <v>44544</v>
      </c>
      <c r="C4525" s="1" t="n">
        <v>45344</v>
      </c>
      <c r="D4525" t="inlineStr">
        <is>
          <t>GÄVLEBORGS LÄN</t>
        </is>
      </c>
      <c r="E4525" t="inlineStr">
        <is>
          <t>NORDANSTIG</t>
        </is>
      </c>
      <c r="F4525" t="inlineStr">
        <is>
          <t>Holmen skog AB</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72087-2021</t>
        </is>
      </c>
      <c r="B4526" s="1" t="n">
        <v>44544</v>
      </c>
      <c r="C4526" s="1" t="n">
        <v>45344</v>
      </c>
      <c r="D4526" t="inlineStr">
        <is>
          <t>GÄVLEBORGS LÄN</t>
        </is>
      </c>
      <c r="E4526" t="inlineStr">
        <is>
          <t>SÖDERHAMN</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72105-2021</t>
        </is>
      </c>
      <c r="B4527" s="1" t="n">
        <v>44544</v>
      </c>
      <c r="C4527" s="1" t="n">
        <v>45344</v>
      </c>
      <c r="D4527" t="inlineStr">
        <is>
          <t>GÄVLEBORGS LÄN</t>
        </is>
      </c>
      <c r="E4527" t="inlineStr">
        <is>
          <t>NORDANSTIG</t>
        </is>
      </c>
      <c r="F4527" t="inlineStr">
        <is>
          <t>Holmen skog AB</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72144-2021</t>
        </is>
      </c>
      <c r="B4528" s="1" t="n">
        <v>44544</v>
      </c>
      <c r="C4528" s="1" t="n">
        <v>45344</v>
      </c>
      <c r="D4528" t="inlineStr">
        <is>
          <t>GÄVLEBORGS LÄN</t>
        </is>
      </c>
      <c r="E4528" t="inlineStr">
        <is>
          <t>HUDIKSVALL</t>
        </is>
      </c>
      <c r="F4528" t="inlineStr">
        <is>
          <t>Holmen skog AB</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72164-2021</t>
        </is>
      </c>
      <c r="B4529" s="1" t="n">
        <v>44544</v>
      </c>
      <c r="C4529" s="1" t="n">
        <v>45344</v>
      </c>
      <c r="D4529" t="inlineStr">
        <is>
          <t>GÄVLEBORGS LÄN</t>
        </is>
      </c>
      <c r="E4529" t="inlineStr">
        <is>
          <t>SÖDERHAMN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72056-2021</t>
        </is>
      </c>
      <c r="B4530" s="1" t="n">
        <v>44544</v>
      </c>
      <c r="C4530" s="1" t="n">
        <v>45344</v>
      </c>
      <c r="D4530" t="inlineStr">
        <is>
          <t>GÄVLEBORGS LÄN</t>
        </is>
      </c>
      <c r="E4530" t="inlineStr">
        <is>
          <t>NORDANSTIG</t>
        </is>
      </c>
      <c r="F4530" t="inlineStr">
        <is>
          <t>Holmen skog AB</t>
        </is>
      </c>
      <c r="G4530" t="n">
        <v>4.1</v>
      </c>
      <c r="H4530" t="n">
        <v>0</v>
      </c>
      <c r="I4530" t="n">
        <v>0</v>
      </c>
      <c r="J4530" t="n">
        <v>0</v>
      </c>
      <c r="K4530" t="n">
        <v>0</v>
      </c>
      <c r="L4530" t="n">
        <v>0</v>
      </c>
      <c r="M4530" t="n">
        <v>0</v>
      </c>
      <c r="N4530" t="n">
        <v>0</v>
      </c>
      <c r="O4530" t="n">
        <v>0</v>
      </c>
      <c r="P4530" t="n">
        <v>0</v>
      </c>
      <c r="Q4530" t="n">
        <v>0</v>
      </c>
      <c r="R4530" s="2" t="inlineStr"/>
    </row>
    <row r="4531" ht="15" customHeight="1">
      <c r="A4531" t="inlineStr">
        <is>
          <t>A 72080-2021</t>
        </is>
      </c>
      <c r="B4531" s="1" t="n">
        <v>44544</v>
      </c>
      <c r="C4531" s="1" t="n">
        <v>45344</v>
      </c>
      <c r="D4531" t="inlineStr">
        <is>
          <t>GÄVLEBORGS LÄN</t>
        </is>
      </c>
      <c r="E4531" t="inlineStr">
        <is>
          <t>NORDANSTIG</t>
        </is>
      </c>
      <c r="F4531" t="inlineStr">
        <is>
          <t>Holmen skog AB</t>
        </is>
      </c>
      <c r="G4531" t="n">
        <v>2.3</v>
      </c>
      <c r="H4531" t="n">
        <v>0</v>
      </c>
      <c r="I4531" t="n">
        <v>0</v>
      </c>
      <c r="J4531" t="n">
        <v>0</v>
      </c>
      <c r="K4531" t="n">
        <v>0</v>
      </c>
      <c r="L4531" t="n">
        <v>0</v>
      </c>
      <c r="M4531" t="n">
        <v>0</v>
      </c>
      <c r="N4531" t="n">
        <v>0</v>
      </c>
      <c r="O4531" t="n">
        <v>0</v>
      </c>
      <c r="P4531" t="n">
        <v>0</v>
      </c>
      <c r="Q4531" t="n">
        <v>0</v>
      </c>
      <c r="R4531" s="2" t="inlineStr"/>
    </row>
    <row r="4532" ht="15" customHeight="1">
      <c r="A4532" t="inlineStr">
        <is>
          <t>A 72102-2021</t>
        </is>
      </c>
      <c r="B4532" s="1" t="n">
        <v>44544</v>
      </c>
      <c r="C4532" s="1" t="n">
        <v>45344</v>
      </c>
      <c r="D4532" t="inlineStr">
        <is>
          <t>GÄVLEBORGS LÄN</t>
        </is>
      </c>
      <c r="E4532" t="inlineStr">
        <is>
          <t>NORDANSTIG</t>
        </is>
      </c>
      <c r="F4532" t="inlineStr">
        <is>
          <t>Holmen skog AB</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72110-2021</t>
        </is>
      </c>
      <c r="B4533" s="1" t="n">
        <v>44544</v>
      </c>
      <c r="C4533" s="1" t="n">
        <v>45344</v>
      </c>
      <c r="D4533" t="inlineStr">
        <is>
          <t>GÄVLEBORGS LÄN</t>
        </is>
      </c>
      <c r="E4533" t="inlineStr">
        <is>
          <t>OVANÅKER</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72229-2021</t>
        </is>
      </c>
      <c r="B4534" s="1" t="n">
        <v>44544</v>
      </c>
      <c r="C4534" s="1" t="n">
        <v>45344</v>
      </c>
      <c r="D4534" t="inlineStr">
        <is>
          <t>GÄVLEBORGS LÄN</t>
        </is>
      </c>
      <c r="E4534" t="inlineStr">
        <is>
          <t>HUDIKSVALL</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72391-2021</t>
        </is>
      </c>
      <c r="B4535" s="1" t="n">
        <v>44545</v>
      </c>
      <c r="C4535" s="1" t="n">
        <v>45344</v>
      </c>
      <c r="D4535" t="inlineStr">
        <is>
          <t>GÄVLEBORGS LÄN</t>
        </is>
      </c>
      <c r="E4535" t="inlineStr">
        <is>
          <t>GÄVLE</t>
        </is>
      </c>
      <c r="F4535" t="inlineStr">
        <is>
          <t>Bergvik skog öst AB</t>
        </is>
      </c>
      <c r="G4535" t="n">
        <v>11.5</v>
      </c>
      <c r="H4535" t="n">
        <v>0</v>
      </c>
      <c r="I4535" t="n">
        <v>0</v>
      </c>
      <c r="J4535" t="n">
        <v>0</v>
      </c>
      <c r="K4535" t="n">
        <v>0</v>
      </c>
      <c r="L4535" t="n">
        <v>0</v>
      </c>
      <c r="M4535" t="n">
        <v>0</v>
      </c>
      <c r="N4535" t="n">
        <v>0</v>
      </c>
      <c r="O4535" t="n">
        <v>0</v>
      </c>
      <c r="P4535" t="n">
        <v>0</v>
      </c>
      <c r="Q4535" t="n">
        <v>0</v>
      </c>
      <c r="R4535" s="2" t="inlineStr"/>
    </row>
    <row r="4536" ht="15" customHeight="1">
      <c r="A4536" t="inlineStr">
        <is>
          <t>A 72433-2021</t>
        </is>
      </c>
      <c r="B4536" s="1" t="n">
        <v>44545</v>
      </c>
      <c r="C4536" s="1" t="n">
        <v>45344</v>
      </c>
      <c r="D4536" t="inlineStr">
        <is>
          <t>GÄVLEBORGS LÄN</t>
        </is>
      </c>
      <c r="E4536" t="inlineStr">
        <is>
          <t>NORDANSTIG</t>
        </is>
      </c>
      <c r="G4536" t="n">
        <v>6.1</v>
      </c>
      <c r="H4536" t="n">
        <v>0</v>
      </c>
      <c r="I4536" t="n">
        <v>0</v>
      </c>
      <c r="J4536" t="n">
        <v>0</v>
      </c>
      <c r="K4536" t="n">
        <v>0</v>
      </c>
      <c r="L4536" t="n">
        <v>0</v>
      </c>
      <c r="M4536" t="n">
        <v>0</v>
      </c>
      <c r="N4536" t="n">
        <v>0</v>
      </c>
      <c r="O4536" t="n">
        <v>0</v>
      </c>
      <c r="P4536" t="n">
        <v>0</v>
      </c>
      <c r="Q4536" t="n">
        <v>0</v>
      </c>
      <c r="R4536" s="2" t="inlineStr"/>
    </row>
    <row r="4537" ht="15" customHeight="1">
      <c r="A4537" t="inlineStr">
        <is>
          <t>A 72457-2021</t>
        </is>
      </c>
      <c r="B4537" s="1" t="n">
        <v>44545</v>
      </c>
      <c r="C4537" s="1" t="n">
        <v>45344</v>
      </c>
      <c r="D4537" t="inlineStr">
        <is>
          <t>GÄVLEBORGS LÄN</t>
        </is>
      </c>
      <c r="E4537" t="inlineStr">
        <is>
          <t>LJUSDAL</t>
        </is>
      </c>
      <c r="G4537" t="n">
        <v>3.9</v>
      </c>
      <c r="H4537" t="n">
        <v>0</v>
      </c>
      <c r="I4537" t="n">
        <v>0</v>
      </c>
      <c r="J4537" t="n">
        <v>0</v>
      </c>
      <c r="K4537" t="n">
        <v>0</v>
      </c>
      <c r="L4537" t="n">
        <v>0</v>
      </c>
      <c r="M4537" t="n">
        <v>0</v>
      </c>
      <c r="N4537" t="n">
        <v>0</v>
      </c>
      <c r="O4537" t="n">
        <v>0</v>
      </c>
      <c r="P4537" t="n">
        <v>0</v>
      </c>
      <c r="Q4537" t="n">
        <v>0</v>
      </c>
      <c r="R4537" s="2" t="inlineStr"/>
    </row>
    <row r="4538" ht="15" customHeight="1">
      <c r="A4538" t="inlineStr">
        <is>
          <t>A 72256-2021</t>
        </is>
      </c>
      <c r="B4538" s="1" t="n">
        <v>44545</v>
      </c>
      <c r="C4538" s="1" t="n">
        <v>45344</v>
      </c>
      <c r="D4538" t="inlineStr">
        <is>
          <t>GÄVLEBORGS LÄN</t>
        </is>
      </c>
      <c r="E4538" t="inlineStr">
        <is>
          <t>HUDIKSVALL</t>
        </is>
      </c>
      <c r="F4538" t="inlineStr">
        <is>
          <t>Holmen skog AB</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72435-2021</t>
        </is>
      </c>
      <c r="B4539" s="1" t="n">
        <v>44545</v>
      </c>
      <c r="C4539" s="1" t="n">
        <v>45344</v>
      </c>
      <c r="D4539" t="inlineStr">
        <is>
          <t>GÄVLEBORGS LÄN</t>
        </is>
      </c>
      <c r="E4539" t="inlineStr">
        <is>
          <t>NORDANSTIG</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72464-2021</t>
        </is>
      </c>
      <c r="B4540" s="1" t="n">
        <v>44545</v>
      </c>
      <c r="C4540" s="1" t="n">
        <v>45344</v>
      </c>
      <c r="D4540" t="inlineStr">
        <is>
          <t>GÄVLEBORGS LÄN</t>
        </is>
      </c>
      <c r="E4540" t="inlineStr">
        <is>
          <t>LJUSDAL</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72541-2021</t>
        </is>
      </c>
      <c r="B4541" s="1" t="n">
        <v>44546</v>
      </c>
      <c r="C4541" s="1" t="n">
        <v>45344</v>
      </c>
      <c r="D4541" t="inlineStr">
        <is>
          <t>GÄVLEBORGS LÄN</t>
        </is>
      </c>
      <c r="E4541" t="inlineStr">
        <is>
          <t>GÄVLE</t>
        </is>
      </c>
      <c r="G4541" t="n">
        <v>6.4</v>
      </c>
      <c r="H4541" t="n">
        <v>0</v>
      </c>
      <c r="I4541" t="n">
        <v>0</v>
      </c>
      <c r="J4541" t="n">
        <v>0</v>
      </c>
      <c r="K4541" t="n">
        <v>0</v>
      </c>
      <c r="L4541" t="n">
        <v>0</v>
      </c>
      <c r="M4541" t="n">
        <v>0</v>
      </c>
      <c r="N4541" t="n">
        <v>0</v>
      </c>
      <c r="O4541" t="n">
        <v>0</v>
      </c>
      <c r="P4541" t="n">
        <v>0</v>
      </c>
      <c r="Q4541" t="n">
        <v>0</v>
      </c>
      <c r="R4541" s="2" t="inlineStr"/>
    </row>
    <row r="4542" ht="15" customHeight="1">
      <c r="A4542" t="inlineStr">
        <is>
          <t>A 72504-2021</t>
        </is>
      </c>
      <c r="B4542" s="1" t="n">
        <v>44546</v>
      </c>
      <c r="C4542" s="1" t="n">
        <v>45344</v>
      </c>
      <c r="D4542" t="inlineStr">
        <is>
          <t>GÄVLEBORGS LÄN</t>
        </is>
      </c>
      <c r="E4542" t="inlineStr">
        <is>
          <t>GÄVLE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72535-2021</t>
        </is>
      </c>
      <c r="B4543" s="1" t="n">
        <v>44546</v>
      </c>
      <c r="C4543" s="1" t="n">
        <v>45344</v>
      </c>
      <c r="D4543" t="inlineStr">
        <is>
          <t>GÄVLEBORGS LÄN</t>
        </is>
      </c>
      <c r="E4543" t="inlineStr">
        <is>
          <t>HUDIKSVALL</t>
        </is>
      </c>
      <c r="F4543" t="inlineStr">
        <is>
          <t>Sveaskog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72594-2021</t>
        </is>
      </c>
      <c r="B4544" s="1" t="n">
        <v>44546</v>
      </c>
      <c r="C4544" s="1" t="n">
        <v>45344</v>
      </c>
      <c r="D4544" t="inlineStr">
        <is>
          <t>GÄVLEBORGS LÄN</t>
        </is>
      </c>
      <c r="E4544" t="inlineStr">
        <is>
          <t>NORDANSTIG</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72730-2021</t>
        </is>
      </c>
      <c r="B4545" s="1" t="n">
        <v>44546</v>
      </c>
      <c r="C4545" s="1" t="n">
        <v>45344</v>
      </c>
      <c r="D4545" t="inlineStr">
        <is>
          <t>GÄVLEBORGS LÄN</t>
        </is>
      </c>
      <c r="E4545" t="inlineStr">
        <is>
          <t>GÄVLE</t>
        </is>
      </c>
      <c r="F4545" t="inlineStr">
        <is>
          <t>Bergvik skog väst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72734-2021</t>
        </is>
      </c>
      <c r="B4546" s="1" t="n">
        <v>44546</v>
      </c>
      <c r="C4546" s="1" t="n">
        <v>45344</v>
      </c>
      <c r="D4546" t="inlineStr">
        <is>
          <t>GÄVLEBORGS LÄN</t>
        </is>
      </c>
      <c r="E4546" t="inlineStr">
        <is>
          <t>GÄVLE</t>
        </is>
      </c>
      <c r="F4546" t="inlineStr">
        <is>
          <t>Kommuner</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72644-2021</t>
        </is>
      </c>
      <c r="B4547" s="1" t="n">
        <v>44546</v>
      </c>
      <c r="C4547" s="1" t="n">
        <v>45344</v>
      </c>
      <c r="D4547" t="inlineStr">
        <is>
          <t>GÄVLEBORGS LÄN</t>
        </is>
      </c>
      <c r="E4547" t="inlineStr">
        <is>
          <t>SÖDERHAMN</t>
        </is>
      </c>
      <c r="G4547" t="n">
        <v>2.1</v>
      </c>
      <c r="H4547" t="n">
        <v>0</v>
      </c>
      <c r="I4547" t="n">
        <v>0</v>
      </c>
      <c r="J4547" t="n">
        <v>0</v>
      </c>
      <c r="K4547" t="n">
        <v>0</v>
      </c>
      <c r="L4547" t="n">
        <v>0</v>
      </c>
      <c r="M4547" t="n">
        <v>0</v>
      </c>
      <c r="N4547" t="n">
        <v>0</v>
      </c>
      <c r="O4547" t="n">
        <v>0</v>
      </c>
      <c r="P4547" t="n">
        <v>0</v>
      </c>
      <c r="Q4547" t="n">
        <v>0</v>
      </c>
      <c r="R4547" s="2" t="inlineStr"/>
    </row>
    <row r="4548" ht="15" customHeight="1">
      <c r="A4548" t="inlineStr">
        <is>
          <t>A 72645-2021</t>
        </is>
      </c>
      <c r="B4548" s="1" t="n">
        <v>44546</v>
      </c>
      <c r="C4548" s="1" t="n">
        <v>45344</v>
      </c>
      <c r="D4548" t="inlineStr">
        <is>
          <t>GÄVLEBORGS LÄN</t>
        </is>
      </c>
      <c r="E4548" t="inlineStr">
        <is>
          <t>SÖDERHAMN</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72678-2021</t>
        </is>
      </c>
      <c r="B4549" s="1" t="n">
        <v>44546</v>
      </c>
      <c r="C4549" s="1" t="n">
        <v>45344</v>
      </c>
      <c r="D4549" t="inlineStr">
        <is>
          <t>GÄVLEBORGS LÄN</t>
        </is>
      </c>
      <c r="E4549" t="inlineStr">
        <is>
          <t>HUDIKSVALL</t>
        </is>
      </c>
      <c r="F4549" t="inlineStr">
        <is>
          <t>Holmen skog AB</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72711-2021</t>
        </is>
      </c>
      <c r="B4550" s="1" t="n">
        <v>44546</v>
      </c>
      <c r="C4550" s="1" t="n">
        <v>45344</v>
      </c>
      <c r="D4550" t="inlineStr">
        <is>
          <t>GÄVLEBORGS LÄN</t>
        </is>
      </c>
      <c r="E4550" t="inlineStr">
        <is>
          <t>LJUSDAL</t>
        </is>
      </c>
      <c r="F4550" t="inlineStr">
        <is>
          <t>Sveaskog</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72815-2021</t>
        </is>
      </c>
      <c r="B4551" s="1" t="n">
        <v>44547</v>
      </c>
      <c r="C4551" s="1" t="n">
        <v>45344</v>
      </c>
      <c r="D4551" t="inlineStr">
        <is>
          <t>GÄVLEBORGS LÄN</t>
        </is>
      </c>
      <c r="E4551" t="inlineStr">
        <is>
          <t>NORDANSTIG</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72854-2021</t>
        </is>
      </c>
      <c r="B4552" s="1" t="n">
        <v>44547</v>
      </c>
      <c r="C4552" s="1" t="n">
        <v>45344</v>
      </c>
      <c r="D4552" t="inlineStr">
        <is>
          <t>GÄVLEBORGS LÄN</t>
        </is>
      </c>
      <c r="E4552" t="inlineStr">
        <is>
          <t>OVANÅKER</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72820-2021</t>
        </is>
      </c>
      <c r="B4553" s="1" t="n">
        <v>44547</v>
      </c>
      <c r="C4553" s="1" t="n">
        <v>45344</v>
      </c>
      <c r="D4553" t="inlineStr">
        <is>
          <t>GÄVLEBORGS LÄN</t>
        </is>
      </c>
      <c r="E4553" t="inlineStr">
        <is>
          <t>NORDANSTIG</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72899-2021</t>
        </is>
      </c>
      <c r="B4554" s="1" t="n">
        <v>44547</v>
      </c>
      <c r="C4554" s="1" t="n">
        <v>45344</v>
      </c>
      <c r="D4554" t="inlineStr">
        <is>
          <t>GÄVLEBORGS LÄN</t>
        </is>
      </c>
      <c r="E4554" t="inlineStr">
        <is>
          <t>HUDIKSVALL</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72997-2021</t>
        </is>
      </c>
      <c r="B4555" s="1" t="n">
        <v>44549</v>
      </c>
      <c r="C4555" s="1" t="n">
        <v>45344</v>
      </c>
      <c r="D4555" t="inlineStr">
        <is>
          <t>GÄVLEBORGS LÄN</t>
        </is>
      </c>
      <c r="E4555" t="inlineStr">
        <is>
          <t>SANDVIKEN</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73223-2021</t>
        </is>
      </c>
      <c r="B4556" s="1" t="n">
        <v>44550</v>
      </c>
      <c r="C4556" s="1" t="n">
        <v>45344</v>
      </c>
      <c r="D4556" t="inlineStr">
        <is>
          <t>GÄVLEBORGS LÄN</t>
        </is>
      </c>
      <c r="E4556" t="inlineStr">
        <is>
          <t>OCKELBO</t>
        </is>
      </c>
      <c r="F4556" t="inlineStr">
        <is>
          <t>Bergvik skog väst AB</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73164-2021</t>
        </is>
      </c>
      <c r="B4557" s="1" t="n">
        <v>44550</v>
      </c>
      <c r="C4557" s="1" t="n">
        <v>45344</v>
      </c>
      <c r="D4557" t="inlineStr">
        <is>
          <t>GÄVLEBORGS LÄN</t>
        </is>
      </c>
      <c r="E4557" t="inlineStr">
        <is>
          <t>HUDIKSVALL</t>
        </is>
      </c>
      <c r="G4557" t="n">
        <v>3.1</v>
      </c>
      <c r="H4557" t="n">
        <v>0</v>
      </c>
      <c r="I4557" t="n">
        <v>0</v>
      </c>
      <c r="J4557" t="n">
        <v>0</v>
      </c>
      <c r="K4557" t="n">
        <v>0</v>
      </c>
      <c r="L4557" t="n">
        <v>0</v>
      </c>
      <c r="M4557" t="n">
        <v>0</v>
      </c>
      <c r="N4557" t="n">
        <v>0</v>
      </c>
      <c r="O4557" t="n">
        <v>0</v>
      </c>
      <c r="P4557" t="n">
        <v>0</v>
      </c>
      <c r="Q4557" t="n">
        <v>0</v>
      </c>
      <c r="R4557" s="2" t="inlineStr"/>
    </row>
    <row r="4558" ht="15" customHeight="1">
      <c r="A4558" t="inlineStr">
        <is>
          <t>A 73190-2021</t>
        </is>
      </c>
      <c r="B4558" s="1" t="n">
        <v>44550</v>
      </c>
      <c r="C4558" s="1" t="n">
        <v>45344</v>
      </c>
      <c r="D4558" t="inlineStr">
        <is>
          <t>GÄVLEBORGS LÄN</t>
        </is>
      </c>
      <c r="E4558" t="inlineStr">
        <is>
          <t>LJUSDAL</t>
        </is>
      </c>
      <c r="F4558" t="inlineStr">
        <is>
          <t>Holmen skog AB</t>
        </is>
      </c>
      <c r="G4558" t="n">
        <v>4.9</v>
      </c>
      <c r="H4558" t="n">
        <v>0</v>
      </c>
      <c r="I4558" t="n">
        <v>0</v>
      </c>
      <c r="J4558" t="n">
        <v>0</v>
      </c>
      <c r="K4558" t="n">
        <v>0</v>
      </c>
      <c r="L4558" t="n">
        <v>0</v>
      </c>
      <c r="M4558" t="n">
        <v>0</v>
      </c>
      <c r="N4558" t="n">
        <v>0</v>
      </c>
      <c r="O4558" t="n">
        <v>0</v>
      </c>
      <c r="P4558" t="n">
        <v>0</v>
      </c>
      <c r="Q4558" t="n">
        <v>0</v>
      </c>
      <c r="R4558" s="2" t="inlineStr"/>
    </row>
    <row r="4559" ht="15" customHeight="1">
      <c r="A4559" t="inlineStr">
        <is>
          <t>A 73241-2021</t>
        </is>
      </c>
      <c r="B4559" s="1" t="n">
        <v>44550</v>
      </c>
      <c r="C4559" s="1" t="n">
        <v>45344</v>
      </c>
      <c r="D4559" t="inlineStr">
        <is>
          <t>GÄVLEBORGS LÄN</t>
        </is>
      </c>
      <c r="E4559" t="inlineStr">
        <is>
          <t>LJUSDAL</t>
        </is>
      </c>
      <c r="F4559" t="inlineStr">
        <is>
          <t>Allmännings- och besparingsskogar</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73555-2021</t>
        </is>
      </c>
      <c r="B4560" s="1" t="n">
        <v>44551</v>
      </c>
      <c r="C4560" s="1" t="n">
        <v>45344</v>
      </c>
      <c r="D4560" t="inlineStr">
        <is>
          <t>GÄVLEBORGS LÄN</t>
        </is>
      </c>
      <c r="E4560" t="inlineStr">
        <is>
          <t>LJUSDAL</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73447-2021</t>
        </is>
      </c>
      <c r="B4561" s="1" t="n">
        <v>44551</v>
      </c>
      <c r="C4561" s="1" t="n">
        <v>45344</v>
      </c>
      <c r="D4561" t="inlineStr">
        <is>
          <t>GÄVLEBORGS LÄN</t>
        </is>
      </c>
      <c r="E4561" t="inlineStr">
        <is>
          <t>SÖDERHAMN</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73331-2021</t>
        </is>
      </c>
      <c r="B4562" s="1" t="n">
        <v>44551</v>
      </c>
      <c r="C4562" s="1" t="n">
        <v>45344</v>
      </c>
      <c r="D4562" t="inlineStr">
        <is>
          <t>GÄVLEBORGS LÄN</t>
        </is>
      </c>
      <c r="E4562" t="inlineStr">
        <is>
          <t>SANDVIKEN</t>
        </is>
      </c>
      <c r="F4562" t="inlineStr">
        <is>
          <t>Bergvik skog öst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73389-2021</t>
        </is>
      </c>
      <c r="B4563" s="1" t="n">
        <v>44551</v>
      </c>
      <c r="C4563" s="1" t="n">
        <v>45344</v>
      </c>
      <c r="D4563" t="inlineStr">
        <is>
          <t>GÄVLEBORGS LÄN</t>
        </is>
      </c>
      <c r="E4563" t="inlineStr">
        <is>
          <t>NORDANSTIG</t>
        </is>
      </c>
      <c r="G4563" t="n">
        <v>4.2</v>
      </c>
      <c r="H4563" t="n">
        <v>0</v>
      </c>
      <c r="I4563" t="n">
        <v>0</v>
      </c>
      <c r="J4563" t="n">
        <v>0</v>
      </c>
      <c r="K4563" t="n">
        <v>0</v>
      </c>
      <c r="L4563" t="n">
        <v>0</v>
      </c>
      <c r="M4563" t="n">
        <v>0</v>
      </c>
      <c r="N4563" t="n">
        <v>0</v>
      </c>
      <c r="O4563" t="n">
        <v>0</v>
      </c>
      <c r="P4563" t="n">
        <v>0</v>
      </c>
      <c r="Q4563" t="n">
        <v>0</v>
      </c>
      <c r="R4563" s="2" t="inlineStr"/>
    </row>
    <row r="4564" ht="15" customHeight="1">
      <c r="A4564" t="inlineStr">
        <is>
          <t>A 73554-2021</t>
        </is>
      </c>
      <c r="B4564" s="1" t="n">
        <v>44551</v>
      </c>
      <c r="C4564" s="1" t="n">
        <v>45344</v>
      </c>
      <c r="D4564" t="inlineStr">
        <is>
          <t>GÄVLEBORGS LÄN</t>
        </is>
      </c>
      <c r="E4564" t="inlineStr">
        <is>
          <t>LJUSDAL</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73725-2021</t>
        </is>
      </c>
      <c r="B4565" s="1" t="n">
        <v>44552</v>
      </c>
      <c r="C4565" s="1" t="n">
        <v>45344</v>
      </c>
      <c r="D4565" t="inlineStr">
        <is>
          <t>GÄVLEBORGS LÄN</t>
        </is>
      </c>
      <c r="E4565" t="inlineStr">
        <is>
          <t>NORDANSTIG</t>
        </is>
      </c>
      <c r="F4565" t="inlineStr">
        <is>
          <t>Holmen skog AB</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73672-2021</t>
        </is>
      </c>
      <c r="B4566" s="1" t="n">
        <v>44552</v>
      </c>
      <c r="C4566" s="1" t="n">
        <v>45344</v>
      </c>
      <c r="D4566" t="inlineStr">
        <is>
          <t>GÄVLEBORGS LÄN</t>
        </is>
      </c>
      <c r="E4566" t="inlineStr">
        <is>
          <t>LJUSDAL</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73750-2021</t>
        </is>
      </c>
      <c r="B4567" s="1" t="n">
        <v>44552</v>
      </c>
      <c r="C4567" s="1" t="n">
        <v>45344</v>
      </c>
      <c r="D4567" t="inlineStr">
        <is>
          <t>GÄVLEBORGS LÄN</t>
        </is>
      </c>
      <c r="E4567" t="inlineStr">
        <is>
          <t>LJUSDAL</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73583-2021</t>
        </is>
      </c>
      <c r="B4568" s="1" t="n">
        <v>44552</v>
      </c>
      <c r="C4568" s="1" t="n">
        <v>45344</v>
      </c>
      <c r="D4568" t="inlineStr">
        <is>
          <t>GÄVLEBORGS LÄN</t>
        </is>
      </c>
      <c r="E4568" t="inlineStr">
        <is>
          <t>NORDANSTIG</t>
        </is>
      </c>
      <c r="G4568" t="n">
        <v>3.2</v>
      </c>
      <c r="H4568" t="n">
        <v>0</v>
      </c>
      <c r="I4568" t="n">
        <v>0</v>
      </c>
      <c r="J4568" t="n">
        <v>0</v>
      </c>
      <c r="K4568" t="n">
        <v>0</v>
      </c>
      <c r="L4568" t="n">
        <v>0</v>
      </c>
      <c r="M4568" t="n">
        <v>0</v>
      </c>
      <c r="N4568" t="n">
        <v>0</v>
      </c>
      <c r="O4568" t="n">
        <v>0</v>
      </c>
      <c r="P4568" t="n">
        <v>0</v>
      </c>
      <c r="Q4568" t="n">
        <v>0</v>
      </c>
      <c r="R4568" s="2" t="inlineStr"/>
    </row>
    <row r="4569" ht="15" customHeight="1">
      <c r="A4569" t="inlineStr">
        <is>
          <t>A 73642-2021</t>
        </is>
      </c>
      <c r="B4569" s="1" t="n">
        <v>44552</v>
      </c>
      <c r="C4569" s="1" t="n">
        <v>45344</v>
      </c>
      <c r="D4569" t="inlineStr">
        <is>
          <t>GÄVLEBORGS LÄN</t>
        </is>
      </c>
      <c r="E4569" t="inlineStr">
        <is>
          <t>SÖDERHAMN</t>
        </is>
      </c>
      <c r="G4569" t="n">
        <v>5.9</v>
      </c>
      <c r="H4569" t="n">
        <v>0</v>
      </c>
      <c r="I4569" t="n">
        <v>0</v>
      </c>
      <c r="J4569" t="n">
        <v>0</v>
      </c>
      <c r="K4569" t="n">
        <v>0</v>
      </c>
      <c r="L4569" t="n">
        <v>0</v>
      </c>
      <c r="M4569" t="n">
        <v>0</v>
      </c>
      <c r="N4569" t="n">
        <v>0</v>
      </c>
      <c r="O4569" t="n">
        <v>0</v>
      </c>
      <c r="P4569" t="n">
        <v>0</v>
      </c>
      <c r="Q4569" t="n">
        <v>0</v>
      </c>
      <c r="R4569" s="2" t="inlineStr"/>
    </row>
    <row r="4570" ht="15" customHeight="1">
      <c r="A4570" t="inlineStr">
        <is>
          <t>A 73740-2021</t>
        </is>
      </c>
      <c r="B4570" s="1" t="n">
        <v>44552</v>
      </c>
      <c r="C4570" s="1" t="n">
        <v>45344</v>
      </c>
      <c r="D4570" t="inlineStr">
        <is>
          <t>GÄVLEBORGS LÄN</t>
        </is>
      </c>
      <c r="E4570" t="inlineStr">
        <is>
          <t>NORDANSTIG</t>
        </is>
      </c>
      <c r="F4570" t="inlineStr">
        <is>
          <t>Holmen skog AB</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73748-2021</t>
        </is>
      </c>
      <c r="B4571" s="1" t="n">
        <v>44552</v>
      </c>
      <c r="C4571" s="1" t="n">
        <v>45344</v>
      </c>
      <c r="D4571" t="inlineStr">
        <is>
          <t>GÄVLEBORGS LÄN</t>
        </is>
      </c>
      <c r="E4571" t="inlineStr">
        <is>
          <t>NORDANSTIG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73868-2021</t>
        </is>
      </c>
      <c r="B4572" s="1" t="n">
        <v>44553</v>
      </c>
      <c r="C4572" s="1" t="n">
        <v>45344</v>
      </c>
      <c r="D4572" t="inlineStr">
        <is>
          <t>GÄVLEBORGS LÄN</t>
        </is>
      </c>
      <c r="E4572" t="inlineStr">
        <is>
          <t>BOLLNÄS</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73925-2021</t>
        </is>
      </c>
      <c r="B4573" s="1" t="n">
        <v>44553</v>
      </c>
      <c r="C4573" s="1" t="n">
        <v>45344</v>
      </c>
      <c r="D4573" t="inlineStr">
        <is>
          <t>GÄVLEBORGS LÄN</t>
        </is>
      </c>
      <c r="E4573" t="inlineStr">
        <is>
          <t>SANDVIKEN</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74009-2021</t>
        </is>
      </c>
      <c r="B4574" s="1" t="n">
        <v>44557</v>
      </c>
      <c r="C4574" s="1" t="n">
        <v>45344</v>
      </c>
      <c r="D4574" t="inlineStr">
        <is>
          <t>GÄVLEBORGS LÄN</t>
        </is>
      </c>
      <c r="E4574" t="inlineStr">
        <is>
          <t>HUDIKSVALL</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74101-2021</t>
        </is>
      </c>
      <c r="B4575" s="1" t="n">
        <v>44557</v>
      </c>
      <c r="C4575" s="1" t="n">
        <v>45344</v>
      </c>
      <c r="D4575" t="inlineStr">
        <is>
          <t>GÄVLEBORGS LÄN</t>
        </is>
      </c>
      <c r="E4575" t="inlineStr">
        <is>
          <t>GÄVLE</t>
        </is>
      </c>
      <c r="G4575" t="n">
        <v>2.8</v>
      </c>
      <c r="H4575" t="n">
        <v>0</v>
      </c>
      <c r="I4575" t="n">
        <v>0</v>
      </c>
      <c r="J4575" t="n">
        <v>0</v>
      </c>
      <c r="K4575" t="n">
        <v>0</v>
      </c>
      <c r="L4575" t="n">
        <v>0</v>
      </c>
      <c r="M4575" t="n">
        <v>0</v>
      </c>
      <c r="N4575" t="n">
        <v>0</v>
      </c>
      <c r="O4575" t="n">
        <v>0</v>
      </c>
      <c r="P4575" t="n">
        <v>0</v>
      </c>
      <c r="Q4575" t="n">
        <v>0</v>
      </c>
      <c r="R4575" s="2" t="inlineStr"/>
    </row>
    <row r="4576" ht="15" customHeight="1">
      <c r="A4576" t="inlineStr">
        <is>
          <t>A 74193-2021</t>
        </is>
      </c>
      <c r="B4576" s="1" t="n">
        <v>44558</v>
      </c>
      <c r="C4576" s="1" t="n">
        <v>45344</v>
      </c>
      <c r="D4576" t="inlineStr">
        <is>
          <t>GÄVLEBORGS LÄN</t>
        </is>
      </c>
      <c r="E4576" t="inlineStr">
        <is>
          <t>NORDANSTIG</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74255-2021</t>
        </is>
      </c>
      <c r="B4577" s="1" t="n">
        <v>44558</v>
      </c>
      <c r="C4577" s="1" t="n">
        <v>45344</v>
      </c>
      <c r="D4577" t="inlineStr">
        <is>
          <t>GÄVLEBORGS LÄN</t>
        </is>
      </c>
      <c r="E4577" t="inlineStr">
        <is>
          <t>HOFORS</t>
        </is>
      </c>
      <c r="G4577" t="n">
        <v>3.4</v>
      </c>
      <c r="H4577" t="n">
        <v>0</v>
      </c>
      <c r="I4577" t="n">
        <v>0</v>
      </c>
      <c r="J4577" t="n">
        <v>0</v>
      </c>
      <c r="K4577" t="n">
        <v>0</v>
      </c>
      <c r="L4577" t="n">
        <v>0</v>
      </c>
      <c r="M4577" t="n">
        <v>0</v>
      </c>
      <c r="N4577" t="n">
        <v>0</v>
      </c>
      <c r="O4577" t="n">
        <v>0</v>
      </c>
      <c r="P4577" t="n">
        <v>0</v>
      </c>
      <c r="Q4577" t="n">
        <v>0</v>
      </c>
      <c r="R4577" s="2" t="inlineStr"/>
    </row>
    <row r="4578" ht="15" customHeight="1">
      <c r="A4578" t="inlineStr">
        <is>
          <t>A 74254-2021</t>
        </is>
      </c>
      <c r="B4578" s="1" t="n">
        <v>44558</v>
      </c>
      <c r="C4578" s="1" t="n">
        <v>45344</v>
      </c>
      <c r="D4578" t="inlineStr">
        <is>
          <t>GÄVLEBORGS LÄN</t>
        </is>
      </c>
      <c r="E4578" t="inlineStr">
        <is>
          <t>HOFORS</t>
        </is>
      </c>
      <c r="G4578" t="n">
        <v>8.1</v>
      </c>
      <c r="H4578" t="n">
        <v>0</v>
      </c>
      <c r="I4578" t="n">
        <v>0</v>
      </c>
      <c r="J4578" t="n">
        <v>0</v>
      </c>
      <c r="K4578" t="n">
        <v>0</v>
      </c>
      <c r="L4578" t="n">
        <v>0</v>
      </c>
      <c r="M4578" t="n">
        <v>0</v>
      </c>
      <c r="N4578" t="n">
        <v>0</v>
      </c>
      <c r="O4578" t="n">
        <v>0</v>
      </c>
      <c r="P4578" t="n">
        <v>0</v>
      </c>
      <c r="Q4578" t="n">
        <v>0</v>
      </c>
      <c r="R4578" s="2" t="inlineStr"/>
    </row>
    <row r="4579" ht="15" customHeight="1">
      <c r="A4579" t="inlineStr">
        <is>
          <t>A 74337-2021</t>
        </is>
      </c>
      <c r="B4579" s="1" t="n">
        <v>44559</v>
      </c>
      <c r="C4579" s="1" t="n">
        <v>45344</v>
      </c>
      <c r="D4579" t="inlineStr">
        <is>
          <t>GÄVLEBORGS LÄN</t>
        </is>
      </c>
      <c r="E4579" t="inlineStr">
        <is>
          <t>LJUSDAL</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74349-2021</t>
        </is>
      </c>
      <c r="B4580" s="1" t="n">
        <v>44559</v>
      </c>
      <c r="C4580" s="1" t="n">
        <v>45344</v>
      </c>
      <c r="D4580" t="inlineStr">
        <is>
          <t>GÄVLEBORGS LÄN</t>
        </is>
      </c>
      <c r="E4580" t="inlineStr">
        <is>
          <t>HOFORS</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74469-2021</t>
        </is>
      </c>
      <c r="B4581" s="1" t="n">
        <v>44560</v>
      </c>
      <c r="C4581" s="1" t="n">
        <v>45344</v>
      </c>
      <c r="D4581" t="inlineStr">
        <is>
          <t>GÄVLEBORGS LÄN</t>
        </is>
      </c>
      <c r="E4581" t="inlineStr">
        <is>
          <t>GÄVLE</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74460-2021</t>
        </is>
      </c>
      <c r="B4582" s="1" t="n">
        <v>44560</v>
      </c>
      <c r="C4582" s="1" t="n">
        <v>45344</v>
      </c>
      <c r="D4582" t="inlineStr">
        <is>
          <t>GÄVLEBORGS LÄN</t>
        </is>
      </c>
      <c r="E4582" t="inlineStr">
        <is>
          <t>NORDANSTIG</t>
        </is>
      </c>
      <c r="F4582" t="inlineStr">
        <is>
          <t>Holmen skog AB</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139-2022</t>
        </is>
      </c>
      <c r="B4583" s="1" t="n">
        <v>44564</v>
      </c>
      <c r="C4583" s="1" t="n">
        <v>45344</v>
      </c>
      <c r="D4583" t="inlineStr">
        <is>
          <t>GÄVLEBORGS LÄN</t>
        </is>
      </c>
      <c r="E4583" t="inlineStr">
        <is>
          <t>SANDVIKEN</t>
        </is>
      </c>
      <c r="G4583" t="n">
        <v>2.9</v>
      </c>
      <c r="H4583" t="n">
        <v>0</v>
      </c>
      <c r="I4583" t="n">
        <v>0</v>
      </c>
      <c r="J4583" t="n">
        <v>0</v>
      </c>
      <c r="K4583" t="n">
        <v>0</v>
      </c>
      <c r="L4583" t="n">
        <v>0</v>
      </c>
      <c r="M4583" t="n">
        <v>0</v>
      </c>
      <c r="N4583" t="n">
        <v>0</v>
      </c>
      <c r="O4583" t="n">
        <v>0</v>
      </c>
      <c r="P4583" t="n">
        <v>0</v>
      </c>
      <c r="Q4583" t="n">
        <v>0</v>
      </c>
      <c r="R4583" s="2" t="inlineStr"/>
    </row>
    <row r="4584" ht="15" customHeight="1">
      <c r="A4584" t="inlineStr">
        <is>
          <t>A 80-2022</t>
        </is>
      </c>
      <c r="B4584" s="1" t="n">
        <v>44564</v>
      </c>
      <c r="C4584" s="1" t="n">
        <v>45344</v>
      </c>
      <c r="D4584" t="inlineStr">
        <is>
          <t>GÄVLEBORGS LÄN</t>
        </is>
      </c>
      <c r="E4584" t="inlineStr">
        <is>
          <t>OVANÅKER</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254-2022</t>
        </is>
      </c>
      <c r="B4585" s="1" t="n">
        <v>44564</v>
      </c>
      <c r="C4585" s="1" t="n">
        <v>45344</v>
      </c>
      <c r="D4585" t="inlineStr">
        <is>
          <t>GÄVLEBORGS LÄN</t>
        </is>
      </c>
      <c r="E4585" t="inlineStr">
        <is>
          <t>SÖDERHAMN</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30-2022</t>
        </is>
      </c>
      <c r="B4586" s="1" t="n">
        <v>44564</v>
      </c>
      <c r="C4586" s="1" t="n">
        <v>45344</v>
      </c>
      <c r="D4586" t="inlineStr">
        <is>
          <t>GÄVLEBORGS LÄN</t>
        </is>
      </c>
      <c r="E4586" t="inlineStr">
        <is>
          <t>LJUSDAL</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65-2022</t>
        </is>
      </c>
      <c r="B4587" s="1" t="n">
        <v>44564</v>
      </c>
      <c r="C4587" s="1" t="n">
        <v>45344</v>
      </c>
      <c r="D4587" t="inlineStr">
        <is>
          <t>GÄVLEBORGS LÄN</t>
        </is>
      </c>
      <c r="E4587" t="inlineStr">
        <is>
          <t>OVANÅKER</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331-2022</t>
        </is>
      </c>
      <c r="B4588" s="1" t="n">
        <v>44565</v>
      </c>
      <c r="C4588" s="1" t="n">
        <v>45344</v>
      </c>
      <c r="D4588" t="inlineStr">
        <is>
          <t>GÄVLEBORGS LÄN</t>
        </is>
      </c>
      <c r="E4588" t="inlineStr">
        <is>
          <t>LJUSDAL</t>
        </is>
      </c>
      <c r="F4588" t="inlineStr">
        <is>
          <t>Holmen skog AB</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480-2022</t>
        </is>
      </c>
      <c r="B4589" s="1" t="n">
        <v>44566</v>
      </c>
      <c r="C4589" s="1" t="n">
        <v>45344</v>
      </c>
      <c r="D4589" t="inlineStr">
        <is>
          <t>GÄVLEBORGS LÄN</t>
        </is>
      </c>
      <c r="E4589" t="inlineStr">
        <is>
          <t>HUDIKSVALL</t>
        </is>
      </c>
      <c r="G4589" t="n">
        <v>4.9</v>
      </c>
      <c r="H4589" t="n">
        <v>0</v>
      </c>
      <c r="I4589" t="n">
        <v>0</v>
      </c>
      <c r="J4589" t="n">
        <v>0</v>
      </c>
      <c r="K4589" t="n">
        <v>0</v>
      </c>
      <c r="L4589" t="n">
        <v>0</v>
      </c>
      <c r="M4589" t="n">
        <v>0</v>
      </c>
      <c r="N4589" t="n">
        <v>0</v>
      </c>
      <c r="O4589" t="n">
        <v>0</v>
      </c>
      <c r="P4589" t="n">
        <v>0</v>
      </c>
      <c r="Q4589" t="n">
        <v>0</v>
      </c>
      <c r="R4589" s="2" t="inlineStr"/>
    </row>
    <row r="4590" ht="15" customHeight="1">
      <c r="A4590" t="inlineStr">
        <is>
          <t>A 541-2022</t>
        </is>
      </c>
      <c r="B4590" s="1" t="n">
        <v>44566</v>
      </c>
      <c r="C4590" s="1" t="n">
        <v>45344</v>
      </c>
      <c r="D4590" t="inlineStr">
        <is>
          <t>GÄVLEBORGS LÄN</t>
        </is>
      </c>
      <c r="E4590" t="inlineStr">
        <is>
          <t>BOLLNÄS</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549-2022</t>
        </is>
      </c>
      <c r="B4591" s="1" t="n">
        <v>44566</v>
      </c>
      <c r="C4591" s="1" t="n">
        <v>45344</v>
      </c>
      <c r="D4591" t="inlineStr">
        <is>
          <t>GÄVLEBORGS LÄN</t>
        </is>
      </c>
      <c r="E4591" t="inlineStr">
        <is>
          <t>SANDVIKEN</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486-2022</t>
        </is>
      </c>
      <c r="B4592" s="1" t="n">
        <v>44566</v>
      </c>
      <c r="C4592" s="1" t="n">
        <v>45344</v>
      </c>
      <c r="D4592" t="inlineStr">
        <is>
          <t>GÄVLEBORGS LÄN</t>
        </is>
      </c>
      <c r="E4592" t="inlineStr">
        <is>
          <t>HUDIKSVALL</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522-2022</t>
        </is>
      </c>
      <c r="B4593" s="1" t="n">
        <v>44566</v>
      </c>
      <c r="C4593" s="1" t="n">
        <v>45344</v>
      </c>
      <c r="D4593" t="inlineStr">
        <is>
          <t>GÄVLEBORGS LÄN</t>
        </is>
      </c>
      <c r="E4593" t="inlineStr">
        <is>
          <t>BOLLNÄS</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534-2022</t>
        </is>
      </c>
      <c r="B4594" s="1" t="n">
        <v>44566</v>
      </c>
      <c r="C4594" s="1" t="n">
        <v>45344</v>
      </c>
      <c r="D4594" t="inlineStr">
        <is>
          <t>GÄVLEBORGS LÄN</t>
        </is>
      </c>
      <c r="E4594" t="inlineStr">
        <is>
          <t>BOLLNÄS</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574-2022</t>
        </is>
      </c>
      <c r="B4595" s="1" t="n">
        <v>44566</v>
      </c>
      <c r="C4595" s="1" t="n">
        <v>45344</v>
      </c>
      <c r="D4595" t="inlineStr">
        <is>
          <t>GÄVLEBORGS LÄN</t>
        </is>
      </c>
      <c r="E4595" t="inlineStr">
        <is>
          <t>LJUSDAL</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575-2022</t>
        </is>
      </c>
      <c r="B4596" s="1" t="n">
        <v>44566</v>
      </c>
      <c r="C4596" s="1" t="n">
        <v>45344</v>
      </c>
      <c r="D4596" t="inlineStr">
        <is>
          <t>GÄVLEBORGS LÄN</t>
        </is>
      </c>
      <c r="E4596" t="inlineStr">
        <is>
          <t>NORDANSTIG</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884-2022</t>
        </is>
      </c>
      <c r="B4597" s="1" t="n">
        <v>44568</v>
      </c>
      <c r="C4597" s="1" t="n">
        <v>45344</v>
      </c>
      <c r="D4597" t="inlineStr">
        <is>
          <t>GÄVLEBORGS LÄN</t>
        </is>
      </c>
      <c r="E4597" t="inlineStr">
        <is>
          <t>HUDIKSVALL</t>
        </is>
      </c>
      <c r="G4597" t="n">
        <v>4.4</v>
      </c>
      <c r="H4597" t="n">
        <v>0</v>
      </c>
      <c r="I4597" t="n">
        <v>0</v>
      </c>
      <c r="J4597" t="n">
        <v>0</v>
      </c>
      <c r="K4597" t="n">
        <v>0</v>
      </c>
      <c r="L4597" t="n">
        <v>0</v>
      </c>
      <c r="M4597" t="n">
        <v>0</v>
      </c>
      <c r="N4597" t="n">
        <v>0</v>
      </c>
      <c r="O4597" t="n">
        <v>0</v>
      </c>
      <c r="P4597" t="n">
        <v>0</v>
      </c>
      <c r="Q4597" t="n">
        <v>0</v>
      </c>
      <c r="R4597" s="2" t="inlineStr"/>
    </row>
    <row r="4598" ht="15" customHeight="1">
      <c r="A4598" t="inlineStr">
        <is>
          <t>A 926-2022</t>
        </is>
      </c>
      <c r="B4598" s="1" t="n">
        <v>44571</v>
      </c>
      <c r="C4598" s="1" t="n">
        <v>45344</v>
      </c>
      <c r="D4598" t="inlineStr">
        <is>
          <t>GÄVLEBORGS LÄN</t>
        </is>
      </c>
      <c r="E4598" t="inlineStr">
        <is>
          <t>OVANÅKER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983-2022</t>
        </is>
      </c>
      <c r="B4599" s="1" t="n">
        <v>44571</v>
      </c>
      <c r="C4599" s="1" t="n">
        <v>45344</v>
      </c>
      <c r="D4599" t="inlineStr">
        <is>
          <t>GÄVLEBORGS LÄN</t>
        </is>
      </c>
      <c r="E4599" t="inlineStr">
        <is>
          <t>LJUSDAL</t>
        </is>
      </c>
      <c r="F4599" t="inlineStr">
        <is>
          <t>Holmen skog AB</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816-2022</t>
        </is>
      </c>
      <c r="B4600" s="1" t="n">
        <v>44571</v>
      </c>
      <c r="C4600" s="1" t="n">
        <v>45344</v>
      </c>
      <c r="D4600" t="inlineStr">
        <is>
          <t>GÄVLEBORGS LÄN</t>
        </is>
      </c>
      <c r="E4600" t="inlineStr">
        <is>
          <t>HUDIKSVALL</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892-2022</t>
        </is>
      </c>
      <c r="B4601" s="1" t="n">
        <v>44571</v>
      </c>
      <c r="C4601" s="1" t="n">
        <v>45344</v>
      </c>
      <c r="D4601" t="inlineStr">
        <is>
          <t>GÄVLEBORGS LÄN</t>
        </is>
      </c>
      <c r="E4601" t="inlineStr">
        <is>
          <t>OVANÅKER</t>
        </is>
      </c>
      <c r="F4601" t="inlineStr">
        <is>
          <t>Holmen skog AB</t>
        </is>
      </c>
      <c r="G4601" t="n">
        <v>1.9</v>
      </c>
      <c r="H4601" t="n">
        <v>0</v>
      </c>
      <c r="I4601" t="n">
        <v>0</v>
      </c>
      <c r="J4601" t="n">
        <v>0</v>
      </c>
      <c r="K4601" t="n">
        <v>0</v>
      </c>
      <c r="L4601" t="n">
        <v>0</v>
      </c>
      <c r="M4601" t="n">
        <v>0</v>
      </c>
      <c r="N4601" t="n">
        <v>0</v>
      </c>
      <c r="O4601" t="n">
        <v>0</v>
      </c>
      <c r="P4601" t="n">
        <v>0</v>
      </c>
      <c r="Q4601" t="n">
        <v>0</v>
      </c>
      <c r="R4601" s="2" t="inlineStr"/>
    </row>
    <row r="4602" ht="15" customHeight="1">
      <c r="A4602" t="inlineStr">
        <is>
          <t>A 960-2022</t>
        </is>
      </c>
      <c r="B4602" s="1" t="n">
        <v>44571</v>
      </c>
      <c r="C4602" s="1" t="n">
        <v>45344</v>
      </c>
      <c r="D4602" t="inlineStr">
        <is>
          <t>GÄVLEBORGS LÄN</t>
        </is>
      </c>
      <c r="E4602" t="inlineStr">
        <is>
          <t>NORDANSTIG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1031-2022</t>
        </is>
      </c>
      <c r="B4603" s="1" t="n">
        <v>44571</v>
      </c>
      <c r="C4603" s="1" t="n">
        <v>45344</v>
      </c>
      <c r="D4603" t="inlineStr">
        <is>
          <t>GÄVLEBORGS LÄN</t>
        </is>
      </c>
      <c r="E4603" t="inlineStr">
        <is>
          <t>GÄVLE</t>
        </is>
      </c>
      <c r="G4603" t="n">
        <v>12.2</v>
      </c>
      <c r="H4603" t="n">
        <v>0</v>
      </c>
      <c r="I4603" t="n">
        <v>0</v>
      </c>
      <c r="J4603" t="n">
        <v>0</v>
      </c>
      <c r="K4603" t="n">
        <v>0</v>
      </c>
      <c r="L4603" t="n">
        <v>0</v>
      </c>
      <c r="M4603" t="n">
        <v>0</v>
      </c>
      <c r="N4603" t="n">
        <v>0</v>
      </c>
      <c r="O4603" t="n">
        <v>0</v>
      </c>
      <c r="P4603" t="n">
        <v>0</v>
      </c>
      <c r="Q4603" t="n">
        <v>0</v>
      </c>
      <c r="R4603" s="2" t="inlineStr"/>
    </row>
    <row r="4604" ht="15" customHeight="1">
      <c r="A4604" t="inlineStr">
        <is>
          <t>A 1049-2022</t>
        </is>
      </c>
      <c r="B4604" s="1" t="n">
        <v>44571</v>
      </c>
      <c r="C4604" s="1" t="n">
        <v>45344</v>
      </c>
      <c r="D4604" t="inlineStr">
        <is>
          <t>GÄVLEBORGS LÄN</t>
        </is>
      </c>
      <c r="E4604" t="inlineStr">
        <is>
          <t>SANDVIKEN</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1250-2022</t>
        </is>
      </c>
      <c r="B4605" s="1" t="n">
        <v>44572</v>
      </c>
      <c r="C4605" s="1" t="n">
        <v>45344</v>
      </c>
      <c r="D4605" t="inlineStr">
        <is>
          <t>GÄVLEBORGS LÄN</t>
        </is>
      </c>
      <c r="E4605" t="inlineStr">
        <is>
          <t>LJUSDAL</t>
        </is>
      </c>
      <c r="G4605" t="n">
        <v>11.5</v>
      </c>
      <c r="H4605" t="n">
        <v>0</v>
      </c>
      <c r="I4605" t="n">
        <v>0</v>
      </c>
      <c r="J4605" t="n">
        <v>0</v>
      </c>
      <c r="K4605" t="n">
        <v>0</v>
      </c>
      <c r="L4605" t="n">
        <v>0</v>
      </c>
      <c r="M4605" t="n">
        <v>0</v>
      </c>
      <c r="N4605" t="n">
        <v>0</v>
      </c>
      <c r="O4605" t="n">
        <v>0</v>
      </c>
      <c r="P4605" t="n">
        <v>0</v>
      </c>
      <c r="Q4605" t="n">
        <v>0</v>
      </c>
      <c r="R4605" s="2" t="inlineStr"/>
    </row>
    <row r="4606" ht="15" customHeight="1">
      <c r="A4606" t="inlineStr">
        <is>
          <t>A 1306-2022</t>
        </is>
      </c>
      <c r="B4606" s="1" t="n">
        <v>44572</v>
      </c>
      <c r="C4606" s="1" t="n">
        <v>45344</v>
      </c>
      <c r="D4606" t="inlineStr">
        <is>
          <t>GÄVLEBORGS LÄN</t>
        </is>
      </c>
      <c r="E4606" t="inlineStr">
        <is>
          <t>BOLLNÄS</t>
        </is>
      </c>
      <c r="G4606" t="n">
        <v>1.6</v>
      </c>
      <c r="H4606" t="n">
        <v>0</v>
      </c>
      <c r="I4606" t="n">
        <v>0</v>
      </c>
      <c r="J4606" t="n">
        <v>0</v>
      </c>
      <c r="K4606" t="n">
        <v>0</v>
      </c>
      <c r="L4606" t="n">
        <v>0</v>
      </c>
      <c r="M4606" t="n">
        <v>0</v>
      </c>
      <c r="N4606" t="n">
        <v>0</v>
      </c>
      <c r="O4606" t="n">
        <v>0</v>
      </c>
      <c r="P4606" t="n">
        <v>0</v>
      </c>
      <c r="Q4606" t="n">
        <v>0</v>
      </c>
      <c r="R4606" s="2" t="inlineStr"/>
    </row>
    <row r="4607" ht="15" customHeight="1">
      <c r="A4607" t="inlineStr">
        <is>
          <t>A 1511-2022</t>
        </is>
      </c>
      <c r="B4607" s="1" t="n">
        <v>44573</v>
      </c>
      <c r="C4607" s="1" t="n">
        <v>45344</v>
      </c>
      <c r="D4607" t="inlineStr">
        <is>
          <t>GÄVLEBORGS LÄN</t>
        </is>
      </c>
      <c r="E4607" t="inlineStr">
        <is>
          <t>SÖDERHAMN</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1377-2022</t>
        </is>
      </c>
      <c r="B4608" s="1" t="n">
        <v>44573</v>
      </c>
      <c r="C4608" s="1" t="n">
        <v>45344</v>
      </c>
      <c r="D4608" t="inlineStr">
        <is>
          <t>GÄVLEBORGS LÄN</t>
        </is>
      </c>
      <c r="E4608" t="inlineStr">
        <is>
          <t>HUDIKSVALL</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1483-2022</t>
        </is>
      </c>
      <c r="B4609" s="1" t="n">
        <v>44573</v>
      </c>
      <c r="C4609" s="1" t="n">
        <v>45344</v>
      </c>
      <c r="D4609" t="inlineStr">
        <is>
          <t>GÄVLEBORGS LÄN</t>
        </is>
      </c>
      <c r="E4609" t="inlineStr">
        <is>
          <t>NORDANSTIG</t>
        </is>
      </c>
      <c r="G4609" t="n">
        <v>7.8</v>
      </c>
      <c r="H4609" t="n">
        <v>0</v>
      </c>
      <c r="I4609" t="n">
        <v>0</v>
      </c>
      <c r="J4609" t="n">
        <v>0</v>
      </c>
      <c r="K4609" t="n">
        <v>0</v>
      </c>
      <c r="L4609" t="n">
        <v>0</v>
      </c>
      <c r="M4609" t="n">
        <v>0</v>
      </c>
      <c r="N4609" t="n">
        <v>0</v>
      </c>
      <c r="O4609" t="n">
        <v>0</v>
      </c>
      <c r="P4609" t="n">
        <v>0</v>
      </c>
      <c r="Q4609" t="n">
        <v>0</v>
      </c>
      <c r="R4609" s="2" t="inlineStr"/>
    </row>
    <row r="4610" ht="15" customHeight="1">
      <c r="A4610" t="inlineStr">
        <is>
          <t>A 1474-2022</t>
        </is>
      </c>
      <c r="B4610" s="1" t="n">
        <v>44573</v>
      </c>
      <c r="C4610" s="1" t="n">
        <v>45344</v>
      </c>
      <c r="D4610" t="inlineStr">
        <is>
          <t>GÄVLEBORGS LÄN</t>
        </is>
      </c>
      <c r="E4610" t="inlineStr">
        <is>
          <t>BOLLNÄS</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1530-2022</t>
        </is>
      </c>
      <c r="B4611" s="1" t="n">
        <v>44573</v>
      </c>
      <c r="C4611" s="1" t="n">
        <v>45344</v>
      </c>
      <c r="D4611" t="inlineStr">
        <is>
          <t>GÄVLEBORGS LÄN</t>
        </is>
      </c>
      <c r="E4611" t="inlineStr">
        <is>
          <t>OVANÅKER</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1588-2022</t>
        </is>
      </c>
      <c r="B4612" s="1" t="n">
        <v>44573</v>
      </c>
      <c r="C4612" s="1" t="n">
        <v>45344</v>
      </c>
      <c r="D4612" t="inlineStr">
        <is>
          <t>GÄVLEBORGS LÄN</t>
        </is>
      </c>
      <c r="E4612" t="inlineStr">
        <is>
          <t>OVANÅKER</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1594-2022</t>
        </is>
      </c>
      <c r="B4613" s="1" t="n">
        <v>44573</v>
      </c>
      <c r="C4613" s="1" t="n">
        <v>45344</v>
      </c>
      <c r="D4613" t="inlineStr">
        <is>
          <t>GÄVLEBORGS LÄN</t>
        </is>
      </c>
      <c r="E4613" t="inlineStr">
        <is>
          <t>OVANÅKER</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1634-2022</t>
        </is>
      </c>
      <c r="B4614" s="1" t="n">
        <v>44573</v>
      </c>
      <c r="C4614" s="1" t="n">
        <v>45344</v>
      </c>
      <c r="D4614" t="inlineStr">
        <is>
          <t>GÄVLEBORGS LÄN</t>
        </is>
      </c>
      <c r="E4614" t="inlineStr">
        <is>
          <t>GÄVLE</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1598-2022</t>
        </is>
      </c>
      <c r="B4615" s="1" t="n">
        <v>44573</v>
      </c>
      <c r="C4615" s="1" t="n">
        <v>45344</v>
      </c>
      <c r="D4615" t="inlineStr">
        <is>
          <t>GÄVLEBORGS LÄN</t>
        </is>
      </c>
      <c r="E4615" t="inlineStr">
        <is>
          <t>OCKELBO</t>
        </is>
      </c>
      <c r="G4615" t="n">
        <v>2.4</v>
      </c>
      <c r="H4615" t="n">
        <v>0</v>
      </c>
      <c r="I4615" t="n">
        <v>0</v>
      </c>
      <c r="J4615" t="n">
        <v>0</v>
      </c>
      <c r="K4615" t="n">
        <v>0</v>
      </c>
      <c r="L4615" t="n">
        <v>0</v>
      </c>
      <c r="M4615" t="n">
        <v>0</v>
      </c>
      <c r="N4615" t="n">
        <v>0</v>
      </c>
      <c r="O4615" t="n">
        <v>0</v>
      </c>
      <c r="P4615" t="n">
        <v>0</v>
      </c>
      <c r="Q4615" t="n">
        <v>0</v>
      </c>
      <c r="R4615" s="2" t="inlineStr"/>
    </row>
    <row r="4616" ht="15" customHeight="1">
      <c r="A4616" t="inlineStr">
        <is>
          <t>A 1699-2022</t>
        </is>
      </c>
      <c r="B4616" s="1" t="n">
        <v>44574</v>
      </c>
      <c r="C4616" s="1" t="n">
        <v>45344</v>
      </c>
      <c r="D4616" t="inlineStr">
        <is>
          <t>GÄVLEBORGS LÄN</t>
        </is>
      </c>
      <c r="E4616" t="inlineStr">
        <is>
          <t>HUDIKSVALL</t>
        </is>
      </c>
      <c r="F4616" t="inlineStr">
        <is>
          <t>Holmen skog AB</t>
        </is>
      </c>
      <c r="G4616" t="n">
        <v>5.3</v>
      </c>
      <c r="H4616" t="n">
        <v>0</v>
      </c>
      <c r="I4616" t="n">
        <v>0</v>
      </c>
      <c r="J4616" t="n">
        <v>0</v>
      </c>
      <c r="K4616" t="n">
        <v>0</v>
      </c>
      <c r="L4616" t="n">
        <v>0</v>
      </c>
      <c r="M4616" t="n">
        <v>0</v>
      </c>
      <c r="N4616" t="n">
        <v>0</v>
      </c>
      <c r="O4616" t="n">
        <v>0</v>
      </c>
      <c r="P4616" t="n">
        <v>0</v>
      </c>
      <c r="Q4616" t="n">
        <v>0</v>
      </c>
      <c r="R4616" s="2" t="inlineStr"/>
    </row>
    <row r="4617" ht="15" customHeight="1">
      <c r="A4617" t="inlineStr">
        <is>
          <t>A 1765-2022</t>
        </is>
      </c>
      <c r="B4617" s="1" t="n">
        <v>44574</v>
      </c>
      <c r="C4617" s="1" t="n">
        <v>45344</v>
      </c>
      <c r="D4617" t="inlineStr">
        <is>
          <t>GÄVLEBORGS LÄN</t>
        </is>
      </c>
      <c r="E4617" t="inlineStr">
        <is>
          <t>NORDANSTIG</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1707-2022</t>
        </is>
      </c>
      <c r="B4618" s="1" t="n">
        <v>44574</v>
      </c>
      <c r="C4618" s="1" t="n">
        <v>45344</v>
      </c>
      <c r="D4618" t="inlineStr">
        <is>
          <t>GÄVLEBORGS LÄN</t>
        </is>
      </c>
      <c r="E4618" t="inlineStr">
        <is>
          <t>HUDIKSVALL</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1996-2022</t>
        </is>
      </c>
      <c r="B4619" s="1" t="n">
        <v>44575</v>
      </c>
      <c r="C4619" s="1" t="n">
        <v>45344</v>
      </c>
      <c r="D4619" t="inlineStr">
        <is>
          <t>GÄVLEBORGS LÄN</t>
        </is>
      </c>
      <c r="E4619" t="inlineStr">
        <is>
          <t>NORDANSTIG</t>
        </is>
      </c>
      <c r="F4619" t="inlineStr">
        <is>
          <t>Holmen skog AB</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2023-2022</t>
        </is>
      </c>
      <c r="B4620" s="1" t="n">
        <v>44575</v>
      </c>
      <c r="C4620" s="1" t="n">
        <v>45344</v>
      </c>
      <c r="D4620" t="inlineStr">
        <is>
          <t>GÄVLEBORGS LÄN</t>
        </is>
      </c>
      <c r="E4620" t="inlineStr">
        <is>
          <t>NORDANSTIG</t>
        </is>
      </c>
      <c r="F4620" t="inlineStr">
        <is>
          <t>Holmen skog AB</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2267-2022</t>
        </is>
      </c>
      <c r="B4621" s="1" t="n">
        <v>44578</v>
      </c>
      <c r="C4621" s="1" t="n">
        <v>45344</v>
      </c>
      <c r="D4621" t="inlineStr">
        <is>
          <t>GÄVLEBORGS LÄN</t>
        </is>
      </c>
      <c r="E4621" t="inlineStr">
        <is>
          <t>HUDIKSVALL</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2198-2022</t>
        </is>
      </c>
      <c r="B4622" s="1" t="n">
        <v>44578</v>
      </c>
      <c r="C4622" s="1" t="n">
        <v>45344</v>
      </c>
      <c r="D4622" t="inlineStr">
        <is>
          <t>GÄVLEBORGS LÄN</t>
        </is>
      </c>
      <c r="E4622" t="inlineStr">
        <is>
          <t>OCKELBO</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2232-2022</t>
        </is>
      </c>
      <c r="B4623" s="1" t="n">
        <v>44578</v>
      </c>
      <c r="C4623" s="1" t="n">
        <v>45344</v>
      </c>
      <c r="D4623" t="inlineStr">
        <is>
          <t>GÄVLEBORGS LÄN</t>
        </is>
      </c>
      <c r="E4623" t="inlineStr">
        <is>
          <t>HUDIKSVALL</t>
        </is>
      </c>
      <c r="F4623" t="inlineStr">
        <is>
          <t>Holmen skog AB</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2280-2022</t>
        </is>
      </c>
      <c r="B4624" s="1" t="n">
        <v>44578</v>
      </c>
      <c r="C4624" s="1" t="n">
        <v>45344</v>
      </c>
      <c r="D4624" t="inlineStr">
        <is>
          <t>GÄVLEBORGS LÄN</t>
        </is>
      </c>
      <c r="E4624" t="inlineStr">
        <is>
          <t>HUDIKSVALL</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2449-2022</t>
        </is>
      </c>
      <c r="B4625" s="1" t="n">
        <v>44579</v>
      </c>
      <c r="C4625" s="1" t="n">
        <v>45344</v>
      </c>
      <c r="D4625" t="inlineStr">
        <is>
          <t>GÄVLEBORGS LÄN</t>
        </is>
      </c>
      <c r="E4625" t="inlineStr">
        <is>
          <t>LJUSDAL</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2417-2022</t>
        </is>
      </c>
      <c r="B4626" s="1" t="n">
        <v>44579</v>
      </c>
      <c r="C4626" s="1" t="n">
        <v>45344</v>
      </c>
      <c r="D4626" t="inlineStr">
        <is>
          <t>GÄVLEBORGS LÄN</t>
        </is>
      </c>
      <c r="E4626" t="inlineStr">
        <is>
          <t>OVANÅKER</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2489-2022</t>
        </is>
      </c>
      <c r="B4627" s="1" t="n">
        <v>44579</v>
      </c>
      <c r="C4627" s="1" t="n">
        <v>45344</v>
      </c>
      <c r="D4627" t="inlineStr">
        <is>
          <t>GÄVLEBORGS LÄN</t>
        </is>
      </c>
      <c r="E4627" t="inlineStr">
        <is>
          <t>NORDANSTIG</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2546-2022</t>
        </is>
      </c>
      <c r="B4628" s="1" t="n">
        <v>44579</v>
      </c>
      <c r="C4628" s="1" t="n">
        <v>45344</v>
      </c>
      <c r="D4628" t="inlineStr">
        <is>
          <t>GÄVLEBORGS LÄN</t>
        </is>
      </c>
      <c r="E4628" t="inlineStr">
        <is>
          <t>GÄVLE</t>
        </is>
      </c>
      <c r="F4628" t="inlineStr">
        <is>
          <t>Bergvik skog väst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2547-2022</t>
        </is>
      </c>
      <c r="B4629" s="1" t="n">
        <v>44580</v>
      </c>
      <c r="C4629" s="1" t="n">
        <v>45344</v>
      </c>
      <c r="D4629" t="inlineStr">
        <is>
          <t>GÄVLEBORGS LÄN</t>
        </is>
      </c>
      <c r="E4629" t="inlineStr">
        <is>
          <t>GÄVLE</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2611-2022</t>
        </is>
      </c>
      <c r="B4630" s="1" t="n">
        <v>44580</v>
      </c>
      <c r="C4630" s="1" t="n">
        <v>45344</v>
      </c>
      <c r="D4630" t="inlineStr">
        <is>
          <t>GÄVLEBORGS LÄN</t>
        </is>
      </c>
      <c r="E4630" t="inlineStr">
        <is>
          <t>BOLLNÄS</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2755-2022</t>
        </is>
      </c>
      <c r="B4631" s="1" t="n">
        <v>44580</v>
      </c>
      <c r="C4631" s="1" t="n">
        <v>45344</v>
      </c>
      <c r="D4631" t="inlineStr">
        <is>
          <t>GÄVLEBORGS LÄN</t>
        </is>
      </c>
      <c r="E4631" t="inlineStr">
        <is>
          <t>SÖDERHAMN</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2946-2022</t>
        </is>
      </c>
      <c r="B4632" s="1" t="n">
        <v>44581</v>
      </c>
      <c r="C4632" s="1" t="n">
        <v>45344</v>
      </c>
      <c r="D4632" t="inlineStr">
        <is>
          <t>GÄVLEBORGS LÄN</t>
        </is>
      </c>
      <c r="E4632" t="inlineStr">
        <is>
          <t>OVANÅKER</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2960-2022</t>
        </is>
      </c>
      <c r="B4633" s="1" t="n">
        <v>44581</v>
      </c>
      <c r="C4633" s="1" t="n">
        <v>45344</v>
      </c>
      <c r="D4633" t="inlineStr">
        <is>
          <t>GÄVLEBORGS LÄN</t>
        </is>
      </c>
      <c r="E4633" t="inlineStr">
        <is>
          <t>NORDANSTIG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3047-2022</t>
        </is>
      </c>
      <c r="B4634" s="1" t="n">
        <v>44581</v>
      </c>
      <c r="C4634" s="1" t="n">
        <v>45344</v>
      </c>
      <c r="D4634" t="inlineStr">
        <is>
          <t>GÄVLEBORGS LÄN</t>
        </is>
      </c>
      <c r="E4634" t="inlineStr">
        <is>
          <t>OVANÅKER</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3031-2022</t>
        </is>
      </c>
      <c r="B4635" s="1" t="n">
        <v>44582</v>
      </c>
      <c r="C4635" s="1" t="n">
        <v>45344</v>
      </c>
      <c r="D4635" t="inlineStr">
        <is>
          <t>GÄVLEBORGS LÄN</t>
        </is>
      </c>
      <c r="E4635" t="inlineStr">
        <is>
          <t>SÖDERHAMN</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3052-2022</t>
        </is>
      </c>
      <c r="B4636" s="1" t="n">
        <v>44582</v>
      </c>
      <c r="C4636" s="1" t="n">
        <v>45344</v>
      </c>
      <c r="D4636" t="inlineStr">
        <is>
          <t>GÄVLEBORGS LÄN</t>
        </is>
      </c>
      <c r="E4636" t="inlineStr">
        <is>
          <t>HOFORS</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3119-2022</t>
        </is>
      </c>
      <c r="B4637" s="1" t="n">
        <v>44582</v>
      </c>
      <c r="C4637" s="1" t="n">
        <v>45344</v>
      </c>
      <c r="D4637" t="inlineStr">
        <is>
          <t>GÄVLEBORGS LÄN</t>
        </is>
      </c>
      <c r="E4637" t="inlineStr">
        <is>
          <t>SANDVIKEN</t>
        </is>
      </c>
      <c r="F4637" t="inlineStr">
        <is>
          <t>Kyrkan</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3098-2022</t>
        </is>
      </c>
      <c r="B4638" s="1" t="n">
        <v>44582</v>
      </c>
      <c r="C4638" s="1" t="n">
        <v>45344</v>
      </c>
      <c r="D4638" t="inlineStr">
        <is>
          <t>GÄVLEBORGS LÄN</t>
        </is>
      </c>
      <c r="E4638" t="inlineStr">
        <is>
          <t>LJUSDAL</t>
        </is>
      </c>
      <c r="G4638" t="n">
        <v>0.1</v>
      </c>
      <c r="H4638" t="n">
        <v>0</v>
      </c>
      <c r="I4638" t="n">
        <v>0</v>
      </c>
      <c r="J4638" t="n">
        <v>0</v>
      </c>
      <c r="K4638" t="n">
        <v>0</v>
      </c>
      <c r="L4638" t="n">
        <v>0</v>
      </c>
      <c r="M4638" t="n">
        <v>0</v>
      </c>
      <c r="N4638" t="n">
        <v>0</v>
      </c>
      <c r="O4638" t="n">
        <v>0</v>
      </c>
      <c r="P4638" t="n">
        <v>0</v>
      </c>
      <c r="Q4638" t="n">
        <v>0</v>
      </c>
      <c r="R4638" s="2" t="inlineStr"/>
    </row>
    <row r="4639" ht="15" customHeight="1">
      <c r="A4639" t="inlineStr">
        <is>
          <t>A 3334-2022</t>
        </is>
      </c>
      <c r="B4639" s="1" t="n">
        <v>44585</v>
      </c>
      <c r="C4639" s="1" t="n">
        <v>45344</v>
      </c>
      <c r="D4639" t="inlineStr">
        <is>
          <t>GÄVLEBORGS LÄN</t>
        </is>
      </c>
      <c r="E4639" t="inlineStr">
        <is>
          <t>GÄVLE</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3402-2022</t>
        </is>
      </c>
      <c r="B4640" s="1" t="n">
        <v>44585</v>
      </c>
      <c r="C4640" s="1" t="n">
        <v>45344</v>
      </c>
      <c r="D4640" t="inlineStr">
        <is>
          <t>GÄVLEBORGS LÄN</t>
        </is>
      </c>
      <c r="E4640" t="inlineStr">
        <is>
          <t>OVANÅKER</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3429-2022</t>
        </is>
      </c>
      <c r="B4641" s="1" t="n">
        <v>44585</v>
      </c>
      <c r="C4641" s="1" t="n">
        <v>45344</v>
      </c>
      <c r="D4641" t="inlineStr">
        <is>
          <t>GÄVLEBORGS LÄN</t>
        </is>
      </c>
      <c r="E4641" t="inlineStr">
        <is>
          <t>BOLLNÄS</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3444-2022</t>
        </is>
      </c>
      <c r="B4642" s="1" t="n">
        <v>44585</v>
      </c>
      <c r="C4642" s="1" t="n">
        <v>45344</v>
      </c>
      <c r="D4642" t="inlineStr">
        <is>
          <t>GÄVLEBORGS LÄN</t>
        </is>
      </c>
      <c r="E4642" t="inlineStr">
        <is>
          <t>BOLLNÄS</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3472-2022</t>
        </is>
      </c>
      <c r="B4643" s="1" t="n">
        <v>44585</v>
      </c>
      <c r="C4643" s="1" t="n">
        <v>45344</v>
      </c>
      <c r="D4643" t="inlineStr">
        <is>
          <t>GÄVLEBORGS LÄN</t>
        </is>
      </c>
      <c r="E4643" t="inlineStr">
        <is>
          <t>GÄVLE</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3632-2022</t>
        </is>
      </c>
      <c r="B4644" s="1" t="n">
        <v>44586</v>
      </c>
      <c r="C4644" s="1" t="n">
        <v>45344</v>
      </c>
      <c r="D4644" t="inlineStr">
        <is>
          <t>GÄVLEBORGS LÄN</t>
        </is>
      </c>
      <c r="E4644" t="inlineStr">
        <is>
          <t>NORDANSTIG</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3679-2022</t>
        </is>
      </c>
      <c r="B4645" s="1" t="n">
        <v>44586</v>
      </c>
      <c r="C4645" s="1" t="n">
        <v>45344</v>
      </c>
      <c r="D4645" t="inlineStr">
        <is>
          <t>GÄVLEBORGS LÄN</t>
        </is>
      </c>
      <c r="E4645" t="inlineStr">
        <is>
          <t>SANDVIKEN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3569-2022</t>
        </is>
      </c>
      <c r="B4646" s="1" t="n">
        <v>44586</v>
      </c>
      <c r="C4646" s="1" t="n">
        <v>45344</v>
      </c>
      <c r="D4646" t="inlineStr">
        <is>
          <t>GÄVLEBORGS LÄN</t>
        </is>
      </c>
      <c r="E4646" t="inlineStr">
        <is>
          <t>GÄVLE</t>
        </is>
      </c>
      <c r="F4646" t="inlineStr">
        <is>
          <t>Bergvik skog väst AB</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3639-2022</t>
        </is>
      </c>
      <c r="B4647" s="1" t="n">
        <v>44586</v>
      </c>
      <c r="C4647" s="1" t="n">
        <v>45344</v>
      </c>
      <c r="D4647" t="inlineStr">
        <is>
          <t>GÄVLEBORGS LÄN</t>
        </is>
      </c>
      <c r="E4647" t="inlineStr">
        <is>
          <t>GÄVLE</t>
        </is>
      </c>
      <c r="F4647" t="inlineStr">
        <is>
          <t>Bergvik skog öst AB</t>
        </is>
      </c>
      <c r="G4647" t="n">
        <v>1.6</v>
      </c>
      <c r="H4647" t="n">
        <v>0</v>
      </c>
      <c r="I4647" t="n">
        <v>0</v>
      </c>
      <c r="J4647" t="n">
        <v>0</v>
      </c>
      <c r="K4647" t="n">
        <v>0</v>
      </c>
      <c r="L4647" t="n">
        <v>0</v>
      </c>
      <c r="M4647" t="n">
        <v>0</v>
      </c>
      <c r="N4647" t="n">
        <v>0</v>
      </c>
      <c r="O4647" t="n">
        <v>0</v>
      </c>
      <c r="P4647" t="n">
        <v>0</v>
      </c>
      <c r="Q4647" t="n">
        <v>0</v>
      </c>
      <c r="R4647" s="2" t="inlineStr"/>
    </row>
    <row r="4648" ht="15" customHeight="1">
      <c r="A4648" t="inlineStr">
        <is>
          <t>A 3662-2022</t>
        </is>
      </c>
      <c r="B4648" s="1" t="n">
        <v>44586</v>
      </c>
      <c r="C4648" s="1" t="n">
        <v>45344</v>
      </c>
      <c r="D4648" t="inlineStr">
        <is>
          <t>GÄVLEBORGS LÄN</t>
        </is>
      </c>
      <c r="E4648" t="inlineStr">
        <is>
          <t>GÄVLE</t>
        </is>
      </c>
      <c r="F4648" t="inlineStr">
        <is>
          <t>Bergvik skog öst AB</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3692-2022</t>
        </is>
      </c>
      <c r="B4649" s="1" t="n">
        <v>44586</v>
      </c>
      <c r="C4649" s="1" t="n">
        <v>45344</v>
      </c>
      <c r="D4649" t="inlineStr">
        <is>
          <t>GÄVLEBORGS LÄN</t>
        </is>
      </c>
      <c r="E4649" t="inlineStr">
        <is>
          <t>NORDANSTIG</t>
        </is>
      </c>
      <c r="F4649" t="inlineStr">
        <is>
          <t>Holmen skog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3745-2022</t>
        </is>
      </c>
      <c r="B4650" s="1" t="n">
        <v>44586</v>
      </c>
      <c r="C4650" s="1" t="n">
        <v>45344</v>
      </c>
      <c r="D4650" t="inlineStr">
        <is>
          <t>GÄVLEBORGS LÄN</t>
        </is>
      </c>
      <c r="E4650" t="inlineStr">
        <is>
          <t>OCKELBO</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3748-2022</t>
        </is>
      </c>
      <c r="B4651" s="1" t="n">
        <v>44586</v>
      </c>
      <c r="C4651" s="1" t="n">
        <v>45344</v>
      </c>
      <c r="D4651" t="inlineStr">
        <is>
          <t>GÄVLEBORGS LÄN</t>
        </is>
      </c>
      <c r="E4651" t="inlineStr">
        <is>
          <t>SANDVIKEN</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3851-2022</t>
        </is>
      </c>
      <c r="B4652" s="1" t="n">
        <v>44587</v>
      </c>
      <c r="C4652" s="1" t="n">
        <v>45344</v>
      </c>
      <c r="D4652" t="inlineStr">
        <is>
          <t>GÄVLEBORGS LÄN</t>
        </is>
      </c>
      <c r="E4652" t="inlineStr">
        <is>
          <t>HUDIKSVALL</t>
        </is>
      </c>
      <c r="F4652" t="inlineStr">
        <is>
          <t>Holmen skog AB</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3868-2022</t>
        </is>
      </c>
      <c r="B4653" s="1" t="n">
        <v>44587</v>
      </c>
      <c r="C4653" s="1" t="n">
        <v>45344</v>
      </c>
      <c r="D4653" t="inlineStr">
        <is>
          <t>GÄVLEBORGS LÄN</t>
        </is>
      </c>
      <c r="E4653" t="inlineStr">
        <is>
          <t>LJUSDAL</t>
        </is>
      </c>
      <c r="F4653" t="inlineStr">
        <is>
          <t>Sveaskog</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3899-2022</t>
        </is>
      </c>
      <c r="B4654" s="1" t="n">
        <v>44587</v>
      </c>
      <c r="C4654" s="1" t="n">
        <v>45344</v>
      </c>
      <c r="D4654" t="inlineStr">
        <is>
          <t>GÄVLEBORGS LÄN</t>
        </is>
      </c>
      <c r="E4654" t="inlineStr">
        <is>
          <t>SANDVIKEN</t>
        </is>
      </c>
      <c r="F4654" t="inlineStr">
        <is>
          <t>Kyrkan</t>
        </is>
      </c>
      <c r="G4654" t="n">
        <v>3.2</v>
      </c>
      <c r="H4654" t="n">
        <v>0</v>
      </c>
      <c r="I4654" t="n">
        <v>0</v>
      </c>
      <c r="J4654" t="n">
        <v>0</v>
      </c>
      <c r="K4654" t="n">
        <v>0</v>
      </c>
      <c r="L4654" t="n">
        <v>0</v>
      </c>
      <c r="M4654" t="n">
        <v>0</v>
      </c>
      <c r="N4654" t="n">
        <v>0</v>
      </c>
      <c r="O4654" t="n">
        <v>0</v>
      </c>
      <c r="P4654" t="n">
        <v>0</v>
      </c>
      <c r="Q4654" t="n">
        <v>0</v>
      </c>
      <c r="R4654" s="2" t="inlineStr"/>
    </row>
    <row r="4655" ht="15" customHeight="1">
      <c r="A4655" t="inlineStr">
        <is>
          <t>A 3909-2022</t>
        </is>
      </c>
      <c r="B4655" s="1" t="n">
        <v>44587</v>
      </c>
      <c r="C4655" s="1" t="n">
        <v>45344</v>
      </c>
      <c r="D4655" t="inlineStr">
        <is>
          <t>GÄVLEBORGS LÄN</t>
        </is>
      </c>
      <c r="E4655" t="inlineStr">
        <is>
          <t>SANDVIKEN</t>
        </is>
      </c>
      <c r="F4655" t="inlineStr">
        <is>
          <t>Kyrkan</t>
        </is>
      </c>
      <c r="G4655" t="n">
        <v>5</v>
      </c>
      <c r="H4655" t="n">
        <v>0</v>
      </c>
      <c r="I4655" t="n">
        <v>0</v>
      </c>
      <c r="J4655" t="n">
        <v>0</v>
      </c>
      <c r="K4655" t="n">
        <v>0</v>
      </c>
      <c r="L4655" t="n">
        <v>0</v>
      </c>
      <c r="M4655" t="n">
        <v>0</v>
      </c>
      <c r="N4655" t="n">
        <v>0</v>
      </c>
      <c r="O4655" t="n">
        <v>0</v>
      </c>
      <c r="P4655" t="n">
        <v>0</v>
      </c>
      <c r="Q4655" t="n">
        <v>0</v>
      </c>
      <c r="R4655" s="2" t="inlineStr"/>
    </row>
    <row r="4656" ht="15" customHeight="1">
      <c r="A4656" t="inlineStr">
        <is>
          <t>A 4152-2022</t>
        </is>
      </c>
      <c r="B4656" s="1" t="n">
        <v>44588</v>
      </c>
      <c r="C4656" s="1" t="n">
        <v>45344</v>
      </c>
      <c r="D4656" t="inlineStr">
        <is>
          <t>GÄVLEBORGS LÄN</t>
        </is>
      </c>
      <c r="E4656" t="inlineStr">
        <is>
          <t>GÄVLE</t>
        </is>
      </c>
      <c r="F4656" t="inlineStr">
        <is>
          <t>Bergvik skog öst AB</t>
        </is>
      </c>
      <c r="G4656" t="n">
        <v>4.6</v>
      </c>
      <c r="H4656" t="n">
        <v>0</v>
      </c>
      <c r="I4656" t="n">
        <v>0</v>
      </c>
      <c r="J4656" t="n">
        <v>0</v>
      </c>
      <c r="K4656" t="n">
        <v>0</v>
      </c>
      <c r="L4656" t="n">
        <v>0</v>
      </c>
      <c r="M4656" t="n">
        <v>0</v>
      </c>
      <c r="N4656" t="n">
        <v>0</v>
      </c>
      <c r="O4656" t="n">
        <v>0</v>
      </c>
      <c r="P4656" t="n">
        <v>0</v>
      </c>
      <c r="Q4656" t="n">
        <v>0</v>
      </c>
      <c r="R4656" s="2" t="inlineStr"/>
    </row>
    <row r="4657" ht="15" customHeight="1">
      <c r="A4657" t="inlineStr">
        <is>
          <t>A 4225-2022</t>
        </is>
      </c>
      <c r="B4657" s="1" t="n">
        <v>44588</v>
      </c>
      <c r="C4657" s="1" t="n">
        <v>45344</v>
      </c>
      <c r="D4657" t="inlineStr">
        <is>
          <t>GÄVLEBORGS LÄN</t>
        </is>
      </c>
      <c r="E4657" t="inlineStr">
        <is>
          <t>HUDIKSVALL</t>
        </is>
      </c>
      <c r="F4657" t="inlineStr">
        <is>
          <t>Holmen skog AB</t>
        </is>
      </c>
      <c r="G4657" t="n">
        <v>8.5</v>
      </c>
      <c r="H4657" t="n">
        <v>0</v>
      </c>
      <c r="I4657" t="n">
        <v>0</v>
      </c>
      <c r="J4657" t="n">
        <v>0</v>
      </c>
      <c r="K4657" t="n">
        <v>0</v>
      </c>
      <c r="L4657" t="n">
        <v>0</v>
      </c>
      <c r="M4657" t="n">
        <v>0</v>
      </c>
      <c r="N4657" t="n">
        <v>0</v>
      </c>
      <c r="O4657" t="n">
        <v>0</v>
      </c>
      <c r="P4657" t="n">
        <v>0</v>
      </c>
      <c r="Q4657" t="n">
        <v>0</v>
      </c>
      <c r="R4657" s="2" t="inlineStr"/>
    </row>
    <row r="4658" ht="15" customHeight="1">
      <c r="A4658" t="inlineStr">
        <is>
          <t>A 4313-2022</t>
        </is>
      </c>
      <c r="B4658" s="1" t="n">
        <v>44588</v>
      </c>
      <c r="C4658" s="1" t="n">
        <v>45344</v>
      </c>
      <c r="D4658" t="inlineStr">
        <is>
          <t>GÄVLEBORGS LÄN</t>
        </is>
      </c>
      <c r="E4658" t="inlineStr">
        <is>
          <t>OCKELBO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4433-2022</t>
        </is>
      </c>
      <c r="B4659" s="1" t="n">
        <v>44589</v>
      </c>
      <c r="C4659" s="1" t="n">
        <v>45344</v>
      </c>
      <c r="D4659" t="inlineStr">
        <is>
          <t>GÄVLEBORGS LÄN</t>
        </is>
      </c>
      <c r="E4659" t="inlineStr">
        <is>
          <t>LJUSDAL</t>
        </is>
      </c>
      <c r="G4659" t="n">
        <v>10.3</v>
      </c>
      <c r="H4659" t="n">
        <v>0</v>
      </c>
      <c r="I4659" t="n">
        <v>0</v>
      </c>
      <c r="J4659" t="n">
        <v>0</v>
      </c>
      <c r="K4659" t="n">
        <v>0</v>
      </c>
      <c r="L4659" t="n">
        <v>0</v>
      </c>
      <c r="M4659" t="n">
        <v>0</v>
      </c>
      <c r="N4659" t="n">
        <v>0</v>
      </c>
      <c r="O4659" t="n">
        <v>0</v>
      </c>
      <c r="P4659" t="n">
        <v>0</v>
      </c>
      <c r="Q4659" t="n">
        <v>0</v>
      </c>
      <c r="R4659" s="2" t="inlineStr"/>
    </row>
    <row r="4660" ht="15" customHeight="1">
      <c r="A4660" t="inlineStr">
        <is>
          <t>A 4482-2022</t>
        </is>
      </c>
      <c r="B4660" s="1" t="n">
        <v>44589</v>
      </c>
      <c r="C4660" s="1" t="n">
        <v>45344</v>
      </c>
      <c r="D4660" t="inlineStr">
        <is>
          <t>GÄVLEBORGS LÄN</t>
        </is>
      </c>
      <c r="E4660" t="inlineStr">
        <is>
          <t>GÄVLE</t>
        </is>
      </c>
      <c r="F4660" t="inlineStr">
        <is>
          <t>Bergvik skog öst AB</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4414-2022</t>
        </is>
      </c>
      <c r="B4661" s="1" t="n">
        <v>44589</v>
      </c>
      <c r="C4661" s="1" t="n">
        <v>45344</v>
      </c>
      <c r="D4661" t="inlineStr">
        <is>
          <t>GÄVLEBORGS LÄN</t>
        </is>
      </c>
      <c r="E4661" t="inlineStr">
        <is>
          <t>NORDANSTIG</t>
        </is>
      </c>
      <c r="G4661" t="n">
        <v>12.6</v>
      </c>
      <c r="H4661" t="n">
        <v>0</v>
      </c>
      <c r="I4661" t="n">
        <v>0</v>
      </c>
      <c r="J4661" t="n">
        <v>0</v>
      </c>
      <c r="K4661" t="n">
        <v>0</v>
      </c>
      <c r="L4661" t="n">
        <v>0</v>
      </c>
      <c r="M4661" t="n">
        <v>0</v>
      </c>
      <c r="N4661" t="n">
        <v>0</v>
      </c>
      <c r="O4661" t="n">
        <v>0</v>
      </c>
      <c r="P4661" t="n">
        <v>0</v>
      </c>
      <c r="Q4661" t="n">
        <v>0</v>
      </c>
      <c r="R4661" s="2" t="inlineStr"/>
    </row>
    <row r="4662" ht="15" customHeight="1">
      <c r="A4662" t="inlineStr">
        <is>
          <t>A 4349-2022</t>
        </is>
      </c>
      <c r="B4662" s="1" t="n">
        <v>44589</v>
      </c>
      <c r="C4662" s="1" t="n">
        <v>45344</v>
      </c>
      <c r="D4662" t="inlineStr">
        <is>
          <t>GÄVLEBORGS LÄN</t>
        </is>
      </c>
      <c r="E4662" t="inlineStr">
        <is>
          <t>GÄVLE</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4543-2022</t>
        </is>
      </c>
      <c r="B4663" s="1" t="n">
        <v>44590</v>
      </c>
      <c r="C4663" s="1" t="n">
        <v>45344</v>
      </c>
      <c r="D4663" t="inlineStr">
        <is>
          <t>GÄVLEBORGS LÄN</t>
        </is>
      </c>
      <c r="E4663" t="inlineStr">
        <is>
          <t>LJUSDAL</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4759-2022</t>
        </is>
      </c>
      <c r="B4664" s="1" t="n">
        <v>44592</v>
      </c>
      <c r="C4664" s="1" t="n">
        <v>45344</v>
      </c>
      <c r="D4664" t="inlineStr">
        <is>
          <t>GÄVLEBORGS LÄN</t>
        </is>
      </c>
      <c r="E4664" t="inlineStr">
        <is>
          <t>HUDIKSVALL</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4813-2022</t>
        </is>
      </c>
      <c r="B4665" s="1" t="n">
        <v>44592</v>
      </c>
      <c r="C4665" s="1" t="n">
        <v>45344</v>
      </c>
      <c r="D4665" t="inlineStr">
        <is>
          <t>GÄVLEBORGS LÄN</t>
        </is>
      </c>
      <c r="E4665" t="inlineStr">
        <is>
          <t>LJUSDAL</t>
        </is>
      </c>
      <c r="F4665" t="inlineStr">
        <is>
          <t>Sveaskog</t>
        </is>
      </c>
      <c r="G4665" t="n">
        <v>0.1</v>
      </c>
      <c r="H4665" t="n">
        <v>0</v>
      </c>
      <c r="I4665" t="n">
        <v>0</v>
      </c>
      <c r="J4665" t="n">
        <v>0</v>
      </c>
      <c r="K4665" t="n">
        <v>0</v>
      </c>
      <c r="L4665" t="n">
        <v>0</v>
      </c>
      <c r="M4665" t="n">
        <v>0</v>
      </c>
      <c r="N4665" t="n">
        <v>0</v>
      </c>
      <c r="O4665" t="n">
        <v>0</v>
      </c>
      <c r="P4665" t="n">
        <v>0</v>
      </c>
      <c r="Q4665" t="n">
        <v>0</v>
      </c>
      <c r="R4665" s="2" t="inlineStr"/>
    </row>
    <row r="4666" ht="15" customHeight="1">
      <c r="A4666" t="inlineStr">
        <is>
          <t>A 4935-2022</t>
        </is>
      </c>
      <c r="B4666" s="1" t="n">
        <v>44593</v>
      </c>
      <c r="C4666" s="1" t="n">
        <v>45344</v>
      </c>
      <c r="D4666" t="inlineStr">
        <is>
          <t>GÄVLEBORGS LÄN</t>
        </is>
      </c>
      <c r="E4666" t="inlineStr">
        <is>
          <t>GÄVLE</t>
        </is>
      </c>
      <c r="F4666" t="inlineStr">
        <is>
          <t>Kyrkan</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5033-2022</t>
        </is>
      </c>
      <c r="B4667" s="1" t="n">
        <v>44593</v>
      </c>
      <c r="C4667" s="1" t="n">
        <v>45344</v>
      </c>
      <c r="D4667" t="inlineStr">
        <is>
          <t>GÄVLEBORGS LÄN</t>
        </is>
      </c>
      <c r="E4667" t="inlineStr">
        <is>
          <t>HUDIKSVALL</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5135-2022</t>
        </is>
      </c>
      <c r="B4668" s="1" t="n">
        <v>44594</v>
      </c>
      <c r="C4668" s="1" t="n">
        <v>45344</v>
      </c>
      <c r="D4668" t="inlineStr">
        <is>
          <t>GÄVLEBORGS LÄN</t>
        </is>
      </c>
      <c r="E4668" t="inlineStr">
        <is>
          <t>BOLLNÄS</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5149-2022</t>
        </is>
      </c>
      <c r="B4669" s="1" t="n">
        <v>44594</v>
      </c>
      <c r="C4669" s="1" t="n">
        <v>45344</v>
      </c>
      <c r="D4669" t="inlineStr">
        <is>
          <t>GÄVLEBORGS LÄN</t>
        </is>
      </c>
      <c r="E4669" t="inlineStr">
        <is>
          <t>GÄVLE</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5296-2022</t>
        </is>
      </c>
      <c r="B4670" s="1" t="n">
        <v>44594</v>
      </c>
      <c r="C4670" s="1" t="n">
        <v>45344</v>
      </c>
      <c r="D4670" t="inlineStr">
        <is>
          <t>GÄVLEBORGS LÄN</t>
        </is>
      </c>
      <c r="E4670" t="inlineStr">
        <is>
          <t>BOLLNÄS</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5294-2022</t>
        </is>
      </c>
      <c r="B4671" s="1" t="n">
        <v>44594</v>
      </c>
      <c r="C4671" s="1" t="n">
        <v>45344</v>
      </c>
      <c r="D4671" t="inlineStr">
        <is>
          <t>GÄVLEBORGS LÄN</t>
        </is>
      </c>
      <c r="E4671" t="inlineStr">
        <is>
          <t>NORDANSTIG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5315-2022</t>
        </is>
      </c>
      <c r="B4672" s="1" t="n">
        <v>44594</v>
      </c>
      <c r="C4672" s="1" t="n">
        <v>45344</v>
      </c>
      <c r="D4672" t="inlineStr">
        <is>
          <t>GÄVLEBORGS LÄN</t>
        </is>
      </c>
      <c r="E4672" t="inlineStr">
        <is>
          <t>HUDIKSVALL</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5430-2022</t>
        </is>
      </c>
      <c r="B4673" s="1" t="n">
        <v>44595</v>
      </c>
      <c r="C4673" s="1" t="n">
        <v>45344</v>
      </c>
      <c r="D4673" t="inlineStr">
        <is>
          <t>GÄVLEBORGS LÄN</t>
        </is>
      </c>
      <c r="E4673" t="inlineStr">
        <is>
          <t>SANDVIKEN</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5411-2022</t>
        </is>
      </c>
      <c r="B4674" s="1" t="n">
        <v>44595</v>
      </c>
      <c r="C4674" s="1" t="n">
        <v>45344</v>
      </c>
      <c r="D4674" t="inlineStr">
        <is>
          <t>GÄVLEBORGS LÄN</t>
        </is>
      </c>
      <c r="E4674" t="inlineStr">
        <is>
          <t>NORDANSTIG</t>
        </is>
      </c>
      <c r="G4674" t="n">
        <v>3.5</v>
      </c>
      <c r="H4674" t="n">
        <v>0</v>
      </c>
      <c r="I4674" t="n">
        <v>0</v>
      </c>
      <c r="J4674" t="n">
        <v>0</v>
      </c>
      <c r="K4674" t="n">
        <v>0</v>
      </c>
      <c r="L4674" t="n">
        <v>0</v>
      </c>
      <c r="M4674" t="n">
        <v>0</v>
      </c>
      <c r="N4674" t="n">
        <v>0</v>
      </c>
      <c r="O4674" t="n">
        <v>0</v>
      </c>
      <c r="P4674" t="n">
        <v>0</v>
      </c>
      <c r="Q4674" t="n">
        <v>0</v>
      </c>
      <c r="R4674" s="2" t="inlineStr"/>
    </row>
    <row r="4675" ht="15" customHeight="1">
      <c r="A4675" t="inlineStr">
        <is>
          <t>A 5495-2022</t>
        </is>
      </c>
      <c r="B4675" s="1" t="n">
        <v>44595</v>
      </c>
      <c r="C4675" s="1" t="n">
        <v>45344</v>
      </c>
      <c r="D4675" t="inlineStr">
        <is>
          <t>GÄVLEBORGS LÄN</t>
        </is>
      </c>
      <c r="E4675" t="inlineStr">
        <is>
          <t>BOLLNÄS</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5579-2022</t>
        </is>
      </c>
      <c r="B4676" s="1" t="n">
        <v>44595</v>
      </c>
      <c r="C4676" s="1" t="n">
        <v>45344</v>
      </c>
      <c r="D4676" t="inlineStr">
        <is>
          <t>GÄVLEBORGS LÄN</t>
        </is>
      </c>
      <c r="E4676" t="inlineStr">
        <is>
          <t>BOLLNÄS</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5614-2022</t>
        </is>
      </c>
      <c r="B4677" s="1" t="n">
        <v>44595</v>
      </c>
      <c r="C4677" s="1" t="n">
        <v>45344</v>
      </c>
      <c r="D4677" t="inlineStr">
        <is>
          <t>GÄVLEBORGS LÄN</t>
        </is>
      </c>
      <c r="E4677" t="inlineStr">
        <is>
          <t>LJUSDAL</t>
        </is>
      </c>
      <c r="G4677" t="n">
        <v>4.2</v>
      </c>
      <c r="H4677" t="n">
        <v>0</v>
      </c>
      <c r="I4677" t="n">
        <v>0</v>
      </c>
      <c r="J4677" t="n">
        <v>0</v>
      </c>
      <c r="K4677" t="n">
        <v>0</v>
      </c>
      <c r="L4677" t="n">
        <v>0</v>
      </c>
      <c r="M4677" t="n">
        <v>0</v>
      </c>
      <c r="N4677" t="n">
        <v>0</v>
      </c>
      <c r="O4677" t="n">
        <v>0</v>
      </c>
      <c r="P4677" t="n">
        <v>0</v>
      </c>
      <c r="Q4677" t="n">
        <v>0</v>
      </c>
      <c r="R4677" s="2" t="inlineStr"/>
    </row>
    <row r="4678" ht="15" customHeight="1">
      <c r="A4678" t="inlineStr">
        <is>
          <t>A 5561-2022</t>
        </is>
      </c>
      <c r="B4678" s="1" t="n">
        <v>44595</v>
      </c>
      <c r="C4678" s="1" t="n">
        <v>45344</v>
      </c>
      <c r="D4678" t="inlineStr">
        <is>
          <t>GÄVLEBORGS LÄN</t>
        </is>
      </c>
      <c r="E4678" t="inlineStr">
        <is>
          <t>BOLLNÄS</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5610-2022</t>
        </is>
      </c>
      <c r="B4679" s="1" t="n">
        <v>44595</v>
      </c>
      <c r="C4679" s="1" t="n">
        <v>45344</v>
      </c>
      <c r="D4679" t="inlineStr">
        <is>
          <t>GÄVLEBORGS LÄN</t>
        </is>
      </c>
      <c r="E4679" t="inlineStr">
        <is>
          <t>SANDVIKEN</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5682-2022</t>
        </is>
      </c>
      <c r="B4680" s="1" t="n">
        <v>44596</v>
      </c>
      <c r="C4680" s="1" t="n">
        <v>45344</v>
      </c>
      <c r="D4680" t="inlineStr">
        <is>
          <t>GÄVLEBORGS LÄN</t>
        </is>
      </c>
      <c r="E4680" t="inlineStr">
        <is>
          <t>NORDANSTIG</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5691-2022</t>
        </is>
      </c>
      <c r="B4681" s="1" t="n">
        <v>44596</v>
      </c>
      <c r="C4681" s="1" t="n">
        <v>45344</v>
      </c>
      <c r="D4681" t="inlineStr">
        <is>
          <t>GÄVLEBORGS LÄN</t>
        </is>
      </c>
      <c r="E4681" t="inlineStr">
        <is>
          <t>BOLLNÄS</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5810-2022</t>
        </is>
      </c>
      <c r="B4682" s="1" t="n">
        <v>44596</v>
      </c>
      <c r="C4682" s="1" t="n">
        <v>45344</v>
      </c>
      <c r="D4682" t="inlineStr">
        <is>
          <t>GÄVLEBORGS LÄN</t>
        </is>
      </c>
      <c r="E4682" t="inlineStr">
        <is>
          <t>BOLLNÄS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5825-2022</t>
        </is>
      </c>
      <c r="B4683" s="1" t="n">
        <v>44596</v>
      </c>
      <c r="C4683" s="1" t="n">
        <v>45344</v>
      </c>
      <c r="D4683" t="inlineStr">
        <is>
          <t>GÄVLEBORGS LÄN</t>
        </is>
      </c>
      <c r="E4683" t="inlineStr">
        <is>
          <t>SANDVIKEN</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5806-2022</t>
        </is>
      </c>
      <c r="B4684" s="1" t="n">
        <v>44596</v>
      </c>
      <c r="C4684" s="1" t="n">
        <v>45344</v>
      </c>
      <c r="D4684" t="inlineStr">
        <is>
          <t>GÄVLEBORGS LÄN</t>
        </is>
      </c>
      <c r="E4684" t="inlineStr">
        <is>
          <t>BOLLNÄS</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5857-2022</t>
        </is>
      </c>
      <c r="B4685" s="1" t="n">
        <v>44596</v>
      </c>
      <c r="C4685" s="1" t="n">
        <v>45344</v>
      </c>
      <c r="D4685" t="inlineStr">
        <is>
          <t>GÄVLEBORGS LÄN</t>
        </is>
      </c>
      <c r="E4685" t="inlineStr">
        <is>
          <t>NORDANSTIG</t>
        </is>
      </c>
      <c r="G4685" t="n">
        <v>4.6</v>
      </c>
      <c r="H4685" t="n">
        <v>0</v>
      </c>
      <c r="I4685" t="n">
        <v>0</v>
      </c>
      <c r="J4685" t="n">
        <v>0</v>
      </c>
      <c r="K4685" t="n">
        <v>0</v>
      </c>
      <c r="L4685" t="n">
        <v>0</v>
      </c>
      <c r="M4685" t="n">
        <v>0</v>
      </c>
      <c r="N4685" t="n">
        <v>0</v>
      </c>
      <c r="O4685" t="n">
        <v>0</v>
      </c>
      <c r="P4685" t="n">
        <v>0</v>
      </c>
      <c r="Q4685" t="n">
        <v>0</v>
      </c>
      <c r="R4685" s="2" t="inlineStr"/>
    </row>
    <row r="4686" ht="15" customHeight="1">
      <c r="A4686" t="inlineStr">
        <is>
          <t>A 5892-2022</t>
        </is>
      </c>
      <c r="B4686" s="1" t="n">
        <v>44596</v>
      </c>
      <c r="C4686" s="1" t="n">
        <v>45344</v>
      </c>
      <c r="D4686" t="inlineStr">
        <is>
          <t>GÄVLEBORGS LÄN</t>
        </is>
      </c>
      <c r="E4686" t="inlineStr">
        <is>
          <t>NORDANSTIG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5894-2022</t>
        </is>
      </c>
      <c r="B4687" s="1" t="n">
        <v>44596</v>
      </c>
      <c r="C4687" s="1" t="n">
        <v>45344</v>
      </c>
      <c r="D4687" t="inlineStr">
        <is>
          <t>GÄVLEBORGS LÄN</t>
        </is>
      </c>
      <c r="E4687" t="inlineStr">
        <is>
          <t>BOLLNÄS</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5889-2022</t>
        </is>
      </c>
      <c r="B4688" s="1" t="n">
        <v>44596</v>
      </c>
      <c r="C4688" s="1" t="n">
        <v>45344</v>
      </c>
      <c r="D4688" t="inlineStr">
        <is>
          <t>GÄVLEBORGS LÄN</t>
        </is>
      </c>
      <c r="E4688" t="inlineStr">
        <is>
          <t>LJUSDAL</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5891-2022</t>
        </is>
      </c>
      <c r="B4689" s="1" t="n">
        <v>44596</v>
      </c>
      <c r="C4689" s="1" t="n">
        <v>45344</v>
      </c>
      <c r="D4689" t="inlineStr">
        <is>
          <t>GÄVLEBORGS LÄN</t>
        </is>
      </c>
      <c r="E4689" t="inlineStr">
        <is>
          <t>NORDANSTIG</t>
        </is>
      </c>
      <c r="G4689" t="n">
        <v>5.6</v>
      </c>
      <c r="H4689" t="n">
        <v>0</v>
      </c>
      <c r="I4689" t="n">
        <v>0</v>
      </c>
      <c r="J4689" t="n">
        <v>0</v>
      </c>
      <c r="K4689" t="n">
        <v>0</v>
      </c>
      <c r="L4689" t="n">
        <v>0</v>
      </c>
      <c r="M4689" t="n">
        <v>0</v>
      </c>
      <c r="N4689" t="n">
        <v>0</v>
      </c>
      <c r="O4689" t="n">
        <v>0</v>
      </c>
      <c r="P4689" t="n">
        <v>0</v>
      </c>
      <c r="Q4689" t="n">
        <v>0</v>
      </c>
      <c r="R4689" s="2" t="inlineStr"/>
    </row>
    <row r="4690" ht="15" customHeight="1">
      <c r="A4690" t="inlineStr">
        <is>
          <t>A 5975-2022</t>
        </is>
      </c>
      <c r="B4690" s="1" t="n">
        <v>44599</v>
      </c>
      <c r="C4690" s="1" t="n">
        <v>45344</v>
      </c>
      <c r="D4690" t="inlineStr">
        <is>
          <t>GÄVLEBORGS LÄN</t>
        </is>
      </c>
      <c r="E4690" t="inlineStr">
        <is>
          <t>GÄVLE</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6001-2022</t>
        </is>
      </c>
      <c r="B4691" s="1" t="n">
        <v>44599</v>
      </c>
      <c r="C4691" s="1" t="n">
        <v>45344</v>
      </c>
      <c r="D4691" t="inlineStr">
        <is>
          <t>GÄVLEBORGS LÄN</t>
        </is>
      </c>
      <c r="E4691" t="inlineStr">
        <is>
          <t>GÄVLE</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6025-2022</t>
        </is>
      </c>
      <c r="B4692" s="1" t="n">
        <v>44599</v>
      </c>
      <c r="C4692" s="1" t="n">
        <v>45344</v>
      </c>
      <c r="D4692" t="inlineStr">
        <is>
          <t>GÄVLEBORGS LÄN</t>
        </is>
      </c>
      <c r="E4692" t="inlineStr">
        <is>
          <t>GÄVLE</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6096-2022</t>
        </is>
      </c>
      <c r="B4693" s="1" t="n">
        <v>44599</v>
      </c>
      <c r="C4693" s="1" t="n">
        <v>45344</v>
      </c>
      <c r="D4693" t="inlineStr">
        <is>
          <t>GÄVLEBORGS LÄN</t>
        </is>
      </c>
      <c r="E4693" t="inlineStr">
        <is>
          <t>NORDANSTIG</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6331-2022</t>
        </is>
      </c>
      <c r="B4694" s="1" t="n">
        <v>44600</v>
      </c>
      <c r="C4694" s="1" t="n">
        <v>45344</v>
      </c>
      <c r="D4694" t="inlineStr">
        <is>
          <t>GÄVLEBORGS LÄN</t>
        </is>
      </c>
      <c r="E4694" t="inlineStr">
        <is>
          <t>GÄVLE</t>
        </is>
      </c>
      <c r="F4694" t="inlineStr">
        <is>
          <t>Kyrkan</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6308-2022</t>
        </is>
      </c>
      <c r="B4695" s="1" t="n">
        <v>44600</v>
      </c>
      <c r="C4695" s="1" t="n">
        <v>45344</v>
      </c>
      <c r="D4695" t="inlineStr">
        <is>
          <t>GÄVLEBORGS LÄN</t>
        </is>
      </c>
      <c r="E4695" t="inlineStr">
        <is>
          <t>LJUSDAL</t>
        </is>
      </c>
      <c r="G4695" t="n">
        <v>5</v>
      </c>
      <c r="H4695" t="n">
        <v>0</v>
      </c>
      <c r="I4695" t="n">
        <v>0</v>
      </c>
      <c r="J4695" t="n">
        <v>0</v>
      </c>
      <c r="K4695" t="n">
        <v>0</v>
      </c>
      <c r="L4695" t="n">
        <v>0</v>
      </c>
      <c r="M4695" t="n">
        <v>0</v>
      </c>
      <c r="N4695" t="n">
        <v>0</v>
      </c>
      <c r="O4695" t="n">
        <v>0</v>
      </c>
      <c r="P4695" t="n">
        <v>0</v>
      </c>
      <c r="Q4695" t="n">
        <v>0</v>
      </c>
      <c r="R4695" s="2" t="inlineStr"/>
    </row>
    <row r="4696" ht="15" customHeight="1">
      <c r="A4696" t="inlineStr">
        <is>
          <t>A 6569-2022</t>
        </is>
      </c>
      <c r="B4696" s="1" t="n">
        <v>44601</v>
      </c>
      <c r="C4696" s="1" t="n">
        <v>45344</v>
      </c>
      <c r="D4696" t="inlineStr">
        <is>
          <t>GÄVLEBORGS LÄN</t>
        </is>
      </c>
      <c r="E4696" t="inlineStr">
        <is>
          <t>NORDANSTIG</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6500-2022</t>
        </is>
      </c>
      <c r="B4697" s="1" t="n">
        <v>44601</v>
      </c>
      <c r="C4697" s="1" t="n">
        <v>45344</v>
      </c>
      <c r="D4697" t="inlineStr">
        <is>
          <t>GÄVLEBORGS LÄN</t>
        </is>
      </c>
      <c r="E4697" t="inlineStr">
        <is>
          <t>NORDANSTIG</t>
        </is>
      </c>
      <c r="G4697" t="n">
        <v>1.6</v>
      </c>
      <c r="H4697" t="n">
        <v>0</v>
      </c>
      <c r="I4697" t="n">
        <v>0</v>
      </c>
      <c r="J4697" t="n">
        <v>0</v>
      </c>
      <c r="K4697" t="n">
        <v>0</v>
      </c>
      <c r="L4697" t="n">
        <v>0</v>
      </c>
      <c r="M4697" t="n">
        <v>0</v>
      </c>
      <c r="N4697" t="n">
        <v>0</v>
      </c>
      <c r="O4697" t="n">
        <v>0</v>
      </c>
      <c r="P4697" t="n">
        <v>0</v>
      </c>
      <c r="Q4697" t="n">
        <v>0</v>
      </c>
      <c r="R4697" s="2" t="inlineStr"/>
    </row>
    <row r="4698" ht="15" customHeight="1">
      <c r="A4698" t="inlineStr">
        <is>
          <t>A 6549-2022</t>
        </is>
      </c>
      <c r="B4698" s="1" t="n">
        <v>44601</v>
      </c>
      <c r="C4698" s="1" t="n">
        <v>45344</v>
      </c>
      <c r="D4698" t="inlineStr">
        <is>
          <t>GÄVLEBORGS LÄN</t>
        </is>
      </c>
      <c r="E4698" t="inlineStr">
        <is>
          <t>BOLLNÄS</t>
        </is>
      </c>
      <c r="G4698" t="n">
        <v>3</v>
      </c>
      <c r="H4698" t="n">
        <v>0</v>
      </c>
      <c r="I4698" t="n">
        <v>0</v>
      </c>
      <c r="J4698" t="n">
        <v>0</v>
      </c>
      <c r="K4698" t="n">
        <v>0</v>
      </c>
      <c r="L4698" t="n">
        <v>0</v>
      </c>
      <c r="M4698" t="n">
        <v>0</v>
      </c>
      <c r="N4698" t="n">
        <v>0</v>
      </c>
      <c r="O4698" t="n">
        <v>0</v>
      </c>
      <c r="P4698" t="n">
        <v>0</v>
      </c>
      <c r="Q4698" t="n">
        <v>0</v>
      </c>
      <c r="R4698" s="2" t="inlineStr"/>
    </row>
    <row r="4699" ht="15" customHeight="1">
      <c r="A4699" t="inlineStr">
        <is>
          <t>A 6560-2022</t>
        </is>
      </c>
      <c r="B4699" s="1" t="n">
        <v>44601</v>
      </c>
      <c r="C4699" s="1" t="n">
        <v>45344</v>
      </c>
      <c r="D4699" t="inlineStr">
        <is>
          <t>GÄVLEBORGS LÄN</t>
        </is>
      </c>
      <c r="E4699" t="inlineStr">
        <is>
          <t>HOFORS</t>
        </is>
      </c>
      <c r="G4699" t="n">
        <v>12.2</v>
      </c>
      <c r="H4699" t="n">
        <v>0</v>
      </c>
      <c r="I4699" t="n">
        <v>0</v>
      </c>
      <c r="J4699" t="n">
        <v>0</v>
      </c>
      <c r="K4699" t="n">
        <v>0</v>
      </c>
      <c r="L4699" t="n">
        <v>0</v>
      </c>
      <c r="M4699" t="n">
        <v>0</v>
      </c>
      <c r="N4699" t="n">
        <v>0</v>
      </c>
      <c r="O4699" t="n">
        <v>0</v>
      </c>
      <c r="P4699" t="n">
        <v>0</v>
      </c>
      <c r="Q4699" t="n">
        <v>0</v>
      </c>
      <c r="R4699" s="2" t="inlineStr"/>
    </row>
    <row r="4700" ht="15" customHeight="1">
      <c r="A4700" t="inlineStr">
        <is>
          <t>A 6634-2022</t>
        </is>
      </c>
      <c r="B4700" s="1" t="n">
        <v>44601</v>
      </c>
      <c r="C4700" s="1" t="n">
        <v>45344</v>
      </c>
      <c r="D4700" t="inlineStr">
        <is>
          <t>GÄVLEBORGS LÄN</t>
        </is>
      </c>
      <c r="E4700" t="inlineStr">
        <is>
          <t>LJUSDAL</t>
        </is>
      </c>
      <c r="G4700" t="n">
        <v>2.2</v>
      </c>
      <c r="H4700" t="n">
        <v>0</v>
      </c>
      <c r="I4700" t="n">
        <v>0</v>
      </c>
      <c r="J4700" t="n">
        <v>0</v>
      </c>
      <c r="K4700" t="n">
        <v>0</v>
      </c>
      <c r="L4700" t="n">
        <v>0</v>
      </c>
      <c r="M4700" t="n">
        <v>0</v>
      </c>
      <c r="N4700" t="n">
        <v>0</v>
      </c>
      <c r="O4700" t="n">
        <v>0</v>
      </c>
      <c r="P4700" t="n">
        <v>0</v>
      </c>
      <c r="Q4700" t="n">
        <v>0</v>
      </c>
      <c r="R4700" s="2" t="inlineStr"/>
    </row>
    <row r="4701" ht="15" customHeight="1">
      <c r="A4701" t="inlineStr">
        <is>
          <t>A 6581-2022</t>
        </is>
      </c>
      <c r="B4701" s="1" t="n">
        <v>44601</v>
      </c>
      <c r="C4701" s="1" t="n">
        <v>45344</v>
      </c>
      <c r="D4701" t="inlineStr">
        <is>
          <t>GÄVLEBORGS LÄN</t>
        </is>
      </c>
      <c r="E4701" t="inlineStr">
        <is>
          <t>NORDANSTIG</t>
        </is>
      </c>
      <c r="G4701" t="n">
        <v>3.6</v>
      </c>
      <c r="H4701" t="n">
        <v>0</v>
      </c>
      <c r="I4701" t="n">
        <v>0</v>
      </c>
      <c r="J4701" t="n">
        <v>0</v>
      </c>
      <c r="K4701" t="n">
        <v>0</v>
      </c>
      <c r="L4701" t="n">
        <v>0</v>
      </c>
      <c r="M4701" t="n">
        <v>0</v>
      </c>
      <c r="N4701" t="n">
        <v>0</v>
      </c>
      <c r="O4701" t="n">
        <v>0</v>
      </c>
      <c r="P4701" t="n">
        <v>0</v>
      </c>
      <c r="Q4701" t="n">
        <v>0</v>
      </c>
      <c r="R4701" s="2" t="inlineStr"/>
    </row>
    <row r="4702" ht="15" customHeight="1">
      <c r="A4702" t="inlineStr">
        <is>
          <t>A 6583-2022</t>
        </is>
      </c>
      <c r="B4702" s="1" t="n">
        <v>44601</v>
      </c>
      <c r="C4702" s="1" t="n">
        <v>45344</v>
      </c>
      <c r="D4702" t="inlineStr">
        <is>
          <t>GÄVLEBORGS LÄN</t>
        </is>
      </c>
      <c r="E4702" t="inlineStr">
        <is>
          <t>NORDANSTIG</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6766-2022</t>
        </is>
      </c>
      <c r="B4703" s="1" t="n">
        <v>44602</v>
      </c>
      <c r="C4703" s="1" t="n">
        <v>45344</v>
      </c>
      <c r="D4703" t="inlineStr">
        <is>
          <t>GÄVLEBORGS LÄN</t>
        </is>
      </c>
      <c r="E4703" t="inlineStr">
        <is>
          <t>OVANÅKER</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6942-2022</t>
        </is>
      </c>
      <c r="B4704" s="1" t="n">
        <v>44603</v>
      </c>
      <c r="C4704" s="1" t="n">
        <v>45344</v>
      </c>
      <c r="D4704" t="inlineStr">
        <is>
          <t>GÄVLEBORGS LÄN</t>
        </is>
      </c>
      <c r="E4704" t="inlineStr">
        <is>
          <t>SANDVIKEN</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7060-2022</t>
        </is>
      </c>
      <c r="B4705" s="1" t="n">
        <v>44603</v>
      </c>
      <c r="C4705" s="1" t="n">
        <v>45344</v>
      </c>
      <c r="D4705" t="inlineStr">
        <is>
          <t>GÄVLEBORGS LÄN</t>
        </is>
      </c>
      <c r="E4705" t="inlineStr">
        <is>
          <t>GÄVLE</t>
        </is>
      </c>
      <c r="G4705" t="n">
        <v>10</v>
      </c>
      <c r="H4705" t="n">
        <v>0</v>
      </c>
      <c r="I4705" t="n">
        <v>0</v>
      </c>
      <c r="J4705" t="n">
        <v>0</v>
      </c>
      <c r="K4705" t="n">
        <v>0</v>
      </c>
      <c r="L4705" t="n">
        <v>0</v>
      </c>
      <c r="M4705" t="n">
        <v>0</v>
      </c>
      <c r="N4705" t="n">
        <v>0</v>
      </c>
      <c r="O4705" t="n">
        <v>0</v>
      </c>
      <c r="P4705" t="n">
        <v>0</v>
      </c>
      <c r="Q4705" t="n">
        <v>0</v>
      </c>
      <c r="R4705" s="2" t="inlineStr"/>
    </row>
    <row r="4706" ht="15" customHeight="1">
      <c r="A4706" t="inlineStr">
        <is>
          <t>A 7079-2022</t>
        </is>
      </c>
      <c r="B4706" s="1" t="n">
        <v>44603</v>
      </c>
      <c r="C4706" s="1" t="n">
        <v>45344</v>
      </c>
      <c r="D4706" t="inlineStr">
        <is>
          <t>GÄVLEBORGS LÄN</t>
        </is>
      </c>
      <c r="E4706" t="inlineStr">
        <is>
          <t>BOLLNÄS</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6998-2022</t>
        </is>
      </c>
      <c r="B4707" s="1" t="n">
        <v>44603</v>
      </c>
      <c r="C4707" s="1" t="n">
        <v>45344</v>
      </c>
      <c r="D4707" t="inlineStr">
        <is>
          <t>GÄVLEBORGS LÄN</t>
        </is>
      </c>
      <c r="E4707" t="inlineStr">
        <is>
          <t>SANDVIKEN</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6956-2022</t>
        </is>
      </c>
      <c r="B4708" s="1" t="n">
        <v>44603</v>
      </c>
      <c r="C4708" s="1" t="n">
        <v>45344</v>
      </c>
      <c r="D4708" t="inlineStr">
        <is>
          <t>GÄVLEBORGS LÄN</t>
        </is>
      </c>
      <c r="E4708" t="inlineStr">
        <is>
          <t>OVANÅKER</t>
        </is>
      </c>
      <c r="G4708" t="n">
        <v>8.4</v>
      </c>
      <c r="H4708" t="n">
        <v>0</v>
      </c>
      <c r="I4708" t="n">
        <v>0</v>
      </c>
      <c r="J4708" t="n">
        <v>0</v>
      </c>
      <c r="K4708" t="n">
        <v>0</v>
      </c>
      <c r="L4708" t="n">
        <v>0</v>
      </c>
      <c r="M4708" t="n">
        <v>0</v>
      </c>
      <c r="N4708" t="n">
        <v>0</v>
      </c>
      <c r="O4708" t="n">
        <v>0</v>
      </c>
      <c r="P4708" t="n">
        <v>0</v>
      </c>
      <c r="Q4708" t="n">
        <v>0</v>
      </c>
      <c r="R4708" s="2" t="inlineStr"/>
    </row>
    <row r="4709" ht="15" customHeight="1">
      <c r="A4709" t="inlineStr">
        <is>
          <t>A 7075-2022</t>
        </is>
      </c>
      <c r="B4709" s="1" t="n">
        <v>44603</v>
      </c>
      <c r="C4709" s="1" t="n">
        <v>45344</v>
      </c>
      <c r="D4709" t="inlineStr">
        <is>
          <t>GÄVLEBORGS LÄN</t>
        </is>
      </c>
      <c r="E4709" t="inlineStr">
        <is>
          <t>BOLLNÄS</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6947-2022</t>
        </is>
      </c>
      <c r="B4710" s="1" t="n">
        <v>44603</v>
      </c>
      <c r="C4710" s="1" t="n">
        <v>45344</v>
      </c>
      <c r="D4710" t="inlineStr">
        <is>
          <t>GÄVLEBORGS LÄN</t>
        </is>
      </c>
      <c r="E4710" t="inlineStr">
        <is>
          <t>SANDVIKEN</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7020-2022</t>
        </is>
      </c>
      <c r="B4711" s="1" t="n">
        <v>44603</v>
      </c>
      <c r="C4711" s="1" t="n">
        <v>45344</v>
      </c>
      <c r="D4711" t="inlineStr">
        <is>
          <t>GÄVLEBORGS LÄN</t>
        </is>
      </c>
      <c r="E4711" t="inlineStr">
        <is>
          <t>GÄVLE</t>
        </is>
      </c>
      <c r="F4711" t="inlineStr">
        <is>
          <t>Bergvik skog öst AB</t>
        </is>
      </c>
      <c r="G4711" t="n">
        <v>6.8</v>
      </c>
      <c r="H4711" t="n">
        <v>0</v>
      </c>
      <c r="I4711" t="n">
        <v>0</v>
      </c>
      <c r="J4711" t="n">
        <v>0</v>
      </c>
      <c r="K4711" t="n">
        <v>0</v>
      </c>
      <c r="L4711" t="n">
        <v>0</v>
      </c>
      <c r="M4711" t="n">
        <v>0</v>
      </c>
      <c r="N4711" t="n">
        <v>0</v>
      </c>
      <c r="O4711" t="n">
        <v>0</v>
      </c>
      <c r="P4711" t="n">
        <v>0</v>
      </c>
      <c r="Q4711" t="n">
        <v>0</v>
      </c>
      <c r="R4711" s="2" t="inlineStr"/>
    </row>
    <row r="4712" ht="15" customHeight="1">
      <c r="A4712" t="inlineStr">
        <is>
          <t>A 7096-2022</t>
        </is>
      </c>
      <c r="B4712" s="1" t="n">
        <v>44603</v>
      </c>
      <c r="C4712" s="1" t="n">
        <v>45344</v>
      </c>
      <c r="D4712" t="inlineStr">
        <is>
          <t>GÄVLEBORGS LÄN</t>
        </is>
      </c>
      <c r="E4712" t="inlineStr">
        <is>
          <t>BOLLNÄS</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7092-2022</t>
        </is>
      </c>
      <c r="B4713" s="1" t="n">
        <v>44603</v>
      </c>
      <c r="C4713" s="1" t="n">
        <v>45344</v>
      </c>
      <c r="D4713" t="inlineStr">
        <is>
          <t>GÄVLEBORGS LÄN</t>
        </is>
      </c>
      <c r="E4713" t="inlineStr">
        <is>
          <t>BOLLNÄS</t>
        </is>
      </c>
      <c r="G4713" t="n">
        <v>6.3</v>
      </c>
      <c r="H4713" t="n">
        <v>0</v>
      </c>
      <c r="I4713" t="n">
        <v>0</v>
      </c>
      <c r="J4713" t="n">
        <v>0</v>
      </c>
      <c r="K4713" t="n">
        <v>0</v>
      </c>
      <c r="L4713" t="n">
        <v>0</v>
      </c>
      <c r="M4713" t="n">
        <v>0</v>
      </c>
      <c r="N4713" t="n">
        <v>0</v>
      </c>
      <c r="O4713" t="n">
        <v>0</v>
      </c>
      <c r="P4713" t="n">
        <v>0</v>
      </c>
      <c r="Q4713" t="n">
        <v>0</v>
      </c>
      <c r="R4713" s="2" t="inlineStr"/>
    </row>
    <row r="4714" ht="15" customHeight="1">
      <c r="A4714" t="inlineStr">
        <is>
          <t>A 7099-2022</t>
        </is>
      </c>
      <c r="B4714" s="1" t="n">
        <v>44603</v>
      </c>
      <c r="C4714" s="1" t="n">
        <v>45344</v>
      </c>
      <c r="D4714" t="inlineStr">
        <is>
          <t>GÄVLEBORGS LÄN</t>
        </is>
      </c>
      <c r="E4714" t="inlineStr">
        <is>
          <t>BOLLNÄS</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7149-2022</t>
        </is>
      </c>
      <c r="B4715" s="1" t="n">
        <v>44603</v>
      </c>
      <c r="C4715" s="1" t="n">
        <v>45344</v>
      </c>
      <c r="D4715" t="inlineStr">
        <is>
          <t>GÄVLEBORGS LÄN</t>
        </is>
      </c>
      <c r="E4715" t="inlineStr">
        <is>
          <t>NORDANSTIG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7095-2022</t>
        </is>
      </c>
      <c r="B4716" s="1" t="n">
        <v>44603</v>
      </c>
      <c r="C4716" s="1" t="n">
        <v>45344</v>
      </c>
      <c r="D4716" t="inlineStr">
        <is>
          <t>GÄVLEBORGS LÄN</t>
        </is>
      </c>
      <c r="E4716" t="inlineStr">
        <is>
          <t>BOLLNÄS</t>
        </is>
      </c>
      <c r="G4716" t="n">
        <v>4.1</v>
      </c>
      <c r="H4716" t="n">
        <v>0</v>
      </c>
      <c r="I4716" t="n">
        <v>0</v>
      </c>
      <c r="J4716" t="n">
        <v>0</v>
      </c>
      <c r="K4716" t="n">
        <v>0</v>
      </c>
      <c r="L4716" t="n">
        <v>0</v>
      </c>
      <c r="M4716" t="n">
        <v>0</v>
      </c>
      <c r="N4716" t="n">
        <v>0</v>
      </c>
      <c r="O4716" t="n">
        <v>0</v>
      </c>
      <c r="P4716" t="n">
        <v>0</v>
      </c>
      <c r="Q4716" t="n">
        <v>0</v>
      </c>
      <c r="R4716" s="2" t="inlineStr"/>
    </row>
    <row r="4717" ht="15" customHeight="1">
      <c r="A4717" t="inlineStr">
        <is>
          <t>A 7102-2022</t>
        </is>
      </c>
      <c r="B4717" s="1" t="n">
        <v>44603</v>
      </c>
      <c r="C4717" s="1" t="n">
        <v>45344</v>
      </c>
      <c r="D4717" t="inlineStr">
        <is>
          <t>GÄVLEBORGS LÄN</t>
        </is>
      </c>
      <c r="E4717" t="inlineStr">
        <is>
          <t>BOLLNÄS</t>
        </is>
      </c>
      <c r="G4717" t="n">
        <v>1.9</v>
      </c>
      <c r="H4717" t="n">
        <v>0</v>
      </c>
      <c r="I4717" t="n">
        <v>0</v>
      </c>
      <c r="J4717" t="n">
        <v>0</v>
      </c>
      <c r="K4717" t="n">
        <v>0</v>
      </c>
      <c r="L4717" t="n">
        <v>0</v>
      </c>
      <c r="M4717" t="n">
        <v>0</v>
      </c>
      <c r="N4717" t="n">
        <v>0</v>
      </c>
      <c r="O4717" t="n">
        <v>0</v>
      </c>
      <c r="P4717" t="n">
        <v>0</v>
      </c>
      <c r="Q4717" t="n">
        <v>0</v>
      </c>
      <c r="R4717" s="2" t="inlineStr"/>
    </row>
    <row r="4718" ht="15" customHeight="1">
      <c r="A4718" t="inlineStr">
        <is>
          <t>A 7183-2022</t>
        </is>
      </c>
      <c r="B4718" s="1" t="n">
        <v>44605</v>
      </c>
      <c r="C4718" s="1" t="n">
        <v>45344</v>
      </c>
      <c r="D4718" t="inlineStr">
        <is>
          <t>GÄVLEBORGS LÄN</t>
        </is>
      </c>
      <c r="E4718" t="inlineStr">
        <is>
          <t>NORDANSTIG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7277-2022</t>
        </is>
      </c>
      <c r="B4719" s="1" t="n">
        <v>44606</v>
      </c>
      <c r="C4719" s="1" t="n">
        <v>45344</v>
      </c>
      <c r="D4719" t="inlineStr">
        <is>
          <t>GÄVLEBORGS LÄN</t>
        </is>
      </c>
      <c r="E4719" t="inlineStr">
        <is>
          <t>GÄVLE</t>
        </is>
      </c>
      <c r="F4719" t="inlineStr">
        <is>
          <t>Kyrkan</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7305-2022</t>
        </is>
      </c>
      <c r="B4720" s="1" t="n">
        <v>44606</v>
      </c>
      <c r="C4720" s="1" t="n">
        <v>45344</v>
      </c>
      <c r="D4720" t="inlineStr">
        <is>
          <t>GÄVLEBORGS LÄN</t>
        </is>
      </c>
      <c r="E4720" t="inlineStr">
        <is>
          <t>GÄVLE</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7542-2022</t>
        </is>
      </c>
      <c r="B4721" s="1" t="n">
        <v>44607</v>
      </c>
      <c r="C4721" s="1" t="n">
        <v>45344</v>
      </c>
      <c r="D4721" t="inlineStr">
        <is>
          <t>GÄVLEBORGS LÄN</t>
        </is>
      </c>
      <c r="E4721" t="inlineStr">
        <is>
          <t>NORDANSTIG</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7548-2022</t>
        </is>
      </c>
      <c r="B4722" s="1" t="n">
        <v>44607</v>
      </c>
      <c r="C4722" s="1" t="n">
        <v>45344</v>
      </c>
      <c r="D4722" t="inlineStr">
        <is>
          <t>GÄVLEBORGS LÄN</t>
        </is>
      </c>
      <c r="E4722" t="inlineStr">
        <is>
          <t>HUDIKSVALL</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7503-2022</t>
        </is>
      </c>
      <c r="B4723" s="1" t="n">
        <v>44607</v>
      </c>
      <c r="C4723" s="1" t="n">
        <v>45344</v>
      </c>
      <c r="D4723" t="inlineStr">
        <is>
          <t>GÄVLEBORGS LÄN</t>
        </is>
      </c>
      <c r="E4723" t="inlineStr">
        <is>
          <t>NORDANSTIG</t>
        </is>
      </c>
      <c r="G4723" t="n">
        <v>0.7</v>
      </c>
      <c r="H4723" t="n">
        <v>0</v>
      </c>
      <c r="I4723" t="n">
        <v>0</v>
      </c>
      <c r="J4723" t="n">
        <v>0</v>
      </c>
      <c r="K4723" t="n">
        <v>0</v>
      </c>
      <c r="L4723" t="n">
        <v>0</v>
      </c>
      <c r="M4723" t="n">
        <v>0</v>
      </c>
      <c r="N4723" t="n">
        <v>0</v>
      </c>
      <c r="O4723" t="n">
        <v>0</v>
      </c>
      <c r="P4723" t="n">
        <v>0</v>
      </c>
      <c r="Q4723" t="n">
        <v>0</v>
      </c>
      <c r="R4723" s="2" t="inlineStr"/>
    </row>
    <row r="4724" ht="15" customHeight="1">
      <c r="A4724" t="inlineStr">
        <is>
          <t>A 7472-2022</t>
        </is>
      </c>
      <c r="B4724" s="1" t="n">
        <v>44607</v>
      </c>
      <c r="C4724" s="1" t="n">
        <v>45344</v>
      </c>
      <c r="D4724" t="inlineStr">
        <is>
          <t>GÄVLEBORGS LÄN</t>
        </is>
      </c>
      <c r="E4724" t="inlineStr">
        <is>
          <t>LJUSDAL</t>
        </is>
      </c>
      <c r="F4724" t="inlineStr">
        <is>
          <t>Holmen skog AB</t>
        </is>
      </c>
      <c r="G4724" t="n">
        <v>7.3</v>
      </c>
      <c r="H4724" t="n">
        <v>0</v>
      </c>
      <c r="I4724" t="n">
        <v>0</v>
      </c>
      <c r="J4724" t="n">
        <v>0</v>
      </c>
      <c r="K4724" t="n">
        <v>0</v>
      </c>
      <c r="L4724" t="n">
        <v>0</v>
      </c>
      <c r="M4724" t="n">
        <v>0</v>
      </c>
      <c r="N4724" t="n">
        <v>0</v>
      </c>
      <c r="O4724" t="n">
        <v>0</v>
      </c>
      <c r="P4724" t="n">
        <v>0</v>
      </c>
      <c r="Q4724" t="n">
        <v>0</v>
      </c>
      <c r="R4724" s="2" t="inlineStr"/>
    </row>
    <row r="4725" ht="15" customHeight="1">
      <c r="A4725" t="inlineStr">
        <is>
          <t>A 7569-2022</t>
        </is>
      </c>
      <c r="B4725" s="1" t="n">
        <v>44607</v>
      </c>
      <c r="C4725" s="1" t="n">
        <v>45344</v>
      </c>
      <c r="D4725" t="inlineStr">
        <is>
          <t>GÄVLEBORGS LÄN</t>
        </is>
      </c>
      <c r="E4725" t="inlineStr">
        <is>
          <t>OVANÅKER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7592-2022</t>
        </is>
      </c>
      <c r="B4726" s="1" t="n">
        <v>44607</v>
      </c>
      <c r="C4726" s="1" t="n">
        <v>45344</v>
      </c>
      <c r="D4726" t="inlineStr">
        <is>
          <t>GÄVLEBORGS LÄN</t>
        </is>
      </c>
      <c r="E4726" t="inlineStr">
        <is>
          <t>LJUSDAL</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7606-2022</t>
        </is>
      </c>
      <c r="B4727" s="1" t="n">
        <v>44607</v>
      </c>
      <c r="C4727" s="1" t="n">
        <v>45344</v>
      </c>
      <c r="D4727" t="inlineStr">
        <is>
          <t>GÄVLEBORGS LÄN</t>
        </is>
      </c>
      <c r="E4727" t="inlineStr">
        <is>
          <t>LJUSDAL</t>
        </is>
      </c>
      <c r="F4727" t="inlineStr">
        <is>
          <t>Holmen skog AB</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7637-2022</t>
        </is>
      </c>
      <c r="B4728" s="1" t="n">
        <v>44607</v>
      </c>
      <c r="C4728" s="1" t="n">
        <v>45344</v>
      </c>
      <c r="D4728" t="inlineStr">
        <is>
          <t>GÄVLEBORGS LÄN</t>
        </is>
      </c>
      <c r="E4728" t="inlineStr">
        <is>
          <t>OCKELBO</t>
        </is>
      </c>
      <c r="F4728" t="inlineStr">
        <is>
          <t>Bergvik skog väst AB</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7728-2022</t>
        </is>
      </c>
      <c r="B4729" s="1" t="n">
        <v>44608</v>
      </c>
      <c r="C4729" s="1" t="n">
        <v>45344</v>
      </c>
      <c r="D4729" t="inlineStr">
        <is>
          <t>GÄVLEBORGS LÄN</t>
        </is>
      </c>
      <c r="E4729" t="inlineStr">
        <is>
          <t>NORDANSTIG</t>
        </is>
      </c>
      <c r="F4729" t="inlineStr">
        <is>
          <t>Holmen skog AB</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7766-2022</t>
        </is>
      </c>
      <c r="B4730" s="1" t="n">
        <v>44608</v>
      </c>
      <c r="C4730" s="1" t="n">
        <v>45344</v>
      </c>
      <c r="D4730" t="inlineStr">
        <is>
          <t>GÄVLEBORGS LÄN</t>
        </is>
      </c>
      <c r="E4730" t="inlineStr">
        <is>
          <t>BOLLNÄS</t>
        </is>
      </c>
      <c r="G4730" t="n">
        <v>6</v>
      </c>
      <c r="H4730" t="n">
        <v>0</v>
      </c>
      <c r="I4730" t="n">
        <v>0</v>
      </c>
      <c r="J4730" t="n">
        <v>0</v>
      </c>
      <c r="K4730" t="n">
        <v>0</v>
      </c>
      <c r="L4730" t="n">
        <v>0</v>
      </c>
      <c r="M4730" t="n">
        <v>0</v>
      </c>
      <c r="N4730" t="n">
        <v>0</v>
      </c>
      <c r="O4730" t="n">
        <v>0</v>
      </c>
      <c r="P4730" t="n">
        <v>0</v>
      </c>
      <c r="Q4730" t="n">
        <v>0</v>
      </c>
      <c r="R4730" s="2" t="inlineStr"/>
    </row>
    <row r="4731" ht="15" customHeight="1">
      <c r="A4731" t="inlineStr">
        <is>
          <t>A 7785-2022</t>
        </is>
      </c>
      <c r="B4731" s="1" t="n">
        <v>44608</v>
      </c>
      <c r="C4731" s="1" t="n">
        <v>45344</v>
      </c>
      <c r="D4731" t="inlineStr">
        <is>
          <t>GÄVLEBORGS LÄN</t>
        </is>
      </c>
      <c r="E4731" t="inlineStr">
        <is>
          <t>OVANÅKER</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7916-2022</t>
        </is>
      </c>
      <c r="B4732" s="1" t="n">
        <v>44608</v>
      </c>
      <c r="C4732" s="1" t="n">
        <v>45344</v>
      </c>
      <c r="D4732" t="inlineStr">
        <is>
          <t>GÄVLEBORGS LÄN</t>
        </is>
      </c>
      <c r="E4732" t="inlineStr">
        <is>
          <t>NORDANSTIG</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8005-2022</t>
        </is>
      </c>
      <c r="B4733" s="1" t="n">
        <v>44609</v>
      </c>
      <c r="C4733" s="1" t="n">
        <v>45344</v>
      </c>
      <c r="D4733" t="inlineStr">
        <is>
          <t>GÄVLEBORGS LÄN</t>
        </is>
      </c>
      <c r="E4733" t="inlineStr">
        <is>
          <t>HUDIKSVALL</t>
        </is>
      </c>
      <c r="F4733" t="inlineStr">
        <is>
          <t>Holmen skog AB</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8081-2022</t>
        </is>
      </c>
      <c r="B4734" s="1" t="n">
        <v>44609</v>
      </c>
      <c r="C4734" s="1" t="n">
        <v>45344</v>
      </c>
      <c r="D4734" t="inlineStr">
        <is>
          <t>GÄVLEBORGS LÄN</t>
        </is>
      </c>
      <c r="E4734" t="inlineStr">
        <is>
          <t>HUDIKSVALL</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8073-2022</t>
        </is>
      </c>
      <c r="B4735" s="1" t="n">
        <v>44609</v>
      </c>
      <c r="C4735" s="1" t="n">
        <v>45344</v>
      </c>
      <c r="D4735" t="inlineStr">
        <is>
          <t>GÄVLEBORGS LÄN</t>
        </is>
      </c>
      <c r="E4735" t="inlineStr">
        <is>
          <t>SÖDERHAMN</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8133-2022</t>
        </is>
      </c>
      <c r="B4736" s="1" t="n">
        <v>44609</v>
      </c>
      <c r="C4736" s="1" t="n">
        <v>45344</v>
      </c>
      <c r="D4736" t="inlineStr">
        <is>
          <t>GÄVLEBORGS LÄN</t>
        </is>
      </c>
      <c r="E4736" t="inlineStr">
        <is>
          <t>HUDIKSVALL</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8153-2022</t>
        </is>
      </c>
      <c r="B4737" s="1" t="n">
        <v>44609</v>
      </c>
      <c r="C4737" s="1" t="n">
        <v>45344</v>
      </c>
      <c r="D4737" t="inlineStr">
        <is>
          <t>GÄVLEBORGS LÄN</t>
        </is>
      </c>
      <c r="E4737" t="inlineStr">
        <is>
          <t>LJUSDAL</t>
        </is>
      </c>
      <c r="F4737" t="inlineStr">
        <is>
          <t>Holmen skog AB</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8246-2022</t>
        </is>
      </c>
      <c r="B4738" s="1" t="n">
        <v>44610</v>
      </c>
      <c r="C4738" s="1" t="n">
        <v>45344</v>
      </c>
      <c r="D4738" t="inlineStr">
        <is>
          <t>GÄVLEBORGS LÄN</t>
        </is>
      </c>
      <c r="E4738" t="inlineStr">
        <is>
          <t>HUDIKSVALL</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8268-2022</t>
        </is>
      </c>
      <c r="B4739" s="1" t="n">
        <v>44610</v>
      </c>
      <c r="C4739" s="1" t="n">
        <v>45344</v>
      </c>
      <c r="D4739" t="inlineStr">
        <is>
          <t>GÄVLEBORGS LÄN</t>
        </is>
      </c>
      <c r="E4739" t="inlineStr">
        <is>
          <t>HUDIKSVALL</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8328-2022</t>
        </is>
      </c>
      <c r="B4740" s="1" t="n">
        <v>44610</v>
      </c>
      <c r="C4740" s="1" t="n">
        <v>45344</v>
      </c>
      <c r="D4740" t="inlineStr">
        <is>
          <t>GÄVLEBORGS LÄN</t>
        </is>
      </c>
      <c r="E4740" t="inlineStr">
        <is>
          <t>HUDIKSVALL</t>
        </is>
      </c>
      <c r="G4740" t="n">
        <v>11.9</v>
      </c>
      <c r="H4740" t="n">
        <v>0</v>
      </c>
      <c r="I4740" t="n">
        <v>0</v>
      </c>
      <c r="J4740" t="n">
        <v>0</v>
      </c>
      <c r="K4740" t="n">
        <v>0</v>
      </c>
      <c r="L4740" t="n">
        <v>0</v>
      </c>
      <c r="M4740" t="n">
        <v>0</v>
      </c>
      <c r="N4740" t="n">
        <v>0</v>
      </c>
      <c r="O4740" t="n">
        <v>0</v>
      </c>
      <c r="P4740" t="n">
        <v>0</v>
      </c>
      <c r="Q4740" t="n">
        <v>0</v>
      </c>
      <c r="R4740" s="2" t="inlineStr"/>
    </row>
    <row r="4741" ht="15" customHeight="1">
      <c r="A4741" t="inlineStr">
        <is>
          <t>A 8269-2022</t>
        </is>
      </c>
      <c r="B4741" s="1" t="n">
        <v>44610</v>
      </c>
      <c r="C4741" s="1" t="n">
        <v>45344</v>
      </c>
      <c r="D4741" t="inlineStr">
        <is>
          <t>GÄVLEBORGS LÄN</t>
        </is>
      </c>
      <c r="E4741" t="inlineStr">
        <is>
          <t>HUDIKSVALL</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8281-2022</t>
        </is>
      </c>
      <c r="B4742" s="1" t="n">
        <v>44610</v>
      </c>
      <c r="C4742" s="1" t="n">
        <v>45344</v>
      </c>
      <c r="D4742" t="inlineStr">
        <is>
          <t>GÄVLEBORGS LÄN</t>
        </is>
      </c>
      <c r="E4742" t="inlineStr">
        <is>
          <t>HUDIKSVALL</t>
        </is>
      </c>
      <c r="G4742" t="n">
        <v>13.9</v>
      </c>
      <c r="H4742" t="n">
        <v>0</v>
      </c>
      <c r="I4742" t="n">
        <v>0</v>
      </c>
      <c r="J4742" t="n">
        <v>0</v>
      </c>
      <c r="K4742" t="n">
        <v>0</v>
      </c>
      <c r="L4742" t="n">
        <v>0</v>
      </c>
      <c r="M4742" t="n">
        <v>0</v>
      </c>
      <c r="N4742" t="n">
        <v>0</v>
      </c>
      <c r="O4742" t="n">
        <v>0</v>
      </c>
      <c r="P4742" t="n">
        <v>0</v>
      </c>
      <c r="Q4742" t="n">
        <v>0</v>
      </c>
      <c r="R4742" s="2" t="inlineStr"/>
    </row>
    <row r="4743" ht="15" customHeight="1">
      <c r="A4743" t="inlineStr">
        <is>
          <t>A 8680-2022</t>
        </is>
      </c>
      <c r="B4743" s="1" t="n">
        <v>44613</v>
      </c>
      <c r="C4743" s="1" t="n">
        <v>45344</v>
      </c>
      <c r="D4743" t="inlineStr">
        <is>
          <t>GÄVLEBORGS LÄN</t>
        </is>
      </c>
      <c r="E4743" t="inlineStr">
        <is>
          <t>HUDIKSVALL</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8707-2022</t>
        </is>
      </c>
      <c r="B4744" s="1" t="n">
        <v>44613</v>
      </c>
      <c r="C4744" s="1" t="n">
        <v>45344</v>
      </c>
      <c r="D4744" t="inlineStr">
        <is>
          <t>GÄVLEBORGS LÄN</t>
        </is>
      </c>
      <c r="E4744" t="inlineStr">
        <is>
          <t>NORDANSTIG</t>
        </is>
      </c>
      <c r="F4744" t="inlineStr">
        <is>
          <t>Holmen skog AB</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8534-2022</t>
        </is>
      </c>
      <c r="B4745" s="1" t="n">
        <v>44613</v>
      </c>
      <c r="C4745" s="1" t="n">
        <v>45344</v>
      </c>
      <c r="D4745" t="inlineStr">
        <is>
          <t>GÄVLEBORGS LÄN</t>
        </is>
      </c>
      <c r="E4745" t="inlineStr">
        <is>
          <t>OCKELBO</t>
        </is>
      </c>
      <c r="F4745" t="inlineStr">
        <is>
          <t>Bergvik skog väst AB</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8813-2022</t>
        </is>
      </c>
      <c r="B4746" s="1" t="n">
        <v>44614</v>
      </c>
      <c r="C4746" s="1" t="n">
        <v>45344</v>
      </c>
      <c r="D4746" t="inlineStr">
        <is>
          <t>GÄVLEBORGS LÄN</t>
        </is>
      </c>
      <c r="E4746" t="inlineStr">
        <is>
          <t>LJUSDAL</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8769-2022</t>
        </is>
      </c>
      <c r="B4747" s="1" t="n">
        <v>44614</v>
      </c>
      <c r="C4747" s="1" t="n">
        <v>45344</v>
      </c>
      <c r="D4747" t="inlineStr">
        <is>
          <t>GÄVLEBORGS LÄN</t>
        </is>
      </c>
      <c r="E4747" t="inlineStr">
        <is>
          <t>OVANÅKER</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8840-2022</t>
        </is>
      </c>
      <c r="B4748" s="1" t="n">
        <v>44614</v>
      </c>
      <c r="C4748" s="1" t="n">
        <v>45344</v>
      </c>
      <c r="D4748" t="inlineStr">
        <is>
          <t>GÄVLEBORGS LÄN</t>
        </is>
      </c>
      <c r="E4748" t="inlineStr">
        <is>
          <t>OVANÅKER</t>
        </is>
      </c>
      <c r="G4748" t="n">
        <v>5.7</v>
      </c>
      <c r="H4748" t="n">
        <v>0</v>
      </c>
      <c r="I4748" t="n">
        <v>0</v>
      </c>
      <c r="J4748" t="n">
        <v>0</v>
      </c>
      <c r="K4748" t="n">
        <v>0</v>
      </c>
      <c r="L4748" t="n">
        <v>0</v>
      </c>
      <c r="M4748" t="n">
        <v>0</v>
      </c>
      <c r="N4748" t="n">
        <v>0</v>
      </c>
      <c r="O4748" t="n">
        <v>0</v>
      </c>
      <c r="P4748" t="n">
        <v>0</v>
      </c>
      <c r="Q4748" t="n">
        <v>0</v>
      </c>
      <c r="R4748" s="2" t="inlineStr"/>
    </row>
    <row r="4749" ht="15" customHeight="1">
      <c r="A4749" t="inlineStr">
        <is>
          <t>A 8952-2022</t>
        </is>
      </c>
      <c r="B4749" s="1" t="n">
        <v>44614</v>
      </c>
      <c r="C4749" s="1" t="n">
        <v>45344</v>
      </c>
      <c r="D4749" t="inlineStr">
        <is>
          <t>GÄVLEBORGS LÄN</t>
        </is>
      </c>
      <c r="E4749" t="inlineStr">
        <is>
          <t>HUDIKSVALL</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8968-2022</t>
        </is>
      </c>
      <c r="B4750" s="1" t="n">
        <v>44614</v>
      </c>
      <c r="C4750" s="1" t="n">
        <v>45344</v>
      </c>
      <c r="D4750" t="inlineStr">
        <is>
          <t>GÄVLEBORGS LÄN</t>
        </is>
      </c>
      <c r="E4750" t="inlineStr">
        <is>
          <t>OVANÅKER</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8927-2022</t>
        </is>
      </c>
      <c r="B4751" s="1" t="n">
        <v>44614</v>
      </c>
      <c r="C4751" s="1" t="n">
        <v>45344</v>
      </c>
      <c r="D4751" t="inlineStr">
        <is>
          <t>GÄVLEBORGS LÄN</t>
        </is>
      </c>
      <c r="E4751" t="inlineStr">
        <is>
          <t>OVANÅKER</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8967-2022</t>
        </is>
      </c>
      <c r="B4752" s="1" t="n">
        <v>44614</v>
      </c>
      <c r="C4752" s="1" t="n">
        <v>45344</v>
      </c>
      <c r="D4752" t="inlineStr">
        <is>
          <t>GÄVLEBORGS LÄN</t>
        </is>
      </c>
      <c r="E4752" t="inlineStr">
        <is>
          <t>OVANÅKER</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9136-2022</t>
        </is>
      </c>
      <c r="B4753" s="1" t="n">
        <v>44615</v>
      </c>
      <c r="C4753" s="1" t="n">
        <v>45344</v>
      </c>
      <c r="D4753" t="inlineStr">
        <is>
          <t>GÄVLEBORGS LÄN</t>
        </is>
      </c>
      <c r="E4753" t="inlineStr">
        <is>
          <t>SANDVIKEN</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9191-2022</t>
        </is>
      </c>
      <c r="B4754" s="1" t="n">
        <v>44615</v>
      </c>
      <c r="C4754" s="1" t="n">
        <v>45344</v>
      </c>
      <c r="D4754" t="inlineStr">
        <is>
          <t>GÄVLEBORGS LÄN</t>
        </is>
      </c>
      <c r="E4754" t="inlineStr">
        <is>
          <t>LJUSDAL</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9194-2022</t>
        </is>
      </c>
      <c r="B4755" s="1" t="n">
        <v>44615</v>
      </c>
      <c r="C4755" s="1" t="n">
        <v>45344</v>
      </c>
      <c r="D4755" t="inlineStr">
        <is>
          <t>GÄVLEBORGS LÄN</t>
        </is>
      </c>
      <c r="E4755" t="inlineStr">
        <is>
          <t>LJUSDAL</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9376-2022</t>
        </is>
      </c>
      <c r="B4756" s="1" t="n">
        <v>44616</v>
      </c>
      <c r="C4756" s="1" t="n">
        <v>45344</v>
      </c>
      <c r="D4756" t="inlineStr">
        <is>
          <t>GÄVLEBORGS LÄN</t>
        </is>
      </c>
      <c r="E4756" t="inlineStr">
        <is>
          <t>NORDANSTIG</t>
        </is>
      </c>
      <c r="G4756" t="n">
        <v>3.2</v>
      </c>
      <c r="H4756" t="n">
        <v>0</v>
      </c>
      <c r="I4756" t="n">
        <v>0</v>
      </c>
      <c r="J4756" t="n">
        <v>0</v>
      </c>
      <c r="K4756" t="n">
        <v>0</v>
      </c>
      <c r="L4756" t="n">
        <v>0</v>
      </c>
      <c r="M4756" t="n">
        <v>0</v>
      </c>
      <c r="N4756" t="n">
        <v>0</v>
      </c>
      <c r="O4756" t="n">
        <v>0</v>
      </c>
      <c r="P4756" t="n">
        <v>0</v>
      </c>
      <c r="Q4756" t="n">
        <v>0</v>
      </c>
      <c r="R4756" s="2" t="inlineStr"/>
    </row>
    <row r="4757" ht="15" customHeight="1">
      <c r="A4757" t="inlineStr">
        <is>
          <t>A 9382-2022</t>
        </is>
      </c>
      <c r="B4757" s="1" t="n">
        <v>44616</v>
      </c>
      <c r="C4757" s="1" t="n">
        <v>45344</v>
      </c>
      <c r="D4757" t="inlineStr">
        <is>
          <t>GÄVLEBORGS LÄN</t>
        </is>
      </c>
      <c r="E4757" t="inlineStr">
        <is>
          <t>NORDANSTIG</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9261-2022</t>
        </is>
      </c>
      <c r="B4758" s="1" t="n">
        <v>44616</v>
      </c>
      <c r="C4758" s="1" t="n">
        <v>45344</v>
      </c>
      <c r="D4758" t="inlineStr">
        <is>
          <t>GÄVLEBORGS LÄN</t>
        </is>
      </c>
      <c r="E4758" t="inlineStr">
        <is>
          <t>SÖDERHAMN</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9277-2022</t>
        </is>
      </c>
      <c r="B4759" s="1" t="n">
        <v>44616</v>
      </c>
      <c r="C4759" s="1" t="n">
        <v>45344</v>
      </c>
      <c r="D4759" t="inlineStr">
        <is>
          <t>GÄVLEBORGS LÄN</t>
        </is>
      </c>
      <c r="E4759" t="inlineStr">
        <is>
          <t>OVANÅKER</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9235-2022</t>
        </is>
      </c>
      <c r="B4760" s="1" t="n">
        <v>44616</v>
      </c>
      <c r="C4760" s="1" t="n">
        <v>45344</v>
      </c>
      <c r="D4760" t="inlineStr">
        <is>
          <t>GÄVLEBORGS LÄN</t>
        </is>
      </c>
      <c r="E4760" t="inlineStr">
        <is>
          <t>GÄVLE</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9285-2022</t>
        </is>
      </c>
      <c r="B4761" s="1" t="n">
        <v>44616</v>
      </c>
      <c r="C4761" s="1" t="n">
        <v>45344</v>
      </c>
      <c r="D4761" t="inlineStr">
        <is>
          <t>GÄVLEBORGS LÄN</t>
        </is>
      </c>
      <c r="E4761" t="inlineStr">
        <is>
          <t>OVANÅKER</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9307-2022</t>
        </is>
      </c>
      <c r="B4762" s="1" t="n">
        <v>44616</v>
      </c>
      <c r="C4762" s="1" t="n">
        <v>45344</v>
      </c>
      <c r="D4762" t="inlineStr">
        <is>
          <t>GÄVLEBORGS LÄN</t>
        </is>
      </c>
      <c r="E4762" t="inlineStr">
        <is>
          <t>GÄVLE</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9286-2022</t>
        </is>
      </c>
      <c r="B4763" s="1" t="n">
        <v>44616</v>
      </c>
      <c r="C4763" s="1" t="n">
        <v>45344</v>
      </c>
      <c r="D4763" t="inlineStr">
        <is>
          <t>GÄVLEBORGS LÄN</t>
        </is>
      </c>
      <c r="E4763" t="inlineStr">
        <is>
          <t>OVANÅKER</t>
        </is>
      </c>
      <c r="G4763" t="n">
        <v>2.4</v>
      </c>
      <c r="H4763" t="n">
        <v>0</v>
      </c>
      <c r="I4763" t="n">
        <v>0</v>
      </c>
      <c r="J4763" t="n">
        <v>0</v>
      </c>
      <c r="K4763" t="n">
        <v>0</v>
      </c>
      <c r="L4763" t="n">
        <v>0</v>
      </c>
      <c r="M4763" t="n">
        <v>0</v>
      </c>
      <c r="N4763" t="n">
        <v>0</v>
      </c>
      <c r="O4763" t="n">
        <v>0</v>
      </c>
      <c r="P4763" t="n">
        <v>0</v>
      </c>
      <c r="Q4763" t="n">
        <v>0</v>
      </c>
      <c r="R4763" s="2" t="inlineStr"/>
    </row>
    <row r="4764" ht="15" customHeight="1">
      <c r="A4764" t="inlineStr">
        <is>
          <t>A 9309-2022</t>
        </is>
      </c>
      <c r="B4764" s="1" t="n">
        <v>44616</v>
      </c>
      <c r="C4764" s="1" t="n">
        <v>45344</v>
      </c>
      <c r="D4764" t="inlineStr">
        <is>
          <t>GÄVLEBORGS LÄN</t>
        </is>
      </c>
      <c r="E4764" t="inlineStr">
        <is>
          <t>HUDIKSVALL</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9367-2022</t>
        </is>
      </c>
      <c r="B4765" s="1" t="n">
        <v>44616</v>
      </c>
      <c r="C4765" s="1" t="n">
        <v>45344</v>
      </c>
      <c r="D4765" t="inlineStr">
        <is>
          <t>GÄVLEBORGS LÄN</t>
        </is>
      </c>
      <c r="E4765" t="inlineStr">
        <is>
          <t>BOLLNÄS</t>
        </is>
      </c>
      <c r="G4765" t="n">
        <v>12.8</v>
      </c>
      <c r="H4765" t="n">
        <v>0</v>
      </c>
      <c r="I4765" t="n">
        <v>0</v>
      </c>
      <c r="J4765" t="n">
        <v>0</v>
      </c>
      <c r="K4765" t="n">
        <v>0</v>
      </c>
      <c r="L4765" t="n">
        <v>0</v>
      </c>
      <c r="M4765" t="n">
        <v>0</v>
      </c>
      <c r="N4765" t="n">
        <v>0</v>
      </c>
      <c r="O4765" t="n">
        <v>0</v>
      </c>
      <c r="P4765" t="n">
        <v>0</v>
      </c>
      <c r="Q4765" t="n">
        <v>0</v>
      </c>
      <c r="R4765" s="2" t="inlineStr"/>
    </row>
    <row r="4766" ht="15" customHeight="1">
      <c r="A4766" t="inlineStr">
        <is>
          <t>A 9474-2022</t>
        </is>
      </c>
      <c r="B4766" s="1" t="n">
        <v>44616</v>
      </c>
      <c r="C4766" s="1" t="n">
        <v>45344</v>
      </c>
      <c r="D4766" t="inlineStr">
        <is>
          <t>GÄVLEBORGS LÄN</t>
        </is>
      </c>
      <c r="E4766" t="inlineStr">
        <is>
          <t>BOLLNÄS</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9462-2022</t>
        </is>
      </c>
      <c r="B4767" s="1" t="n">
        <v>44616</v>
      </c>
      <c r="C4767" s="1" t="n">
        <v>45344</v>
      </c>
      <c r="D4767" t="inlineStr">
        <is>
          <t>GÄVLEBORGS LÄN</t>
        </is>
      </c>
      <c r="E4767" t="inlineStr">
        <is>
          <t>LJUSDAL</t>
        </is>
      </c>
      <c r="G4767" t="n">
        <v>7.9</v>
      </c>
      <c r="H4767" t="n">
        <v>0</v>
      </c>
      <c r="I4767" t="n">
        <v>0</v>
      </c>
      <c r="J4767" t="n">
        <v>0</v>
      </c>
      <c r="K4767" t="n">
        <v>0</v>
      </c>
      <c r="L4767" t="n">
        <v>0</v>
      </c>
      <c r="M4767" t="n">
        <v>0</v>
      </c>
      <c r="N4767" t="n">
        <v>0</v>
      </c>
      <c r="O4767" t="n">
        <v>0</v>
      </c>
      <c r="P4767" t="n">
        <v>0</v>
      </c>
      <c r="Q4767" t="n">
        <v>0</v>
      </c>
      <c r="R4767" s="2" t="inlineStr"/>
    </row>
    <row r="4768" ht="15" customHeight="1">
      <c r="A4768" t="inlineStr">
        <is>
          <t>A 9475-2022</t>
        </is>
      </c>
      <c r="B4768" s="1" t="n">
        <v>44616</v>
      </c>
      <c r="C4768" s="1" t="n">
        <v>45344</v>
      </c>
      <c r="D4768" t="inlineStr">
        <is>
          <t>GÄVLEBORGS LÄN</t>
        </is>
      </c>
      <c r="E4768" t="inlineStr">
        <is>
          <t>BOLLNÄS</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9593-2022</t>
        </is>
      </c>
      <c r="B4769" s="1" t="n">
        <v>44617</v>
      </c>
      <c r="C4769" s="1" t="n">
        <v>45344</v>
      </c>
      <c r="D4769" t="inlineStr">
        <is>
          <t>GÄVLEBORGS LÄN</t>
        </is>
      </c>
      <c r="E4769" t="inlineStr">
        <is>
          <t>OVANÅKER</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9635-2022</t>
        </is>
      </c>
      <c r="B4770" s="1" t="n">
        <v>44617</v>
      </c>
      <c r="C4770" s="1" t="n">
        <v>45344</v>
      </c>
      <c r="D4770" t="inlineStr">
        <is>
          <t>GÄVLEBORGS LÄN</t>
        </is>
      </c>
      <c r="E4770" t="inlineStr">
        <is>
          <t>OVANÅKER</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9598-2022</t>
        </is>
      </c>
      <c r="B4771" s="1" t="n">
        <v>44617</v>
      </c>
      <c r="C4771" s="1" t="n">
        <v>45344</v>
      </c>
      <c r="D4771" t="inlineStr">
        <is>
          <t>GÄVLEBORGS LÄN</t>
        </is>
      </c>
      <c r="E4771" t="inlineStr">
        <is>
          <t>BOLLNÄS</t>
        </is>
      </c>
      <c r="G4771" t="n">
        <v>8.800000000000001</v>
      </c>
      <c r="H4771" t="n">
        <v>0</v>
      </c>
      <c r="I4771" t="n">
        <v>0</v>
      </c>
      <c r="J4771" t="n">
        <v>0</v>
      </c>
      <c r="K4771" t="n">
        <v>0</v>
      </c>
      <c r="L4771" t="n">
        <v>0</v>
      </c>
      <c r="M4771" t="n">
        <v>0</v>
      </c>
      <c r="N4771" t="n">
        <v>0</v>
      </c>
      <c r="O4771" t="n">
        <v>0</v>
      </c>
      <c r="P4771" t="n">
        <v>0</v>
      </c>
      <c r="Q4771" t="n">
        <v>0</v>
      </c>
      <c r="R4771" s="2" t="inlineStr"/>
    </row>
    <row r="4772" ht="15" customHeight="1">
      <c r="A4772" t="inlineStr">
        <is>
          <t>A 9782-2022</t>
        </is>
      </c>
      <c r="B4772" s="1" t="n">
        <v>44620</v>
      </c>
      <c r="C4772" s="1" t="n">
        <v>45344</v>
      </c>
      <c r="D4772" t="inlineStr">
        <is>
          <t>GÄVLEBORGS LÄN</t>
        </is>
      </c>
      <c r="E4772" t="inlineStr">
        <is>
          <t>BOLLNÄS</t>
        </is>
      </c>
      <c r="G4772" t="n">
        <v>7.6</v>
      </c>
      <c r="H4772" t="n">
        <v>0</v>
      </c>
      <c r="I4772" t="n">
        <v>0</v>
      </c>
      <c r="J4772" t="n">
        <v>0</v>
      </c>
      <c r="K4772" t="n">
        <v>0</v>
      </c>
      <c r="L4772" t="n">
        <v>0</v>
      </c>
      <c r="M4772" t="n">
        <v>0</v>
      </c>
      <c r="N4772" t="n">
        <v>0</v>
      </c>
      <c r="O4772" t="n">
        <v>0</v>
      </c>
      <c r="P4772" t="n">
        <v>0</v>
      </c>
      <c r="Q4772" t="n">
        <v>0</v>
      </c>
      <c r="R4772" s="2" t="inlineStr"/>
    </row>
    <row r="4773" ht="15" customHeight="1">
      <c r="A4773" t="inlineStr">
        <is>
          <t>A 9888-2022</t>
        </is>
      </c>
      <c r="B4773" s="1" t="n">
        <v>44620</v>
      </c>
      <c r="C4773" s="1" t="n">
        <v>45344</v>
      </c>
      <c r="D4773" t="inlineStr">
        <is>
          <t>GÄVLEBORGS LÄN</t>
        </is>
      </c>
      <c r="E4773" t="inlineStr">
        <is>
          <t>BOLLNÄS</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9883-2022</t>
        </is>
      </c>
      <c r="B4774" s="1" t="n">
        <v>44620</v>
      </c>
      <c r="C4774" s="1" t="n">
        <v>45344</v>
      </c>
      <c r="D4774" t="inlineStr">
        <is>
          <t>GÄVLEBORGS LÄN</t>
        </is>
      </c>
      <c r="E4774" t="inlineStr">
        <is>
          <t>BOLLNÄS</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9899-2022</t>
        </is>
      </c>
      <c r="B4775" s="1" t="n">
        <v>44620</v>
      </c>
      <c r="C4775" s="1" t="n">
        <v>45344</v>
      </c>
      <c r="D4775" t="inlineStr">
        <is>
          <t>GÄVLEBORGS LÄN</t>
        </is>
      </c>
      <c r="E4775" t="inlineStr">
        <is>
          <t>NORDANSTIG</t>
        </is>
      </c>
      <c r="G4775" t="n">
        <v>4.7</v>
      </c>
      <c r="H4775" t="n">
        <v>0</v>
      </c>
      <c r="I4775" t="n">
        <v>0</v>
      </c>
      <c r="J4775" t="n">
        <v>0</v>
      </c>
      <c r="K4775" t="n">
        <v>0</v>
      </c>
      <c r="L4775" t="n">
        <v>0</v>
      </c>
      <c r="M4775" t="n">
        <v>0</v>
      </c>
      <c r="N4775" t="n">
        <v>0</v>
      </c>
      <c r="O4775" t="n">
        <v>0</v>
      </c>
      <c r="P4775" t="n">
        <v>0</v>
      </c>
      <c r="Q4775" t="n">
        <v>0</v>
      </c>
      <c r="R4775" s="2" t="inlineStr"/>
    </row>
    <row r="4776" ht="15" customHeight="1">
      <c r="A4776" t="inlineStr">
        <is>
          <t>A 9877-2022</t>
        </is>
      </c>
      <c r="B4776" s="1" t="n">
        <v>44620</v>
      </c>
      <c r="C4776" s="1" t="n">
        <v>45344</v>
      </c>
      <c r="D4776" t="inlineStr">
        <is>
          <t>GÄVLEBORGS LÄN</t>
        </is>
      </c>
      <c r="E4776" t="inlineStr">
        <is>
          <t>BOLLNÄS</t>
        </is>
      </c>
      <c r="G4776" t="n">
        <v>5.9</v>
      </c>
      <c r="H4776" t="n">
        <v>0</v>
      </c>
      <c r="I4776" t="n">
        <v>0</v>
      </c>
      <c r="J4776" t="n">
        <v>0</v>
      </c>
      <c r="K4776" t="n">
        <v>0</v>
      </c>
      <c r="L4776" t="n">
        <v>0</v>
      </c>
      <c r="M4776" t="n">
        <v>0</v>
      </c>
      <c r="N4776" t="n">
        <v>0</v>
      </c>
      <c r="O4776" t="n">
        <v>0</v>
      </c>
      <c r="P4776" t="n">
        <v>0</v>
      </c>
      <c r="Q4776" t="n">
        <v>0</v>
      </c>
      <c r="R4776" s="2" t="inlineStr"/>
    </row>
    <row r="4777" ht="15" customHeight="1">
      <c r="A4777" t="inlineStr">
        <is>
          <t>A 9889-2022</t>
        </is>
      </c>
      <c r="B4777" s="1" t="n">
        <v>44620</v>
      </c>
      <c r="C4777" s="1" t="n">
        <v>45344</v>
      </c>
      <c r="D4777" t="inlineStr">
        <is>
          <t>GÄVLEBORGS LÄN</t>
        </is>
      </c>
      <c r="E4777" t="inlineStr">
        <is>
          <t>BOLLNÄS</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9935-2022</t>
        </is>
      </c>
      <c r="B4778" s="1" t="n">
        <v>44620</v>
      </c>
      <c r="C4778" s="1" t="n">
        <v>45344</v>
      </c>
      <c r="D4778" t="inlineStr">
        <is>
          <t>GÄVLEBORGS LÄN</t>
        </is>
      </c>
      <c r="E4778" t="inlineStr">
        <is>
          <t>LJUSDAL</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9936-2022</t>
        </is>
      </c>
      <c r="B4779" s="1" t="n">
        <v>44620</v>
      </c>
      <c r="C4779" s="1" t="n">
        <v>45344</v>
      </c>
      <c r="D4779" t="inlineStr">
        <is>
          <t>GÄVLEBORGS LÄN</t>
        </is>
      </c>
      <c r="E4779" t="inlineStr">
        <is>
          <t>LJUSDAL</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9980-2022</t>
        </is>
      </c>
      <c r="B4780" s="1" t="n">
        <v>44621</v>
      </c>
      <c r="C4780" s="1" t="n">
        <v>45344</v>
      </c>
      <c r="D4780" t="inlineStr">
        <is>
          <t>GÄVLEBORGS LÄN</t>
        </is>
      </c>
      <c r="E4780" t="inlineStr">
        <is>
          <t>OVANÅKER</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10074-2022</t>
        </is>
      </c>
      <c r="B4781" s="1" t="n">
        <v>44621</v>
      </c>
      <c r="C4781" s="1" t="n">
        <v>45344</v>
      </c>
      <c r="D4781" t="inlineStr">
        <is>
          <t>GÄVLEBORGS LÄN</t>
        </is>
      </c>
      <c r="E4781" t="inlineStr">
        <is>
          <t>LJUSDAL</t>
        </is>
      </c>
      <c r="F4781" t="inlineStr">
        <is>
          <t>Kommuner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10180-2022</t>
        </is>
      </c>
      <c r="B4782" s="1" t="n">
        <v>44622</v>
      </c>
      <c r="C4782" s="1" t="n">
        <v>45344</v>
      </c>
      <c r="D4782" t="inlineStr">
        <is>
          <t>GÄVLEBORGS LÄN</t>
        </is>
      </c>
      <c r="E4782" t="inlineStr">
        <is>
          <t>BOLLNÄS</t>
        </is>
      </c>
      <c r="G4782" t="n">
        <v>0.2</v>
      </c>
      <c r="H4782" t="n">
        <v>0</v>
      </c>
      <c r="I4782" t="n">
        <v>0</v>
      </c>
      <c r="J4782" t="n">
        <v>0</v>
      </c>
      <c r="K4782" t="n">
        <v>0</v>
      </c>
      <c r="L4782" t="n">
        <v>0</v>
      </c>
      <c r="M4782" t="n">
        <v>0</v>
      </c>
      <c r="N4782" t="n">
        <v>0</v>
      </c>
      <c r="O4782" t="n">
        <v>0</v>
      </c>
      <c r="P4782" t="n">
        <v>0</v>
      </c>
      <c r="Q4782" t="n">
        <v>0</v>
      </c>
      <c r="R4782" s="2" t="inlineStr"/>
    </row>
    <row r="4783" ht="15" customHeight="1">
      <c r="A4783" t="inlineStr">
        <is>
          <t>A 10184-2022</t>
        </is>
      </c>
      <c r="B4783" s="1" t="n">
        <v>44622</v>
      </c>
      <c r="C4783" s="1" t="n">
        <v>45344</v>
      </c>
      <c r="D4783" t="inlineStr">
        <is>
          <t>GÄVLEBORGS LÄN</t>
        </is>
      </c>
      <c r="E4783" t="inlineStr">
        <is>
          <t>HOFORS</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10214-2022</t>
        </is>
      </c>
      <c r="B4784" s="1" t="n">
        <v>44622</v>
      </c>
      <c r="C4784" s="1" t="n">
        <v>45344</v>
      </c>
      <c r="D4784" t="inlineStr">
        <is>
          <t>GÄVLEBORGS LÄN</t>
        </is>
      </c>
      <c r="E4784" t="inlineStr">
        <is>
          <t>NORDANSTIG</t>
        </is>
      </c>
      <c r="F4784" t="inlineStr">
        <is>
          <t>Holmen skog AB</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10493-2022</t>
        </is>
      </c>
      <c r="B4785" s="1" t="n">
        <v>44623</v>
      </c>
      <c r="C4785" s="1" t="n">
        <v>45344</v>
      </c>
      <c r="D4785" t="inlineStr">
        <is>
          <t>GÄVLEBORGS LÄN</t>
        </is>
      </c>
      <c r="E4785" t="inlineStr">
        <is>
          <t>BOLLNÄS</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10587-2022</t>
        </is>
      </c>
      <c r="B4786" s="1" t="n">
        <v>44624</v>
      </c>
      <c r="C4786" s="1" t="n">
        <v>45344</v>
      </c>
      <c r="D4786" t="inlineStr">
        <is>
          <t>GÄVLEBORGS LÄN</t>
        </is>
      </c>
      <c r="E4786" t="inlineStr">
        <is>
          <t>HOFORS</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10602-2022</t>
        </is>
      </c>
      <c r="B4787" s="1" t="n">
        <v>44624</v>
      </c>
      <c r="C4787" s="1" t="n">
        <v>45344</v>
      </c>
      <c r="D4787" t="inlineStr">
        <is>
          <t>GÄVLEBORGS LÄN</t>
        </is>
      </c>
      <c r="E4787" t="inlineStr">
        <is>
          <t>HOFORS</t>
        </is>
      </c>
      <c r="G4787" t="n">
        <v>7</v>
      </c>
      <c r="H4787" t="n">
        <v>0</v>
      </c>
      <c r="I4787" t="n">
        <v>0</v>
      </c>
      <c r="J4787" t="n">
        <v>0</v>
      </c>
      <c r="K4787" t="n">
        <v>0</v>
      </c>
      <c r="L4787" t="n">
        <v>0</v>
      </c>
      <c r="M4787" t="n">
        <v>0</v>
      </c>
      <c r="N4787" t="n">
        <v>0</v>
      </c>
      <c r="O4787" t="n">
        <v>0</v>
      </c>
      <c r="P4787" t="n">
        <v>0</v>
      </c>
      <c r="Q4787" t="n">
        <v>0</v>
      </c>
      <c r="R4787" s="2" t="inlineStr"/>
    </row>
    <row r="4788" ht="15" customHeight="1">
      <c r="A4788" t="inlineStr">
        <is>
          <t>A 10591-2022</t>
        </is>
      </c>
      <c r="B4788" s="1" t="n">
        <v>44624</v>
      </c>
      <c r="C4788" s="1" t="n">
        <v>45344</v>
      </c>
      <c r="D4788" t="inlineStr">
        <is>
          <t>GÄVLEBORGS LÄN</t>
        </is>
      </c>
      <c r="E4788" t="inlineStr">
        <is>
          <t>LJUSDAL</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10829-2022</t>
        </is>
      </c>
      <c r="B4789" s="1" t="n">
        <v>44627</v>
      </c>
      <c r="C4789" s="1" t="n">
        <v>45344</v>
      </c>
      <c r="D4789" t="inlineStr">
        <is>
          <t>GÄVLEBORGS LÄN</t>
        </is>
      </c>
      <c r="E4789" t="inlineStr">
        <is>
          <t>HUDIKSVALL</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10807-2022</t>
        </is>
      </c>
      <c r="B4790" s="1" t="n">
        <v>44627</v>
      </c>
      <c r="C4790" s="1" t="n">
        <v>45344</v>
      </c>
      <c r="D4790" t="inlineStr">
        <is>
          <t>GÄVLEBORGS LÄN</t>
        </is>
      </c>
      <c r="E4790" t="inlineStr">
        <is>
          <t>OCKELBO</t>
        </is>
      </c>
      <c r="G4790" t="n">
        <v>3.6</v>
      </c>
      <c r="H4790" t="n">
        <v>0</v>
      </c>
      <c r="I4790" t="n">
        <v>0</v>
      </c>
      <c r="J4790" t="n">
        <v>0</v>
      </c>
      <c r="K4790" t="n">
        <v>0</v>
      </c>
      <c r="L4790" t="n">
        <v>0</v>
      </c>
      <c r="M4790" t="n">
        <v>0</v>
      </c>
      <c r="N4790" t="n">
        <v>0</v>
      </c>
      <c r="O4790" t="n">
        <v>0</v>
      </c>
      <c r="P4790" t="n">
        <v>0</v>
      </c>
      <c r="Q4790" t="n">
        <v>0</v>
      </c>
      <c r="R4790" s="2" t="inlineStr"/>
    </row>
    <row r="4791" ht="15" customHeight="1">
      <c r="A4791" t="inlineStr">
        <is>
          <t>A 10858-2022</t>
        </is>
      </c>
      <c r="B4791" s="1" t="n">
        <v>44627</v>
      </c>
      <c r="C4791" s="1" t="n">
        <v>45344</v>
      </c>
      <c r="D4791" t="inlineStr">
        <is>
          <t>GÄVLEBORGS LÄN</t>
        </is>
      </c>
      <c r="E4791" t="inlineStr">
        <is>
          <t>HUDIKSVALL</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10843-2022</t>
        </is>
      </c>
      <c r="B4792" s="1" t="n">
        <v>44627</v>
      </c>
      <c r="C4792" s="1" t="n">
        <v>45344</v>
      </c>
      <c r="D4792" t="inlineStr">
        <is>
          <t>GÄVLEBORGS LÄN</t>
        </is>
      </c>
      <c r="E4792" t="inlineStr">
        <is>
          <t>HUDIKSVALL</t>
        </is>
      </c>
      <c r="G4792" t="n">
        <v>15.4</v>
      </c>
      <c r="H4792" t="n">
        <v>0</v>
      </c>
      <c r="I4792" t="n">
        <v>0</v>
      </c>
      <c r="J4792" t="n">
        <v>0</v>
      </c>
      <c r="K4792" t="n">
        <v>0</v>
      </c>
      <c r="L4792" t="n">
        <v>0</v>
      </c>
      <c r="M4792" t="n">
        <v>0</v>
      </c>
      <c r="N4792" t="n">
        <v>0</v>
      </c>
      <c r="O4792" t="n">
        <v>0</v>
      </c>
      <c r="P4792" t="n">
        <v>0</v>
      </c>
      <c r="Q4792" t="n">
        <v>0</v>
      </c>
      <c r="R4792" s="2" t="inlineStr"/>
    </row>
    <row r="4793" ht="15" customHeight="1">
      <c r="A4793" t="inlineStr">
        <is>
          <t>A 10856-2022</t>
        </is>
      </c>
      <c r="B4793" s="1" t="n">
        <v>44627</v>
      </c>
      <c r="C4793" s="1" t="n">
        <v>45344</v>
      </c>
      <c r="D4793" t="inlineStr">
        <is>
          <t>GÄVLEBORGS LÄN</t>
        </is>
      </c>
      <c r="E4793" t="inlineStr">
        <is>
          <t>LJUSDAL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10945-2022</t>
        </is>
      </c>
      <c r="B4794" s="1" t="n">
        <v>44627</v>
      </c>
      <c r="C4794" s="1" t="n">
        <v>45344</v>
      </c>
      <c r="D4794" t="inlineStr">
        <is>
          <t>GÄVLEBORGS LÄN</t>
        </is>
      </c>
      <c r="E4794" t="inlineStr">
        <is>
          <t>LJUSDAL</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10952-2022</t>
        </is>
      </c>
      <c r="B4795" s="1" t="n">
        <v>44628</v>
      </c>
      <c r="C4795" s="1" t="n">
        <v>45344</v>
      </c>
      <c r="D4795" t="inlineStr">
        <is>
          <t>GÄVLEBORGS LÄN</t>
        </is>
      </c>
      <c r="E4795" t="inlineStr">
        <is>
          <t>GÄVLE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11087-2022</t>
        </is>
      </c>
      <c r="B4796" s="1" t="n">
        <v>44628</v>
      </c>
      <c r="C4796" s="1" t="n">
        <v>45344</v>
      </c>
      <c r="D4796" t="inlineStr">
        <is>
          <t>GÄVLEBORGS LÄN</t>
        </is>
      </c>
      <c r="E4796" t="inlineStr">
        <is>
          <t>NORDANSTIG</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11078-2022</t>
        </is>
      </c>
      <c r="B4797" s="1" t="n">
        <v>44628</v>
      </c>
      <c r="C4797" s="1" t="n">
        <v>45344</v>
      </c>
      <c r="D4797" t="inlineStr">
        <is>
          <t>GÄVLEBORGS LÄN</t>
        </is>
      </c>
      <c r="E4797" t="inlineStr">
        <is>
          <t>NORDANSTIG</t>
        </is>
      </c>
      <c r="F4797" t="inlineStr">
        <is>
          <t>Holmen skog AB</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11189-2022</t>
        </is>
      </c>
      <c r="B4798" s="1" t="n">
        <v>44629</v>
      </c>
      <c r="C4798" s="1" t="n">
        <v>45344</v>
      </c>
      <c r="D4798" t="inlineStr">
        <is>
          <t>GÄVLEBORGS LÄN</t>
        </is>
      </c>
      <c r="E4798" t="inlineStr">
        <is>
          <t>GÄVLE</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11182-2022</t>
        </is>
      </c>
      <c r="B4799" s="1" t="n">
        <v>44629</v>
      </c>
      <c r="C4799" s="1" t="n">
        <v>45344</v>
      </c>
      <c r="D4799" t="inlineStr">
        <is>
          <t>GÄVLEBORGS LÄN</t>
        </is>
      </c>
      <c r="E4799" t="inlineStr">
        <is>
          <t>GÄVLE</t>
        </is>
      </c>
      <c r="G4799" t="n">
        <v>4.6</v>
      </c>
      <c r="H4799" t="n">
        <v>0</v>
      </c>
      <c r="I4799" t="n">
        <v>0</v>
      </c>
      <c r="J4799" t="n">
        <v>0</v>
      </c>
      <c r="K4799" t="n">
        <v>0</v>
      </c>
      <c r="L4799" t="n">
        <v>0</v>
      </c>
      <c r="M4799" t="n">
        <v>0</v>
      </c>
      <c r="N4799" t="n">
        <v>0</v>
      </c>
      <c r="O4799" t="n">
        <v>0</v>
      </c>
      <c r="P4799" t="n">
        <v>0</v>
      </c>
      <c r="Q4799" t="n">
        <v>0</v>
      </c>
      <c r="R4799" s="2" t="inlineStr"/>
    </row>
    <row r="4800" ht="15" customHeight="1">
      <c r="A4800" t="inlineStr">
        <is>
          <t>A 11172-2022</t>
        </is>
      </c>
      <c r="B4800" s="1" t="n">
        <v>44629</v>
      </c>
      <c r="C4800" s="1" t="n">
        <v>45344</v>
      </c>
      <c r="D4800" t="inlineStr">
        <is>
          <t>GÄVLEBORGS LÄN</t>
        </is>
      </c>
      <c r="E4800" t="inlineStr">
        <is>
          <t>HUDIKSVALL</t>
        </is>
      </c>
      <c r="F4800" t="inlineStr">
        <is>
          <t>Holmen skog AB</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11185-2022</t>
        </is>
      </c>
      <c r="B4801" s="1" t="n">
        <v>44629</v>
      </c>
      <c r="C4801" s="1" t="n">
        <v>45344</v>
      </c>
      <c r="D4801" t="inlineStr">
        <is>
          <t>GÄVLEBORGS LÄN</t>
        </is>
      </c>
      <c r="E4801" t="inlineStr">
        <is>
          <t>GÄVLE</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11235-2022</t>
        </is>
      </c>
      <c r="B4802" s="1" t="n">
        <v>44629</v>
      </c>
      <c r="C4802" s="1" t="n">
        <v>45344</v>
      </c>
      <c r="D4802" t="inlineStr">
        <is>
          <t>GÄVLEBORGS LÄN</t>
        </is>
      </c>
      <c r="E4802" t="inlineStr">
        <is>
          <t>GÄVLE</t>
        </is>
      </c>
      <c r="G4802" t="n">
        <v>5.9</v>
      </c>
      <c r="H4802" t="n">
        <v>0</v>
      </c>
      <c r="I4802" t="n">
        <v>0</v>
      </c>
      <c r="J4802" t="n">
        <v>0</v>
      </c>
      <c r="K4802" t="n">
        <v>0</v>
      </c>
      <c r="L4802" t="n">
        <v>0</v>
      </c>
      <c r="M4802" t="n">
        <v>0</v>
      </c>
      <c r="N4802" t="n">
        <v>0</v>
      </c>
      <c r="O4802" t="n">
        <v>0</v>
      </c>
      <c r="P4802" t="n">
        <v>0</v>
      </c>
      <c r="Q4802" t="n">
        <v>0</v>
      </c>
      <c r="R4802" s="2" t="inlineStr"/>
    </row>
    <row r="4803" ht="15" customHeight="1">
      <c r="A4803" t="inlineStr">
        <is>
          <t>A 11188-2022</t>
        </is>
      </c>
      <c r="B4803" s="1" t="n">
        <v>44629</v>
      </c>
      <c r="C4803" s="1" t="n">
        <v>45344</v>
      </c>
      <c r="D4803" t="inlineStr">
        <is>
          <t>GÄVLEBORGS LÄN</t>
        </is>
      </c>
      <c r="E4803" t="inlineStr">
        <is>
          <t>GÄVLE</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11237-2022</t>
        </is>
      </c>
      <c r="B4804" s="1" t="n">
        <v>44629</v>
      </c>
      <c r="C4804" s="1" t="n">
        <v>45344</v>
      </c>
      <c r="D4804" t="inlineStr">
        <is>
          <t>GÄVLEBORGS LÄN</t>
        </is>
      </c>
      <c r="E4804" t="inlineStr">
        <is>
          <t>GÄVLE</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11242-2022</t>
        </is>
      </c>
      <c r="B4805" s="1" t="n">
        <v>44629</v>
      </c>
      <c r="C4805" s="1" t="n">
        <v>45344</v>
      </c>
      <c r="D4805" t="inlineStr">
        <is>
          <t>GÄVLEBORGS LÄN</t>
        </is>
      </c>
      <c r="E4805" t="inlineStr">
        <is>
          <t>LJUSDAL</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11286-2022</t>
        </is>
      </c>
      <c r="B4806" s="1" t="n">
        <v>44629</v>
      </c>
      <c r="C4806" s="1" t="n">
        <v>45344</v>
      </c>
      <c r="D4806" t="inlineStr">
        <is>
          <t>GÄVLEBORGS LÄN</t>
        </is>
      </c>
      <c r="E4806" t="inlineStr">
        <is>
          <t>LJUSDAL</t>
        </is>
      </c>
      <c r="G4806" t="n">
        <v>11.5</v>
      </c>
      <c r="H4806" t="n">
        <v>0</v>
      </c>
      <c r="I4806" t="n">
        <v>0</v>
      </c>
      <c r="J4806" t="n">
        <v>0</v>
      </c>
      <c r="K4806" t="n">
        <v>0</v>
      </c>
      <c r="L4806" t="n">
        <v>0</v>
      </c>
      <c r="M4806" t="n">
        <v>0</v>
      </c>
      <c r="N4806" t="n">
        <v>0</v>
      </c>
      <c r="O4806" t="n">
        <v>0</v>
      </c>
      <c r="P4806" t="n">
        <v>0</v>
      </c>
      <c r="Q4806" t="n">
        <v>0</v>
      </c>
      <c r="R4806" s="2" t="inlineStr"/>
    </row>
    <row r="4807" ht="15" customHeight="1">
      <c r="A4807" t="inlineStr">
        <is>
          <t>A 11519-2022</t>
        </is>
      </c>
      <c r="B4807" s="1" t="n">
        <v>44631</v>
      </c>
      <c r="C4807" s="1" t="n">
        <v>45344</v>
      </c>
      <c r="D4807" t="inlineStr">
        <is>
          <t>GÄVLEBORGS LÄN</t>
        </is>
      </c>
      <c r="E4807" t="inlineStr">
        <is>
          <t>HUDIKSVALL</t>
        </is>
      </c>
      <c r="F4807" t="inlineStr">
        <is>
          <t>Holmen skog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11613-2022</t>
        </is>
      </c>
      <c r="B4808" s="1" t="n">
        <v>44631</v>
      </c>
      <c r="C4808" s="1" t="n">
        <v>45344</v>
      </c>
      <c r="D4808" t="inlineStr">
        <is>
          <t>GÄVLEBORGS LÄN</t>
        </is>
      </c>
      <c r="E4808" t="inlineStr">
        <is>
          <t>GÄVLE</t>
        </is>
      </c>
      <c r="F4808" t="inlineStr">
        <is>
          <t>Bergvik skog öst AB</t>
        </is>
      </c>
      <c r="G4808" t="n">
        <v>4.4</v>
      </c>
      <c r="H4808" t="n">
        <v>0</v>
      </c>
      <c r="I4808" t="n">
        <v>0</v>
      </c>
      <c r="J4808" t="n">
        <v>0</v>
      </c>
      <c r="K4808" t="n">
        <v>0</v>
      </c>
      <c r="L4808" t="n">
        <v>0</v>
      </c>
      <c r="M4808" t="n">
        <v>0</v>
      </c>
      <c r="N4808" t="n">
        <v>0</v>
      </c>
      <c r="O4808" t="n">
        <v>0</v>
      </c>
      <c r="P4808" t="n">
        <v>0</v>
      </c>
      <c r="Q4808" t="n">
        <v>0</v>
      </c>
      <c r="R4808" s="2" t="inlineStr"/>
    </row>
    <row r="4809" ht="15" customHeight="1">
      <c r="A4809" t="inlineStr">
        <is>
          <t>A 11645-2022</t>
        </is>
      </c>
      <c r="B4809" s="1" t="n">
        <v>44631</v>
      </c>
      <c r="C4809" s="1" t="n">
        <v>45344</v>
      </c>
      <c r="D4809" t="inlineStr">
        <is>
          <t>GÄVLEBORGS LÄN</t>
        </is>
      </c>
      <c r="E4809" t="inlineStr">
        <is>
          <t>BOLLNÄS</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11759-2022</t>
        </is>
      </c>
      <c r="B4810" s="1" t="n">
        <v>44634</v>
      </c>
      <c r="C4810" s="1" t="n">
        <v>45344</v>
      </c>
      <c r="D4810" t="inlineStr">
        <is>
          <t>GÄVLEBORGS LÄN</t>
        </is>
      </c>
      <c r="E4810" t="inlineStr">
        <is>
          <t>HUDIKSVALL</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11706-2022</t>
        </is>
      </c>
      <c r="B4811" s="1" t="n">
        <v>44634</v>
      </c>
      <c r="C4811" s="1" t="n">
        <v>45344</v>
      </c>
      <c r="D4811" t="inlineStr">
        <is>
          <t>GÄVLEBORGS LÄN</t>
        </is>
      </c>
      <c r="E4811" t="inlineStr">
        <is>
          <t>NORDANSTIG</t>
        </is>
      </c>
      <c r="F4811" t="inlineStr">
        <is>
          <t>Holmen skog AB</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11817-2022</t>
        </is>
      </c>
      <c r="B4812" s="1" t="n">
        <v>44634</v>
      </c>
      <c r="C4812" s="1" t="n">
        <v>45344</v>
      </c>
      <c r="D4812" t="inlineStr">
        <is>
          <t>GÄVLEBORGS LÄN</t>
        </is>
      </c>
      <c r="E4812" t="inlineStr">
        <is>
          <t>GÄVLE</t>
        </is>
      </c>
      <c r="F4812" t="inlineStr">
        <is>
          <t>Bergvik skog öst AB</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11969-2022</t>
        </is>
      </c>
      <c r="B4813" s="1" t="n">
        <v>44635</v>
      </c>
      <c r="C4813" s="1" t="n">
        <v>45344</v>
      </c>
      <c r="D4813" t="inlineStr">
        <is>
          <t>GÄVLEBORGS LÄN</t>
        </is>
      </c>
      <c r="E4813" t="inlineStr">
        <is>
          <t>HUDIKSVALL</t>
        </is>
      </c>
      <c r="F4813" t="inlineStr">
        <is>
          <t>Holmen skog AB</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11993-2022</t>
        </is>
      </c>
      <c r="B4814" s="1" t="n">
        <v>44635</v>
      </c>
      <c r="C4814" s="1" t="n">
        <v>45344</v>
      </c>
      <c r="D4814" t="inlineStr">
        <is>
          <t>GÄVLEBORGS LÄN</t>
        </is>
      </c>
      <c r="E4814" t="inlineStr">
        <is>
          <t>SANDVIKEN</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11923-2022</t>
        </is>
      </c>
      <c r="B4815" s="1" t="n">
        <v>44635</v>
      </c>
      <c r="C4815" s="1" t="n">
        <v>45344</v>
      </c>
      <c r="D4815" t="inlineStr">
        <is>
          <t>GÄVLEBORGS LÄN</t>
        </is>
      </c>
      <c r="E4815" t="inlineStr">
        <is>
          <t>SANDVIKEN</t>
        </is>
      </c>
      <c r="G4815" t="n">
        <v>6.5</v>
      </c>
      <c r="H4815" t="n">
        <v>0</v>
      </c>
      <c r="I4815" t="n">
        <v>0</v>
      </c>
      <c r="J4815" t="n">
        <v>0</v>
      </c>
      <c r="K4815" t="n">
        <v>0</v>
      </c>
      <c r="L4815" t="n">
        <v>0</v>
      </c>
      <c r="M4815" t="n">
        <v>0</v>
      </c>
      <c r="N4815" t="n">
        <v>0</v>
      </c>
      <c r="O4815" t="n">
        <v>0</v>
      </c>
      <c r="P4815" t="n">
        <v>0</v>
      </c>
      <c r="Q4815" t="n">
        <v>0</v>
      </c>
      <c r="R4815" s="2" t="inlineStr"/>
    </row>
    <row r="4816" ht="15" customHeight="1">
      <c r="A4816" t="inlineStr">
        <is>
          <t>A 11964-2022</t>
        </is>
      </c>
      <c r="B4816" s="1" t="n">
        <v>44635</v>
      </c>
      <c r="C4816" s="1" t="n">
        <v>45344</v>
      </c>
      <c r="D4816" t="inlineStr">
        <is>
          <t>GÄVLEBORGS LÄN</t>
        </is>
      </c>
      <c r="E4816" t="inlineStr">
        <is>
          <t>HUDIKSVALL</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12008-2022</t>
        </is>
      </c>
      <c r="B4817" s="1" t="n">
        <v>44635</v>
      </c>
      <c r="C4817" s="1" t="n">
        <v>45344</v>
      </c>
      <c r="D4817" t="inlineStr">
        <is>
          <t>GÄVLEBORGS LÄN</t>
        </is>
      </c>
      <c r="E4817" t="inlineStr">
        <is>
          <t>NORDANSTIG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12017-2022</t>
        </is>
      </c>
      <c r="B4818" s="1" t="n">
        <v>44635</v>
      </c>
      <c r="C4818" s="1" t="n">
        <v>45344</v>
      </c>
      <c r="D4818" t="inlineStr">
        <is>
          <t>GÄVLEBORGS LÄN</t>
        </is>
      </c>
      <c r="E4818" t="inlineStr">
        <is>
          <t>NORDANSTIG</t>
        </is>
      </c>
      <c r="F4818" t="inlineStr">
        <is>
          <t>SCA</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11994-2022</t>
        </is>
      </c>
      <c r="B4819" s="1" t="n">
        <v>44635</v>
      </c>
      <c r="C4819" s="1" t="n">
        <v>45344</v>
      </c>
      <c r="D4819" t="inlineStr">
        <is>
          <t>GÄVLEBORGS LÄN</t>
        </is>
      </c>
      <c r="E4819" t="inlineStr">
        <is>
          <t>GÄVLE</t>
        </is>
      </c>
      <c r="F4819" t="inlineStr">
        <is>
          <t>Bergvik skog öst AB</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12095-2022</t>
        </is>
      </c>
      <c r="B4820" s="1" t="n">
        <v>44636</v>
      </c>
      <c r="C4820" s="1" t="n">
        <v>45344</v>
      </c>
      <c r="D4820" t="inlineStr">
        <is>
          <t>GÄVLEBORGS LÄN</t>
        </is>
      </c>
      <c r="E4820" t="inlineStr">
        <is>
          <t>GÄVLE</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12130-2022</t>
        </is>
      </c>
      <c r="B4821" s="1" t="n">
        <v>44636</v>
      </c>
      <c r="C4821" s="1" t="n">
        <v>45344</v>
      </c>
      <c r="D4821" t="inlineStr">
        <is>
          <t>GÄVLEBORGS LÄN</t>
        </is>
      </c>
      <c r="E4821" t="inlineStr">
        <is>
          <t>OVANÅKER</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12127-2022</t>
        </is>
      </c>
      <c r="B4822" s="1" t="n">
        <v>44636</v>
      </c>
      <c r="C4822" s="1" t="n">
        <v>45344</v>
      </c>
      <c r="D4822" t="inlineStr">
        <is>
          <t>GÄVLEBORGS LÄN</t>
        </is>
      </c>
      <c r="E4822" t="inlineStr">
        <is>
          <t>GÄVLE</t>
        </is>
      </c>
      <c r="F4822" t="inlineStr">
        <is>
          <t>Bergvik skog öst AB</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12108-2022</t>
        </is>
      </c>
      <c r="B4823" s="1" t="n">
        <v>44636</v>
      </c>
      <c r="C4823" s="1" t="n">
        <v>45344</v>
      </c>
      <c r="D4823" t="inlineStr">
        <is>
          <t>GÄVLEBORGS LÄN</t>
        </is>
      </c>
      <c r="E4823" t="inlineStr">
        <is>
          <t>BOLLNÄS</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12129-2022</t>
        </is>
      </c>
      <c r="B4824" s="1" t="n">
        <v>44636</v>
      </c>
      <c r="C4824" s="1" t="n">
        <v>45344</v>
      </c>
      <c r="D4824" t="inlineStr">
        <is>
          <t>GÄVLEBORGS LÄN</t>
        </is>
      </c>
      <c r="E4824" t="inlineStr">
        <is>
          <t>OVANÅKER</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12340-2022</t>
        </is>
      </c>
      <c r="B4825" s="1" t="n">
        <v>44637</v>
      </c>
      <c r="C4825" s="1" t="n">
        <v>45344</v>
      </c>
      <c r="D4825" t="inlineStr">
        <is>
          <t>GÄVLEBORGS LÄN</t>
        </is>
      </c>
      <c r="E4825" t="inlineStr">
        <is>
          <t>HUDIKSVALL</t>
        </is>
      </c>
      <c r="F4825" t="inlineStr">
        <is>
          <t>Holmen skog AB</t>
        </is>
      </c>
      <c r="G4825" t="n">
        <v>6</v>
      </c>
      <c r="H4825" t="n">
        <v>0</v>
      </c>
      <c r="I4825" t="n">
        <v>0</v>
      </c>
      <c r="J4825" t="n">
        <v>0</v>
      </c>
      <c r="K4825" t="n">
        <v>0</v>
      </c>
      <c r="L4825" t="n">
        <v>0</v>
      </c>
      <c r="M4825" t="n">
        <v>0</v>
      </c>
      <c r="N4825" t="n">
        <v>0</v>
      </c>
      <c r="O4825" t="n">
        <v>0</v>
      </c>
      <c r="P4825" t="n">
        <v>0</v>
      </c>
      <c r="Q4825" t="n">
        <v>0</v>
      </c>
      <c r="R4825" s="2" t="inlineStr"/>
    </row>
    <row r="4826" ht="15" customHeight="1">
      <c r="A4826" t="inlineStr">
        <is>
          <t>A 12342-2022</t>
        </is>
      </c>
      <c r="B4826" s="1" t="n">
        <v>44637</v>
      </c>
      <c r="C4826" s="1" t="n">
        <v>45344</v>
      </c>
      <c r="D4826" t="inlineStr">
        <is>
          <t>GÄVLEBORGS LÄN</t>
        </is>
      </c>
      <c r="E4826" t="inlineStr">
        <is>
          <t>SANDVIKEN</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12228-2022</t>
        </is>
      </c>
      <c r="B4827" s="1" t="n">
        <v>44637</v>
      </c>
      <c r="C4827" s="1" t="n">
        <v>45344</v>
      </c>
      <c r="D4827" t="inlineStr">
        <is>
          <t>GÄVLEBORGS LÄN</t>
        </is>
      </c>
      <c r="E4827" t="inlineStr">
        <is>
          <t>GÄVLE</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12339-2022</t>
        </is>
      </c>
      <c r="B4828" s="1" t="n">
        <v>44637</v>
      </c>
      <c r="C4828" s="1" t="n">
        <v>45344</v>
      </c>
      <c r="D4828" t="inlineStr">
        <is>
          <t>GÄVLEBORGS LÄN</t>
        </is>
      </c>
      <c r="E4828" t="inlineStr">
        <is>
          <t>OVANÅKER</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12330-2022</t>
        </is>
      </c>
      <c r="B4829" s="1" t="n">
        <v>44637</v>
      </c>
      <c r="C4829" s="1" t="n">
        <v>45344</v>
      </c>
      <c r="D4829" t="inlineStr">
        <is>
          <t>GÄVLEBORGS LÄN</t>
        </is>
      </c>
      <c r="E4829" t="inlineStr">
        <is>
          <t>OVANÅKER</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12358-2022</t>
        </is>
      </c>
      <c r="B4830" s="1" t="n">
        <v>44637</v>
      </c>
      <c r="C4830" s="1" t="n">
        <v>45344</v>
      </c>
      <c r="D4830" t="inlineStr">
        <is>
          <t>GÄVLEBORGS LÄN</t>
        </is>
      </c>
      <c r="E4830" t="inlineStr">
        <is>
          <t>SÖDERHAMN</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12594-2022</t>
        </is>
      </c>
      <c r="B4831" s="1" t="n">
        <v>44640</v>
      </c>
      <c r="C4831" s="1" t="n">
        <v>45344</v>
      </c>
      <c r="D4831" t="inlineStr">
        <is>
          <t>GÄVLEBORGS LÄN</t>
        </is>
      </c>
      <c r="E4831" t="inlineStr">
        <is>
          <t>OVANÅKER</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12675-2022</t>
        </is>
      </c>
      <c r="B4832" s="1" t="n">
        <v>44641</v>
      </c>
      <c r="C4832" s="1" t="n">
        <v>45344</v>
      </c>
      <c r="D4832" t="inlineStr">
        <is>
          <t>GÄVLEBORGS LÄN</t>
        </is>
      </c>
      <c r="E4832" t="inlineStr">
        <is>
          <t>NORDANSTIG</t>
        </is>
      </c>
      <c r="F4832" t="inlineStr">
        <is>
          <t>Holmen skog AB</t>
        </is>
      </c>
      <c r="G4832" t="n">
        <v>6.1</v>
      </c>
      <c r="H4832" t="n">
        <v>0</v>
      </c>
      <c r="I4832" t="n">
        <v>0</v>
      </c>
      <c r="J4832" t="n">
        <v>0</v>
      </c>
      <c r="K4832" t="n">
        <v>0</v>
      </c>
      <c r="L4832" t="n">
        <v>0</v>
      </c>
      <c r="M4832" t="n">
        <v>0</v>
      </c>
      <c r="N4832" t="n">
        <v>0</v>
      </c>
      <c r="O4832" t="n">
        <v>0</v>
      </c>
      <c r="P4832" t="n">
        <v>0</v>
      </c>
      <c r="Q4832" t="n">
        <v>0</v>
      </c>
      <c r="R4832" s="2" t="inlineStr"/>
    </row>
    <row r="4833" ht="15" customHeight="1">
      <c r="A4833" t="inlineStr">
        <is>
          <t>A 12737-2022</t>
        </is>
      </c>
      <c r="B4833" s="1" t="n">
        <v>44641</v>
      </c>
      <c r="C4833" s="1" t="n">
        <v>45344</v>
      </c>
      <c r="D4833" t="inlineStr">
        <is>
          <t>GÄVLEBORGS LÄN</t>
        </is>
      </c>
      <c r="E4833" t="inlineStr">
        <is>
          <t>GÄVLE</t>
        </is>
      </c>
      <c r="F4833" t="inlineStr">
        <is>
          <t>Bergvik skog öst AB</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12818-2022</t>
        </is>
      </c>
      <c r="B4834" s="1" t="n">
        <v>44642</v>
      </c>
      <c r="C4834" s="1" t="n">
        <v>45344</v>
      </c>
      <c r="D4834" t="inlineStr">
        <is>
          <t>GÄVLEBORGS LÄN</t>
        </is>
      </c>
      <c r="E4834" t="inlineStr">
        <is>
          <t>BOLLNÄS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12984-2022</t>
        </is>
      </c>
      <c r="B4835" s="1" t="n">
        <v>44643</v>
      </c>
      <c r="C4835" s="1" t="n">
        <v>45344</v>
      </c>
      <c r="D4835" t="inlineStr">
        <is>
          <t>GÄVLEBORGS LÄN</t>
        </is>
      </c>
      <c r="E4835" t="inlineStr">
        <is>
          <t>OCKELBO</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12983-2022</t>
        </is>
      </c>
      <c r="B4836" s="1" t="n">
        <v>44643</v>
      </c>
      <c r="C4836" s="1" t="n">
        <v>45344</v>
      </c>
      <c r="D4836" t="inlineStr">
        <is>
          <t>GÄVLEBORGS LÄN</t>
        </is>
      </c>
      <c r="E4836" t="inlineStr">
        <is>
          <t>OCKELBO</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12987-2022</t>
        </is>
      </c>
      <c r="B4837" s="1" t="n">
        <v>44643</v>
      </c>
      <c r="C4837" s="1" t="n">
        <v>45344</v>
      </c>
      <c r="D4837" t="inlineStr">
        <is>
          <t>GÄVLEBORGS LÄN</t>
        </is>
      </c>
      <c r="E4837" t="inlineStr">
        <is>
          <t>OCKELBO</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13064-2022</t>
        </is>
      </c>
      <c r="B4838" s="1" t="n">
        <v>44643</v>
      </c>
      <c r="C4838" s="1" t="n">
        <v>45344</v>
      </c>
      <c r="D4838" t="inlineStr">
        <is>
          <t>GÄVLEBORGS LÄN</t>
        </is>
      </c>
      <c r="E4838" t="inlineStr">
        <is>
          <t>LJUSDAL</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13245-2022</t>
        </is>
      </c>
      <c r="B4839" s="1" t="n">
        <v>44644</v>
      </c>
      <c r="C4839" s="1" t="n">
        <v>45344</v>
      </c>
      <c r="D4839" t="inlineStr">
        <is>
          <t>GÄVLEBORGS LÄN</t>
        </is>
      </c>
      <c r="E4839" t="inlineStr">
        <is>
          <t>LJUSDAL</t>
        </is>
      </c>
      <c r="F4839" t="inlineStr">
        <is>
          <t>Holmen skog AB</t>
        </is>
      </c>
      <c r="G4839" t="n">
        <v>20</v>
      </c>
      <c r="H4839" t="n">
        <v>0</v>
      </c>
      <c r="I4839" t="n">
        <v>0</v>
      </c>
      <c r="J4839" t="n">
        <v>0</v>
      </c>
      <c r="K4839" t="n">
        <v>0</v>
      </c>
      <c r="L4839" t="n">
        <v>0</v>
      </c>
      <c r="M4839" t="n">
        <v>0</v>
      </c>
      <c r="N4839" t="n">
        <v>0</v>
      </c>
      <c r="O4839" t="n">
        <v>0</v>
      </c>
      <c r="P4839" t="n">
        <v>0</v>
      </c>
      <c r="Q4839" t="n">
        <v>0</v>
      </c>
      <c r="R4839" s="2" t="inlineStr"/>
    </row>
    <row r="4840" ht="15" customHeight="1">
      <c r="A4840" t="inlineStr">
        <is>
          <t>A 13235-2022</t>
        </is>
      </c>
      <c r="B4840" s="1" t="n">
        <v>44644</v>
      </c>
      <c r="C4840" s="1" t="n">
        <v>45344</v>
      </c>
      <c r="D4840" t="inlineStr">
        <is>
          <t>GÄVLEBORGS LÄN</t>
        </is>
      </c>
      <c r="E4840" t="inlineStr">
        <is>
          <t>HUDIKSVALL</t>
        </is>
      </c>
      <c r="F4840" t="inlineStr">
        <is>
          <t>Holmen skog AB</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13270-2022</t>
        </is>
      </c>
      <c r="B4841" s="1" t="n">
        <v>44644</v>
      </c>
      <c r="C4841" s="1" t="n">
        <v>45344</v>
      </c>
      <c r="D4841" t="inlineStr">
        <is>
          <t>GÄVLEBORGS LÄN</t>
        </is>
      </c>
      <c r="E4841" t="inlineStr">
        <is>
          <t>NORDANSTIG</t>
        </is>
      </c>
      <c r="G4841" t="n">
        <v>9</v>
      </c>
      <c r="H4841" t="n">
        <v>0</v>
      </c>
      <c r="I4841" t="n">
        <v>0</v>
      </c>
      <c r="J4841" t="n">
        <v>0</v>
      </c>
      <c r="K4841" t="n">
        <v>0</v>
      </c>
      <c r="L4841" t="n">
        <v>0</v>
      </c>
      <c r="M4841" t="n">
        <v>0</v>
      </c>
      <c r="N4841" t="n">
        <v>0</v>
      </c>
      <c r="O4841" t="n">
        <v>0</v>
      </c>
      <c r="P4841" t="n">
        <v>0</v>
      </c>
      <c r="Q4841" t="n">
        <v>0</v>
      </c>
      <c r="R4841" s="2" t="inlineStr"/>
    </row>
    <row r="4842" ht="15" customHeight="1">
      <c r="A4842" t="inlineStr">
        <is>
          <t>A 13405-2022</t>
        </is>
      </c>
      <c r="B4842" s="1" t="n">
        <v>44645</v>
      </c>
      <c r="C4842" s="1" t="n">
        <v>45344</v>
      </c>
      <c r="D4842" t="inlineStr">
        <is>
          <t>GÄVLEBORGS LÄN</t>
        </is>
      </c>
      <c r="E4842" t="inlineStr">
        <is>
          <t>BOLLNÄS</t>
        </is>
      </c>
      <c r="G4842" t="n">
        <v>3.5</v>
      </c>
      <c r="H4842" t="n">
        <v>0</v>
      </c>
      <c r="I4842" t="n">
        <v>0</v>
      </c>
      <c r="J4842" t="n">
        <v>0</v>
      </c>
      <c r="K4842" t="n">
        <v>0</v>
      </c>
      <c r="L4842" t="n">
        <v>0</v>
      </c>
      <c r="M4842" t="n">
        <v>0</v>
      </c>
      <c r="N4842" t="n">
        <v>0</v>
      </c>
      <c r="O4842" t="n">
        <v>0</v>
      </c>
      <c r="P4842" t="n">
        <v>0</v>
      </c>
      <c r="Q4842" t="n">
        <v>0</v>
      </c>
      <c r="R4842" s="2" t="inlineStr"/>
    </row>
    <row r="4843" ht="15" customHeight="1">
      <c r="A4843" t="inlineStr">
        <is>
          <t>A 13443-2022</t>
        </is>
      </c>
      <c r="B4843" s="1" t="n">
        <v>44645</v>
      </c>
      <c r="C4843" s="1" t="n">
        <v>45344</v>
      </c>
      <c r="D4843" t="inlineStr">
        <is>
          <t>GÄVLEBORGS LÄN</t>
        </is>
      </c>
      <c r="E4843" t="inlineStr">
        <is>
          <t>BOLLNÄS</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13402-2022</t>
        </is>
      </c>
      <c r="B4844" s="1" t="n">
        <v>44645</v>
      </c>
      <c r="C4844" s="1" t="n">
        <v>45344</v>
      </c>
      <c r="D4844" t="inlineStr">
        <is>
          <t>GÄVLEBORGS LÄN</t>
        </is>
      </c>
      <c r="E4844" t="inlineStr">
        <is>
          <t>BOLLNÄS</t>
        </is>
      </c>
      <c r="G4844" t="n">
        <v>3.1</v>
      </c>
      <c r="H4844" t="n">
        <v>0</v>
      </c>
      <c r="I4844" t="n">
        <v>0</v>
      </c>
      <c r="J4844" t="n">
        <v>0</v>
      </c>
      <c r="K4844" t="n">
        <v>0</v>
      </c>
      <c r="L4844" t="n">
        <v>0</v>
      </c>
      <c r="M4844" t="n">
        <v>0</v>
      </c>
      <c r="N4844" t="n">
        <v>0</v>
      </c>
      <c r="O4844" t="n">
        <v>0</v>
      </c>
      <c r="P4844" t="n">
        <v>0</v>
      </c>
      <c r="Q4844" t="n">
        <v>0</v>
      </c>
      <c r="R4844" s="2" t="inlineStr"/>
    </row>
    <row r="4845" ht="15" customHeight="1">
      <c r="A4845" t="inlineStr">
        <is>
          <t>A 13406-2022</t>
        </is>
      </c>
      <c r="B4845" s="1" t="n">
        <v>44645</v>
      </c>
      <c r="C4845" s="1" t="n">
        <v>45344</v>
      </c>
      <c r="D4845" t="inlineStr">
        <is>
          <t>GÄVLEBORGS LÄN</t>
        </is>
      </c>
      <c r="E4845" t="inlineStr">
        <is>
          <t>BOLLNÄS</t>
        </is>
      </c>
      <c r="G4845" t="n">
        <v>2.3</v>
      </c>
      <c r="H4845" t="n">
        <v>0</v>
      </c>
      <c r="I4845" t="n">
        <v>0</v>
      </c>
      <c r="J4845" t="n">
        <v>0</v>
      </c>
      <c r="K4845" t="n">
        <v>0</v>
      </c>
      <c r="L4845" t="n">
        <v>0</v>
      </c>
      <c r="M4845" t="n">
        <v>0</v>
      </c>
      <c r="N4845" t="n">
        <v>0</v>
      </c>
      <c r="O4845" t="n">
        <v>0</v>
      </c>
      <c r="P4845" t="n">
        <v>0</v>
      </c>
      <c r="Q4845" t="n">
        <v>0</v>
      </c>
      <c r="R4845" s="2" t="inlineStr"/>
    </row>
    <row r="4846" ht="15" customHeight="1">
      <c r="A4846" t="inlineStr">
        <is>
          <t>A 13401-2022</t>
        </is>
      </c>
      <c r="B4846" s="1" t="n">
        <v>44645</v>
      </c>
      <c r="C4846" s="1" t="n">
        <v>45344</v>
      </c>
      <c r="D4846" t="inlineStr">
        <is>
          <t>GÄVLEBORGS LÄN</t>
        </is>
      </c>
      <c r="E4846" t="inlineStr">
        <is>
          <t>BOLLNÄS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13407-2022</t>
        </is>
      </c>
      <c r="B4847" s="1" t="n">
        <v>44645</v>
      </c>
      <c r="C4847" s="1" t="n">
        <v>45344</v>
      </c>
      <c r="D4847" t="inlineStr">
        <is>
          <t>GÄVLEBORGS LÄN</t>
        </is>
      </c>
      <c r="E4847" t="inlineStr">
        <is>
          <t>BOLLNÄS</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13620-2022</t>
        </is>
      </c>
      <c r="B4848" s="1" t="n">
        <v>44648</v>
      </c>
      <c r="C4848" s="1" t="n">
        <v>45344</v>
      </c>
      <c r="D4848" t="inlineStr">
        <is>
          <t>GÄVLEBORGS LÄN</t>
        </is>
      </c>
      <c r="E4848" t="inlineStr">
        <is>
          <t>SANDVIKEN</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13622-2022</t>
        </is>
      </c>
      <c r="B4849" s="1" t="n">
        <v>44648</v>
      </c>
      <c r="C4849" s="1" t="n">
        <v>45344</v>
      </c>
      <c r="D4849" t="inlineStr">
        <is>
          <t>GÄVLEBORGS LÄN</t>
        </is>
      </c>
      <c r="E4849" t="inlineStr">
        <is>
          <t>LJUSDAL</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13642-2022</t>
        </is>
      </c>
      <c r="B4850" s="1" t="n">
        <v>44648</v>
      </c>
      <c r="C4850" s="1" t="n">
        <v>45344</v>
      </c>
      <c r="D4850" t="inlineStr">
        <is>
          <t>GÄVLEBORGS LÄN</t>
        </is>
      </c>
      <c r="E4850" t="inlineStr">
        <is>
          <t>BOLLNÄS</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13795-2022</t>
        </is>
      </c>
      <c r="B4851" s="1" t="n">
        <v>44649</v>
      </c>
      <c r="C4851" s="1" t="n">
        <v>45344</v>
      </c>
      <c r="D4851" t="inlineStr">
        <is>
          <t>GÄVLEBORGS LÄN</t>
        </is>
      </c>
      <c r="E4851" t="inlineStr">
        <is>
          <t>HUDIKSVALL</t>
        </is>
      </c>
      <c r="F4851" t="inlineStr">
        <is>
          <t>Holmen skog AB</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13807-2022</t>
        </is>
      </c>
      <c r="B4852" s="1" t="n">
        <v>44649</v>
      </c>
      <c r="C4852" s="1" t="n">
        <v>45344</v>
      </c>
      <c r="D4852" t="inlineStr">
        <is>
          <t>GÄVLEBORGS LÄN</t>
        </is>
      </c>
      <c r="E4852" t="inlineStr">
        <is>
          <t>HOFORS</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13738-2022</t>
        </is>
      </c>
      <c r="B4853" s="1" t="n">
        <v>44649</v>
      </c>
      <c r="C4853" s="1" t="n">
        <v>45344</v>
      </c>
      <c r="D4853" t="inlineStr">
        <is>
          <t>GÄVLEBORGS LÄN</t>
        </is>
      </c>
      <c r="E4853" t="inlineStr">
        <is>
          <t>HUDIKSVALL</t>
        </is>
      </c>
      <c r="G4853" t="n">
        <v>6.3</v>
      </c>
      <c r="H4853" t="n">
        <v>0</v>
      </c>
      <c r="I4853" t="n">
        <v>0</v>
      </c>
      <c r="J4853" t="n">
        <v>0</v>
      </c>
      <c r="K4853" t="n">
        <v>0</v>
      </c>
      <c r="L4853" t="n">
        <v>0</v>
      </c>
      <c r="M4853" t="n">
        <v>0</v>
      </c>
      <c r="N4853" t="n">
        <v>0</v>
      </c>
      <c r="O4853" t="n">
        <v>0</v>
      </c>
      <c r="P4853" t="n">
        <v>0</v>
      </c>
      <c r="Q4853" t="n">
        <v>0</v>
      </c>
      <c r="R4853" s="2" t="inlineStr"/>
    </row>
    <row r="4854" ht="15" customHeight="1">
      <c r="A4854" t="inlineStr">
        <is>
          <t>A 13819-2022</t>
        </is>
      </c>
      <c r="B4854" s="1" t="n">
        <v>44649</v>
      </c>
      <c r="C4854" s="1" t="n">
        <v>45344</v>
      </c>
      <c r="D4854" t="inlineStr">
        <is>
          <t>GÄVLEBORGS LÄN</t>
        </is>
      </c>
      <c r="E4854" t="inlineStr">
        <is>
          <t>HUDIKSVALL</t>
        </is>
      </c>
      <c r="F4854" t="inlineStr">
        <is>
          <t>Holmen skog AB</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13734-2022</t>
        </is>
      </c>
      <c r="B4855" s="1" t="n">
        <v>44649</v>
      </c>
      <c r="C4855" s="1" t="n">
        <v>45344</v>
      </c>
      <c r="D4855" t="inlineStr">
        <is>
          <t>GÄVLEBORGS LÄN</t>
        </is>
      </c>
      <c r="E4855" t="inlineStr">
        <is>
          <t>HUDIKSVALL</t>
        </is>
      </c>
      <c r="G4855" t="n">
        <v>7.7</v>
      </c>
      <c r="H4855" t="n">
        <v>0</v>
      </c>
      <c r="I4855" t="n">
        <v>0</v>
      </c>
      <c r="J4855" t="n">
        <v>0</v>
      </c>
      <c r="K4855" t="n">
        <v>0</v>
      </c>
      <c r="L4855" t="n">
        <v>0</v>
      </c>
      <c r="M4855" t="n">
        <v>0</v>
      </c>
      <c r="N4855" t="n">
        <v>0</v>
      </c>
      <c r="O4855" t="n">
        <v>0</v>
      </c>
      <c r="P4855" t="n">
        <v>0</v>
      </c>
      <c r="Q4855" t="n">
        <v>0</v>
      </c>
      <c r="R4855" s="2" t="inlineStr"/>
    </row>
    <row r="4856" ht="15" customHeight="1">
      <c r="A4856" t="inlineStr">
        <is>
          <t>A 13740-2022</t>
        </is>
      </c>
      <c r="B4856" s="1" t="n">
        <v>44649</v>
      </c>
      <c r="C4856" s="1" t="n">
        <v>45344</v>
      </c>
      <c r="D4856" t="inlineStr">
        <is>
          <t>GÄVLEBORGS LÄN</t>
        </is>
      </c>
      <c r="E4856" t="inlineStr">
        <is>
          <t>HUDIKSVALL</t>
        </is>
      </c>
      <c r="G4856" t="n">
        <v>5</v>
      </c>
      <c r="H4856" t="n">
        <v>0</v>
      </c>
      <c r="I4856" t="n">
        <v>0</v>
      </c>
      <c r="J4856" t="n">
        <v>0</v>
      </c>
      <c r="K4856" t="n">
        <v>0</v>
      </c>
      <c r="L4856" t="n">
        <v>0</v>
      </c>
      <c r="M4856" t="n">
        <v>0</v>
      </c>
      <c r="N4856" t="n">
        <v>0</v>
      </c>
      <c r="O4856" t="n">
        <v>0</v>
      </c>
      <c r="P4856" t="n">
        <v>0</v>
      </c>
      <c r="Q4856" t="n">
        <v>0</v>
      </c>
      <c r="R4856" s="2" t="inlineStr"/>
    </row>
    <row r="4857" ht="15" customHeight="1">
      <c r="A4857" t="inlineStr">
        <is>
          <t>A 13759-2022</t>
        </is>
      </c>
      <c r="B4857" s="1" t="n">
        <v>44649</v>
      </c>
      <c r="C4857" s="1" t="n">
        <v>45344</v>
      </c>
      <c r="D4857" t="inlineStr">
        <is>
          <t>GÄVLEBORGS LÄN</t>
        </is>
      </c>
      <c r="E4857" t="inlineStr">
        <is>
          <t>HUDIKSVALL</t>
        </is>
      </c>
      <c r="F4857" t="inlineStr">
        <is>
          <t>Holmen skog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13809-2022</t>
        </is>
      </c>
      <c r="B4858" s="1" t="n">
        <v>44649</v>
      </c>
      <c r="C4858" s="1" t="n">
        <v>45344</v>
      </c>
      <c r="D4858" t="inlineStr">
        <is>
          <t>GÄVLEBORGS LÄN</t>
        </is>
      </c>
      <c r="E4858" t="inlineStr">
        <is>
          <t>HUDIKSVALL</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13805-2022</t>
        </is>
      </c>
      <c r="B4859" s="1" t="n">
        <v>44649</v>
      </c>
      <c r="C4859" s="1" t="n">
        <v>45344</v>
      </c>
      <c r="D4859" t="inlineStr">
        <is>
          <t>GÄVLEBORGS LÄN</t>
        </is>
      </c>
      <c r="E4859" t="inlineStr">
        <is>
          <t>SÖDERHAMN</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13816-2022</t>
        </is>
      </c>
      <c r="B4860" s="1" t="n">
        <v>44649</v>
      </c>
      <c r="C4860" s="1" t="n">
        <v>45344</v>
      </c>
      <c r="D4860" t="inlineStr">
        <is>
          <t>GÄVLEBORGS LÄN</t>
        </is>
      </c>
      <c r="E4860" t="inlineStr">
        <is>
          <t>HUDIKSVALL</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14010-2022</t>
        </is>
      </c>
      <c r="B4861" s="1" t="n">
        <v>44650</v>
      </c>
      <c r="C4861" s="1" t="n">
        <v>45344</v>
      </c>
      <c r="D4861" t="inlineStr">
        <is>
          <t>GÄVLEBORGS LÄN</t>
        </is>
      </c>
      <c r="E4861" t="inlineStr">
        <is>
          <t>LJUSDAL</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13995-2022</t>
        </is>
      </c>
      <c r="B4862" s="1" t="n">
        <v>44650</v>
      </c>
      <c r="C4862" s="1" t="n">
        <v>45344</v>
      </c>
      <c r="D4862" t="inlineStr">
        <is>
          <t>GÄVLEBORGS LÄN</t>
        </is>
      </c>
      <c r="E4862" t="inlineStr">
        <is>
          <t>OVANÅKER</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14005-2022</t>
        </is>
      </c>
      <c r="B4863" s="1" t="n">
        <v>44650</v>
      </c>
      <c r="C4863" s="1" t="n">
        <v>45344</v>
      </c>
      <c r="D4863" t="inlineStr">
        <is>
          <t>GÄVLEBORGS LÄN</t>
        </is>
      </c>
      <c r="E4863" t="inlineStr">
        <is>
          <t>BOLLNÄS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14012-2022</t>
        </is>
      </c>
      <c r="B4864" s="1" t="n">
        <v>44650</v>
      </c>
      <c r="C4864" s="1" t="n">
        <v>45344</v>
      </c>
      <c r="D4864" t="inlineStr">
        <is>
          <t>GÄVLEBORGS LÄN</t>
        </is>
      </c>
      <c r="E4864" t="inlineStr">
        <is>
          <t>BOLLNÄS</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14104-2022</t>
        </is>
      </c>
      <c r="B4865" s="1" t="n">
        <v>44651</v>
      </c>
      <c r="C4865" s="1" t="n">
        <v>45344</v>
      </c>
      <c r="D4865" t="inlineStr">
        <is>
          <t>GÄVLEBORGS LÄN</t>
        </is>
      </c>
      <c r="E4865" t="inlineStr">
        <is>
          <t>BOLLNÄS</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14173-2022</t>
        </is>
      </c>
      <c r="B4866" s="1" t="n">
        <v>44651</v>
      </c>
      <c r="C4866" s="1" t="n">
        <v>45344</v>
      </c>
      <c r="D4866" t="inlineStr">
        <is>
          <t>GÄVLEBORGS LÄN</t>
        </is>
      </c>
      <c r="E4866" t="inlineStr">
        <is>
          <t>GÄVLE</t>
        </is>
      </c>
      <c r="F4866" t="inlineStr">
        <is>
          <t>Bergvik skog väst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14179-2022</t>
        </is>
      </c>
      <c r="B4867" s="1" t="n">
        <v>44651</v>
      </c>
      <c r="C4867" s="1" t="n">
        <v>45344</v>
      </c>
      <c r="D4867" t="inlineStr">
        <is>
          <t>GÄVLEBORGS LÄN</t>
        </is>
      </c>
      <c r="E4867" t="inlineStr">
        <is>
          <t>SÖDERHAMN</t>
        </is>
      </c>
      <c r="F4867" t="inlineStr">
        <is>
          <t>Bergvik skog väst AB</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14103-2022</t>
        </is>
      </c>
      <c r="B4868" s="1" t="n">
        <v>44651</v>
      </c>
      <c r="C4868" s="1" t="n">
        <v>45344</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14125-2022</t>
        </is>
      </c>
      <c r="B4869" s="1" t="n">
        <v>44651</v>
      </c>
      <c r="C4869" s="1" t="n">
        <v>45344</v>
      </c>
      <c r="D4869" t="inlineStr">
        <is>
          <t>GÄVLEBORGS LÄN</t>
        </is>
      </c>
      <c r="E4869" t="inlineStr">
        <is>
          <t>SÖDERHAMN</t>
        </is>
      </c>
      <c r="F4869" t="inlineStr">
        <is>
          <t>Bergvik skog väst AB</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14144-2022</t>
        </is>
      </c>
      <c r="B4870" s="1" t="n">
        <v>44651</v>
      </c>
      <c r="C4870" s="1" t="n">
        <v>45344</v>
      </c>
      <c r="D4870" t="inlineStr">
        <is>
          <t>GÄVLEBORGS LÄN</t>
        </is>
      </c>
      <c r="E4870" t="inlineStr">
        <is>
          <t>SÖDERHAMN</t>
        </is>
      </c>
      <c r="F4870" t="inlineStr">
        <is>
          <t>Bergvik skog väst AB</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14128-2022</t>
        </is>
      </c>
      <c r="B4871" s="1" t="n">
        <v>44651</v>
      </c>
      <c r="C4871" s="1" t="n">
        <v>45344</v>
      </c>
      <c r="D4871" t="inlineStr">
        <is>
          <t>GÄVLEBORGS LÄN</t>
        </is>
      </c>
      <c r="E4871" t="inlineStr">
        <is>
          <t>SÖDERHAMN</t>
        </is>
      </c>
      <c r="F4871" t="inlineStr">
        <is>
          <t>Bergvik skog väst AB</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14141-2022</t>
        </is>
      </c>
      <c r="B4872" s="1" t="n">
        <v>44651</v>
      </c>
      <c r="C4872" s="1" t="n">
        <v>45344</v>
      </c>
      <c r="D4872" t="inlineStr">
        <is>
          <t>GÄVLEBORGS LÄN</t>
        </is>
      </c>
      <c r="E4872" t="inlineStr">
        <is>
          <t>SÖDERHAMN</t>
        </is>
      </c>
      <c r="F4872" t="inlineStr">
        <is>
          <t>Bergvik skog väst AB</t>
        </is>
      </c>
      <c r="G4872" t="n">
        <v>6.8</v>
      </c>
      <c r="H4872" t="n">
        <v>0</v>
      </c>
      <c r="I4872" t="n">
        <v>0</v>
      </c>
      <c r="J4872" t="n">
        <v>0</v>
      </c>
      <c r="K4872" t="n">
        <v>0</v>
      </c>
      <c r="L4872" t="n">
        <v>0</v>
      </c>
      <c r="M4872" t="n">
        <v>0</v>
      </c>
      <c r="N4872" t="n">
        <v>0</v>
      </c>
      <c r="O4872" t="n">
        <v>0</v>
      </c>
      <c r="P4872" t="n">
        <v>0</v>
      </c>
      <c r="Q4872" t="n">
        <v>0</v>
      </c>
      <c r="R4872" s="2" t="inlineStr"/>
    </row>
    <row r="4873" ht="15" customHeight="1">
      <c r="A4873" t="inlineStr">
        <is>
          <t>A 14181-2022</t>
        </is>
      </c>
      <c r="B4873" s="1" t="n">
        <v>44651</v>
      </c>
      <c r="C4873" s="1" t="n">
        <v>45344</v>
      </c>
      <c r="D4873" t="inlineStr">
        <is>
          <t>GÄVLEBORGS LÄN</t>
        </is>
      </c>
      <c r="E4873" t="inlineStr">
        <is>
          <t>SÖDERHAMN</t>
        </is>
      </c>
      <c r="F4873" t="inlineStr">
        <is>
          <t>Bergvik skog väst AB</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14147-2022</t>
        </is>
      </c>
      <c r="B4874" s="1" t="n">
        <v>44651</v>
      </c>
      <c r="C4874" s="1" t="n">
        <v>45344</v>
      </c>
      <c r="D4874" t="inlineStr">
        <is>
          <t>GÄVLEBORGS LÄN</t>
        </is>
      </c>
      <c r="E4874" t="inlineStr">
        <is>
          <t>SÖDERHAMN</t>
        </is>
      </c>
      <c r="F4874" t="inlineStr">
        <is>
          <t>Bergvik skog väst AB</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14174-2022</t>
        </is>
      </c>
      <c r="B4875" s="1" t="n">
        <v>44651</v>
      </c>
      <c r="C4875" s="1" t="n">
        <v>45344</v>
      </c>
      <c r="D4875" t="inlineStr">
        <is>
          <t>GÄVLEBORGS LÄN</t>
        </is>
      </c>
      <c r="E4875" t="inlineStr">
        <is>
          <t>GÄVLE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14251-2022</t>
        </is>
      </c>
      <c r="B4876" s="1" t="n">
        <v>44651</v>
      </c>
      <c r="C4876" s="1" t="n">
        <v>45344</v>
      </c>
      <c r="D4876" t="inlineStr">
        <is>
          <t>GÄVLEBORGS LÄN</t>
        </is>
      </c>
      <c r="E4876" t="inlineStr">
        <is>
          <t>NORDANSTIG</t>
        </is>
      </c>
      <c r="F4876" t="inlineStr">
        <is>
          <t>Holmen skog AB</t>
        </is>
      </c>
      <c r="G4876" t="n">
        <v>7.9</v>
      </c>
      <c r="H4876" t="n">
        <v>0</v>
      </c>
      <c r="I4876" t="n">
        <v>0</v>
      </c>
      <c r="J4876" t="n">
        <v>0</v>
      </c>
      <c r="K4876" t="n">
        <v>0</v>
      </c>
      <c r="L4876" t="n">
        <v>0</v>
      </c>
      <c r="M4876" t="n">
        <v>0</v>
      </c>
      <c r="N4876" t="n">
        <v>0</v>
      </c>
      <c r="O4876" t="n">
        <v>0</v>
      </c>
      <c r="P4876" t="n">
        <v>0</v>
      </c>
      <c r="Q4876" t="n">
        <v>0</v>
      </c>
      <c r="R4876" s="2" t="inlineStr"/>
    </row>
    <row r="4877" ht="15" customHeight="1">
      <c r="A4877" t="inlineStr">
        <is>
          <t>A 14246-2022</t>
        </is>
      </c>
      <c r="B4877" s="1" t="n">
        <v>44651</v>
      </c>
      <c r="C4877" s="1" t="n">
        <v>45344</v>
      </c>
      <c r="D4877" t="inlineStr">
        <is>
          <t>GÄVLEBORGS LÄN</t>
        </is>
      </c>
      <c r="E4877" t="inlineStr">
        <is>
          <t>NORDANSTIG</t>
        </is>
      </c>
      <c r="F4877" t="inlineStr">
        <is>
          <t>Holmen skog AB</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14399-2022</t>
        </is>
      </c>
      <c r="B4878" s="1" t="n">
        <v>44652</v>
      </c>
      <c r="C4878" s="1" t="n">
        <v>45344</v>
      </c>
      <c r="D4878" t="inlineStr">
        <is>
          <t>GÄVLEBORGS LÄN</t>
        </is>
      </c>
      <c r="E4878" t="inlineStr">
        <is>
          <t>HUDIKSVALL</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14405-2022</t>
        </is>
      </c>
      <c r="B4879" s="1" t="n">
        <v>44652</v>
      </c>
      <c r="C4879" s="1" t="n">
        <v>45344</v>
      </c>
      <c r="D4879" t="inlineStr">
        <is>
          <t>GÄVLEBORGS LÄN</t>
        </is>
      </c>
      <c r="E4879" t="inlineStr">
        <is>
          <t>BOLLNÄS</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14415-2022</t>
        </is>
      </c>
      <c r="B4880" s="1" t="n">
        <v>44652</v>
      </c>
      <c r="C4880" s="1" t="n">
        <v>45344</v>
      </c>
      <c r="D4880" t="inlineStr">
        <is>
          <t>GÄVLEBORGS LÄN</t>
        </is>
      </c>
      <c r="E4880" t="inlineStr">
        <is>
          <t>NORDANSTIG</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14394-2022</t>
        </is>
      </c>
      <c r="B4881" s="1" t="n">
        <v>44652</v>
      </c>
      <c r="C4881" s="1" t="n">
        <v>45344</v>
      </c>
      <c r="D4881" t="inlineStr">
        <is>
          <t>GÄVLEBORGS LÄN</t>
        </is>
      </c>
      <c r="E4881" t="inlineStr">
        <is>
          <t>HUDIKSVALL</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14409-2022</t>
        </is>
      </c>
      <c r="B4882" s="1" t="n">
        <v>44652</v>
      </c>
      <c r="C4882" s="1" t="n">
        <v>45344</v>
      </c>
      <c r="D4882" t="inlineStr">
        <is>
          <t>GÄVLEBORGS LÄN</t>
        </is>
      </c>
      <c r="E4882" t="inlineStr">
        <is>
          <t>HUDIKSVALL</t>
        </is>
      </c>
      <c r="G4882" t="n">
        <v>23.2</v>
      </c>
      <c r="H4882" t="n">
        <v>0</v>
      </c>
      <c r="I4882" t="n">
        <v>0</v>
      </c>
      <c r="J4882" t="n">
        <v>0</v>
      </c>
      <c r="K4882" t="n">
        <v>0</v>
      </c>
      <c r="L4882" t="n">
        <v>0</v>
      </c>
      <c r="M4882" t="n">
        <v>0</v>
      </c>
      <c r="N4882" t="n">
        <v>0</v>
      </c>
      <c r="O4882" t="n">
        <v>0</v>
      </c>
      <c r="P4882" t="n">
        <v>0</v>
      </c>
      <c r="Q4882" t="n">
        <v>0</v>
      </c>
      <c r="R4882" s="2" t="inlineStr"/>
    </row>
    <row r="4883" ht="15" customHeight="1">
      <c r="A4883" t="inlineStr">
        <is>
          <t>A 14354-2022</t>
        </is>
      </c>
      <c r="B4883" s="1" t="n">
        <v>44652</v>
      </c>
      <c r="C4883" s="1" t="n">
        <v>45344</v>
      </c>
      <c r="D4883" t="inlineStr">
        <is>
          <t>GÄVLEBORGS LÄN</t>
        </is>
      </c>
      <c r="E4883" t="inlineStr">
        <is>
          <t>BOLLNÄS</t>
        </is>
      </c>
      <c r="F4883" t="inlineStr">
        <is>
          <t>Kyrkan</t>
        </is>
      </c>
      <c r="G4883" t="n">
        <v>22.3</v>
      </c>
      <c r="H4883" t="n">
        <v>0</v>
      </c>
      <c r="I4883" t="n">
        <v>0</v>
      </c>
      <c r="J4883" t="n">
        <v>0</v>
      </c>
      <c r="K4883" t="n">
        <v>0</v>
      </c>
      <c r="L4883" t="n">
        <v>0</v>
      </c>
      <c r="M4883" t="n">
        <v>0</v>
      </c>
      <c r="N4883" t="n">
        <v>0</v>
      </c>
      <c r="O4883" t="n">
        <v>0</v>
      </c>
      <c r="P4883" t="n">
        <v>0</v>
      </c>
      <c r="Q4883" t="n">
        <v>0</v>
      </c>
      <c r="R4883" s="2" t="inlineStr"/>
    </row>
    <row r="4884" ht="15" customHeight="1">
      <c r="A4884" t="inlineStr">
        <is>
          <t>A 14608-2022</t>
        </is>
      </c>
      <c r="B4884" s="1" t="n">
        <v>44655</v>
      </c>
      <c r="C4884" s="1" t="n">
        <v>45344</v>
      </c>
      <c r="D4884" t="inlineStr">
        <is>
          <t>GÄVLEBORGS LÄN</t>
        </is>
      </c>
      <c r="E4884" t="inlineStr">
        <is>
          <t>LJUSDAL</t>
        </is>
      </c>
      <c r="F4884" t="inlineStr">
        <is>
          <t>Holmen skog AB</t>
        </is>
      </c>
      <c r="G4884" t="n">
        <v>4.7</v>
      </c>
      <c r="H4884" t="n">
        <v>0</v>
      </c>
      <c r="I4884" t="n">
        <v>0</v>
      </c>
      <c r="J4884" t="n">
        <v>0</v>
      </c>
      <c r="K4884" t="n">
        <v>0</v>
      </c>
      <c r="L4884" t="n">
        <v>0</v>
      </c>
      <c r="M4884" t="n">
        <v>0</v>
      </c>
      <c r="N4884" t="n">
        <v>0</v>
      </c>
      <c r="O4884" t="n">
        <v>0</v>
      </c>
      <c r="P4884" t="n">
        <v>0</v>
      </c>
      <c r="Q4884" t="n">
        <v>0</v>
      </c>
      <c r="R4884" s="2" t="inlineStr"/>
    </row>
    <row r="4885" ht="15" customHeight="1">
      <c r="A4885" t="inlineStr">
        <is>
          <t>A 14577-2022</t>
        </is>
      </c>
      <c r="B4885" s="1" t="n">
        <v>44655</v>
      </c>
      <c r="C4885" s="1" t="n">
        <v>45344</v>
      </c>
      <c r="D4885" t="inlineStr">
        <is>
          <t>GÄVLEBORGS LÄN</t>
        </is>
      </c>
      <c r="E4885" t="inlineStr">
        <is>
          <t>GÄVLE</t>
        </is>
      </c>
      <c r="F4885" t="inlineStr">
        <is>
          <t>Kommuner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14621-2022</t>
        </is>
      </c>
      <c r="B4886" s="1" t="n">
        <v>44655</v>
      </c>
      <c r="C4886" s="1" t="n">
        <v>45344</v>
      </c>
      <c r="D4886" t="inlineStr">
        <is>
          <t>GÄVLEBORGS LÄN</t>
        </is>
      </c>
      <c r="E4886" t="inlineStr">
        <is>
          <t>HUDIKSVALL</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14710-2022</t>
        </is>
      </c>
      <c r="B4887" s="1" t="n">
        <v>44656</v>
      </c>
      <c r="C4887" s="1" t="n">
        <v>45344</v>
      </c>
      <c r="D4887" t="inlineStr">
        <is>
          <t>GÄVLEBORGS LÄN</t>
        </is>
      </c>
      <c r="E4887" t="inlineStr">
        <is>
          <t>HUDIKSVALL</t>
        </is>
      </c>
      <c r="F4887" t="inlineStr">
        <is>
          <t>Holmen skog AB</t>
        </is>
      </c>
      <c r="G4887" t="n">
        <v>8.9</v>
      </c>
      <c r="H4887" t="n">
        <v>0</v>
      </c>
      <c r="I4887" t="n">
        <v>0</v>
      </c>
      <c r="J4887" t="n">
        <v>0</v>
      </c>
      <c r="K4887" t="n">
        <v>0</v>
      </c>
      <c r="L4887" t="n">
        <v>0</v>
      </c>
      <c r="M4887" t="n">
        <v>0</v>
      </c>
      <c r="N4887" t="n">
        <v>0</v>
      </c>
      <c r="O4887" t="n">
        <v>0</v>
      </c>
      <c r="P4887" t="n">
        <v>0</v>
      </c>
      <c r="Q4887" t="n">
        <v>0</v>
      </c>
      <c r="R4887" s="2" t="inlineStr"/>
    </row>
    <row r="4888" ht="15" customHeight="1">
      <c r="A4888" t="inlineStr">
        <is>
          <t>A 14840-2022</t>
        </is>
      </c>
      <c r="B4888" s="1" t="n">
        <v>44656</v>
      </c>
      <c r="C4888" s="1" t="n">
        <v>45344</v>
      </c>
      <c r="D4888" t="inlineStr">
        <is>
          <t>GÄVLEBORGS LÄN</t>
        </is>
      </c>
      <c r="E4888" t="inlineStr">
        <is>
          <t>SANDVIKEN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14750-2022</t>
        </is>
      </c>
      <c r="B4889" s="1" t="n">
        <v>44656</v>
      </c>
      <c r="C4889" s="1" t="n">
        <v>45344</v>
      </c>
      <c r="D4889" t="inlineStr">
        <is>
          <t>GÄVLEBORGS LÄN</t>
        </is>
      </c>
      <c r="E4889" t="inlineStr">
        <is>
          <t>GÄVLE</t>
        </is>
      </c>
      <c r="G4889" t="n">
        <v>0.1</v>
      </c>
      <c r="H4889" t="n">
        <v>0</v>
      </c>
      <c r="I4889" t="n">
        <v>0</v>
      </c>
      <c r="J4889" t="n">
        <v>0</v>
      </c>
      <c r="K4889" t="n">
        <v>0</v>
      </c>
      <c r="L4889" t="n">
        <v>0</v>
      </c>
      <c r="M4889" t="n">
        <v>0</v>
      </c>
      <c r="N4889" t="n">
        <v>0</v>
      </c>
      <c r="O4889" t="n">
        <v>0</v>
      </c>
      <c r="P4889" t="n">
        <v>0</v>
      </c>
      <c r="Q4889" t="n">
        <v>0</v>
      </c>
      <c r="R4889" s="2" t="inlineStr"/>
    </row>
    <row r="4890" ht="15" customHeight="1">
      <c r="A4890" t="inlineStr">
        <is>
          <t>A 14857-2022</t>
        </is>
      </c>
      <c r="B4890" s="1" t="n">
        <v>44656</v>
      </c>
      <c r="C4890" s="1" t="n">
        <v>45344</v>
      </c>
      <c r="D4890" t="inlineStr">
        <is>
          <t>GÄVLEBORGS LÄN</t>
        </is>
      </c>
      <c r="E4890" t="inlineStr">
        <is>
          <t>BOLLNÄS</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14944-2022</t>
        </is>
      </c>
      <c r="B4891" s="1" t="n">
        <v>44657</v>
      </c>
      <c r="C4891" s="1" t="n">
        <v>45344</v>
      </c>
      <c r="D4891" t="inlineStr">
        <is>
          <t>GÄVLEBORGS LÄN</t>
        </is>
      </c>
      <c r="E4891" t="inlineStr">
        <is>
          <t>SANDVIKEN</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14953-2022</t>
        </is>
      </c>
      <c r="B4892" s="1" t="n">
        <v>44657</v>
      </c>
      <c r="C4892" s="1" t="n">
        <v>45344</v>
      </c>
      <c r="D4892" t="inlineStr">
        <is>
          <t>GÄVLEBORGS LÄN</t>
        </is>
      </c>
      <c r="E4892" t="inlineStr">
        <is>
          <t>SANDVIKEN</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14996-2022</t>
        </is>
      </c>
      <c r="B4893" s="1" t="n">
        <v>44657</v>
      </c>
      <c r="C4893" s="1" t="n">
        <v>45344</v>
      </c>
      <c r="D4893" t="inlineStr">
        <is>
          <t>GÄVLEBORGS LÄN</t>
        </is>
      </c>
      <c r="E4893" t="inlineStr">
        <is>
          <t>BOLLNÄS</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15011-2022</t>
        </is>
      </c>
      <c r="B4894" s="1" t="n">
        <v>44657</v>
      </c>
      <c r="C4894" s="1" t="n">
        <v>45344</v>
      </c>
      <c r="D4894" t="inlineStr">
        <is>
          <t>GÄVLEBORGS LÄN</t>
        </is>
      </c>
      <c r="E4894" t="inlineStr">
        <is>
          <t>NORDANSTIG</t>
        </is>
      </c>
      <c r="F4894" t="inlineStr">
        <is>
          <t>Holmen skog AB</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15042-2022</t>
        </is>
      </c>
      <c r="B4895" s="1" t="n">
        <v>44657</v>
      </c>
      <c r="C4895" s="1" t="n">
        <v>45344</v>
      </c>
      <c r="D4895" t="inlineStr">
        <is>
          <t>GÄVLEBORGS LÄN</t>
        </is>
      </c>
      <c r="E4895" t="inlineStr">
        <is>
          <t>LJUSDAL</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15097-2022</t>
        </is>
      </c>
      <c r="B4896" s="1" t="n">
        <v>44658</v>
      </c>
      <c r="C4896" s="1" t="n">
        <v>45344</v>
      </c>
      <c r="D4896" t="inlineStr">
        <is>
          <t>GÄVLEBORGS LÄN</t>
        </is>
      </c>
      <c r="E4896" t="inlineStr">
        <is>
          <t>HUDIKSVALL</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15151-2022</t>
        </is>
      </c>
      <c r="B4897" s="1" t="n">
        <v>44658</v>
      </c>
      <c r="C4897" s="1" t="n">
        <v>45344</v>
      </c>
      <c r="D4897" t="inlineStr">
        <is>
          <t>GÄVLEBORGS LÄN</t>
        </is>
      </c>
      <c r="E4897" t="inlineStr">
        <is>
          <t>HUDIKSVALL</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15200-2022</t>
        </is>
      </c>
      <c r="B4898" s="1" t="n">
        <v>44658</v>
      </c>
      <c r="C4898" s="1" t="n">
        <v>45344</v>
      </c>
      <c r="D4898" t="inlineStr">
        <is>
          <t>GÄVLEBORGS LÄN</t>
        </is>
      </c>
      <c r="E4898" t="inlineStr">
        <is>
          <t>SANDVIKEN</t>
        </is>
      </c>
      <c r="F4898" t="inlineStr">
        <is>
          <t>Naturvårdsverket</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15101-2022</t>
        </is>
      </c>
      <c r="B4899" s="1" t="n">
        <v>44658</v>
      </c>
      <c r="C4899" s="1" t="n">
        <v>45344</v>
      </c>
      <c r="D4899" t="inlineStr">
        <is>
          <t>GÄVLEBORGS LÄN</t>
        </is>
      </c>
      <c r="E4899" t="inlineStr">
        <is>
          <t>GÄVLE</t>
        </is>
      </c>
      <c r="F4899" t="inlineStr">
        <is>
          <t>Bergvik skog öst AB</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15114-2022</t>
        </is>
      </c>
      <c r="B4900" s="1" t="n">
        <v>44658</v>
      </c>
      <c r="C4900" s="1" t="n">
        <v>45344</v>
      </c>
      <c r="D4900" t="inlineStr">
        <is>
          <t>GÄVLEBORGS LÄN</t>
        </is>
      </c>
      <c r="E4900" t="inlineStr">
        <is>
          <t>HUDIKSVALL</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15124-2022</t>
        </is>
      </c>
      <c r="B4901" s="1" t="n">
        <v>44658</v>
      </c>
      <c r="C4901" s="1" t="n">
        <v>45344</v>
      </c>
      <c r="D4901" t="inlineStr">
        <is>
          <t>GÄVLEBORGS LÄN</t>
        </is>
      </c>
      <c r="E4901" t="inlineStr">
        <is>
          <t>SANDVIKEN</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15144-2022</t>
        </is>
      </c>
      <c r="B4902" s="1" t="n">
        <v>44658</v>
      </c>
      <c r="C4902" s="1" t="n">
        <v>45344</v>
      </c>
      <c r="D4902" t="inlineStr">
        <is>
          <t>GÄVLEBORGS LÄN</t>
        </is>
      </c>
      <c r="E4902" t="inlineStr">
        <is>
          <t>HUDIKSVALL</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15275-2022</t>
        </is>
      </c>
      <c r="B4903" s="1" t="n">
        <v>44659</v>
      </c>
      <c r="C4903" s="1" t="n">
        <v>45344</v>
      </c>
      <c r="D4903" t="inlineStr">
        <is>
          <t>GÄVLEBORGS LÄN</t>
        </is>
      </c>
      <c r="E4903" t="inlineStr">
        <is>
          <t>BOLLNÄS</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15387-2022</t>
        </is>
      </c>
      <c r="B4904" s="1" t="n">
        <v>44659</v>
      </c>
      <c r="C4904" s="1" t="n">
        <v>45344</v>
      </c>
      <c r="D4904" t="inlineStr">
        <is>
          <t>GÄVLEBORGS LÄN</t>
        </is>
      </c>
      <c r="E4904" t="inlineStr">
        <is>
          <t>HUDIKSVALL</t>
        </is>
      </c>
      <c r="F4904" t="inlineStr">
        <is>
          <t>Holmen skog AB</t>
        </is>
      </c>
      <c r="G4904" t="n">
        <v>8.6</v>
      </c>
      <c r="H4904" t="n">
        <v>0</v>
      </c>
      <c r="I4904" t="n">
        <v>0</v>
      </c>
      <c r="J4904" t="n">
        <v>0</v>
      </c>
      <c r="K4904" t="n">
        <v>0</v>
      </c>
      <c r="L4904" t="n">
        <v>0</v>
      </c>
      <c r="M4904" t="n">
        <v>0</v>
      </c>
      <c r="N4904" t="n">
        <v>0</v>
      </c>
      <c r="O4904" t="n">
        <v>0</v>
      </c>
      <c r="P4904" t="n">
        <v>0</v>
      </c>
      <c r="Q4904" t="n">
        <v>0</v>
      </c>
      <c r="R4904" s="2" t="inlineStr"/>
    </row>
    <row r="4905" ht="15" customHeight="1">
      <c r="A4905" t="inlineStr">
        <is>
          <t>A 15403-2022</t>
        </is>
      </c>
      <c r="B4905" s="1" t="n">
        <v>44659</v>
      </c>
      <c r="C4905" s="1" t="n">
        <v>45344</v>
      </c>
      <c r="D4905" t="inlineStr">
        <is>
          <t>GÄVLEBORGS LÄN</t>
        </is>
      </c>
      <c r="E4905" t="inlineStr">
        <is>
          <t>OCKELBO</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15269-2022</t>
        </is>
      </c>
      <c r="B4906" s="1" t="n">
        <v>44659</v>
      </c>
      <c r="C4906" s="1" t="n">
        <v>45344</v>
      </c>
      <c r="D4906" t="inlineStr">
        <is>
          <t>GÄVLEBORGS LÄN</t>
        </is>
      </c>
      <c r="E4906" t="inlineStr">
        <is>
          <t>BOLLNÄS</t>
        </is>
      </c>
      <c r="G4906" t="n">
        <v>0.7</v>
      </c>
      <c r="H4906" t="n">
        <v>0</v>
      </c>
      <c r="I4906" t="n">
        <v>0</v>
      </c>
      <c r="J4906" t="n">
        <v>0</v>
      </c>
      <c r="K4906" t="n">
        <v>0</v>
      </c>
      <c r="L4906" t="n">
        <v>0</v>
      </c>
      <c r="M4906" t="n">
        <v>0</v>
      </c>
      <c r="N4906" t="n">
        <v>0</v>
      </c>
      <c r="O4906" t="n">
        <v>0</v>
      </c>
      <c r="P4906" t="n">
        <v>0</v>
      </c>
      <c r="Q4906" t="n">
        <v>0</v>
      </c>
      <c r="R4906" s="2" t="inlineStr"/>
    </row>
    <row r="4907" ht="15" customHeight="1">
      <c r="A4907" t="inlineStr">
        <is>
          <t>A 15469-2022</t>
        </is>
      </c>
      <c r="B4907" s="1" t="n">
        <v>44662</v>
      </c>
      <c r="C4907" s="1" t="n">
        <v>45344</v>
      </c>
      <c r="D4907" t="inlineStr">
        <is>
          <t>GÄVLEBORGS LÄN</t>
        </is>
      </c>
      <c r="E4907" t="inlineStr">
        <is>
          <t>OCKELBO</t>
        </is>
      </c>
      <c r="F4907" t="inlineStr">
        <is>
          <t>Bergvik skog väst AB</t>
        </is>
      </c>
      <c r="G4907" t="n">
        <v>5</v>
      </c>
      <c r="H4907" t="n">
        <v>0</v>
      </c>
      <c r="I4907" t="n">
        <v>0</v>
      </c>
      <c r="J4907" t="n">
        <v>0</v>
      </c>
      <c r="K4907" t="n">
        <v>0</v>
      </c>
      <c r="L4907" t="n">
        <v>0</v>
      </c>
      <c r="M4907" t="n">
        <v>0</v>
      </c>
      <c r="N4907" t="n">
        <v>0</v>
      </c>
      <c r="O4907" t="n">
        <v>0</v>
      </c>
      <c r="P4907" t="n">
        <v>0</v>
      </c>
      <c r="Q4907" t="n">
        <v>0</v>
      </c>
      <c r="R4907" s="2" t="inlineStr"/>
    </row>
    <row r="4908" ht="15" customHeight="1">
      <c r="A4908" t="inlineStr">
        <is>
          <t>A 15464-2022</t>
        </is>
      </c>
      <c r="B4908" s="1" t="n">
        <v>44662</v>
      </c>
      <c r="C4908" s="1" t="n">
        <v>45344</v>
      </c>
      <c r="D4908" t="inlineStr">
        <is>
          <t>GÄVLEBORGS LÄN</t>
        </is>
      </c>
      <c r="E4908" t="inlineStr">
        <is>
          <t>BOLLNÄS</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15485-2022</t>
        </is>
      </c>
      <c r="B4909" s="1" t="n">
        <v>44662</v>
      </c>
      <c r="C4909" s="1" t="n">
        <v>45344</v>
      </c>
      <c r="D4909" t="inlineStr">
        <is>
          <t>GÄVLEBORGS LÄN</t>
        </is>
      </c>
      <c r="E4909" t="inlineStr">
        <is>
          <t>LJUSDAL</t>
        </is>
      </c>
      <c r="F4909" t="inlineStr">
        <is>
          <t>Kyrkan</t>
        </is>
      </c>
      <c r="G4909" t="n">
        <v>17.9</v>
      </c>
      <c r="H4909" t="n">
        <v>0</v>
      </c>
      <c r="I4909" t="n">
        <v>0</v>
      </c>
      <c r="J4909" t="n">
        <v>0</v>
      </c>
      <c r="K4909" t="n">
        <v>0</v>
      </c>
      <c r="L4909" t="n">
        <v>0</v>
      </c>
      <c r="M4909" t="n">
        <v>0</v>
      </c>
      <c r="N4909" t="n">
        <v>0</v>
      </c>
      <c r="O4909" t="n">
        <v>0</v>
      </c>
      <c r="P4909" t="n">
        <v>0</v>
      </c>
      <c r="Q4909" t="n">
        <v>0</v>
      </c>
      <c r="R4909" s="2" t="inlineStr"/>
    </row>
    <row r="4910" ht="15" customHeight="1">
      <c r="A4910" t="inlineStr">
        <is>
          <t>A 15517-2022</t>
        </is>
      </c>
      <c r="B4910" s="1" t="n">
        <v>44662</v>
      </c>
      <c r="C4910" s="1" t="n">
        <v>45344</v>
      </c>
      <c r="D4910" t="inlineStr">
        <is>
          <t>GÄVLEBORGS LÄN</t>
        </is>
      </c>
      <c r="E4910" t="inlineStr">
        <is>
          <t>OCKELBO</t>
        </is>
      </c>
      <c r="F4910" t="inlineStr">
        <is>
          <t>Bergvik skog väst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15616-2022</t>
        </is>
      </c>
      <c r="B4911" s="1" t="n">
        <v>44662</v>
      </c>
      <c r="C4911" s="1" t="n">
        <v>45344</v>
      </c>
      <c r="D4911" t="inlineStr">
        <is>
          <t>GÄVLEBORGS LÄN</t>
        </is>
      </c>
      <c r="E4911" t="inlineStr">
        <is>
          <t>HUDIKSVALL</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15476-2022</t>
        </is>
      </c>
      <c r="B4912" s="1" t="n">
        <v>44662</v>
      </c>
      <c r="C4912" s="1" t="n">
        <v>45344</v>
      </c>
      <c r="D4912" t="inlineStr">
        <is>
          <t>GÄVLEBORGS LÄN</t>
        </is>
      </c>
      <c r="E4912" t="inlineStr">
        <is>
          <t>OCKELBO</t>
        </is>
      </c>
      <c r="F4912" t="inlineStr">
        <is>
          <t>Bergvik skog väst AB</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15498-2022</t>
        </is>
      </c>
      <c r="B4913" s="1" t="n">
        <v>44662</v>
      </c>
      <c r="C4913" s="1" t="n">
        <v>45344</v>
      </c>
      <c r="D4913" t="inlineStr">
        <is>
          <t>GÄVLEBORGS LÄN</t>
        </is>
      </c>
      <c r="E4913" t="inlineStr">
        <is>
          <t>OCKELBO</t>
        </is>
      </c>
      <c r="F4913" t="inlineStr">
        <is>
          <t>Bergvik skog väst AB</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15646-2022</t>
        </is>
      </c>
      <c r="B4914" s="1" t="n">
        <v>44663</v>
      </c>
      <c r="C4914" s="1" t="n">
        <v>45344</v>
      </c>
      <c r="D4914" t="inlineStr">
        <is>
          <t>GÄVLEBORGS LÄN</t>
        </is>
      </c>
      <c r="E4914" t="inlineStr">
        <is>
          <t>SÖDERHAMN</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15647-2022</t>
        </is>
      </c>
      <c r="B4915" s="1" t="n">
        <v>44663</v>
      </c>
      <c r="C4915" s="1" t="n">
        <v>45344</v>
      </c>
      <c r="D4915" t="inlineStr">
        <is>
          <t>GÄVLEBORGS LÄN</t>
        </is>
      </c>
      <c r="E4915" t="inlineStr">
        <is>
          <t>NORDANSTIG</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15645-2022</t>
        </is>
      </c>
      <c r="B4916" s="1" t="n">
        <v>44663</v>
      </c>
      <c r="C4916" s="1" t="n">
        <v>45344</v>
      </c>
      <c r="D4916" t="inlineStr">
        <is>
          <t>GÄVLEBORGS LÄN</t>
        </is>
      </c>
      <c r="E4916" t="inlineStr">
        <is>
          <t>SÖDERHAMN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15704-2022</t>
        </is>
      </c>
      <c r="B4917" s="1" t="n">
        <v>44663</v>
      </c>
      <c r="C4917" s="1" t="n">
        <v>45344</v>
      </c>
      <c r="D4917" t="inlineStr">
        <is>
          <t>GÄVLEBORGS LÄN</t>
        </is>
      </c>
      <c r="E4917" t="inlineStr">
        <is>
          <t>GÄVLE</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15686-2022</t>
        </is>
      </c>
      <c r="B4918" s="1" t="n">
        <v>44663</v>
      </c>
      <c r="C4918" s="1" t="n">
        <v>45344</v>
      </c>
      <c r="D4918" t="inlineStr">
        <is>
          <t>GÄVLEBORGS LÄN</t>
        </is>
      </c>
      <c r="E4918" t="inlineStr">
        <is>
          <t>GÄVLE</t>
        </is>
      </c>
      <c r="F4918" t="inlineStr">
        <is>
          <t>Kyrkan</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15694-2022</t>
        </is>
      </c>
      <c r="B4919" s="1" t="n">
        <v>44663</v>
      </c>
      <c r="C4919" s="1" t="n">
        <v>45344</v>
      </c>
      <c r="D4919" t="inlineStr">
        <is>
          <t>GÄVLEBORGS LÄN</t>
        </is>
      </c>
      <c r="E4919" t="inlineStr">
        <is>
          <t>OCKELBO</t>
        </is>
      </c>
      <c r="F4919" t="inlineStr">
        <is>
          <t>Bergvik skog väst AB</t>
        </is>
      </c>
      <c r="G4919" t="n">
        <v>2.5</v>
      </c>
      <c r="H4919" t="n">
        <v>0</v>
      </c>
      <c r="I4919" t="n">
        <v>0</v>
      </c>
      <c r="J4919" t="n">
        <v>0</v>
      </c>
      <c r="K4919" t="n">
        <v>0</v>
      </c>
      <c r="L4919" t="n">
        <v>0</v>
      </c>
      <c r="M4919" t="n">
        <v>0</v>
      </c>
      <c r="N4919" t="n">
        <v>0</v>
      </c>
      <c r="O4919" t="n">
        <v>0</v>
      </c>
      <c r="P4919" t="n">
        <v>0</v>
      </c>
      <c r="Q4919" t="n">
        <v>0</v>
      </c>
      <c r="R4919" s="2" t="inlineStr"/>
    </row>
    <row r="4920" ht="15" customHeight="1">
      <c r="A4920" t="inlineStr">
        <is>
          <t>A 15750-2022</t>
        </is>
      </c>
      <c r="B4920" s="1" t="n">
        <v>44663</v>
      </c>
      <c r="C4920" s="1" t="n">
        <v>45344</v>
      </c>
      <c r="D4920" t="inlineStr">
        <is>
          <t>GÄVLEBORGS LÄN</t>
        </is>
      </c>
      <c r="E4920" t="inlineStr">
        <is>
          <t>LJUSDAL</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15700-2022</t>
        </is>
      </c>
      <c r="B4921" s="1" t="n">
        <v>44663</v>
      </c>
      <c r="C4921" s="1" t="n">
        <v>45344</v>
      </c>
      <c r="D4921" t="inlineStr">
        <is>
          <t>GÄVLEBORGS LÄN</t>
        </is>
      </c>
      <c r="E4921" t="inlineStr">
        <is>
          <t>GÄVLE</t>
        </is>
      </c>
      <c r="G4921" t="n">
        <v>5.1</v>
      </c>
      <c r="H4921" t="n">
        <v>0</v>
      </c>
      <c r="I4921" t="n">
        <v>0</v>
      </c>
      <c r="J4921" t="n">
        <v>0</v>
      </c>
      <c r="K4921" t="n">
        <v>0</v>
      </c>
      <c r="L4921" t="n">
        <v>0</v>
      </c>
      <c r="M4921" t="n">
        <v>0</v>
      </c>
      <c r="N4921" t="n">
        <v>0</v>
      </c>
      <c r="O4921" t="n">
        <v>0</v>
      </c>
      <c r="P4921" t="n">
        <v>0</v>
      </c>
      <c r="Q4921" t="n">
        <v>0</v>
      </c>
      <c r="R4921" s="2" t="inlineStr"/>
    </row>
    <row r="4922" ht="15" customHeight="1">
      <c r="A4922" t="inlineStr">
        <is>
          <t>A 15705-2022</t>
        </is>
      </c>
      <c r="B4922" s="1" t="n">
        <v>44663</v>
      </c>
      <c r="C4922" s="1" t="n">
        <v>45344</v>
      </c>
      <c r="D4922" t="inlineStr">
        <is>
          <t>GÄVLEBORGS LÄN</t>
        </is>
      </c>
      <c r="E4922" t="inlineStr">
        <is>
          <t>OCKELBO</t>
        </is>
      </c>
      <c r="F4922" t="inlineStr">
        <is>
          <t>Bergvik skog väst AB</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15725-2022</t>
        </is>
      </c>
      <c r="B4923" s="1" t="n">
        <v>44663</v>
      </c>
      <c r="C4923" s="1" t="n">
        <v>45344</v>
      </c>
      <c r="D4923" t="inlineStr">
        <is>
          <t>GÄVLEBORGS LÄN</t>
        </is>
      </c>
      <c r="E4923" t="inlineStr">
        <is>
          <t>SÖDERHAMN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15767-2022</t>
        </is>
      </c>
      <c r="B4924" s="1" t="n">
        <v>44663</v>
      </c>
      <c r="C4924" s="1" t="n">
        <v>45344</v>
      </c>
      <c r="D4924" t="inlineStr">
        <is>
          <t>GÄVLEBORGS LÄN</t>
        </is>
      </c>
      <c r="E4924" t="inlineStr">
        <is>
          <t>LJUSDAL</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15744-2022</t>
        </is>
      </c>
      <c r="B4925" s="1" t="n">
        <v>44663</v>
      </c>
      <c r="C4925" s="1" t="n">
        <v>45344</v>
      </c>
      <c r="D4925" t="inlineStr">
        <is>
          <t>GÄVLEBORGS LÄN</t>
        </is>
      </c>
      <c r="E4925" t="inlineStr">
        <is>
          <t>OCKELBO</t>
        </is>
      </c>
      <c r="F4925" t="inlineStr">
        <is>
          <t>Bergvik skog väst AB</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15748-2022</t>
        </is>
      </c>
      <c r="B4926" s="1" t="n">
        <v>44663</v>
      </c>
      <c r="C4926" s="1" t="n">
        <v>45344</v>
      </c>
      <c r="D4926" t="inlineStr">
        <is>
          <t>GÄVLEBORGS LÄN</t>
        </is>
      </c>
      <c r="E4926" t="inlineStr">
        <is>
          <t>SÖDERHAMN</t>
        </is>
      </c>
      <c r="G4926" t="n">
        <v>10.3</v>
      </c>
      <c r="H4926" t="n">
        <v>0</v>
      </c>
      <c r="I4926" t="n">
        <v>0</v>
      </c>
      <c r="J4926" t="n">
        <v>0</v>
      </c>
      <c r="K4926" t="n">
        <v>0</v>
      </c>
      <c r="L4926" t="n">
        <v>0</v>
      </c>
      <c r="M4926" t="n">
        <v>0</v>
      </c>
      <c r="N4926" t="n">
        <v>0</v>
      </c>
      <c r="O4926" t="n">
        <v>0</v>
      </c>
      <c r="P4926" t="n">
        <v>0</v>
      </c>
      <c r="Q4926" t="n">
        <v>0</v>
      </c>
      <c r="R4926" s="2" t="inlineStr"/>
    </row>
    <row r="4927" ht="15" customHeight="1">
      <c r="A4927" t="inlineStr">
        <is>
          <t>A 15876-2022</t>
        </is>
      </c>
      <c r="B4927" s="1" t="n">
        <v>44664</v>
      </c>
      <c r="C4927" s="1" t="n">
        <v>45344</v>
      </c>
      <c r="D4927" t="inlineStr">
        <is>
          <t>GÄVLEBORGS LÄN</t>
        </is>
      </c>
      <c r="E4927" t="inlineStr">
        <is>
          <t>HUDIKSVALL</t>
        </is>
      </c>
      <c r="F4927" t="inlineStr">
        <is>
          <t>Holmen skog AB</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15918-2022</t>
        </is>
      </c>
      <c r="B4928" s="1" t="n">
        <v>44664</v>
      </c>
      <c r="C4928" s="1" t="n">
        <v>45344</v>
      </c>
      <c r="D4928" t="inlineStr">
        <is>
          <t>GÄVLEBORGS LÄN</t>
        </is>
      </c>
      <c r="E4928" t="inlineStr">
        <is>
          <t>HUDIKSVALL</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15973-2022</t>
        </is>
      </c>
      <c r="B4929" s="1" t="n">
        <v>44665</v>
      </c>
      <c r="C4929" s="1" t="n">
        <v>45344</v>
      </c>
      <c r="D4929" t="inlineStr">
        <is>
          <t>GÄVLEBORGS LÄN</t>
        </is>
      </c>
      <c r="E4929" t="inlineStr">
        <is>
          <t>NORDANSTIG</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15998-2022</t>
        </is>
      </c>
      <c r="B4930" s="1" t="n">
        <v>44665</v>
      </c>
      <c r="C4930" s="1" t="n">
        <v>45344</v>
      </c>
      <c r="D4930" t="inlineStr">
        <is>
          <t>GÄVLEBORGS LÄN</t>
        </is>
      </c>
      <c r="E4930" t="inlineStr">
        <is>
          <t>OVANÅKER</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16137-2022</t>
        </is>
      </c>
      <c r="B4931" s="1" t="n">
        <v>44665</v>
      </c>
      <c r="C4931" s="1" t="n">
        <v>45344</v>
      </c>
      <c r="D4931" t="inlineStr">
        <is>
          <t>GÄVLEBORGS LÄN</t>
        </is>
      </c>
      <c r="E4931" t="inlineStr">
        <is>
          <t>SÖDERHAMN</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16318-2022</t>
        </is>
      </c>
      <c r="B4932" s="1" t="n">
        <v>44670</v>
      </c>
      <c r="C4932" s="1" t="n">
        <v>45344</v>
      </c>
      <c r="D4932" t="inlineStr">
        <is>
          <t>GÄVLEBORGS LÄN</t>
        </is>
      </c>
      <c r="E4932" t="inlineStr">
        <is>
          <t>OCKELBO</t>
        </is>
      </c>
      <c r="F4932" t="inlineStr">
        <is>
          <t>Bergvik skog väst AB</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16333-2022</t>
        </is>
      </c>
      <c r="B4933" s="1" t="n">
        <v>44670</v>
      </c>
      <c r="C4933" s="1" t="n">
        <v>45344</v>
      </c>
      <c r="D4933" t="inlineStr">
        <is>
          <t>GÄVLEBORGS LÄN</t>
        </is>
      </c>
      <c r="E4933" t="inlineStr">
        <is>
          <t>OCKELBO</t>
        </is>
      </c>
      <c r="F4933" t="inlineStr">
        <is>
          <t>Bergvik skog väst AB</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16344-2022</t>
        </is>
      </c>
      <c r="B4934" s="1" t="n">
        <v>44670</v>
      </c>
      <c r="C4934" s="1" t="n">
        <v>45344</v>
      </c>
      <c r="D4934" t="inlineStr">
        <is>
          <t>GÄVLEBORGS LÄN</t>
        </is>
      </c>
      <c r="E4934" t="inlineStr">
        <is>
          <t>HUDIKSVALL</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16357-2022</t>
        </is>
      </c>
      <c r="B4935" s="1" t="n">
        <v>44671</v>
      </c>
      <c r="C4935" s="1" t="n">
        <v>45344</v>
      </c>
      <c r="D4935" t="inlineStr">
        <is>
          <t>GÄVLEBORGS LÄN</t>
        </is>
      </c>
      <c r="E4935" t="inlineStr">
        <is>
          <t>HUDIKSVALL</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16355-2022</t>
        </is>
      </c>
      <c r="B4936" s="1" t="n">
        <v>44671</v>
      </c>
      <c r="C4936" s="1" t="n">
        <v>45344</v>
      </c>
      <c r="D4936" t="inlineStr">
        <is>
          <t>GÄVLEBORGS LÄN</t>
        </is>
      </c>
      <c r="E4936" t="inlineStr">
        <is>
          <t>HUDIKSVALL</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16327-2022</t>
        </is>
      </c>
      <c r="B4937" s="1" t="n">
        <v>44670</v>
      </c>
      <c r="C4937" s="1" t="n">
        <v>45344</v>
      </c>
      <c r="D4937" t="inlineStr">
        <is>
          <t>GÄVLEBORGS LÄN</t>
        </is>
      </c>
      <c r="E4937" t="inlineStr">
        <is>
          <t>OCKELBO</t>
        </is>
      </c>
      <c r="F4937" t="inlineStr">
        <is>
          <t>Bergvik skog väst AB</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16356-2022</t>
        </is>
      </c>
      <c r="B4938" s="1" t="n">
        <v>44671</v>
      </c>
      <c r="C4938" s="1" t="n">
        <v>45344</v>
      </c>
      <c r="D4938" t="inlineStr">
        <is>
          <t>GÄVLEBORGS LÄN</t>
        </is>
      </c>
      <c r="E4938" t="inlineStr">
        <is>
          <t>HUDIKSVALL</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16459-2022</t>
        </is>
      </c>
      <c r="B4939" s="1" t="n">
        <v>44671</v>
      </c>
      <c r="C4939" s="1" t="n">
        <v>45344</v>
      </c>
      <c r="D4939" t="inlineStr">
        <is>
          <t>GÄVLEBORGS LÄN</t>
        </is>
      </c>
      <c r="E4939" t="inlineStr">
        <is>
          <t>GÄVLE</t>
        </is>
      </c>
      <c r="F4939" t="inlineStr">
        <is>
          <t>Bergvik skog öst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16489-2022</t>
        </is>
      </c>
      <c r="B4940" s="1" t="n">
        <v>44671</v>
      </c>
      <c r="C4940" s="1" t="n">
        <v>45344</v>
      </c>
      <c r="D4940" t="inlineStr">
        <is>
          <t>GÄVLEBORGS LÄN</t>
        </is>
      </c>
      <c r="E4940" t="inlineStr">
        <is>
          <t>BOLLNÄS</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16371-2022</t>
        </is>
      </c>
      <c r="B4941" s="1" t="n">
        <v>44671</v>
      </c>
      <c r="C4941" s="1" t="n">
        <v>45344</v>
      </c>
      <c r="D4941" t="inlineStr">
        <is>
          <t>GÄVLEBORGS LÄN</t>
        </is>
      </c>
      <c r="E4941" t="inlineStr">
        <is>
          <t>HOFORS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16379-2022</t>
        </is>
      </c>
      <c r="B4942" s="1" t="n">
        <v>44671</v>
      </c>
      <c r="C4942" s="1" t="n">
        <v>45344</v>
      </c>
      <c r="D4942" t="inlineStr">
        <is>
          <t>GÄVLEBORGS LÄN</t>
        </is>
      </c>
      <c r="E4942" t="inlineStr">
        <is>
          <t>BOLLNÄS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16469-2022</t>
        </is>
      </c>
      <c r="B4943" s="1" t="n">
        <v>44671</v>
      </c>
      <c r="C4943" s="1" t="n">
        <v>45344</v>
      </c>
      <c r="D4943" t="inlineStr">
        <is>
          <t>GÄVLEBORGS LÄN</t>
        </is>
      </c>
      <c r="E4943" t="inlineStr">
        <is>
          <t>GÄVLE</t>
        </is>
      </c>
      <c r="F4943" t="inlineStr">
        <is>
          <t>Bergvik skog öst AB</t>
        </is>
      </c>
      <c r="G4943" t="n">
        <v>0.3</v>
      </c>
      <c r="H4943" t="n">
        <v>0</v>
      </c>
      <c r="I4943" t="n">
        <v>0</v>
      </c>
      <c r="J4943" t="n">
        <v>0</v>
      </c>
      <c r="K4943" t="n">
        <v>0</v>
      </c>
      <c r="L4943" t="n">
        <v>0</v>
      </c>
      <c r="M4943" t="n">
        <v>0</v>
      </c>
      <c r="N4943" t="n">
        <v>0</v>
      </c>
      <c r="O4943" t="n">
        <v>0</v>
      </c>
      <c r="P4943" t="n">
        <v>0</v>
      </c>
      <c r="Q4943" t="n">
        <v>0</v>
      </c>
      <c r="R4943" s="2" t="inlineStr"/>
    </row>
    <row r="4944" ht="15" customHeight="1">
      <c r="A4944" t="inlineStr">
        <is>
          <t>A 16475-2022</t>
        </is>
      </c>
      <c r="B4944" s="1" t="n">
        <v>44671</v>
      </c>
      <c r="C4944" s="1" t="n">
        <v>45344</v>
      </c>
      <c r="D4944" t="inlineStr">
        <is>
          <t>GÄVLEBORGS LÄN</t>
        </is>
      </c>
      <c r="E4944" t="inlineStr">
        <is>
          <t>GÄVLE</t>
        </is>
      </c>
      <c r="F4944" t="inlineStr">
        <is>
          <t>Bergvik skog öst AB</t>
        </is>
      </c>
      <c r="G4944" t="n">
        <v>3.6</v>
      </c>
      <c r="H4944" t="n">
        <v>0</v>
      </c>
      <c r="I4944" t="n">
        <v>0</v>
      </c>
      <c r="J4944" t="n">
        <v>0</v>
      </c>
      <c r="K4944" t="n">
        <v>0</v>
      </c>
      <c r="L4944" t="n">
        <v>0</v>
      </c>
      <c r="M4944" t="n">
        <v>0</v>
      </c>
      <c r="N4944" t="n">
        <v>0</v>
      </c>
      <c r="O4944" t="n">
        <v>0</v>
      </c>
      <c r="P4944" t="n">
        <v>0</v>
      </c>
      <c r="Q4944" t="n">
        <v>0</v>
      </c>
      <c r="R4944" s="2" t="inlineStr"/>
    </row>
    <row r="4945" ht="15" customHeight="1">
      <c r="A4945" t="inlineStr">
        <is>
          <t>A 16603-2022</t>
        </is>
      </c>
      <c r="B4945" s="1" t="n">
        <v>44672</v>
      </c>
      <c r="C4945" s="1" t="n">
        <v>45344</v>
      </c>
      <c r="D4945" t="inlineStr">
        <is>
          <t>GÄVLEBORGS LÄN</t>
        </is>
      </c>
      <c r="E4945" t="inlineStr">
        <is>
          <t>SANDVIKEN</t>
        </is>
      </c>
      <c r="F4945" t="inlineStr">
        <is>
          <t>Bergvik skog öst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16615-2022</t>
        </is>
      </c>
      <c r="B4946" s="1" t="n">
        <v>44672</v>
      </c>
      <c r="C4946" s="1" t="n">
        <v>45344</v>
      </c>
      <c r="D4946" t="inlineStr">
        <is>
          <t>GÄVLEBORGS LÄN</t>
        </is>
      </c>
      <c r="E4946" t="inlineStr">
        <is>
          <t>OVANÅKER</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16646-2022</t>
        </is>
      </c>
      <c r="B4947" s="1" t="n">
        <v>44672</v>
      </c>
      <c r="C4947" s="1" t="n">
        <v>45344</v>
      </c>
      <c r="D4947" t="inlineStr">
        <is>
          <t>GÄVLEBORGS LÄN</t>
        </is>
      </c>
      <c r="E4947" t="inlineStr">
        <is>
          <t>BOLLNÄS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16891-2022</t>
        </is>
      </c>
      <c r="B4948" s="1" t="n">
        <v>44676</v>
      </c>
      <c r="C4948" s="1" t="n">
        <v>45344</v>
      </c>
      <c r="D4948" t="inlineStr">
        <is>
          <t>GÄVLEBORGS LÄN</t>
        </is>
      </c>
      <c r="E4948" t="inlineStr">
        <is>
          <t>BOLLNÄS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16919-2022</t>
        </is>
      </c>
      <c r="B4949" s="1" t="n">
        <v>44676</v>
      </c>
      <c r="C4949" s="1" t="n">
        <v>45344</v>
      </c>
      <c r="D4949" t="inlineStr">
        <is>
          <t>GÄVLEBORGS LÄN</t>
        </is>
      </c>
      <c r="E4949" t="inlineStr">
        <is>
          <t>HUDIKSVALL</t>
        </is>
      </c>
      <c r="F4949" t="inlineStr">
        <is>
          <t>Holmen skog AB</t>
        </is>
      </c>
      <c r="G4949" t="n">
        <v>11.6</v>
      </c>
      <c r="H4949" t="n">
        <v>0</v>
      </c>
      <c r="I4949" t="n">
        <v>0</v>
      </c>
      <c r="J4949" t="n">
        <v>0</v>
      </c>
      <c r="K4949" t="n">
        <v>0</v>
      </c>
      <c r="L4949" t="n">
        <v>0</v>
      </c>
      <c r="M4949" t="n">
        <v>0</v>
      </c>
      <c r="N4949" t="n">
        <v>0</v>
      </c>
      <c r="O4949" t="n">
        <v>0</v>
      </c>
      <c r="P4949" t="n">
        <v>0</v>
      </c>
      <c r="Q4949" t="n">
        <v>0</v>
      </c>
      <c r="R4949" s="2" t="inlineStr"/>
    </row>
    <row r="4950" ht="15" customHeight="1">
      <c r="A4950" t="inlineStr">
        <is>
          <t>A 16894-2022</t>
        </is>
      </c>
      <c r="B4950" s="1" t="n">
        <v>44676</v>
      </c>
      <c r="C4950" s="1" t="n">
        <v>45344</v>
      </c>
      <c r="D4950" t="inlineStr">
        <is>
          <t>GÄVLEBORGS LÄN</t>
        </is>
      </c>
      <c r="E4950" t="inlineStr">
        <is>
          <t>LJUSDAL</t>
        </is>
      </c>
      <c r="F4950" t="inlineStr">
        <is>
          <t>Bergvik skog väst AB</t>
        </is>
      </c>
      <c r="G4950" t="n">
        <v>5.7</v>
      </c>
      <c r="H4950" t="n">
        <v>0</v>
      </c>
      <c r="I4950" t="n">
        <v>0</v>
      </c>
      <c r="J4950" t="n">
        <v>0</v>
      </c>
      <c r="K4950" t="n">
        <v>0</v>
      </c>
      <c r="L4950" t="n">
        <v>0</v>
      </c>
      <c r="M4950" t="n">
        <v>0</v>
      </c>
      <c r="N4950" t="n">
        <v>0</v>
      </c>
      <c r="O4950" t="n">
        <v>0</v>
      </c>
      <c r="P4950" t="n">
        <v>0</v>
      </c>
      <c r="Q4950" t="n">
        <v>0</v>
      </c>
      <c r="R4950" s="2" t="inlineStr"/>
    </row>
    <row r="4951" ht="15" customHeight="1">
      <c r="A4951" t="inlineStr">
        <is>
          <t>A 16923-2022</t>
        </is>
      </c>
      <c r="B4951" s="1" t="n">
        <v>44676</v>
      </c>
      <c r="C4951" s="1" t="n">
        <v>45344</v>
      </c>
      <c r="D4951" t="inlineStr">
        <is>
          <t>GÄVLEBORGS LÄN</t>
        </is>
      </c>
      <c r="E4951" t="inlineStr">
        <is>
          <t>BOLLNÄS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16955-2022</t>
        </is>
      </c>
      <c r="B4952" s="1" t="n">
        <v>44676</v>
      </c>
      <c r="C4952" s="1" t="n">
        <v>45344</v>
      </c>
      <c r="D4952" t="inlineStr">
        <is>
          <t>GÄVLEBORGS LÄN</t>
        </is>
      </c>
      <c r="E4952" t="inlineStr">
        <is>
          <t>OVANÅKER</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16973-2022</t>
        </is>
      </c>
      <c r="B4953" s="1" t="n">
        <v>44676</v>
      </c>
      <c r="C4953" s="1" t="n">
        <v>45344</v>
      </c>
      <c r="D4953" t="inlineStr">
        <is>
          <t>GÄVLEBORGS LÄN</t>
        </is>
      </c>
      <c r="E4953" t="inlineStr">
        <is>
          <t>LJUSDAL</t>
        </is>
      </c>
      <c r="F4953" t="inlineStr">
        <is>
          <t>Bergvik skog väst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17226-2022</t>
        </is>
      </c>
      <c r="B4954" s="1" t="n">
        <v>44678</v>
      </c>
      <c r="C4954" s="1" t="n">
        <v>45344</v>
      </c>
      <c r="D4954" t="inlineStr">
        <is>
          <t>GÄVLEBORGS LÄN</t>
        </is>
      </c>
      <c r="E4954" t="inlineStr">
        <is>
          <t>NORDANSTIG</t>
        </is>
      </c>
      <c r="F4954" t="inlineStr">
        <is>
          <t>Holmen skog AB</t>
        </is>
      </c>
      <c r="G4954" t="n">
        <v>11.5</v>
      </c>
      <c r="H4954" t="n">
        <v>0</v>
      </c>
      <c r="I4954" t="n">
        <v>0</v>
      </c>
      <c r="J4954" t="n">
        <v>0</v>
      </c>
      <c r="K4954" t="n">
        <v>0</v>
      </c>
      <c r="L4954" t="n">
        <v>0</v>
      </c>
      <c r="M4954" t="n">
        <v>0</v>
      </c>
      <c r="N4954" t="n">
        <v>0</v>
      </c>
      <c r="O4954" t="n">
        <v>0</v>
      </c>
      <c r="P4954" t="n">
        <v>0</v>
      </c>
      <c r="Q4954" t="n">
        <v>0</v>
      </c>
      <c r="R4954" s="2" t="inlineStr"/>
    </row>
    <row r="4955" ht="15" customHeight="1">
      <c r="A4955" t="inlineStr">
        <is>
          <t>A 17322-2022</t>
        </is>
      </c>
      <c r="B4955" s="1" t="n">
        <v>44678</v>
      </c>
      <c r="C4955" s="1" t="n">
        <v>45344</v>
      </c>
      <c r="D4955" t="inlineStr">
        <is>
          <t>GÄVLEBORGS LÄN</t>
        </is>
      </c>
      <c r="E4955" t="inlineStr">
        <is>
          <t>HUDIKSVALL</t>
        </is>
      </c>
      <c r="F4955" t="inlineStr">
        <is>
          <t>Holmen skog AB</t>
        </is>
      </c>
      <c r="G4955" t="n">
        <v>5.3</v>
      </c>
      <c r="H4955" t="n">
        <v>0</v>
      </c>
      <c r="I4955" t="n">
        <v>0</v>
      </c>
      <c r="J4955" t="n">
        <v>0</v>
      </c>
      <c r="K4955" t="n">
        <v>0</v>
      </c>
      <c r="L4955" t="n">
        <v>0</v>
      </c>
      <c r="M4955" t="n">
        <v>0</v>
      </c>
      <c r="N4955" t="n">
        <v>0</v>
      </c>
      <c r="O4955" t="n">
        <v>0</v>
      </c>
      <c r="P4955" t="n">
        <v>0</v>
      </c>
      <c r="Q4955" t="n">
        <v>0</v>
      </c>
      <c r="R4955" s="2" t="inlineStr"/>
    </row>
    <row r="4956" ht="15" customHeight="1">
      <c r="A4956" t="inlineStr">
        <is>
          <t>A 17342-2022</t>
        </is>
      </c>
      <c r="B4956" s="1" t="n">
        <v>44678</v>
      </c>
      <c r="C4956" s="1" t="n">
        <v>45344</v>
      </c>
      <c r="D4956" t="inlineStr">
        <is>
          <t>GÄVLEBORGS LÄN</t>
        </is>
      </c>
      <c r="E4956" t="inlineStr">
        <is>
          <t>HUDIKSVALL</t>
        </is>
      </c>
      <c r="F4956" t="inlineStr">
        <is>
          <t>Holmen skog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17348-2022</t>
        </is>
      </c>
      <c r="B4957" s="1" t="n">
        <v>44678</v>
      </c>
      <c r="C4957" s="1" t="n">
        <v>45344</v>
      </c>
      <c r="D4957" t="inlineStr">
        <is>
          <t>GÄVLEBORGS LÄN</t>
        </is>
      </c>
      <c r="E4957" t="inlineStr">
        <is>
          <t>BOLLNÄS</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17246-2022</t>
        </is>
      </c>
      <c r="B4958" s="1" t="n">
        <v>44678</v>
      </c>
      <c r="C4958" s="1" t="n">
        <v>45344</v>
      </c>
      <c r="D4958" t="inlineStr">
        <is>
          <t>GÄVLEBORGS LÄN</t>
        </is>
      </c>
      <c r="E4958" t="inlineStr">
        <is>
          <t>LJUSDAL</t>
        </is>
      </c>
      <c r="F4958" t="inlineStr">
        <is>
          <t>Holmen skog AB</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17271-2022</t>
        </is>
      </c>
      <c r="B4959" s="1" t="n">
        <v>44678</v>
      </c>
      <c r="C4959" s="1" t="n">
        <v>45344</v>
      </c>
      <c r="D4959" t="inlineStr">
        <is>
          <t>GÄVLEBORGS LÄN</t>
        </is>
      </c>
      <c r="E4959" t="inlineStr">
        <is>
          <t>NORDANSTIG</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17293-2022</t>
        </is>
      </c>
      <c r="B4960" s="1" t="n">
        <v>44678</v>
      </c>
      <c r="C4960" s="1" t="n">
        <v>45344</v>
      </c>
      <c r="D4960" t="inlineStr">
        <is>
          <t>GÄVLEBORGS LÄN</t>
        </is>
      </c>
      <c r="E4960" t="inlineStr">
        <is>
          <t>HUDIKSVALL</t>
        </is>
      </c>
      <c r="F4960" t="inlineStr">
        <is>
          <t>Holmen skog AB</t>
        </is>
      </c>
      <c r="G4960" t="n">
        <v>10.8</v>
      </c>
      <c r="H4960" t="n">
        <v>0</v>
      </c>
      <c r="I4960" t="n">
        <v>0</v>
      </c>
      <c r="J4960" t="n">
        <v>0</v>
      </c>
      <c r="K4960" t="n">
        <v>0</v>
      </c>
      <c r="L4960" t="n">
        <v>0</v>
      </c>
      <c r="M4960" t="n">
        <v>0</v>
      </c>
      <c r="N4960" t="n">
        <v>0</v>
      </c>
      <c r="O4960" t="n">
        <v>0</v>
      </c>
      <c r="P4960" t="n">
        <v>0</v>
      </c>
      <c r="Q4960" t="n">
        <v>0</v>
      </c>
      <c r="R4960" s="2" t="inlineStr"/>
    </row>
    <row r="4961" ht="15" customHeight="1">
      <c r="A4961" t="inlineStr">
        <is>
          <t>A 17394-2022</t>
        </is>
      </c>
      <c r="B4961" s="1" t="n">
        <v>44678</v>
      </c>
      <c r="C4961" s="1" t="n">
        <v>45344</v>
      </c>
      <c r="D4961" t="inlineStr">
        <is>
          <t>GÄVLEBORGS LÄN</t>
        </is>
      </c>
      <c r="E4961" t="inlineStr">
        <is>
          <t>BOLLNÄS</t>
        </is>
      </c>
      <c r="G4961" t="n">
        <v>4.8</v>
      </c>
      <c r="H4961" t="n">
        <v>0</v>
      </c>
      <c r="I4961" t="n">
        <v>0</v>
      </c>
      <c r="J4961" t="n">
        <v>0</v>
      </c>
      <c r="K4961" t="n">
        <v>0</v>
      </c>
      <c r="L4961" t="n">
        <v>0</v>
      </c>
      <c r="M4961" t="n">
        <v>0</v>
      </c>
      <c r="N4961" t="n">
        <v>0</v>
      </c>
      <c r="O4961" t="n">
        <v>0</v>
      </c>
      <c r="P4961" t="n">
        <v>0</v>
      </c>
      <c r="Q4961" t="n">
        <v>0</v>
      </c>
      <c r="R4961" s="2" t="inlineStr"/>
    </row>
    <row r="4962" ht="15" customHeight="1">
      <c r="A4962" t="inlineStr">
        <is>
          <t>A 17458-2022</t>
        </is>
      </c>
      <c r="B4962" s="1" t="n">
        <v>44679</v>
      </c>
      <c r="C4962" s="1" t="n">
        <v>45344</v>
      </c>
      <c r="D4962" t="inlineStr">
        <is>
          <t>GÄVLEBORGS LÄN</t>
        </is>
      </c>
      <c r="E4962" t="inlineStr">
        <is>
          <t>LJUSDAL</t>
        </is>
      </c>
      <c r="G4962" t="n">
        <v>8</v>
      </c>
      <c r="H4962" t="n">
        <v>0</v>
      </c>
      <c r="I4962" t="n">
        <v>0</v>
      </c>
      <c r="J4962" t="n">
        <v>0</v>
      </c>
      <c r="K4962" t="n">
        <v>0</v>
      </c>
      <c r="L4962" t="n">
        <v>0</v>
      </c>
      <c r="M4962" t="n">
        <v>0</v>
      </c>
      <c r="N4962" t="n">
        <v>0</v>
      </c>
      <c r="O4962" t="n">
        <v>0</v>
      </c>
      <c r="P4962" t="n">
        <v>0</v>
      </c>
      <c r="Q4962" t="n">
        <v>0</v>
      </c>
      <c r="R4962" s="2" t="inlineStr"/>
    </row>
    <row r="4963" ht="15" customHeight="1">
      <c r="A4963" t="inlineStr">
        <is>
          <t>A 17474-2022</t>
        </is>
      </c>
      <c r="B4963" s="1" t="n">
        <v>44679</v>
      </c>
      <c r="C4963" s="1" t="n">
        <v>45344</v>
      </c>
      <c r="D4963" t="inlineStr">
        <is>
          <t>GÄVLEBORGS LÄN</t>
        </is>
      </c>
      <c r="E4963" t="inlineStr">
        <is>
          <t>SANDVIKEN</t>
        </is>
      </c>
      <c r="F4963" t="inlineStr">
        <is>
          <t>Naturvårdsverket</t>
        </is>
      </c>
      <c r="G4963" t="n">
        <v>3.9</v>
      </c>
      <c r="H4963" t="n">
        <v>0</v>
      </c>
      <c r="I4963" t="n">
        <v>0</v>
      </c>
      <c r="J4963" t="n">
        <v>0</v>
      </c>
      <c r="K4963" t="n">
        <v>0</v>
      </c>
      <c r="L4963" t="n">
        <v>0</v>
      </c>
      <c r="M4963" t="n">
        <v>0</v>
      </c>
      <c r="N4963" t="n">
        <v>0</v>
      </c>
      <c r="O4963" t="n">
        <v>0</v>
      </c>
      <c r="P4963" t="n">
        <v>0</v>
      </c>
      <c r="Q4963" t="n">
        <v>0</v>
      </c>
      <c r="R4963" s="2" t="inlineStr"/>
    </row>
    <row r="4964" ht="15" customHeight="1">
      <c r="A4964" t="inlineStr">
        <is>
          <t>A 17482-2022</t>
        </is>
      </c>
      <c r="B4964" s="1" t="n">
        <v>44679</v>
      </c>
      <c r="C4964" s="1" t="n">
        <v>45344</v>
      </c>
      <c r="D4964" t="inlineStr">
        <is>
          <t>GÄVLEBORGS LÄN</t>
        </is>
      </c>
      <c r="E4964" t="inlineStr">
        <is>
          <t>NORDANSTIG</t>
        </is>
      </c>
      <c r="F4964" t="inlineStr">
        <is>
          <t>Holmen skog AB</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17487-2022</t>
        </is>
      </c>
      <c r="B4965" s="1" t="n">
        <v>44679</v>
      </c>
      <c r="C4965" s="1" t="n">
        <v>45344</v>
      </c>
      <c r="D4965" t="inlineStr">
        <is>
          <t>GÄVLEBORGS LÄN</t>
        </is>
      </c>
      <c r="E4965" t="inlineStr">
        <is>
          <t>LJUSDAL</t>
        </is>
      </c>
      <c r="F4965" t="inlineStr">
        <is>
          <t>Holmen skog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17559-2022</t>
        </is>
      </c>
      <c r="B4966" s="1" t="n">
        <v>44679</v>
      </c>
      <c r="C4966" s="1" t="n">
        <v>45344</v>
      </c>
      <c r="D4966" t="inlineStr">
        <is>
          <t>GÄVLEBORGS LÄN</t>
        </is>
      </c>
      <c r="E4966" t="inlineStr">
        <is>
          <t>LJUSDAL</t>
        </is>
      </c>
      <c r="F4966" t="inlineStr">
        <is>
          <t>Holmen skog AB</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17673-2022</t>
        </is>
      </c>
      <c r="B4967" s="1" t="n">
        <v>44680</v>
      </c>
      <c r="C4967" s="1" t="n">
        <v>45344</v>
      </c>
      <c r="D4967" t="inlineStr">
        <is>
          <t>GÄVLEBORGS LÄN</t>
        </is>
      </c>
      <c r="E4967" t="inlineStr">
        <is>
          <t>SÖDERHAMN</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17625-2022</t>
        </is>
      </c>
      <c r="B4968" s="1" t="n">
        <v>44680</v>
      </c>
      <c r="C4968" s="1" t="n">
        <v>45344</v>
      </c>
      <c r="D4968" t="inlineStr">
        <is>
          <t>GÄVLEBORGS LÄN</t>
        </is>
      </c>
      <c r="E4968" t="inlineStr">
        <is>
          <t>NORDANSTIG</t>
        </is>
      </c>
      <c r="F4968" t="inlineStr">
        <is>
          <t>Holmen skog AB</t>
        </is>
      </c>
      <c r="G4968" t="n">
        <v>3.8</v>
      </c>
      <c r="H4968" t="n">
        <v>0</v>
      </c>
      <c r="I4968" t="n">
        <v>0</v>
      </c>
      <c r="J4968" t="n">
        <v>0</v>
      </c>
      <c r="K4968" t="n">
        <v>0</v>
      </c>
      <c r="L4968" t="n">
        <v>0</v>
      </c>
      <c r="M4968" t="n">
        <v>0</v>
      </c>
      <c r="N4968" t="n">
        <v>0</v>
      </c>
      <c r="O4968" t="n">
        <v>0</v>
      </c>
      <c r="P4968" t="n">
        <v>0</v>
      </c>
      <c r="Q4968" t="n">
        <v>0</v>
      </c>
      <c r="R4968" s="2" t="inlineStr"/>
    </row>
    <row r="4969" ht="15" customHeight="1">
      <c r="A4969" t="inlineStr">
        <is>
          <t>A 17717-2022</t>
        </is>
      </c>
      <c r="B4969" s="1" t="n">
        <v>44680</v>
      </c>
      <c r="C4969" s="1" t="n">
        <v>45344</v>
      </c>
      <c r="D4969" t="inlineStr">
        <is>
          <t>GÄVLEBORGS LÄN</t>
        </is>
      </c>
      <c r="E4969" t="inlineStr">
        <is>
          <t>BOLLNÄS</t>
        </is>
      </c>
      <c r="G4969" t="n">
        <v>1.9</v>
      </c>
      <c r="H4969" t="n">
        <v>0</v>
      </c>
      <c r="I4969" t="n">
        <v>0</v>
      </c>
      <c r="J4969" t="n">
        <v>0</v>
      </c>
      <c r="K4969" t="n">
        <v>0</v>
      </c>
      <c r="L4969" t="n">
        <v>0</v>
      </c>
      <c r="M4969" t="n">
        <v>0</v>
      </c>
      <c r="N4969" t="n">
        <v>0</v>
      </c>
      <c r="O4969" t="n">
        <v>0</v>
      </c>
      <c r="P4969" t="n">
        <v>0</v>
      </c>
      <c r="Q4969" t="n">
        <v>0</v>
      </c>
      <c r="R4969" s="2" t="inlineStr"/>
    </row>
    <row r="4970" ht="15" customHeight="1">
      <c r="A4970" t="inlineStr">
        <is>
          <t>A 17762-2022</t>
        </is>
      </c>
      <c r="B4970" s="1" t="n">
        <v>44680</v>
      </c>
      <c r="C4970" s="1" t="n">
        <v>45344</v>
      </c>
      <c r="D4970" t="inlineStr">
        <is>
          <t>GÄVLEBORGS LÄN</t>
        </is>
      </c>
      <c r="E4970" t="inlineStr">
        <is>
          <t>HOFORS</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17862-2022</t>
        </is>
      </c>
      <c r="B4971" s="1" t="n">
        <v>44683</v>
      </c>
      <c r="C4971" s="1" t="n">
        <v>45344</v>
      </c>
      <c r="D4971" t="inlineStr">
        <is>
          <t>GÄVLEBORGS LÄN</t>
        </is>
      </c>
      <c r="E4971" t="inlineStr">
        <is>
          <t>LJUSDAL</t>
        </is>
      </c>
      <c r="F4971" t="inlineStr">
        <is>
          <t>Bergvik skog väst AB</t>
        </is>
      </c>
      <c r="G4971" t="n">
        <v>11.7</v>
      </c>
      <c r="H4971" t="n">
        <v>0</v>
      </c>
      <c r="I4971" t="n">
        <v>0</v>
      </c>
      <c r="J4971" t="n">
        <v>0</v>
      </c>
      <c r="K4971" t="n">
        <v>0</v>
      </c>
      <c r="L4971" t="n">
        <v>0</v>
      </c>
      <c r="M4971" t="n">
        <v>0</v>
      </c>
      <c r="N4971" t="n">
        <v>0</v>
      </c>
      <c r="O4971" t="n">
        <v>0</v>
      </c>
      <c r="P4971" t="n">
        <v>0</v>
      </c>
      <c r="Q4971" t="n">
        <v>0</v>
      </c>
      <c r="R4971" s="2" t="inlineStr"/>
    </row>
    <row r="4972" ht="15" customHeight="1">
      <c r="A4972" t="inlineStr">
        <is>
          <t>A 17876-2022</t>
        </is>
      </c>
      <c r="B4972" s="1" t="n">
        <v>44683</v>
      </c>
      <c r="C4972" s="1" t="n">
        <v>45344</v>
      </c>
      <c r="D4972" t="inlineStr">
        <is>
          <t>GÄVLEBORGS LÄN</t>
        </is>
      </c>
      <c r="E4972" t="inlineStr">
        <is>
          <t>SÖDERHAMN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17962-2022</t>
        </is>
      </c>
      <c r="B4973" s="1" t="n">
        <v>44683</v>
      </c>
      <c r="C4973" s="1" t="n">
        <v>45344</v>
      </c>
      <c r="D4973" t="inlineStr">
        <is>
          <t>GÄVLEBORGS LÄN</t>
        </is>
      </c>
      <c r="E4973" t="inlineStr">
        <is>
          <t>HUDIKSVALL</t>
        </is>
      </c>
      <c r="F4973" t="inlineStr">
        <is>
          <t>Holmen skog AB</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17889-2022</t>
        </is>
      </c>
      <c r="B4974" s="1" t="n">
        <v>44683</v>
      </c>
      <c r="C4974" s="1" t="n">
        <v>45344</v>
      </c>
      <c r="D4974" t="inlineStr">
        <is>
          <t>GÄVLEBORGS LÄN</t>
        </is>
      </c>
      <c r="E4974" t="inlineStr">
        <is>
          <t>BOLLNÄS</t>
        </is>
      </c>
      <c r="G4974" t="n">
        <v>6.8</v>
      </c>
      <c r="H4974" t="n">
        <v>0</v>
      </c>
      <c r="I4974" t="n">
        <v>0</v>
      </c>
      <c r="J4974" t="n">
        <v>0</v>
      </c>
      <c r="K4974" t="n">
        <v>0</v>
      </c>
      <c r="L4974" t="n">
        <v>0</v>
      </c>
      <c r="M4974" t="n">
        <v>0</v>
      </c>
      <c r="N4974" t="n">
        <v>0</v>
      </c>
      <c r="O4974" t="n">
        <v>0</v>
      </c>
      <c r="P4974" t="n">
        <v>0</v>
      </c>
      <c r="Q4974" t="n">
        <v>0</v>
      </c>
      <c r="R4974" s="2" t="inlineStr"/>
    </row>
    <row r="4975" ht="15" customHeight="1">
      <c r="A4975" t="inlineStr">
        <is>
          <t>A 18109-2022</t>
        </is>
      </c>
      <c r="B4975" s="1" t="n">
        <v>44684</v>
      </c>
      <c r="C4975" s="1" t="n">
        <v>45344</v>
      </c>
      <c r="D4975" t="inlineStr">
        <is>
          <t>GÄVLEBORGS LÄN</t>
        </is>
      </c>
      <c r="E4975" t="inlineStr">
        <is>
          <t>OCKELBO</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18168-2022</t>
        </is>
      </c>
      <c r="B4976" s="1" t="n">
        <v>44684</v>
      </c>
      <c r="C4976" s="1" t="n">
        <v>45344</v>
      </c>
      <c r="D4976" t="inlineStr">
        <is>
          <t>GÄVLEBORGS LÄN</t>
        </is>
      </c>
      <c r="E4976" t="inlineStr">
        <is>
          <t>GÄVLE</t>
        </is>
      </c>
      <c r="F4976" t="inlineStr">
        <is>
          <t>Bergvik skog väst AB</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18034-2022</t>
        </is>
      </c>
      <c r="B4977" s="1" t="n">
        <v>44684</v>
      </c>
      <c r="C4977" s="1" t="n">
        <v>45344</v>
      </c>
      <c r="D4977" t="inlineStr">
        <is>
          <t>GÄVLEBORGS LÄN</t>
        </is>
      </c>
      <c r="E4977" t="inlineStr">
        <is>
          <t>SÖDERHAMN</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18167-2022</t>
        </is>
      </c>
      <c r="B4978" s="1" t="n">
        <v>44684</v>
      </c>
      <c r="C4978" s="1" t="n">
        <v>45344</v>
      </c>
      <c r="D4978" t="inlineStr">
        <is>
          <t>GÄVLEBORGS LÄN</t>
        </is>
      </c>
      <c r="E4978" t="inlineStr">
        <is>
          <t>NORDANSTIG</t>
        </is>
      </c>
      <c r="F4978" t="inlineStr">
        <is>
          <t>Holmen skog AB</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18148-2022</t>
        </is>
      </c>
      <c r="B4979" s="1" t="n">
        <v>44684</v>
      </c>
      <c r="C4979" s="1" t="n">
        <v>45344</v>
      </c>
      <c r="D4979" t="inlineStr">
        <is>
          <t>GÄVLEBORGS LÄN</t>
        </is>
      </c>
      <c r="E4979" t="inlineStr">
        <is>
          <t>GÄVLE</t>
        </is>
      </c>
      <c r="F4979" t="inlineStr">
        <is>
          <t>Bergvik skog väst AB</t>
        </is>
      </c>
      <c r="G4979" t="n">
        <v>41.8</v>
      </c>
      <c r="H4979" t="n">
        <v>0</v>
      </c>
      <c r="I4979" t="n">
        <v>0</v>
      </c>
      <c r="J4979" t="n">
        <v>0</v>
      </c>
      <c r="K4979" t="n">
        <v>0</v>
      </c>
      <c r="L4979" t="n">
        <v>0</v>
      </c>
      <c r="M4979" t="n">
        <v>0</v>
      </c>
      <c r="N4979" t="n">
        <v>0</v>
      </c>
      <c r="O4979" t="n">
        <v>0</v>
      </c>
      <c r="P4979" t="n">
        <v>0</v>
      </c>
      <c r="Q4979" t="n">
        <v>0</v>
      </c>
      <c r="R4979" s="2" t="inlineStr"/>
    </row>
    <row r="4980" ht="15" customHeight="1">
      <c r="A4980" t="inlineStr">
        <is>
          <t>A 18143-2022</t>
        </is>
      </c>
      <c r="B4980" s="1" t="n">
        <v>44684</v>
      </c>
      <c r="C4980" s="1" t="n">
        <v>45344</v>
      </c>
      <c r="D4980" t="inlineStr">
        <is>
          <t>GÄVLEBORGS LÄN</t>
        </is>
      </c>
      <c r="E4980" t="inlineStr">
        <is>
          <t>LJUSDAL</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18162-2022</t>
        </is>
      </c>
      <c r="B4981" s="1" t="n">
        <v>44684</v>
      </c>
      <c r="C4981" s="1" t="n">
        <v>45344</v>
      </c>
      <c r="D4981" t="inlineStr">
        <is>
          <t>GÄVLEBORGS LÄN</t>
        </is>
      </c>
      <c r="E4981" t="inlineStr">
        <is>
          <t>GÄVLE</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18181-2022</t>
        </is>
      </c>
      <c r="B4982" s="1" t="n">
        <v>44684</v>
      </c>
      <c r="C4982" s="1" t="n">
        <v>45344</v>
      </c>
      <c r="D4982" t="inlineStr">
        <is>
          <t>GÄVLEBORGS LÄN</t>
        </is>
      </c>
      <c r="E4982" t="inlineStr">
        <is>
          <t>GÄVLE</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18309-2022</t>
        </is>
      </c>
      <c r="B4983" s="1" t="n">
        <v>44685</v>
      </c>
      <c r="C4983" s="1" t="n">
        <v>45344</v>
      </c>
      <c r="D4983" t="inlineStr">
        <is>
          <t>GÄVLEBORGS LÄN</t>
        </is>
      </c>
      <c r="E4983" t="inlineStr">
        <is>
          <t>HUDIKSVALL</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18235-2022</t>
        </is>
      </c>
      <c r="B4984" s="1" t="n">
        <v>44685</v>
      </c>
      <c r="C4984" s="1" t="n">
        <v>45344</v>
      </c>
      <c r="D4984" t="inlineStr">
        <is>
          <t>GÄVLEBORGS LÄN</t>
        </is>
      </c>
      <c r="E4984" t="inlineStr">
        <is>
          <t>HUDIKSVALL</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18306-2022</t>
        </is>
      </c>
      <c r="B4985" s="1" t="n">
        <v>44685</v>
      </c>
      <c r="C4985" s="1" t="n">
        <v>45344</v>
      </c>
      <c r="D4985" t="inlineStr">
        <is>
          <t>GÄVLEBORGS LÄN</t>
        </is>
      </c>
      <c r="E4985" t="inlineStr">
        <is>
          <t>NORDANSTIG</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18480-2022</t>
        </is>
      </c>
      <c r="B4986" s="1" t="n">
        <v>44686</v>
      </c>
      <c r="C4986" s="1" t="n">
        <v>45344</v>
      </c>
      <c r="D4986" t="inlineStr">
        <is>
          <t>GÄVLEBORGS LÄN</t>
        </is>
      </c>
      <c r="E4986" t="inlineStr">
        <is>
          <t>HUDIKSVALL</t>
        </is>
      </c>
      <c r="F4986" t="inlineStr">
        <is>
          <t>Holmen skog AB</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18477-2022</t>
        </is>
      </c>
      <c r="B4987" s="1" t="n">
        <v>44686</v>
      </c>
      <c r="C4987" s="1" t="n">
        <v>45344</v>
      </c>
      <c r="D4987" t="inlineStr">
        <is>
          <t>GÄVLEBORGS LÄN</t>
        </is>
      </c>
      <c r="E4987" t="inlineStr">
        <is>
          <t>BOLLNÄS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18515-2022</t>
        </is>
      </c>
      <c r="B4988" s="1" t="n">
        <v>44686</v>
      </c>
      <c r="C4988" s="1" t="n">
        <v>45344</v>
      </c>
      <c r="D4988" t="inlineStr">
        <is>
          <t>GÄVLEBORGS LÄN</t>
        </is>
      </c>
      <c r="E4988" t="inlineStr">
        <is>
          <t>NORDANSTIG</t>
        </is>
      </c>
      <c r="F4988" t="inlineStr">
        <is>
          <t>Holmen skog AB</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18486-2022</t>
        </is>
      </c>
      <c r="B4989" s="1" t="n">
        <v>44686</v>
      </c>
      <c r="C4989" s="1" t="n">
        <v>45344</v>
      </c>
      <c r="D4989" t="inlineStr">
        <is>
          <t>GÄVLEBORGS LÄN</t>
        </is>
      </c>
      <c r="E4989" t="inlineStr">
        <is>
          <t>BOLLNÄS</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18410-2022</t>
        </is>
      </c>
      <c r="B4990" s="1" t="n">
        <v>44686</v>
      </c>
      <c r="C4990" s="1" t="n">
        <v>45344</v>
      </c>
      <c r="D4990" t="inlineStr">
        <is>
          <t>GÄVLEBORGS LÄN</t>
        </is>
      </c>
      <c r="E4990" t="inlineStr">
        <is>
          <t>NORDANSTIG</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18503-2022</t>
        </is>
      </c>
      <c r="B4991" s="1" t="n">
        <v>44686</v>
      </c>
      <c r="C4991" s="1" t="n">
        <v>45344</v>
      </c>
      <c r="D4991" t="inlineStr">
        <is>
          <t>GÄVLEBORGS LÄN</t>
        </is>
      </c>
      <c r="E4991" t="inlineStr">
        <is>
          <t>SÖDERHAMN</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18516-2022</t>
        </is>
      </c>
      <c r="B4992" s="1" t="n">
        <v>44686</v>
      </c>
      <c r="C4992" s="1" t="n">
        <v>45344</v>
      </c>
      <c r="D4992" t="inlineStr">
        <is>
          <t>GÄVLEBORGS LÄN</t>
        </is>
      </c>
      <c r="E4992" t="inlineStr">
        <is>
          <t>NORDANSTIG</t>
        </is>
      </c>
      <c r="G4992" t="n">
        <v>2.9</v>
      </c>
      <c r="H4992" t="n">
        <v>0</v>
      </c>
      <c r="I4992" t="n">
        <v>0</v>
      </c>
      <c r="J4992" t="n">
        <v>0</v>
      </c>
      <c r="K4992" t="n">
        <v>0</v>
      </c>
      <c r="L4992" t="n">
        <v>0</v>
      </c>
      <c r="M4992" t="n">
        <v>0</v>
      </c>
      <c r="N4992" t="n">
        <v>0</v>
      </c>
      <c r="O4992" t="n">
        <v>0</v>
      </c>
      <c r="P4992" t="n">
        <v>0</v>
      </c>
      <c r="Q4992" t="n">
        <v>0</v>
      </c>
      <c r="R4992" s="2" t="inlineStr"/>
    </row>
    <row r="4993" ht="15" customHeight="1">
      <c r="A4993" t="inlineStr">
        <is>
          <t>A 18520-2022</t>
        </is>
      </c>
      <c r="B4993" s="1" t="n">
        <v>44686</v>
      </c>
      <c r="C4993" s="1" t="n">
        <v>45344</v>
      </c>
      <c r="D4993" t="inlineStr">
        <is>
          <t>GÄVLEBORGS LÄN</t>
        </is>
      </c>
      <c r="E4993" t="inlineStr">
        <is>
          <t>NORDANSTIG</t>
        </is>
      </c>
      <c r="F4993" t="inlineStr">
        <is>
          <t>Holmen skog AB</t>
        </is>
      </c>
      <c r="G4993" t="n">
        <v>5.7</v>
      </c>
      <c r="H4993" t="n">
        <v>0</v>
      </c>
      <c r="I4993" t="n">
        <v>0</v>
      </c>
      <c r="J4993" t="n">
        <v>0</v>
      </c>
      <c r="K4993" t="n">
        <v>0</v>
      </c>
      <c r="L4993" t="n">
        <v>0</v>
      </c>
      <c r="M4993" t="n">
        <v>0</v>
      </c>
      <c r="N4993" t="n">
        <v>0</v>
      </c>
      <c r="O4993" t="n">
        <v>0</v>
      </c>
      <c r="P4993" t="n">
        <v>0</v>
      </c>
      <c r="Q4993" t="n">
        <v>0</v>
      </c>
      <c r="R4993" s="2" t="inlineStr"/>
    </row>
    <row r="4994" ht="15" customHeight="1">
      <c r="A4994" t="inlineStr">
        <is>
          <t>A 18529-2022</t>
        </is>
      </c>
      <c r="B4994" s="1" t="n">
        <v>44686</v>
      </c>
      <c r="C4994" s="1" t="n">
        <v>45344</v>
      </c>
      <c r="D4994" t="inlineStr">
        <is>
          <t>GÄVLEBORGS LÄN</t>
        </is>
      </c>
      <c r="E4994" t="inlineStr">
        <is>
          <t>NORDANSTIG</t>
        </is>
      </c>
      <c r="F4994" t="inlineStr">
        <is>
          <t>Holmen skog AB</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18663-2022</t>
        </is>
      </c>
      <c r="B4995" s="1" t="n">
        <v>44687</v>
      </c>
      <c r="C4995" s="1" t="n">
        <v>45344</v>
      </c>
      <c r="D4995" t="inlineStr">
        <is>
          <t>GÄVLEBORGS LÄN</t>
        </is>
      </c>
      <c r="E4995" t="inlineStr">
        <is>
          <t>LJUSDAL</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18670-2022</t>
        </is>
      </c>
      <c r="B4996" s="1" t="n">
        <v>44687</v>
      </c>
      <c r="C4996" s="1" t="n">
        <v>45344</v>
      </c>
      <c r="D4996" t="inlineStr">
        <is>
          <t>GÄVLEBORGS LÄN</t>
        </is>
      </c>
      <c r="E4996" t="inlineStr">
        <is>
          <t>LJUSDAL</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18691-2022</t>
        </is>
      </c>
      <c r="B4997" s="1" t="n">
        <v>44687</v>
      </c>
      <c r="C4997" s="1" t="n">
        <v>45344</v>
      </c>
      <c r="D4997" t="inlineStr">
        <is>
          <t>GÄVLEBORGS LÄN</t>
        </is>
      </c>
      <c r="E4997" t="inlineStr">
        <is>
          <t>LJUSDAL</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18677-2022</t>
        </is>
      </c>
      <c r="B4998" s="1" t="n">
        <v>44687</v>
      </c>
      <c r="C4998" s="1" t="n">
        <v>45344</v>
      </c>
      <c r="D4998" t="inlineStr">
        <is>
          <t>GÄVLEBORGS LÄN</t>
        </is>
      </c>
      <c r="E4998" t="inlineStr">
        <is>
          <t>LJUSDAL</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18681-2022</t>
        </is>
      </c>
      <c r="B4999" s="1" t="n">
        <v>44687</v>
      </c>
      <c r="C4999" s="1" t="n">
        <v>45344</v>
      </c>
      <c r="D4999" t="inlineStr">
        <is>
          <t>GÄVLEBORGS LÄN</t>
        </is>
      </c>
      <c r="E4999" t="inlineStr">
        <is>
          <t>LJUSDAL</t>
        </is>
      </c>
      <c r="F4999" t="inlineStr">
        <is>
          <t>Bergvik skog väst AB</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18716-2022</t>
        </is>
      </c>
      <c r="B5000" s="1" t="n">
        <v>44687</v>
      </c>
      <c r="C5000" s="1" t="n">
        <v>45344</v>
      </c>
      <c r="D5000" t="inlineStr">
        <is>
          <t>GÄVLEBORGS LÄN</t>
        </is>
      </c>
      <c r="E5000" t="inlineStr">
        <is>
          <t>SÖDERHAMN</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18721-2022</t>
        </is>
      </c>
      <c r="B5001" s="1" t="n">
        <v>44687</v>
      </c>
      <c r="C5001" s="1" t="n">
        <v>45344</v>
      </c>
      <c r="D5001" t="inlineStr">
        <is>
          <t>GÄVLEBORGS LÄN</t>
        </is>
      </c>
      <c r="E5001" t="inlineStr">
        <is>
          <t>LJUSDAL</t>
        </is>
      </c>
      <c r="F5001" t="inlineStr">
        <is>
          <t>Holmen skog AB</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18797-2022</t>
        </is>
      </c>
      <c r="B5002" s="1" t="n">
        <v>44690</v>
      </c>
      <c r="C5002" s="1" t="n">
        <v>45344</v>
      </c>
      <c r="D5002" t="inlineStr">
        <is>
          <t>GÄVLEBORGS LÄN</t>
        </is>
      </c>
      <c r="E5002" t="inlineStr">
        <is>
          <t>HUDIKSVALL</t>
        </is>
      </c>
      <c r="F5002" t="inlineStr">
        <is>
          <t>Holmen skog AB</t>
        </is>
      </c>
      <c r="G5002" t="n">
        <v>13.5</v>
      </c>
      <c r="H5002" t="n">
        <v>0</v>
      </c>
      <c r="I5002" t="n">
        <v>0</v>
      </c>
      <c r="J5002" t="n">
        <v>0</v>
      </c>
      <c r="K5002" t="n">
        <v>0</v>
      </c>
      <c r="L5002" t="n">
        <v>0</v>
      </c>
      <c r="M5002" t="n">
        <v>0</v>
      </c>
      <c r="N5002" t="n">
        <v>0</v>
      </c>
      <c r="O5002" t="n">
        <v>0</v>
      </c>
      <c r="P5002" t="n">
        <v>0</v>
      </c>
      <c r="Q5002" t="n">
        <v>0</v>
      </c>
      <c r="R5002" s="2" t="inlineStr"/>
    </row>
    <row r="5003" ht="15" customHeight="1">
      <c r="A5003" t="inlineStr">
        <is>
          <t>A 18863-2022</t>
        </is>
      </c>
      <c r="B5003" s="1" t="n">
        <v>44690</v>
      </c>
      <c r="C5003" s="1" t="n">
        <v>45344</v>
      </c>
      <c r="D5003" t="inlineStr">
        <is>
          <t>GÄVLEBORGS LÄN</t>
        </is>
      </c>
      <c r="E5003" t="inlineStr">
        <is>
          <t>NORDANSTIG</t>
        </is>
      </c>
      <c r="G5003" t="n">
        <v>5.7</v>
      </c>
      <c r="H5003" t="n">
        <v>0</v>
      </c>
      <c r="I5003" t="n">
        <v>0</v>
      </c>
      <c r="J5003" t="n">
        <v>0</v>
      </c>
      <c r="K5003" t="n">
        <v>0</v>
      </c>
      <c r="L5003" t="n">
        <v>0</v>
      </c>
      <c r="M5003" t="n">
        <v>0</v>
      </c>
      <c r="N5003" t="n">
        <v>0</v>
      </c>
      <c r="O5003" t="n">
        <v>0</v>
      </c>
      <c r="P5003" t="n">
        <v>0</v>
      </c>
      <c r="Q5003" t="n">
        <v>0</v>
      </c>
      <c r="R5003" s="2" t="inlineStr"/>
    </row>
    <row r="5004" ht="15" customHeight="1">
      <c r="A5004" t="inlineStr">
        <is>
          <t>A 18864-2022</t>
        </is>
      </c>
      <c r="B5004" s="1" t="n">
        <v>44690</v>
      </c>
      <c r="C5004" s="1" t="n">
        <v>45344</v>
      </c>
      <c r="D5004" t="inlineStr">
        <is>
          <t>GÄVLEBORGS LÄN</t>
        </is>
      </c>
      <c r="E5004" t="inlineStr">
        <is>
          <t>HUDIKSVALL</t>
        </is>
      </c>
      <c r="F5004" t="inlineStr">
        <is>
          <t>Holmen skog AB</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18874-2022</t>
        </is>
      </c>
      <c r="B5005" s="1" t="n">
        <v>44690</v>
      </c>
      <c r="C5005" s="1" t="n">
        <v>45344</v>
      </c>
      <c r="D5005" t="inlineStr">
        <is>
          <t>GÄVLEBORGS LÄN</t>
        </is>
      </c>
      <c r="E5005" t="inlineStr">
        <is>
          <t>HUDIKSVALL</t>
        </is>
      </c>
      <c r="F5005" t="inlineStr">
        <is>
          <t>Holmen skog AB</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18926-2022</t>
        </is>
      </c>
      <c r="B5006" s="1" t="n">
        <v>44690</v>
      </c>
      <c r="C5006" s="1" t="n">
        <v>45344</v>
      </c>
      <c r="D5006" t="inlineStr">
        <is>
          <t>GÄVLEBORGS LÄN</t>
        </is>
      </c>
      <c r="E5006" t="inlineStr">
        <is>
          <t>NORDANSTIG</t>
        </is>
      </c>
      <c r="F5006" t="inlineStr">
        <is>
          <t>Holmen skog AB</t>
        </is>
      </c>
      <c r="G5006" t="n">
        <v>11.4</v>
      </c>
      <c r="H5006" t="n">
        <v>0</v>
      </c>
      <c r="I5006" t="n">
        <v>0</v>
      </c>
      <c r="J5006" t="n">
        <v>0</v>
      </c>
      <c r="K5006" t="n">
        <v>0</v>
      </c>
      <c r="L5006" t="n">
        <v>0</v>
      </c>
      <c r="M5006" t="n">
        <v>0</v>
      </c>
      <c r="N5006" t="n">
        <v>0</v>
      </c>
      <c r="O5006" t="n">
        <v>0</v>
      </c>
      <c r="P5006" t="n">
        <v>0</v>
      </c>
      <c r="Q5006" t="n">
        <v>0</v>
      </c>
      <c r="R5006" s="2" t="inlineStr"/>
    </row>
    <row r="5007" ht="15" customHeight="1">
      <c r="A5007" t="inlineStr">
        <is>
          <t>A 18919-2022</t>
        </is>
      </c>
      <c r="B5007" s="1" t="n">
        <v>44690</v>
      </c>
      <c r="C5007" s="1" t="n">
        <v>45344</v>
      </c>
      <c r="D5007" t="inlineStr">
        <is>
          <t>GÄVLEBORGS LÄN</t>
        </is>
      </c>
      <c r="E5007" t="inlineStr">
        <is>
          <t>HUDIKSVALL</t>
        </is>
      </c>
      <c r="F5007" t="inlineStr">
        <is>
          <t>Holmen skog AB</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18988-2022</t>
        </is>
      </c>
      <c r="B5008" s="1" t="n">
        <v>44690</v>
      </c>
      <c r="C5008" s="1" t="n">
        <v>45344</v>
      </c>
      <c r="D5008" t="inlineStr">
        <is>
          <t>GÄVLEBORGS LÄN</t>
        </is>
      </c>
      <c r="E5008" t="inlineStr">
        <is>
          <t>NORDANSTIG</t>
        </is>
      </c>
      <c r="G5008" t="n">
        <v>9.300000000000001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19070-2022</t>
        </is>
      </c>
      <c r="B5009" s="1" t="n">
        <v>44691</v>
      </c>
      <c r="C5009" s="1" t="n">
        <v>45344</v>
      </c>
      <c r="D5009" t="inlineStr">
        <is>
          <t>GÄVLEBORGS LÄN</t>
        </is>
      </c>
      <c r="E5009" t="inlineStr">
        <is>
          <t>NORDANSTIG</t>
        </is>
      </c>
      <c r="F5009" t="inlineStr">
        <is>
          <t>Holmen skog AB</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19088-2022</t>
        </is>
      </c>
      <c r="B5010" s="1" t="n">
        <v>44691</v>
      </c>
      <c r="C5010" s="1" t="n">
        <v>45344</v>
      </c>
      <c r="D5010" t="inlineStr">
        <is>
          <t>GÄVLEBORGS LÄN</t>
        </is>
      </c>
      <c r="E5010" t="inlineStr">
        <is>
          <t>BOLLNÄS</t>
        </is>
      </c>
      <c r="G5010" t="n">
        <v>12.8</v>
      </c>
      <c r="H5010" t="n">
        <v>0</v>
      </c>
      <c r="I5010" t="n">
        <v>0</v>
      </c>
      <c r="J5010" t="n">
        <v>0</v>
      </c>
      <c r="K5010" t="n">
        <v>0</v>
      </c>
      <c r="L5010" t="n">
        <v>0</v>
      </c>
      <c r="M5010" t="n">
        <v>0</v>
      </c>
      <c r="N5010" t="n">
        <v>0</v>
      </c>
      <c r="O5010" t="n">
        <v>0</v>
      </c>
      <c r="P5010" t="n">
        <v>0</v>
      </c>
      <c r="Q5010" t="n">
        <v>0</v>
      </c>
      <c r="R5010" s="2" t="inlineStr"/>
    </row>
    <row r="5011" ht="15" customHeight="1">
      <c r="A5011" t="inlineStr">
        <is>
          <t>A 19095-2022</t>
        </is>
      </c>
      <c r="B5011" s="1" t="n">
        <v>44691</v>
      </c>
      <c r="C5011" s="1" t="n">
        <v>45344</v>
      </c>
      <c r="D5011" t="inlineStr">
        <is>
          <t>GÄVLEBORGS LÄN</t>
        </is>
      </c>
      <c r="E5011" t="inlineStr">
        <is>
          <t>GÄVLE</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19135-2022</t>
        </is>
      </c>
      <c r="B5012" s="1" t="n">
        <v>44691</v>
      </c>
      <c r="C5012" s="1" t="n">
        <v>45344</v>
      </c>
      <c r="D5012" t="inlineStr">
        <is>
          <t>GÄVLEBORGS LÄN</t>
        </is>
      </c>
      <c r="E5012" t="inlineStr">
        <is>
          <t>HOFORS</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19143-2022</t>
        </is>
      </c>
      <c r="B5013" s="1" t="n">
        <v>44691</v>
      </c>
      <c r="C5013" s="1" t="n">
        <v>45344</v>
      </c>
      <c r="D5013" t="inlineStr">
        <is>
          <t>GÄVLEBORGS LÄN</t>
        </is>
      </c>
      <c r="E5013" t="inlineStr">
        <is>
          <t>BOLLNÄS</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19200-2022</t>
        </is>
      </c>
      <c r="B5014" s="1" t="n">
        <v>44691</v>
      </c>
      <c r="C5014" s="1" t="n">
        <v>45344</v>
      </c>
      <c r="D5014" t="inlineStr">
        <is>
          <t>GÄVLEBORGS LÄN</t>
        </is>
      </c>
      <c r="E5014" t="inlineStr">
        <is>
          <t>LJUSDAL</t>
        </is>
      </c>
      <c r="F5014" t="inlineStr">
        <is>
          <t>Bergvik skog väst AB</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19182-2022</t>
        </is>
      </c>
      <c r="B5015" s="1" t="n">
        <v>44691</v>
      </c>
      <c r="C5015" s="1" t="n">
        <v>45344</v>
      </c>
      <c r="D5015" t="inlineStr">
        <is>
          <t>GÄVLEBORGS LÄN</t>
        </is>
      </c>
      <c r="E5015" t="inlineStr">
        <is>
          <t>NORDANSTIG</t>
        </is>
      </c>
      <c r="F5015" t="inlineStr">
        <is>
          <t>Holmen skog AB</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19187-2022</t>
        </is>
      </c>
      <c r="B5016" s="1" t="n">
        <v>44691</v>
      </c>
      <c r="C5016" s="1" t="n">
        <v>45344</v>
      </c>
      <c r="D5016" t="inlineStr">
        <is>
          <t>GÄVLEBORGS LÄN</t>
        </is>
      </c>
      <c r="E5016" t="inlineStr">
        <is>
          <t>HUDIKSVALL</t>
        </is>
      </c>
      <c r="F5016" t="inlineStr">
        <is>
          <t>Holmen skog AB</t>
        </is>
      </c>
      <c r="G5016" t="n">
        <v>6.1</v>
      </c>
      <c r="H5016" t="n">
        <v>0</v>
      </c>
      <c r="I5016" t="n">
        <v>0</v>
      </c>
      <c r="J5016" t="n">
        <v>0</v>
      </c>
      <c r="K5016" t="n">
        <v>0</v>
      </c>
      <c r="L5016" t="n">
        <v>0</v>
      </c>
      <c r="M5016" t="n">
        <v>0</v>
      </c>
      <c r="N5016" t="n">
        <v>0</v>
      </c>
      <c r="O5016" t="n">
        <v>0</v>
      </c>
      <c r="P5016" t="n">
        <v>0</v>
      </c>
      <c r="Q5016" t="n">
        <v>0</v>
      </c>
      <c r="R5016" s="2" t="inlineStr"/>
    </row>
    <row r="5017" ht="15" customHeight="1">
      <c r="A5017" t="inlineStr">
        <is>
          <t>A 19252-2022</t>
        </is>
      </c>
      <c r="B5017" s="1" t="n">
        <v>44692</v>
      </c>
      <c r="C5017" s="1" t="n">
        <v>45344</v>
      </c>
      <c r="D5017" t="inlineStr">
        <is>
          <t>GÄVLEBORGS LÄN</t>
        </is>
      </c>
      <c r="E5017" t="inlineStr">
        <is>
          <t>LJUSDAL</t>
        </is>
      </c>
      <c r="F5017" t="inlineStr">
        <is>
          <t>Holmen skog AB</t>
        </is>
      </c>
      <c r="G5017" t="n">
        <v>4.1</v>
      </c>
      <c r="H5017" t="n">
        <v>0</v>
      </c>
      <c r="I5017" t="n">
        <v>0</v>
      </c>
      <c r="J5017" t="n">
        <v>0</v>
      </c>
      <c r="K5017" t="n">
        <v>0</v>
      </c>
      <c r="L5017" t="n">
        <v>0</v>
      </c>
      <c r="M5017" t="n">
        <v>0</v>
      </c>
      <c r="N5017" t="n">
        <v>0</v>
      </c>
      <c r="O5017" t="n">
        <v>0</v>
      </c>
      <c r="P5017" t="n">
        <v>0</v>
      </c>
      <c r="Q5017" t="n">
        <v>0</v>
      </c>
      <c r="R5017" s="2" t="inlineStr"/>
    </row>
    <row r="5018" ht="15" customHeight="1">
      <c r="A5018" t="inlineStr">
        <is>
          <t>A 19264-2022</t>
        </is>
      </c>
      <c r="B5018" s="1" t="n">
        <v>44692</v>
      </c>
      <c r="C5018" s="1" t="n">
        <v>45344</v>
      </c>
      <c r="D5018" t="inlineStr">
        <is>
          <t>GÄVLEBORGS LÄN</t>
        </is>
      </c>
      <c r="E5018" t="inlineStr">
        <is>
          <t>OCKELBO</t>
        </is>
      </c>
      <c r="F5018" t="inlineStr">
        <is>
          <t>Bergvik skog väst AB</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19288-2022</t>
        </is>
      </c>
      <c r="B5019" s="1" t="n">
        <v>44692</v>
      </c>
      <c r="C5019" s="1" t="n">
        <v>45344</v>
      </c>
      <c r="D5019" t="inlineStr">
        <is>
          <t>GÄVLEBORGS LÄN</t>
        </is>
      </c>
      <c r="E5019" t="inlineStr">
        <is>
          <t>LJUSDAL</t>
        </is>
      </c>
      <c r="F5019" t="inlineStr">
        <is>
          <t>Holmen skog AB</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19303-2022</t>
        </is>
      </c>
      <c r="B5020" s="1" t="n">
        <v>44692</v>
      </c>
      <c r="C5020" s="1" t="n">
        <v>45344</v>
      </c>
      <c r="D5020" t="inlineStr">
        <is>
          <t>GÄVLEBORGS LÄN</t>
        </is>
      </c>
      <c r="E5020" t="inlineStr">
        <is>
          <t>LJUSDAL</t>
        </is>
      </c>
      <c r="F5020" t="inlineStr">
        <is>
          <t>Sveaskog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19364-2022</t>
        </is>
      </c>
      <c r="B5021" s="1" t="n">
        <v>44692</v>
      </c>
      <c r="C5021" s="1" t="n">
        <v>45344</v>
      </c>
      <c r="D5021" t="inlineStr">
        <is>
          <t>GÄVLEBORGS LÄN</t>
        </is>
      </c>
      <c r="E5021" t="inlineStr">
        <is>
          <t>NORDANSTIG</t>
        </is>
      </c>
      <c r="F5021" t="inlineStr">
        <is>
          <t>Holmen skog AB</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19265-2022</t>
        </is>
      </c>
      <c r="B5022" s="1" t="n">
        <v>44692</v>
      </c>
      <c r="C5022" s="1" t="n">
        <v>45344</v>
      </c>
      <c r="D5022" t="inlineStr">
        <is>
          <t>GÄVLEBORGS LÄN</t>
        </is>
      </c>
      <c r="E5022" t="inlineStr">
        <is>
          <t>LJUSDAL</t>
        </is>
      </c>
      <c r="F5022" t="inlineStr">
        <is>
          <t>Holmen skog AB</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19233-2022</t>
        </is>
      </c>
      <c r="B5023" s="1" t="n">
        <v>44692</v>
      </c>
      <c r="C5023" s="1" t="n">
        <v>45344</v>
      </c>
      <c r="D5023" t="inlineStr">
        <is>
          <t>GÄVLEBORGS LÄN</t>
        </is>
      </c>
      <c r="E5023" t="inlineStr">
        <is>
          <t>NORDANSTIG</t>
        </is>
      </c>
      <c r="G5023" t="n">
        <v>2.5</v>
      </c>
      <c r="H5023" t="n">
        <v>0</v>
      </c>
      <c r="I5023" t="n">
        <v>0</v>
      </c>
      <c r="J5023" t="n">
        <v>0</v>
      </c>
      <c r="K5023" t="n">
        <v>0</v>
      </c>
      <c r="L5023" t="n">
        <v>0</v>
      </c>
      <c r="M5023" t="n">
        <v>0</v>
      </c>
      <c r="N5023" t="n">
        <v>0</v>
      </c>
      <c r="O5023" t="n">
        <v>0</v>
      </c>
      <c r="P5023" t="n">
        <v>0</v>
      </c>
      <c r="Q5023" t="n">
        <v>0</v>
      </c>
      <c r="R5023" s="2" t="inlineStr"/>
    </row>
    <row r="5024" ht="15" customHeight="1">
      <c r="A5024" t="inlineStr">
        <is>
          <t>A 19279-2022</t>
        </is>
      </c>
      <c r="B5024" s="1" t="n">
        <v>44692</v>
      </c>
      <c r="C5024" s="1" t="n">
        <v>45344</v>
      </c>
      <c r="D5024" t="inlineStr">
        <is>
          <t>GÄVLEBORGS LÄN</t>
        </is>
      </c>
      <c r="E5024" t="inlineStr">
        <is>
          <t>NORDANSTIG</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19308-2022</t>
        </is>
      </c>
      <c r="B5025" s="1" t="n">
        <v>44692</v>
      </c>
      <c r="C5025" s="1" t="n">
        <v>45344</v>
      </c>
      <c r="D5025" t="inlineStr">
        <is>
          <t>GÄVLEBORGS LÄN</t>
        </is>
      </c>
      <c r="E5025" t="inlineStr">
        <is>
          <t>OVANÅKER</t>
        </is>
      </c>
      <c r="F5025" t="inlineStr">
        <is>
          <t>Sveaskog</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19316-2022</t>
        </is>
      </c>
      <c r="B5026" s="1" t="n">
        <v>44692</v>
      </c>
      <c r="C5026" s="1" t="n">
        <v>45344</v>
      </c>
      <c r="D5026" t="inlineStr">
        <is>
          <t>GÄVLEBORGS LÄN</t>
        </is>
      </c>
      <c r="E5026" t="inlineStr">
        <is>
          <t>LJUSDAL</t>
        </is>
      </c>
      <c r="F5026" t="inlineStr">
        <is>
          <t>Holmen skog AB</t>
        </is>
      </c>
      <c r="G5026" t="n">
        <v>7.3</v>
      </c>
      <c r="H5026" t="n">
        <v>0</v>
      </c>
      <c r="I5026" t="n">
        <v>0</v>
      </c>
      <c r="J5026" t="n">
        <v>0</v>
      </c>
      <c r="K5026" t="n">
        <v>0</v>
      </c>
      <c r="L5026" t="n">
        <v>0</v>
      </c>
      <c r="M5026" t="n">
        <v>0</v>
      </c>
      <c r="N5026" t="n">
        <v>0</v>
      </c>
      <c r="O5026" t="n">
        <v>0</v>
      </c>
      <c r="P5026" t="n">
        <v>0</v>
      </c>
      <c r="Q5026" t="n">
        <v>0</v>
      </c>
      <c r="R5026" s="2" t="inlineStr"/>
    </row>
    <row r="5027" ht="15" customHeight="1">
      <c r="A5027" t="inlineStr">
        <is>
          <t>A 19346-2022</t>
        </is>
      </c>
      <c r="B5027" s="1" t="n">
        <v>44692</v>
      </c>
      <c r="C5027" s="1" t="n">
        <v>45344</v>
      </c>
      <c r="D5027" t="inlineStr">
        <is>
          <t>GÄVLEBORGS LÄN</t>
        </is>
      </c>
      <c r="E5027" t="inlineStr">
        <is>
          <t>HUDIKSVALL</t>
        </is>
      </c>
      <c r="F5027" t="inlineStr">
        <is>
          <t>Holmen skog AB</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19292-2022</t>
        </is>
      </c>
      <c r="B5028" s="1" t="n">
        <v>44692</v>
      </c>
      <c r="C5028" s="1" t="n">
        <v>45344</v>
      </c>
      <c r="D5028" t="inlineStr">
        <is>
          <t>GÄVLEBORGS LÄN</t>
        </is>
      </c>
      <c r="E5028" t="inlineStr">
        <is>
          <t>HOFORS</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19343-2022</t>
        </is>
      </c>
      <c r="B5029" s="1" t="n">
        <v>44692</v>
      </c>
      <c r="C5029" s="1" t="n">
        <v>45344</v>
      </c>
      <c r="D5029" t="inlineStr">
        <is>
          <t>GÄVLEBORGS LÄN</t>
        </is>
      </c>
      <c r="E5029" t="inlineStr">
        <is>
          <t>HUDIKSVALL</t>
        </is>
      </c>
      <c r="F5029" t="inlineStr">
        <is>
          <t>Holmen skog AB</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19365-2022</t>
        </is>
      </c>
      <c r="B5030" s="1" t="n">
        <v>44692</v>
      </c>
      <c r="C5030" s="1" t="n">
        <v>45344</v>
      </c>
      <c r="D5030" t="inlineStr">
        <is>
          <t>GÄVLEBORGS LÄN</t>
        </is>
      </c>
      <c r="E5030" t="inlineStr">
        <is>
          <t>HUDIKSVALL</t>
        </is>
      </c>
      <c r="F5030" t="inlineStr">
        <is>
          <t>Holmen skog AB</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19374-2022</t>
        </is>
      </c>
      <c r="B5031" s="1" t="n">
        <v>44692</v>
      </c>
      <c r="C5031" s="1" t="n">
        <v>45344</v>
      </c>
      <c r="D5031" t="inlineStr">
        <is>
          <t>GÄVLEBORGS LÄN</t>
        </is>
      </c>
      <c r="E5031" t="inlineStr">
        <is>
          <t>NORDANSTIG</t>
        </is>
      </c>
      <c r="F5031" t="inlineStr">
        <is>
          <t>Holmen skog AB</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19424-2022</t>
        </is>
      </c>
      <c r="B5032" s="1" t="n">
        <v>44693</v>
      </c>
      <c r="C5032" s="1" t="n">
        <v>45344</v>
      </c>
      <c r="D5032" t="inlineStr">
        <is>
          <t>GÄVLEBORGS LÄN</t>
        </is>
      </c>
      <c r="E5032" t="inlineStr">
        <is>
          <t>GÄVLE</t>
        </is>
      </c>
      <c r="F5032" t="inlineStr">
        <is>
          <t>Bergvik skog väst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19531-2022</t>
        </is>
      </c>
      <c r="B5033" s="1" t="n">
        <v>44693</v>
      </c>
      <c r="C5033" s="1" t="n">
        <v>45344</v>
      </c>
      <c r="D5033" t="inlineStr">
        <is>
          <t>GÄVLEBORGS LÄN</t>
        </is>
      </c>
      <c r="E5033" t="inlineStr">
        <is>
          <t>LJUSDAL</t>
        </is>
      </c>
      <c r="F5033" t="inlineStr">
        <is>
          <t>Allmännings- och besparingsskogar</t>
        </is>
      </c>
      <c r="G5033" t="n">
        <v>46.7</v>
      </c>
      <c r="H5033" t="n">
        <v>0</v>
      </c>
      <c r="I5033" t="n">
        <v>0</v>
      </c>
      <c r="J5033" t="n">
        <v>0</v>
      </c>
      <c r="K5033" t="n">
        <v>0</v>
      </c>
      <c r="L5033" t="n">
        <v>0</v>
      </c>
      <c r="M5033" t="n">
        <v>0</v>
      </c>
      <c r="N5033" t="n">
        <v>0</v>
      </c>
      <c r="O5033" t="n">
        <v>0</v>
      </c>
      <c r="P5033" t="n">
        <v>0</v>
      </c>
      <c r="Q5033" t="n">
        <v>0</v>
      </c>
      <c r="R5033" s="2" t="inlineStr"/>
    </row>
    <row r="5034" ht="15" customHeight="1">
      <c r="A5034" t="inlineStr">
        <is>
          <t>A 19555-2022</t>
        </is>
      </c>
      <c r="B5034" s="1" t="n">
        <v>44693</v>
      </c>
      <c r="C5034" s="1" t="n">
        <v>45344</v>
      </c>
      <c r="D5034" t="inlineStr">
        <is>
          <t>GÄVLEBORGS LÄN</t>
        </is>
      </c>
      <c r="E5034" t="inlineStr">
        <is>
          <t>GÄVLE</t>
        </is>
      </c>
      <c r="F5034" t="inlineStr">
        <is>
          <t>Bergvik skog väst AB</t>
        </is>
      </c>
      <c r="G5034" t="n">
        <v>4</v>
      </c>
      <c r="H5034" t="n">
        <v>0</v>
      </c>
      <c r="I5034" t="n">
        <v>0</v>
      </c>
      <c r="J5034" t="n">
        <v>0</v>
      </c>
      <c r="K5034" t="n">
        <v>0</v>
      </c>
      <c r="L5034" t="n">
        <v>0</v>
      </c>
      <c r="M5034" t="n">
        <v>0</v>
      </c>
      <c r="N5034" t="n">
        <v>0</v>
      </c>
      <c r="O5034" t="n">
        <v>0</v>
      </c>
      <c r="P5034" t="n">
        <v>0</v>
      </c>
      <c r="Q5034" t="n">
        <v>0</v>
      </c>
      <c r="R5034" s="2" t="inlineStr"/>
    </row>
    <row r="5035" ht="15" customHeight="1">
      <c r="A5035" t="inlineStr">
        <is>
          <t>A 19639-2022</t>
        </is>
      </c>
      <c r="B5035" s="1" t="n">
        <v>44694</v>
      </c>
      <c r="C5035" s="1" t="n">
        <v>45344</v>
      </c>
      <c r="D5035" t="inlineStr">
        <is>
          <t>GÄVLEBORGS LÄN</t>
        </is>
      </c>
      <c r="E5035" t="inlineStr">
        <is>
          <t>SÖDERHAMN</t>
        </is>
      </c>
      <c r="F5035" t="inlineStr">
        <is>
          <t>Bergvik skog väst AB</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19660-2022</t>
        </is>
      </c>
      <c r="B5036" s="1" t="n">
        <v>44694</v>
      </c>
      <c r="C5036" s="1" t="n">
        <v>45344</v>
      </c>
      <c r="D5036" t="inlineStr">
        <is>
          <t>GÄVLEBORGS LÄN</t>
        </is>
      </c>
      <c r="E5036" t="inlineStr">
        <is>
          <t>HUDIKSVALL</t>
        </is>
      </c>
      <c r="F5036" t="inlineStr">
        <is>
          <t>Holmen skog AB</t>
        </is>
      </c>
      <c r="G5036" t="n">
        <v>22.3</v>
      </c>
      <c r="H5036" t="n">
        <v>0</v>
      </c>
      <c r="I5036" t="n">
        <v>0</v>
      </c>
      <c r="J5036" t="n">
        <v>0</v>
      </c>
      <c r="K5036" t="n">
        <v>0</v>
      </c>
      <c r="L5036" t="n">
        <v>0</v>
      </c>
      <c r="M5036" t="n">
        <v>0</v>
      </c>
      <c r="N5036" t="n">
        <v>0</v>
      </c>
      <c r="O5036" t="n">
        <v>0</v>
      </c>
      <c r="P5036" t="n">
        <v>0</v>
      </c>
      <c r="Q5036" t="n">
        <v>0</v>
      </c>
      <c r="R5036" s="2" t="inlineStr"/>
    </row>
    <row r="5037" ht="15" customHeight="1">
      <c r="A5037" t="inlineStr">
        <is>
          <t>A 19730-2022</t>
        </is>
      </c>
      <c r="B5037" s="1" t="n">
        <v>44694</v>
      </c>
      <c r="C5037" s="1" t="n">
        <v>45344</v>
      </c>
      <c r="D5037" t="inlineStr">
        <is>
          <t>GÄVLEBORGS LÄN</t>
        </is>
      </c>
      <c r="E5037" t="inlineStr">
        <is>
          <t>GÄVLE</t>
        </is>
      </c>
      <c r="F5037" t="inlineStr">
        <is>
          <t>Bergvik skog väst AB</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19712-2022</t>
        </is>
      </c>
      <c r="B5038" s="1" t="n">
        <v>44694</v>
      </c>
      <c r="C5038" s="1" t="n">
        <v>45344</v>
      </c>
      <c r="D5038" t="inlineStr">
        <is>
          <t>GÄVLEBORGS LÄN</t>
        </is>
      </c>
      <c r="E5038" t="inlineStr">
        <is>
          <t>GÄVLE</t>
        </is>
      </c>
      <c r="F5038" t="inlineStr">
        <is>
          <t>Bergvik skog väst AB</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19767-2022</t>
        </is>
      </c>
      <c r="B5039" s="1" t="n">
        <v>44694</v>
      </c>
      <c r="C5039" s="1" t="n">
        <v>45344</v>
      </c>
      <c r="D5039" t="inlineStr">
        <is>
          <t>GÄVLEBORGS LÄN</t>
        </is>
      </c>
      <c r="E5039" t="inlineStr">
        <is>
          <t>OVANÅKER</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19741-2022</t>
        </is>
      </c>
      <c r="B5040" s="1" t="n">
        <v>44694</v>
      </c>
      <c r="C5040" s="1" t="n">
        <v>45344</v>
      </c>
      <c r="D5040" t="inlineStr">
        <is>
          <t>GÄVLEBORGS LÄN</t>
        </is>
      </c>
      <c r="E5040" t="inlineStr">
        <is>
          <t>OVANÅKER</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19856-2022</t>
        </is>
      </c>
      <c r="B5041" s="1" t="n">
        <v>44697</v>
      </c>
      <c r="C5041" s="1" t="n">
        <v>45344</v>
      </c>
      <c r="D5041" t="inlineStr">
        <is>
          <t>GÄVLEBORGS LÄN</t>
        </is>
      </c>
      <c r="E5041" t="inlineStr">
        <is>
          <t>BOLLNÄS</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20017-2022</t>
        </is>
      </c>
      <c r="B5042" s="1" t="n">
        <v>44697</v>
      </c>
      <c r="C5042" s="1" t="n">
        <v>45344</v>
      </c>
      <c r="D5042" t="inlineStr">
        <is>
          <t>GÄVLEBORGS LÄN</t>
        </is>
      </c>
      <c r="E5042" t="inlineStr">
        <is>
          <t>HUDIKSVALL</t>
        </is>
      </c>
      <c r="G5042" t="n">
        <v>5.5</v>
      </c>
      <c r="H5042" t="n">
        <v>0</v>
      </c>
      <c r="I5042" t="n">
        <v>0</v>
      </c>
      <c r="J5042" t="n">
        <v>0</v>
      </c>
      <c r="K5042" t="n">
        <v>0</v>
      </c>
      <c r="L5042" t="n">
        <v>0</v>
      </c>
      <c r="M5042" t="n">
        <v>0</v>
      </c>
      <c r="N5042" t="n">
        <v>0</v>
      </c>
      <c r="O5042" t="n">
        <v>0</v>
      </c>
      <c r="P5042" t="n">
        <v>0</v>
      </c>
      <c r="Q5042" t="n">
        <v>0</v>
      </c>
      <c r="R5042" s="2" t="inlineStr"/>
    </row>
    <row r="5043" ht="15" customHeight="1">
      <c r="A5043" t="inlineStr">
        <is>
          <t>A 20022-2022</t>
        </is>
      </c>
      <c r="B5043" s="1" t="n">
        <v>44697</v>
      </c>
      <c r="C5043" s="1" t="n">
        <v>45344</v>
      </c>
      <c r="D5043" t="inlineStr">
        <is>
          <t>GÄVLEBORGS LÄN</t>
        </is>
      </c>
      <c r="E5043" t="inlineStr">
        <is>
          <t>HUDIKSVALL</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19892-2022</t>
        </is>
      </c>
      <c r="B5044" s="1" t="n">
        <v>44697</v>
      </c>
      <c r="C5044" s="1" t="n">
        <v>45344</v>
      </c>
      <c r="D5044" t="inlineStr">
        <is>
          <t>GÄVLEBORGS LÄN</t>
        </is>
      </c>
      <c r="E5044" t="inlineStr">
        <is>
          <t>LJUSDAL</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20149-2022</t>
        </is>
      </c>
      <c r="B5045" s="1" t="n">
        <v>44698</v>
      </c>
      <c r="C5045" s="1" t="n">
        <v>45344</v>
      </c>
      <c r="D5045" t="inlineStr">
        <is>
          <t>GÄVLEBORGS LÄN</t>
        </is>
      </c>
      <c r="E5045" t="inlineStr">
        <is>
          <t>OVANÅKER</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20166-2022</t>
        </is>
      </c>
      <c r="B5046" s="1" t="n">
        <v>44698</v>
      </c>
      <c r="C5046" s="1" t="n">
        <v>45344</v>
      </c>
      <c r="D5046" t="inlineStr">
        <is>
          <t>GÄVLEBORGS LÄN</t>
        </is>
      </c>
      <c r="E5046" t="inlineStr">
        <is>
          <t>SÖDERHAMN</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20171-2022</t>
        </is>
      </c>
      <c r="B5047" s="1" t="n">
        <v>44698</v>
      </c>
      <c r="C5047" s="1" t="n">
        <v>45344</v>
      </c>
      <c r="D5047" t="inlineStr">
        <is>
          <t>GÄVLEBORGS LÄN</t>
        </is>
      </c>
      <c r="E5047" t="inlineStr">
        <is>
          <t>SÖDERHAMN</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20272-2022</t>
        </is>
      </c>
      <c r="B5048" s="1" t="n">
        <v>44698</v>
      </c>
      <c r="C5048" s="1" t="n">
        <v>45344</v>
      </c>
      <c r="D5048" t="inlineStr">
        <is>
          <t>GÄVLEBORGS LÄN</t>
        </is>
      </c>
      <c r="E5048" t="inlineStr">
        <is>
          <t>SÖDERHAMN</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20209-2022</t>
        </is>
      </c>
      <c r="B5049" s="1" t="n">
        <v>44698</v>
      </c>
      <c r="C5049" s="1" t="n">
        <v>45344</v>
      </c>
      <c r="D5049" t="inlineStr">
        <is>
          <t>GÄVLEBORGS LÄN</t>
        </is>
      </c>
      <c r="E5049" t="inlineStr">
        <is>
          <t>LJUSDAL</t>
        </is>
      </c>
      <c r="F5049" t="inlineStr">
        <is>
          <t>Sveaskog</t>
        </is>
      </c>
      <c r="G5049" t="n">
        <v>6</v>
      </c>
      <c r="H5049" t="n">
        <v>0</v>
      </c>
      <c r="I5049" t="n">
        <v>0</v>
      </c>
      <c r="J5049" t="n">
        <v>0</v>
      </c>
      <c r="K5049" t="n">
        <v>0</v>
      </c>
      <c r="L5049" t="n">
        <v>0</v>
      </c>
      <c r="M5049" t="n">
        <v>0</v>
      </c>
      <c r="N5049" t="n">
        <v>0</v>
      </c>
      <c r="O5049" t="n">
        <v>0</v>
      </c>
      <c r="P5049" t="n">
        <v>0</v>
      </c>
      <c r="Q5049" t="n">
        <v>0</v>
      </c>
      <c r="R5049" s="2" t="inlineStr"/>
    </row>
    <row r="5050" ht="15" customHeight="1">
      <c r="A5050" t="inlineStr">
        <is>
          <t>A 20240-2022</t>
        </is>
      </c>
      <c r="B5050" s="1" t="n">
        <v>44698</v>
      </c>
      <c r="C5050" s="1" t="n">
        <v>45344</v>
      </c>
      <c r="D5050" t="inlineStr">
        <is>
          <t>GÄVLEBORGS LÄN</t>
        </is>
      </c>
      <c r="E5050" t="inlineStr">
        <is>
          <t>SANDVIKEN</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20273-2022</t>
        </is>
      </c>
      <c r="B5051" s="1" t="n">
        <v>44698</v>
      </c>
      <c r="C5051" s="1" t="n">
        <v>45344</v>
      </c>
      <c r="D5051" t="inlineStr">
        <is>
          <t>GÄVLEBORGS LÄN</t>
        </is>
      </c>
      <c r="E5051" t="inlineStr">
        <is>
          <t>SÖDERHAMN</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20338-2022</t>
        </is>
      </c>
      <c r="B5052" s="1" t="n">
        <v>44699</v>
      </c>
      <c r="C5052" s="1" t="n">
        <v>45344</v>
      </c>
      <c r="D5052" t="inlineStr">
        <is>
          <t>GÄVLEBORGS LÄN</t>
        </is>
      </c>
      <c r="E5052" t="inlineStr">
        <is>
          <t>NORDANSTIG</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20407-2022</t>
        </is>
      </c>
      <c r="B5053" s="1" t="n">
        <v>44699</v>
      </c>
      <c r="C5053" s="1" t="n">
        <v>45344</v>
      </c>
      <c r="D5053" t="inlineStr">
        <is>
          <t>GÄVLEBORGS LÄN</t>
        </is>
      </c>
      <c r="E5053" t="inlineStr">
        <is>
          <t>NORDANSTIG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20512-2022</t>
        </is>
      </c>
      <c r="B5054" s="1" t="n">
        <v>44699</v>
      </c>
      <c r="C5054" s="1" t="n">
        <v>45344</v>
      </c>
      <c r="D5054" t="inlineStr">
        <is>
          <t>GÄVLEBORGS LÄN</t>
        </is>
      </c>
      <c r="E5054" t="inlineStr">
        <is>
          <t>NORDANSTIG</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20593-2022</t>
        </is>
      </c>
      <c r="B5055" s="1" t="n">
        <v>44700</v>
      </c>
      <c r="C5055" s="1" t="n">
        <v>45344</v>
      </c>
      <c r="D5055" t="inlineStr">
        <is>
          <t>GÄVLEBORGS LÄN</t>
        </is>
      </c>
      <c r="E5055" t="inlineStr">
        <is>
          <t>LJUSDAL</t>
        </is>
      </c>
      <c r="F5055" t="inlineStr">
        <is>
          <t>Holmen skog AB</t>
        </is>
      </c>
      <c r="G5055" t="n">
        <v>6.3</v>
      </c>
      <c r="H5055" t="n">
        <v>0</v>
      </c>
      <c r="I5055" t="n">
        <v>0</v>
      </c>
      <c r="J5055" t="n">
        <v>0</v>
      </c>
      <c r="K5055" t="n">
        <v>0</v>
      </c>
      <c r="L5055" t="n">
        <v>0</v>
      </c>
      <c r="M5055" t="n">
        <v>0</v>
      </c>
      <c r="N5055" t="n">
        <v>0</v>
      </c>
      <c r="O5055" t="n">
        <v>0</v>
      </c>
      <c r="P5055" t="n">
        <v>0</v>
      </c>
      <c r="Q5055" t="n">
        <v>0</v>
      </c>
      <c r="R5055" s="2" t="inlineStr"/>
    </row>
    <row r="5056" ht="15" customHeight="1">
      <c r="A5056" t="inlineStr">
        <is>
          <t>A 20660-2022</t>
        </is>
      </c>
      <c r="B5056" s="1" t="n">
        <v>44700</v>
      </c>
      <c r="C5056" s="1" t="n">
        <v>45344</v>
      </c>
      <c r="D5056" t="inlineStr">
        <is>
          <t>GÄVLEBORGS LÄN</t>
        </is>
      </c>
      <c r="E5056" t="inlineStr">
        <is>
          <t>OCKELBO</t>
        </is>
      </c>
      <c r="F5056" t="inlineStr">
        <is>
          <t>Bergvik skog väst AB</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20543-2022</t>
        </is>
      </c>
      <c r="B5057" s="1" t="n">
        <v>44700</v>
      </c>
      <c r="C5057" s="1" t="n">
        <v>45344</v>
      </c>
      <c r="D5057" t="inlineStr">
        <is>
          <t>GÄVLEBORGS LÄN</t>
        </is>
      </c>
      <c r="E5057" t="inlineStr">
        <is>
          <t>OCKELBO</t>
        </is>
      </c>
      <c r="F5057" t="inlineStr">
        <is>
          <t>Bergvik skog väst AB</t>
        </is>
      </c>
      <c r="G5057" t="n">
        <v>15.2</v>
      </c>
      <c r="H5057" t="n">
        <v>0</v>
      </c>
      <c r="I5057" t="n">
        <v>0</v>
      </c>
      <c r="J5057" t="n">
        <v>0</v>
      </c>
      <c r="K5057" t="n">
        <v>0</v>
      </c>
      <c r="L5057" t="n">
        <v>0</v>
      </c>
      <c r="M5057" t="n">
        <v>0</v>
      </c>
      <c r="N5057" t="n">
        <v>0</v>
      </c>
      <c r="O5057" t="n">
        <v>0</v>
      </c>
      <c r="P5057" t="n">
        <v>0</v>
      </c>
      <c r="Q5057" t="n">
        <v>0</v>
      </c>
      <c r="R5057" s="2" t="inlineStr"/>
    </row>
    <row r="5058" ht="15" customHeight="1">
      <c r="A5058" t="inlineStr">
        <is>
          <t>A 20602-2022</t>
        </is>
      </c>
      <c r="B5058" s="1" t="n">
        <v>44700</v>
      </c>
      <c r="C5058" s="1" t="n">
        <v>45344</v>
      </c>
      <c r="D5058" t="inlineStr">
        <is>
          <t>GÄVLEBORGS LÄN</t>
        </is>
      </c>
      <c r="E5058" t="inlineStr">
        <is>
          <t>HUDIKSVALL</t>
        </is>
      </c>
      <c r="F5058" t="inlineStr">
        <is>
          <t>Holmen skog AB</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20675-2022</t>
        </is>
      </c>
      <c r="B5059" s="1" t="n">
        <v>44700</v>
      </c>
      <c r="C5059" s="1" t="n">
        <v>45344</v>
      </c>
      <c r="D5059" t="inlineStr">
        <is>
          <t>GÄVLEBORGS LÄN</t>
        </is>
      </c>
      <c r="E5059" t="inlineStr">
        <is>
          <t>HUDIKSVALL</t>
        </is>
      </c>
      <c r="F5059" t="inlineStr">
        <is>
          <t>Holmen skog AB</t>
        </is>
      </c>
      <c r="G5059" t="n">
        <v>9.699999999999999</v>
      </c>
      <c r="H5059" t="n">
        <v>0</v>
      </c>
      <c r="I5059" t="n">
        <v>0</v>
      </c>
      <c r="J5059" t="n">
        <v>0</v>
      </c>
      <c r="K5059" t="n">
        <v>0</v>
      </c>
      <c r="L5059" t="n">
        <v>0</v>
      </c>
      <c r="M5059" t="n">
        <v>0</v>
      </c>
      <c r="N5059" t="n">
        <v>0</v>
      </c>
      <c r="O5059" t="n">
        <v>0</v>
      </c>
      <c r="P5059" t="n">
        <v>0</v>
      </c>
      <c r="Q5059" t="n">
        <v>0</v>
      </c>
      <c r="R5059" s="2" t="inlineStr"/>
    </row>
    <row r="5060" ht="15" customHeight="1">
      <c r="A5060" t="inlineStr">
        <is>
          <t>A 20670-2022</t>
        </is>
      </c>
      <c r="B5060" s="1" t="n">
        <v>44700</v>
      </c>
      <c r="C5060" s="1" t="n">
        <v>45344</v>
      </c>
      <c r="D5060" t="inlineStr">
        <is>
          <t>GÄVLEBORGS LÄN</t>
        </is>
      </c>
      <c r="E5060" t="inlineStr">
        <is>
          <t>HUDIKSVALL</t>
        </is>
      </c>
      <c r="F5060" t="inlineStr">
        <is>
          <t>Holmen skog AB</t>
        </is>
      </c>
      <c r="G5060" t="n">
        <v>11.9</v>
      </c>
      <c r="H5060" t="n">
        <v>0</v>
      </c>
      <c r="I5060" t="n">
        <v>0</v>
      </c>
      <c r="J5060" t="n">
        <v>0</v>
      </c>
      <c r="K5060" t="n">
        <v>0</v>
      </c>
      <c r="L5060" t="n">
        <v>0</v>
      </c>
      <c r="M5060" t="n">
        <v>0</v>
      </c>
      <c r="N5060" t="n">
        <v>0</v>
      </c>
      <c r="O5060" t="n">
        <v>0</v>
      </c>
      <c r="P5060" t="n">
        <v>0</v>
      </c>
      <c r="Q5060" t="n">
        <v>0</v>
      </c>
      <c r="R5060" s="2" t="inlineStr"/>
    </row>
    <row r="5061" ht="15" customHeight="1">
      <c r="A5061" t="inlineStr">
        <is>
          <t>A 20666-2022</t>
        </is>
      </c>
      <c r="B5061" s="1" t="n">
        <v>44700</v>
      </c>
      <c r="C5061" s="1" t="n">
        <v>45344</v>
      </c>
      <c r="D5061" t="inlineStr">
        <is>
          <t>GÄVLEBORGS LÄN</t>
        </is>
      </c>
      <c r="E5061" t="inlineStr">
        <is>
          <t>OVANÅKER</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20730-2022</t>
        </is>
      </c>
      <c r="B5062" s="1" t="n">
        <v>44701</v>
      </c>
      <c r="C5062" s="1" t="n">
        <v>45344</v>
      </c>
      <c r="D5062" t="inlineStr">
        <is>
          <t>GÄVLEBORGS LÄN</t>
        </is>
      </c>
      <c r="E5062" t="inlineStr">
        <is>
          <t>LJUSDAL</t>
        </is>
      </c>
      <c r="G5062" t="n">
        <v>5.9</v>
      </c>
      <c r="H5062" t="n">
        <v>0</v>
      </c>
      <c r="I5062" t="n">
        <v>0</v>
      </c>
      <c r="J5062" t="n">
        <v>0</v>
      </c>
      <c r="K5062" t="n">
        <v>0</v>
      </c>
      <c r="L5062" t="n">
        <v>0</v>
      </c>
      <c r="M5062" t="n">
        <v>0</v>
      </c>
      <c r="N5062" t="n">
        <v>0</v>
      </c>
      <c r="O5062" t="n">
        <v>0</v>
      </c>
      <c r="P5062" t="n">
        <v>0</v>
      </c>
      <c r="Q5062" t="n">
        <v>0</v>
      </c>
      <c r="R5062" s="2" t="inlineStr"/>
    </row>
    <row r="5063" ht="15" customHeight="1">
      <c r="A5063" t="inlineStr">
        <is>
          <t>A 20812-2022</t>
        </is>
      </c>
      <c r="B5063" s="1" t="n">
        <v>44701</v>
      </c>
      <c r="C5063" s="1" t="n">
        <v>45344</v>
      </c>
      <c r="D5063" t="inlineStr">
        <is>
          <t>GÄVLEBORGS LÄN</t>
        </is>
      </c>
      <c r="E5063" t="inlineStr">
        <is>
          <t>SANDVIKEN</t>
        </is>
      </c>
      <c r="G5063" t="n">
        <v>13.5</v>
      </c>
      <c r="H5063" t="n">
        <v>0</v>
      </c>
      <c r="I5063" t="n">
        <v>0</v>
      </c>
      <c r="J5063" t="n">
        <v>0</v>
      </c>
      <c r="K5063" t="n">
        <v>0</v>
      </c>
      <c r="L5063" t="n">
        <v>0</v>
      </c>
      <c r="M5063" t="n">
        <v>0</v>
      </c>
      <c r="N5063" t="n">
        <v>0</v>
      </c>
      <c r="O5063" t="n">
        <v>0</v>
      </c>
      <c r="P5063" t="n">
        <v>0</v>
      </c>
      <c r="Q5063" t="n">
        <v>0</v>
      </c>
      <c r="R5063" s="2" t="inlineStr"/>
    </row>
    <row r="5064" ht="15" customHeight="1">
      <c r="A5064" t="inlineStr">
        <is>
          <t>A 20744-2022</t>
        </is>
      </c>
      <c r="B5064" s="1" t="n">
        <v>44701</v>
      </c>
      <c r="C5064" s="1" t="n">
        <v>45344</v>
      </c>
      <c r="D5064" t="inlineStr">
        <is>
          <t>GÄVLEBORGS LÄN</t>
        </is>
      </c>
      <c r="E5064" t="inlineStr">
        <is>
          <t>LJUSDAL</t>
        </is>
      </c>
      <c r="F5064" t="inlineStr">
        <is>
          <t>Sveaskog</t>
        </is>
      </c>
      <c r="G5064" t="n">
        <v>10.9</v>
      </c>
      <c r="H5064" t="n">
        <v>0</v>
      </c>
      <c r="I5064" t="n">
        <v>0</v>
      </c>
      <c r="J5064" t="n">
        <v>0</v>
      </c>
      <c r="K5064" t="n">
        <v>0</v>
      </c>
      <c r="L5064" t="n">
        <v>0</v>
      </c>
      <c r="M5064" t="n">
        <v>0</v>
      </c>
      <c r="N5064" t="n">
        <v>0</v>
      </c>
      <c r="O5064" t="n">
        <v>0</v>
      </c>
      <c r="P5064" t="n">
        <v>0</v>
      </c>
      <c r="Q5064" t="n">
        <v>0</v>
      </c>
      <c r="R5064" s="2" t="inlineStr"/>
    </row>
    <row r="5065" ht="15" customHeight="1">
      <c r="A5065" t="inlineStr">
        <is>
          <t>A 20746-2022</t>
        </is>
      </c>
      <c r="B5065" s="1" t="n">
        <v>44701</v>
      </c>
      <c r="C5065" s="1" t="n">
        <v>45344</v>
      </c>
      <c r="D5065" t="inlineStr">
        <is>
          <t>GÄVLEBORGS LÄN</t>
        </is>
      </c>
      <c r="E5065" t="inlineStr">
        <is>
          <t>LJUSDAL</t>
        </is>
      </c>
      <c r="F5065" t="inlineStr">
        <is>
          <t>Sveaskog</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20747-2022</t>
        </is>
      </c>
      <c r="B5066" s="1" t="n">
        <v>44701</v>
      </c>
      <c r="C5066" s="1" t="n">
        <v>45344</v>
      </c>
      <c r="D5066" t="inlineStr">
        <is>
          <t>GÄVLEBORGS LÄN</t>
        </is>
      </c>
      <c r="E5066" t="inlineStr">
        <is>
          <t>LJUSDAL</t>
        </is>
      </c>
      <c r="F5066" t="inlineStr">
        <is>
          <t>Sveaskog</t>
        </is>
      </c>
      <c r="G5066" t="n">
        <v>13.2</v>
      </c>
      <c r="H5066" t="n">
        <v>0</v>
      </c>
      <c r="I5066" t="n">
        <v>0</v>
      </c>
      <c r="J5066" t="n">
        <v>0</v>
      </c>
      <c r="K5066" t="n">
        <v>0</v>
      </c>
      <c r="L5066" t="n">
        <v>0</v>
      </c>
      <c r="M5066" t="n">
        <v>0</v>
      </c>
      <c r="N5066" t="n">
        <v>0</v>
      </c>
      <c r="O5066" t="n">
        <v>0</v>
      </c>
      <c r="P5066" t="n">
        <v>0</v>
      </c>
      <c r="Q5066" t="n">
        <v>0</v>
      </c>
      <c r="R5066" s="2" t="inlineStr"/>
    </row>
    <row r="5067" ht="15" customHeight="1">
      <c r="A5067" t="inlineStr">
        <is>
          <t>A 20750-2022</t>
        </is>
      </c>
      <c r="B5067" s="1" t="n">
        <v>44701</v>
      </c>
      <c r="C5067" s="1" t="n">
        <v>45344</v>
      </c>
      <c r="D5067" t="inlineStr">
        <is>
          <t>GÄVLEBORGS LÄN</t>
        </is>
      </c>
      <c r="E5067" t="inlineStr">
        <is>
          <t>LJUSDAL</t>
        </is>
      </c>
      <c r="F5067" t="inlineStr">
        <is>
          <t>Sveaskog</t>
        </is>
      </c>
      <c r="G5067" t="n">
        <v>6.8</v>
      </c>
      <c r="H5067" t="n">
        <v>0</v>
      </c>
      <c r="I5067" t="n">
        <v>0</v>
      </c>
      <c r="J5067" t="n">
        <v>0</v>
      </c>
      <c r="K5067" t="n">
        <v>0</v>
      </c>
      <c r="L5067" t="n">
        <v>0</v>
      </c>
      <c r="M5067" t="n">
        <v>0</v>
      </c>
      <c r="N5067" t="n">
        <v>0</v>
      </c>
      <c r="O5067" t="n">
        <v>0</v>
      </c>
      <c r="P5067" t="n">
        <v>0</v>
      </c>
      <c r="Q5067" t="n">
        <v>0</v>
      </c>
      <c r="R5067" s="2" t="inlineStr"/>
    </row>
    <row r="5068" ht="15" customHeight="1">
      <c r="A5068" t="inlineStr">
        <is>
          <t>A 20756-2022</t>
        </is>
      </c>
      <c r="B5068" s="1" t="n">
        <v>44701</v>
      </c>
      <c r="C5068" s="1" t="n">
        <v>45344</v>
      </c>
      <c r="D5068" t="inlineStr">
        <is>
          <t>GÄVLEBORGS LÄN</t>
        </is>
      </c>
      <c r="E5068" t="inlineStr">
        <is>
          <t>LJUSDAL</t>
        </is>
      </c>
      <c r="F5068" t="inlineStr">
        <is>
          <t>Sveaskog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20999-2022</t>
        </is>
      </c>
      <c r="B5069" s="1" t="n">
        <v>44701</v>
      </c>
      <c r="C5069" s="1" t="n">
        <v>45344</v>
      </c>
      <c r="D5069" t="inlineStr">
        <is>
          <t>GÄVLEBORGS LÄN</t>
        </is>
      </c>
      <c r="E5069" t="inlineStr">
        <is>
          <t>GÄVLE</t>
        </is>
      </c>
      <c r="F5069" t="inlineStr">
        <is>
          <t>Bergvik skog väst AB</t>
        </is>
      </c>
      <c r="G5069" t="n">
        <v>26.3</v>
      </c>
      <c r="H5069" t="n">
        <v>0</v>
      </c>
      <c r="I5069" t="n">
        <v>0</v>
      </c>
      <c r="J5069" t="n">
        <v>0</v>
      </c>
      <c r="K5069" t="n">
        <v>0</v>
      </c>
      <c r="L5069" t="n">
        <v>0</v>
      </c>
      <c r="M5069" t="n">
        <v>0</v>
      </c>
      <c r="N5069" t="n">
        <v>0</v>
      </c>
      <c r="O5069" t="n">
        <v>0</v>
      </c>
      <c r="P5069" t="n">
        <v>0</v>
      </c>
      <c r="Q5069" t="n">
        <v>0</v>
      </c>
      <c r="R5069" s="2" t="inlineStr"/>
    </row>
    <row r="5070" ht="15" customHeight="1">
      <c r="A5070" t="inlineStr">
        <is>
          <t>A 20906-2022</t>
        </is>
      </c>
      <c r="B5070" s="1" t="n">
        <v>44701</v>
      </c>
      <c r="C5070" s="1" t="n">
        <v>45344</v>
      </c>
      <c r="D5070" t="inlineStr">
        <is>
          <t>GÄVLEBORGS LÄN</t>
        </is>
      </c>
      <c r="E5070" t="inlineStr">
        <is>
          <t>LJUSDAL</t>
        </is>
      </c>
      <c r="F5070" t="inlineStr">
        <is>
          <t>Sveaskog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20926-2022</t>
        </is>
      </c>
      <c r="B5071" s="1" t="n">
        <v>44701</v>
      </c>
      <c r="C5071" s="1" t="n">
        <v>45344</v>
      </c>
      <c r="D5071" t="inlineStr">
        <is>
          <t>GÄVLEBORGS LÄN</t>
        </is>
      </c>
      <c r="E5071" t="inlineStr">
        <is>
          <t>OVANÅKER</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20916-2022</t>
        </is>
      </c>
      <c r="B5072" s="1" t="n">
        <v>44701</v>
      </c>
      <c r="C5072" s="1" t="n">
        <v>45344</v>
      </c>
      <c r="D5072" t="inlineStr">
        <is>
          <t>GÄVLEBORGS LÄN</t>
        </is>
      </c>
      <c r="E5072" t="inlineStr">
        <is>
          <t>LJUSDAL</t>
        </is>
      </c>
      <c r="F5072" t="inlineStr">
        <is>
          <t>Sveaskog</t>
        </is>
      </c>
      <c r="G5072" t="n">
        <v>8.800000000000001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20902-2022</t>
        </is>
      </c>
      <c r="B5073" s="1" t="n">
        <v>44701</v>
      </c>
      <c r="C5073" s="1" t="n">
        <v>45344</v>
      </c>
      <c r="D5073" t="inlineStr">
        <is>
          <t>GÄVLEBORGS LÄN</t>
        </is>
      </c>
      <c r="E5073" t="inlineStr">
        <is>
          <t>LJUSDAL</t>
        </is>
      </c>
      <c r="F5073" t="inlineStr">
        <is>
          <t>Sveaskog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20910-2022</t>
        </is>
      </c>
      <c r="B5074" s="1" t="n">
        <v>44701</v>
      </c>
      <c r="C5074" s="1" t="n">
        <v>45344</v>
      </c>
      <c r="D5074" t="inlineStr">
        <is>
          <t>GÄVLEBORGS LÄN</t>
        </is>
      </c>
      <c r="E5074" t="inlineStr">
        <is>
          <t>NORDANSTIG</t>
        </is>
      </c>
      <c r="F5074" t="inlineStr">
        <is>
          <t>Holmen skog AB</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20985-2022</t>
        </is>
      </c>
      <c r="B5075" s="1" t="n">
        <v>44703</v>
      </c>
      <c r="C5075" s="1" t="n">
        <v>45344</v>
      </c>
      <c r="D5075" t="inlineStr">
        <is>
          <t>GÄVLEBORGS LÄN</t>
        </is>
      </c>
      <c r="E5075" t="inlineStr">
        <is>
          <t>NORDANSTIG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20986-2022</t>
        </is>
      </c>
      <c r="B5076" s="1" t="n">
        <v>44703</v>
      </c>
      <c r="C5076" s="1" t="n">
        <v>45344</v>
      </c>
      <c r="D5076" t="inlineStr">
        <is>
          <t>GÄVLEBORGS LÄN</t>
        </is>
      </c>
      <c r="E5076" t="inlineStr">
        <is>
          <t>NORDANSTIG</t>
        </is>
      </c>
      <c r="F5076" t="inlineStr">
        <is>
          <t>Holmen skog AB</t>
        </is>
      </c>
      <c r="G5076" t="n">
        <v>3</v>
      </c>
      <c r="H5076" t="n">
        <v>0</v>
      </c>
      <c r="I5076" t="n">
        <v>0</v>
      </c>
      <c r="J5076" t="n">
        <v>0</v>
      </c>
      <c r="K5076" t="n">
        <v>0</v>
      </c>
      <c r="L5076" t="n">
        <v>0</v>
      </c>
      <c r="M5076" t="n">
        <v>0</v>
      </c>
      <c r="N5076" t="n">
        <v>0</v>
      </c>
      <c r="O5076" t="n">
        <v>0</v>
      </c>
      <c r="P5076" t="n">
        <v>0</v>
      </c>
      <c r="Q5076" t="n">
        <v>0</v>
      </c>
      <c r="R5076" s="2" t="inlineStr"/>
    </row>
    <row r="5077" ht="15" customHeight="1">
      <c r="A5077" t="inlineStr">
        <is>
          <t>A 20987-2022</t>
        </is>
      </c>
      <c r="B5077" s="1" t="n">
        <v>44703</v>
      </c>
      <c r="C5077" s="1" t="n">
        <v>45344</v>
      </c>
      <c r="D5077" t="inlineStr">
        <is>
          <t>GÄVLEBORGS LÄN</t>
        </is>
      </c>
      <c r="E5077" t="inlineStr">
        <is>
          <t>NORDANSTIG</t>
        </is>
      </c>
      <c r="F5077" t="inlineStr">
        <is>
          <t>Holmen skog AB</t>
        </is>
      </c>
      <c r="G5077" t="n">
        <v>6.9</v>
      </c>
      <c r="H5077" t="n">
        <v>0</v>
      </c>
      <c r="I5077" t="n">
        <v>0</v>
      </c>
      <c r="J5077" t="n">
        <v>0</v>
      </c>
      <c r="K5077" t="n">
        <v>0</v>
      </c>
      <c r="L5077" t="n">
        <v>0</v>
      </c>
      <c r="M5077" t="n">
        <v>0</v>
      </c>
      <c r="N5077" t="n">
        <v>0</v>
      </c>
      <c r="O5077" t="n">
        <v>0</v>
      </c>
      <c r="P5077" t="n">
        <v>0</v>
      </c>
      <c r="Q5077" t="n">
        <v>0</v>
      </c>
      <c r="R5077" s="2" t="inlineStr"/>
    </row>
    <row r="5078" ht="15" customHeight="1">
      <c r="A5078" t="inlineStr">
        <is>
          <t>A 21044-2022</t>
        </is>
      </c>
      <c r="B5078" s="1" t="n">
        <v>44704</v>
      </c>
      <c r="C5078" s="1" t="n">
        <v>45344</v>
      </c>
      <c r="D5078" t="inlineStr">
        <is>
          <t>GÄVLEBORGS LÄN</t>
        </is>
      </c>
      <c r="E5078" t="inlineStr">
        <is>
          <t>LJUSDAL</t>
        </is>
      </c>
      <c r="F5078" t="inlineStr">
        <is>
          <t>Allmännings- och besparingsskogar</t>
        </is>
      </c>
      <c r="G5078" t="n">
        <v>31.3</v>
      </c>
      <c r="H5078" t="n">
        <v>0</v>
      </c>
      <c r="I5078" t="n">
        <v>0</v>
      </c>
      <c r="J5078" t="n">
        <v>0</v>
      </c>
      <c r="K5078" t="n">
        <v>0</v>
      </c>
      <c r="L5078" t="n">
        <v>0</v>
      </c>
      <c r="M5078" t="n">
        <v>0</v>
      </c>
      <c r="N5078" t="n">
        <v>0</v>
      </c>
      <c r="O5078" t="n">
        <v>0</v>
      </c>
      <c r="P5078" t="n">
        <v>0</v>
      </c>
      <c r="Q5078" t="n">
        <v>0</v>
      </c>
      <c r="R5078" s="2" t="inlineStr"/>
    </row>
    <row r="5079" ht="15" customHeight="1">
      <c r="A5079" t="inlineStr">
        <is>
          <t>A 21137-2022</t>
        </is>
      </c>
      <c r="B5079" s="1" t="n">
        <v>44704</v>
      </c>
      <c r="C5079" s="1" t="n">
        <v>45344</v>
      </c>
      <c r="D5079" t="inlineStr">
        <is>
          <t>GÄVLEBORGS LÄN</t>
        </is>
      </c>
      <c r="E5079" t="inlineStr">
        <is>
          <t>BOLLNÄS</t>
        </is>
      </c>
      <c r="F5079" t="inlineStr">
        <is>
          <t>Bergvik skog väst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21009-2022</t>
        </is>
      </c>
      <c r="B5080" s="1" t="n">
        <v>44704</v>
      </c>
      <c r="C5080" s="1" t="n">
        <v>45344</v>
      </c>
      <c r="D5080" t="inlineStr">
        <is>
          <t>GÄVLEBORGS LÄN</t>
        </is>
      </c>
      <c r="E5080" t="inlineStr">
        <is>
          <t>BOLLNÄS</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21157-2022</t>
        </is>
      </c>
      <c r="B5081" s="1" t="n">
        <v>44704</v>
      </c>
      <c r="C5081" s="1" t="n">
        <v>45344</v>
      </c>
      <c r="D5081" t="inlineStr">
        <is>
          <t>GÄVLEBORGS LÄN</t>
        </is>
      </c>
      <c r="E5081" t="inlineStr">
        <is>
          <t>NORDANSTIG</t>
        </is>
      </c>
      <c r="F5081" t="inlineStr">
        <is>
          <t>Holmen skog AB</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21153-2022</t>
        </is>
      </c>
      <c r="B5082" s="1" t="n">
        <v>44704</v>
      </c>
      <c r="C5082" s="1" t="n">
        <v>45344</v>
      </c>
      <c r="D5082" t="inlineStr">
        <is>
          <t>GÄVLEBORGS LÄN</t>
        </is>
      </c>
      <c r="E5082" t="inlineStr">
        <is>
          <t>BOLLNÄS</t>
        </is>
      </c>
      <c r="F5082" t="inlineStr">
        <is>
          <t>Bergvik skog väst AB</t>
        </is>
      </c>
      <c r="G5082" t="n">
        <v>1.5</v>
      </c>
      <c r="H5082" t="n">
        <v>0</v>
      </c>
      <c r="I5082" t="n">
        <v>0</v>
      </c>
      <c r="J5082" t="n">
        <v>0</v>
      </c>
      <c r="K5082" t="n">
        <v>0</v>
      </c>
      <c r="L5082" t="n">
        <v>0</v>
      </c>
      <c r="M5082" t="n">
        <v>0</v>
      </c>
      <c r="N5082" t="n">
        <v>0</v>
      </c>
      <c r="O5082" t="n">
        <v>0</v>
      </c>
      <c r="P5082" t="n">
        <v>0</v>
      </c>
      <c r="Q5082" t="n">
        <v>0</v>
      </c>
      <c r="R5082" s="2" t="inlineStr"/>
    </row>
    <row r="5083" ht="15" customHeight="1">
      <c r="A5083" t="inlineStr">
        <is>
          <t>A 21188-2022</t>
        </is>
      </c>
      <c r="B5083" s="1" t="n">
        <v>44704</v>
      </c>
      <c r="C5083" s="1" t="n">
        <v>45344</v>
      </c>
      <c r="D5083" t="inlineStr">
        <is>
          <t>GÄVLEBORGS LÄN</t>
        </is>
      </c>
      <c r="E5083" t="inlineStr">
        <is>
          <t>NORDANSTIG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21186-2022</t>
        </is>
      </c>
      <c r="B5084" s="1" t="n">
        <v>44705</v>
      </c>
      <c r="C5084" s="1" t="n">
        <v>45344</v>
      </c>
      <c r="D5084" t="inlineStr">
        <is>
          <t>GÄVLEBORGS LÄN</t>
        </is>
      </c>
      <c r="E5084" t="inlineStr">
        <is>
          <t>NORDANSTIG</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21187-2022</t>
        </is>
      </c>
      <c r="B5085" s="1" t="n">
        <v>44705</v>
      </c>
      <c r="C5085" s="1" t="n">
        <v>45344</v>
      </c>
      <c r="D5085" t="inlineStr">
        <is>
          <t>GÄVLEBORGS LÄN</t>
        </is>
      </c>
      <c r="E5085" t="inlineStr">
        <is>
          <t>NORDANSTIG</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21185-2022</t>
        </is>
      </c>
      <c r="B5086" s="1" t="n">
        <v>44704</v>
      </c>
      <c r="C5086" s="1" t="n">
        <v>45344</v>
      </c>
      <c r="D5086" t="inlineStr">
        <is>
          <t>GÄVLEBORGS LÄN</t>
        </is>
      </c>
      <c r="E5086" t="inlineStr">
        <is>
          <t>NORDANSTIG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21189-2022</t>
        </is>
      </c>
      <c r="B5087" s="1" t="n">
        <v>44705</v>
      </c>
      <c r="C5087" s="1" t="n">
        <v>45344</v>
      </c>
      <c r="D5087" t="inlineStr">
        <is>
          <t>GÄVLEBORGS LÄN</t>
        </is>
      </c>
      <c r="E5087" t="inlineStr">
        <is>
          <t>NORDANSTIG</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21299-2022</t>
        </is>
      </c>
      <c r="B5088" s="1" t="n">
        <v>44705</v>
      </c>
      <c r="C5088" s="1" t="n">
        <v>45344</v>
      </c>
      <c r="D5088" t="inlineStr">
        <is>
          <t>GÄVLEBORGS LÄN</t>
        </is>
      </c>
      <c r="E5088" t="inlineStr">
        <is>
          <t>BOLLNÄS</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21378-2022</t>
        </is>
      </c>
      <c r="B5089" s="1" t="n">
        <v>44705</v>
      </c>
      <c r="C5089" s="1" t="n">
        <v>45344</v>
      </c>
      <c r="D5089" t="inlineStr">
        <is>
          <t>GÄVLEBORGS LÄN</t>
        </is>
      </c>
      <c r="E5089" t="inlineStr">
        <is>
          <t>OCKELBO</t>
        </is>
      </c>
      <c r="F5089" t="inlineStr">
        <is>
          <t>Bergvik skog väst AB</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21291-2022</t>
        </is>
      </c>
      <c r="B5090" s="1" t="n">
        <v>44705</v>
      </c>
      <c r="C5090" s="1" t="n">
        <v>45344</v>
      </c>
      <c r="D5090" t="inlineStr">
        <is>
          <t>GÄVLEBORGS LÄN</t>
        </is>
      </c>
      <c r="E5090" t="inlineStr">
        <is>
          <t>OCKELBO</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21345-2022</t>
        </is>
      </c>
      <c r="B5091" s="1" t="n">
        <v>44705</v>
      </c>
      <c r="C5091" s="1" t="n">
        <v>45344</v>
      </c>
      <c r="D5091" t="inlineStr">
        <is>
          <t>GÄVLEBORGS LÄN</t>
        </is>
      </c>
      <c r="E5091" t="inlineStr">
        <is>
          <t>OVANÅKER</t>
        </is>
      </c>
      <c r="F5091" t="inlineStr">
        <is>
          <t>Sveaskog</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21286-2022</t>
        </is>
      </c>
      <c r="B5092" s="1" t="n">
        <v>44705</v>
      </c>
      <c r="C5092" s="1" t="n">
        <v>45344</v>
      </c>
      <c r="D5092" t="inlineStr">
        <is>
          <t>GÄVLEBORGS LÄN</t>
        </is>
      </c>
      <c r="E5092" t="inlineStr">
        <is>
          <t>NORDANSTIG</t>
        </is>
      </c>
      <c r="F5092" t="inlineStr">
        <is>
          <t>Holmen skog AB</t>
        </is>
      </c>
      <c r="G5092" t="n">
        <v>3.9</v>
      </c>
      <c r="H5092" t="n">
        <v>0</v>
      </c>
      <c r="I5092" t="n">
        <v>0</v>
      </c>
      <c r="J5092" t="n">
        <v>0</v>
      </c>
      <c r="K5092" t="n">
        <v>0</v>
      </c>
      <c r="L5092" t="n">
        <v>0</v>
      </c>
      <c r="M5092" t="n">
        <v>0</v>
      </c>
      <c r="N5092" t="n">
        <v>0</v>
      </c>
      <c r="O5092" t="n">
        <v>0</v>
      </c>
      <c r="P5092" t="n">
        <v>0</v>
      </c>
      <c r="Q5092" t="n">
        <v>0</v>
      </c>
      <c r="R5092" s="2" t="inlineStr"/>
    </row>
    <row r="5093" ht="15" customHeight="1">
      <c r="A5093" t="inlineStr">
        <is>
          <t>A 21326-2022</t>
        </is>
      </c>
      <c r="B5093" s="1" t="n">
        <v>44705</v>
      </c>
      <c r="C5093" s="1" t="n">
        <v>45344</v>
      </c>
      <c r="D5093" t="inlineStr">
        <is>
          <t>GÄVLEBORGS LÄN</t>
        </is>
      </c>
      <c r="E5093" t="inlineStr">
        <is>
          <t>OVANÅKER</t>
        </is>
      </c>
      <c r="G5093" t="n">
        <v>2.3</v>
      </c>
      <c r="H5093" t="n">
        <v>0</v>
      </c>
      <c r="I5093" t="n">
        <v>0</v>
      </c>
      <c r="J5093" t="n">
        <v>0</v>
      </c>
      <c r="K5093" t="n">
        <v>0</v>
      </c>
      <c r="L5093" t="n">
        <v>0</v>
      </c>
      <c r="M5093" t="n">
        <v>0</v>
      </c>
      <c r="N5093" t="n">
        <v>0</v>
      </c>
      <c r="O5093" t="n">
        <v>0</v>
      </c>
      <c r="P5093" t="n">
        <v>0</v>
      </c>
      <c r="Q5093" t="n">
        <v>0</v>
      </c>
      <c r="R5093" s="2" t="inlineStr"/>
    </row>
    <row r="5094" ht="15" customHeight="1">
      <c r="A5094" t="inlineStr">
        <is>
          <t>A 21297-2022</t>
        </is>
      </c>
      <c r="B5094" s="1" t="n">
        <v>44705</v>
      </c>
      <c r="C5094" s="1" t="n">
        <v>45344</v>
      </c>
      <c r="D5094" t="inlineStr">
        <is>
          <t>GÄVLEBORGS LÄN</t>
        </is>
      </c>
      <c r="E5094" t="inlineStr">
        <is>
          <t>SANDVIKEN</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21347-2022</t>
        </is>
      </c>
      <c r="B5095" s="1" t="n">
        <v>44705</v>
      </c>
      <c r="C5095" s="1" t="n">
        <v>45344</v>
      </c>
      <c r="D5095" t="inlineStr">
        <is>
          <t>GÄVLEBORGS LÄN</t>
        </is>
      </c>
      <c r="E5095" t="inlineStr">
        <is>
          <t>OVANÅKER</t>
        </is>
      </c>
      <c r="G5095" t="n">
        <v>5.6</v>
      </c>
      <c r="H5095" t="n">
        <v>0</v>
      </c>
      <c r="I5095" t="n">
        <v>0</v>
      </c>
      <c r="J5095" t="n">
        <v>0</v>
      </c>
      <c r="K5095" t="n">
        <v>0</v>
      </c>
      <c r="L5095" t="n">
        <v>0</v>
      </c>
      <c r="M5095" t="n">
        <v>0</v>
      </c>
      <c r="N5095" t="n">
        <v>0</v>
      </c>
      <c r="O5095" t="n">
        <v>0</v>
      </c>
      <c r="P5095" t="n">
        <v>0</v>
      </c>
      <c r="Q5095" t="n">
        <v>0</v>
      </c>
      <c r="R5095" s="2" t="inlineStr"/>
    </row>
    <row r="5096" ht="15" customHeight="1">
      <c r="A5096" t="inlineStr">
        <is>
          <t>A 21382-2022</t>
        </is>
      </c>
      <c r="B5096" s="1" t="n">
        <v>44705</v>
      </c>
      <c r="C5096" s="1" t="n">
        <v>45344</v>
      </c>
      <c r="D5096" t="inlineStr">
        <is>
          <t>GÄVLEBORGS LÄN</t>
        </is>
      </c>
      <c r="E5096" t="inlineStr">
        <is>
          <t>HUDIKSVALL</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21430-2022</t>
        </is>
      </c>
      <c r="B5097" s="1" t="n">
        <v>44706</v>
      </c>
      <c r="C5097" s="1" t="n">
        <v>45344</v>
      </c>
      <c r="D5097" t="inlineStr">
        <is>
          <t>GÄVLEBORGS LÄN</t>
        </is>
      </c>
      <c r="E5097" t="inlineStr">
        <is>
          <t>NORDANSTIG</t>
        </is>
      </c>
      <c r="F5097" t="inlineStr">
        <is>
          <t>Holmen skog AB</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21474-2022</t>
        </is>
      </c>
      <c r="B5098" s="1" t="n">
        <v>44706</v>
      </c>
      <c r="C5098" s="1" t="n">
        <v>45344</v>
      </c>
      <c r="D5098" t="inlineStr">
        <is>
          <t>GÄVLEBORGS LÄN</t>
        </is>
      </c>
      <c r="E5098" t="inlineStr">
        <is>
          <t>SÖDERHAMN</t>
        </is>
      </c>
      <c r="F5098" t="inlineStr">
        <is>
          <t>Bergvik skog väst AB</t>
        </is>
      </c>
      <c r="G5098" t="n">
        <v>3.5</v>
      </c>
      <c r="H5098" t="n">
        <v>0</v>
      </c>
      <c r="I5098" t="n">
        <v>0</v>
      </c>
      <c r="J5098" t="n">
        <v>0</v>
      </c>
      <c r="K5098" t="n">
        <v>0</v>
      </c>
      <c r="L5098" t="n">
        <v>0</v>
      </c>
      <c r="M5098" t="n">
        <v>0</v>
      </c>
      <c r="N5098" t="n">
        <v>0</v>
      </c>
      <c r="O5098" t="n">
        <v>0</v>
      </c>
      <c r="P5098" t="n">
        <v>0</v>
      </c>
      <c r="Q5098" t="n">
        <v>0</v>
      </c>
      <c r="R5098" s="2" t="inlineStr"/>
    </row>
    <row r="5099" ht="15" customHeight="1">
      <c r="A5099" t="inlineStr">
        <is>
          <t>A 21488-2022</t>
        </is>
      </c>
      <c r="B5099" s="1" t="n">
        <v>44706</v>
      </c>
      <c r="C5099" s="1" t="n">
        <v>45344</v>
      </c>
      <c r="D5099" t="inlineStr">
        <is>
          <t>GÄVLEBORGS LÄN</t>
        </is>
      </c>
      <c r="E5099" t="inlineStr">
        <is>
          <t>SÖDERHAMN</t>
        </is>
      </c>
      <c r="F5099" t="inlineStr">
        <is>
          <t>Bergvik skog väst AB</t>
        </is>
      </c>
      <c r="G5099" t="n">
        <v>6</v>
      </c>
      <c r="H5099" t="n">
        <v>0</v>
      </c>
      <c r="I5099" t="n">
        <v>0</v>
      </c>
      <c r="J5099" t="n">
        <v>0</v>
      </c>
      <c r="K5099" t="n">
        <v>0</v>
      </c>
      <c r="L5099" t="n">
        <v>0</v>
      </c>
      <c r="M5099" t="n">
        <v>0</v>
      </c>
      <c r="N5099" t="n">
        <v>0</v>
      </c>
      <c r="O5099" t="n">
        <v>0</v>
      </c>
      <c r="P5099" t="n">
        <v>0</v>
      </c>
      <c r="Q5099" t="n">
        <v>0</v>
      </c>
      <c r="R5099" s="2" t="inlineStr"/>
    </row>
    <row r="5100" ht="15" customHeight="1">
      <c r="A5100" t="inlineStr">
        <is>
          <t>A 21437-2022</t>
        </is>
      </c>
      <c r="B5100" s="1" t="n">
        <v>44706</v>
      </c>
      <c r="C5100" s="1" t="n">
        <v>45344</v>
      </c>
      <c r="D5100" t="inlineStr">
        <is>
          <t>GÄVLEBORGS LÄN</t>
        </is>
      </c>
      <c r="E5100" t="inlineStr">
        <is>
          <t>GÄVLE</t>
        </is>
      </c>
      <c r="F5100" t="inlineStr">
        <is>
          <t>Bergvik skog väst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21536-2022</t>
        </is>
      </c>
      <c r="B5101" s="1" t="n">
        <v>44706</v>
      </c>
      <c r="C5101" s="1" t="n">
        <v>45344</v>
      </c>
      <c r="D5101" t="inlineStr">
        <is>
          <t>GÄVLEBORGS LÄN</t>
        </is>
      </c>
      <c r="E5101" t="inlineStr">
        <is>
          <t>OVANÅKER</t>
        </is>
      </c>
      <c r="F5101" t="inlineStr">
        <is>
          <t>Sveaskog</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21542-2022</t>
        </is>
      </c>
      <c r="B5102" s="1" t="n">
        <v>44706</v>
      </c>
      <c r="C5102" s="1" t="n">
        <v>45344</v>
      </c>
      <c r="D5102" t="inlineStr">
        <is>
          <t>GÄVLEBORGS LÄN</t>
        </is>
      </c>
      <c r="E5102" t="inlineStr">
        <is>
          <t>LJUSDAL</t>
        </is>
      </c>
      <c r="F5102" t="inlineStr">
        <is>
          <t>Sveaskog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21436-2022</t>
        </is>
      </c>
      <c r="B5103" s="1" t="n">
        <v>44706</v>
      </c>
      <c r="C5103" s="1" t="n">
        <v>45344</v>
      </c>
      <c r="D5103" t="inlineStr">
        <is>
          <t>GÄVLEBORGS LÄN</t>
        </is>
      </c>
      <c r="E5103" t="inlineStr">
        <is>
          <t>HUDIKSVALL</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21451-2022</t>
        </is>
      </c>
      <c r="B5104" s="1" t="n">
        <v>44706</v>
      </c>
      <c r="C5104" s="1" t="n">
        <v>45344</v>
      </c>
      <c r="D5104" t="inlineStr">
        <is>
          <t>GÄVLEBORGS LÄN</t>
        </is>
      </c>
      <c r="E5104" t="inlineStr">
        <is>
          <t>NORDANSTIG</t>
        </is>
      </c>
      <c r="F5104" t="inlineStr">
        <is>
          <t>Holmen skog AB</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21525-2022</t>
        </is>
      </c>
      <c r="B5105" s="1" t="n">
        <v>44706</v>
      </c>
      <c r="C5105" s="1" t="n">
        <v>45344</v>
      </c>
      <c r="D5105" t="inlineStr">
        <is>
          <t>GÄVLEBORGS LÄN</t>
        </is>
      </c>
      <c r="E5105" t="inlineStr">
        <is>
          <t>HUDIKSVALL</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21438-2022</t>
        </is>
      </c>
      <c r="B5106" s="1" t="n">
        <v>44706</v>
      </c>
      <c r="C5106" s="1" t="n">
        <v>45344</v>
      </c>
      <c r="D5106" t="inlineStr">
        <is>
          <t>GÄVLEBORGS LÄN</t>
        </is>
      </c>
      <c r="E5106" t="inlineStr">
        <is>
          <t>BOLLNÄS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21468-2022</t>
        </is>
      </c>
      <c r="B5107" s="1" t="n">
        <v>44706</v>
      </c>
      <c r="C5107" s="1" t="n">
        <v>45344</v>
      </c>
      <c r="D5107" t="inlineStr">
        <is>
          <t>GÄVLEBORGS LÄN</t>
        </is>
      </c>
      <c r="E5107" t="inlineStr">
        <is>
          <t>GÄVLE</t>
        </is>
      </c>
      <c r="F5107" t="inlineStr">
        <is>
          <t>Bergvik skog väst AB</t>
        </is>
      </c>
      <c r="G5107" t="n">
        <v>5.4</v>
      </c>
      <c r="H5107" t="n">
        <v>0</v>
      </c>
      <c r="I5107" t="n">
        <v>0</v>
      </c>
      <c r="J5107" t="n">
        <v>0</v>
      </c>
      <c r="K5107" t="n">
        <v>0</v>
      </c>
      <c r="L5107" t="n">
        <v>0</v>
      </c>
      <c r="M5107" t="n">
        <v>0</v>
      </c>
      <c r="N5107" t="n">
        <v>0</v>
      </c>
      <c r="O5107" t="n">
        <v>0</v>
      </c>
      <c r="P5107" t="n">
        <v>0</v>
      </c>
      <c r="Q5107" t="n">
        <v>0</v>
      </c>
      <c r="R5107" s="2" t="inlineStr"/>
    </row>
    <row r="5108" ht="15" customHeight="1">
      <c r="A5108" t="inlineStr">
        <is>
          <t>A 21527-2022</t>
        </is>
      </c>
      <c r="B5108" s="1" t="n">
        <v>44706</v>
      </c>
      <c r="C5108" s="1" t="n">
        <v>45344</v>
      </c>
      <c r="D5108" t="inlineStr">
        <is>
          <t>GÄVLEBORGS LÄN</t>
        </is>
      </c>
      <c r="E5108" t="inlineStr">
        <is>
          <t>OVANÅKER</t>
        </is>
      </c>
      <c r="F5108" t="inlineStr">
        <is>
          <t>Sveaskog</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21616-2022</t>
        </is>
      </c>
      <c r="B5109" s="1" t="n">
        <v>44706</v>
      </c>
      <c r="C5109" s="1" t="n">
        <v>45344</v>
      </c>
      <c r="D5109" t="inlineStr">
        <is>
          <t>GÄVLEBORGS LÄN</t>
        </is>
      </c>
      <c r="E5109" t="inlineStr">
        <is>
          <t>BOLLNÄS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21540-2022</t>
        </is>
      </c>
      <c r="B5110" s="1" t="n">
        <v>44706</v>
      </c>
      <c r="C5110" s="1" t="n">
        <v>45344</v>
      </c>
      <c r="D5110" t="inlineStr">
        <is>
          <t>GÄVLEBORGS LÄN</t>
        </is>
      </c>
      <c r="E5110" t="inlineStr">
        <is>
          <t>HUDIKSVALL</t>
        </is>
      </c>
      <c r="F5110" t="inlineStr">
        <is>
          <t>Holmen skog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21561-2022</t>
        </is>
      </c>
      <c r="B5111" s="1" t="n">
        <v>44706</v>
      </c>
      <c r="C5111" s="1" t="n">
        <v>45344</v>
      </c>
      <c r="D5111" t="inlineStr">
        <is>
          <t>GÄVLEBORGS LÄN</t>
        </is>
      </c>
      <c r="E5111" t="inlineStr">
        <is>
          <t>HUDIKSVALL</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21795-2022</t>
        </is>
      </c>
      <c r="B5112" s="1" t="n">
        <v>44708</v>
      </c>
      <c r="C5112" s="1" t="n">
        <v>45344</v>
      </c>
      <c r="D5112" t="inlineStr">
        <is>
          <t>GÄVLEBORGS LÄN</t>
        </is>
      </c>
      <c r="E5112" t="inlineStr">
        <is>
          <t>GÄVLE</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21941-2022</t>
        </is>
      </c>
      <c r="B5113" s="1" t="n">
        <v>44711</v>
      </c>
      <c r="C5113" s="1" t="n">
        <v>45344</v>
      </c>
      <c r="D5113" t="inlineStr">
        <is>
          <t>GÄVLEBORGS LÄN</t>
        </is>
      </c>
      <c r="E5113" t="inlineStr">
        <is>
          <t>LJUSDAL</t>
        </is>
      </c>
      <c r="F5113" t="inlineStr">
        <is>
          <t>Bergvik skog väst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21890-2022</t>
        </is>
      </c>
      <c r="B5114" s="1" t="n">
        <v>44711</v>
      </c>
      <c r="C5114" s="1" t="n">
        <v>45344</v>
      </c>
      <c r="D5114" t="inlineStr">
        <is>
          <t>GÄVLEBORGS LÄN</t>
        </is>
      </c>
      <c r="E5114" t="inlineStr">
        <is>
          <t>LJUSDAL</t>
        </is>
      </c>
      <c r="F5114" t="inlineStr">
        <is>
          <t>Bergvik skog väst AB</t>
        </is>
      </c>
      <c r="G5114" t="n">
        <v>30.7</v>
      </c>
      <c r="H5114" t="n">
        <v>0</v>
      </c>
      <c r="I5114" t="n">
        <v>0</v>
      </c>
      <c r="J5114" t="n">
        <v>0</v>
      </c>
      <c r="K5114" t="n">
        <v>0</v>
      </c>
      <c r="L5114" t="n">
        <v>0</v>
      </c>
      <c r="M5114" t="n">
        <v>0</v>
      </c>
      <c r="N5114" t="n">
        <v>0</v>
      </c>
      <c r="O5114" t="n">
        <v>0</v>
      </c>
      <c r="P5114" t="n">
        <v>0</v>
      </c>
      <c r="Q5114" t="n">
        <v>0</v>
      </c>
      <c r="R5114" s="2" t="inlineStr"/>
    </row>
    <row r="5115" ht="15" customHeight="1">
      <c r="A5115" t="inlineStr">
        <is>
          <t>A 21871-2022</t>
        </is>
      </c>
      <c r="B5115" s="1" t="n">
        <v>44711</v>
      </c>
      <c r="C5115" s="1" t="n">
        <v>45344</v>
      </c>
      <c r="D5115" t="inlineStr">
        <is>
          <t>GÄVLEBORGS LÄN</t>
        </is>
      </c>
      <c r="E5115" t="inlineStr">
        <is>
          <t>NORDANSTIG</t>
        </is>
      </c>
      <c r="G5115" t="n">
        <v>8.800000000000001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21877-2022</t>
        </is>
      </c>
      <c r="B5116" s="1" t="n">
        <v>44711</v>
      </c>
      <c r="C5116" s="1" t="n">
        <v>45344</v>
      </c>
      <c r="D5116" t="inlineStr">
        <is>
          <t>GÄVLEBORGS LÄN</t>
        </is>
      </c>
      <c r="E5116" t="inlineStr">
        <is>
          <t>HUDIKSVALL</t>
        </is>
      </c>
      <c r="F5116" t="inlineStr">
        <is>
          <t>Holmen skog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21869-2022</t>
        </is>
      </c>
      <c r="B5117" s="1" t="n">
        <v>44711</v>
      </c>
      <c r="C5117" s="1" t="n">
        <v>45344</v>
      </c>
      <c r="D5117" t="inlineStr">
        <is>
          <t>GÄVLEBORGS LÄN</t>
        </is>
      </c>
      <c r="E5117" t="inlineStr">
        <is>
          <t>NORDANSTIG</t>
        </is>
      </c>
      <c r="F5117" t="inlineStr">
        <is>
          <t>Holmen skog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21873-2022</t>
        </is>
      </c>
      <c r="B5118" s="1" t="n">
        <v>44711</v>
      </c>
      <c r="C5118" s="1" t="n">
        <v>45344</v>
      </c>
      <c r="D5118" t="inlineStr">
        <is>
          <t>GÄVLEBORGS LÄN</t>
        </is>
      </c>
      <c r="E5118" t="inlineStr">
        <is>
          <t>NORDANSTIG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21952-2022</t>
        </is>
      </c>
      <c r="B5119" s="1" t="n">
        <v>44711</v>
      </c>
      <c r="C5119" s="1" t="n">
        <v>45344</v>
      </c>
      <c r="D5119" t="inlineStr">
        <is>
          <t>GÄVLEBORGS LÄN</t>
        </is>
      </c>
      <c r="E5119" t="inlineStr">
        <is>
          <t>LJUSDAL</t>
        </is>
      </c>
      <c r="F5119" t="inlineStr">
        <is>
          <t>Bergvik skog väst AB</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21965-2022</t>
        </is>
      </c>
      <c r="B5120" s="1" t="n">
        <v>44711</v>
      </c>
      <c r="C5120" s="1" t="n">
        <v>45344</v>
      </c>
      <c r="D5120" t="inlineStr">
        <is>
          <t>GÄVLEBORGS LÄN</t>
        </is>
      </c>
      <c r="E5120" t="inlineStr">
        <is>
          <t>LJUSDAL</t>
        </is>
      </c>
      <c r="F5120" t="inlineStr">
        <is>
          <t>Bergvik skog väst AB</t>
        </is>
      </c>
      <c r="G5120" t="n">
        <v>3.7</v>
      </c>
      <c r="H5120" t="n">
        <v>0</v>
      </c>
      <c r="I5120" t="n">
        <v>0</v>
      </c>
      <c r="J5120" t="n">
        <v>0</v>
      </c>
      <c r="K5120" t="n">
        <v>0</v>
      </c>
      <c r="L5120" t="n">
        <v>0</v>
      </c>
      <c r="M5120" t="n">
        <v>0</v>
      </c>
      <c r="N5120" t="n">
        <v>0</v>
      </c>
      <c r="O5120" t="n">
        <v>0</v>
      </c>
      <c r="P5120" t="n">
        <v>0</v>
      </c>
      <c r="Q5120" t="n">
        <v>0</v>
      </c>
      <c r="R5120" s="2" t="inlineStr"/>
    </row>
    <row r="5121" ht="15" customHeight="1">
      <c r="A5121" t="inlineStr">
        <is>
          <t>A 21957-2022</t>
        </is>
      </c>
      <c r="B5121" s="1" t="n">
        <v>44711</v>
      </c>
      <c r="C5121" s="1" t="n">
        <v>45344</v>
      </c>
      <c r="D5121" t="inlineStr">
        <is>
          <t>GÄVLEBORGS LÄN</t>
        </is>
      </c>
      <c r="E5121" t="inlineStr">
        <is>
          <t>OVANÅKER</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21973-2022</t>
        </is>
      </c>
      <c r="B5122" s="1" t="n">
        <v>44711</v>
      </c>
      <c r="C5122" s="1" t="n">
        <v>45344</v>
      </c>
      <c r="D5122" t="inlineStr">
        <is>
          <t>GÄVLEBORGS LÄN</t>
        </is>
      </c>
      <c r="E5122" t="inlineStr">
        <is>
          <t>OVANÅKER</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21985-2022</t>
        </is>
      </c>
      <c r="B5123" s="1" t="n">
        <v>44711</v>
      </c>
      <c r="C5123" s="1" t="n">
        <v>45344</v>
      </c>
      <c r="D5123" t="inlineStr">
        <is>
          <t>GÄVLEBORGS LÄN</t>
        </is>
      </c>
      <c r="E5123" t="inlineStr">
        <is>
          <t>LJUSDAL</t>
        </is>
      </c>
      <c r="F5123" t="inlineStr">
        <is>
          <t>Bergvik skog väst AB</t>
        </is>
      </c>
      <c r="G5123" t="n">
        <v>8.699999999999999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22007-2022</t>
        </is>
      </c>
      <c r="B5124" s="1" t="n">
        <v>44711</v>
      </c>
      <c r="C5124" s="1" t="n">
        <v>45344</v>
      </c>
      <c r="D5124" t="inlineStr">
        <is>
          <t>GÄVLEBORGS LÄN</t>
        </is>
      </c>
      <c r="E5124" t="inlineStr">
        <is>
          <t>OVANÅKER</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22019-2022</t>
        </is>
      </c>
      <c r="B5125" s="1" t="n">
        <v>44711</v>
      </c>
      <c r="C5125" s="1" t="n">
        <v>45344</v>
      </c>
      <c r="D5125" t="inlineStr">
        <is>
          <t>GÄVLEBORGS LÄN</t>
        </is>
      </c>
      <c r="E5125" t="inlineStr">
        <is>
          <t>SÖDERHAMN</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22041-2022</t>
        </is>
      </c>
      <c r="B5126" s="1" t="n">
        <v>44711</v>
      </c>
      <c r="C5126" s="1" t="n">
        <v>45344</v>
      </c>
      <c r="D5126" t="inlineStr">
        <is>
          <t>GÄVLEBORGS LÄN</t>
        </is>
      </c>
      <c r="E5126" t="inlineStr">
        <is>
          <t>NORDANSTIG</t>
        </is>
      </c>
      <c r="F5126" t="inlineStr">
        <is>
          <t>Holmen skog AB</t>
        </is>
      </c>
      <c r="G5126" t="n">
        <v>6.2</v>
      </c>
      <c r="H5126" t="n">
        <v>0</v>
      </c>
      <c r="I5126" t="n">
        <v>0</v>
      </c>
      <c r="J5126" t="n">
        <v>0</v>
      </c>
      <c r="K5126" t="n">
        <v>0</v>
      </c>
      <c r="L5126" t="n">
        <v>0</v>
      </c>
      <c r="M5126" t="n">
        <v>0</v>
      </c>
      <c r="N5126" t="n">
        <v>0</v>
      </c>
      <c r="O5126" t="n">
        <v>0</v>
      </c>
      <c r="P5126" t="n">
        <v>0</v>
      </c>
      <c r="Q5126" t="n">
        <v>0</v>
      </c>
      <c r="R5126" s="2" t="inlineStr"/>
    </row>
    <row r="5127" ht="15" customHeight="1">
      <c r="A5127" t="inlineStr">
        <is>
          <t>A 22053-2022</t>
        </is>
      </c>
      <c r="B5127" s="1" t="n">
        <v>44711</v>
      </c>
      <c r="C5127" s="1" t="n">
        <v>45344</v>
      </c>
      <c r="D5127" t="inlineStr">
        <is>
          <t>GÄVLEBORGS LÄN</t>
        </is>
      </c>
      <c r="E5127" t="inlineStr">
        <is>
          <t>NORDANSTIG</t>
        </is>
      </c>
      <c r="F5127" t="inlineStr">
        <is>
          <t>Holmen skog AB</t>
        </is>
      </c>
      <c r="G5127" t="n">
        <v>3.4</v>
      </c>
      <c r="H5127" t="n">
        <v>0</v>
      </c>
      <c r="I5127" t="n">
        <v>0</v>
      </c>
      <c r="J5127" t="n">
        <v>0</v>
      </c>
      <c r="K5127" t="n">
        <v>0</v>
      </c>
      <c r="L5127" t="n">
        <v>0</v>
      </c>
      <c r="M5127" t="n">
        <v>0</v>
      </c>
      <c r="N5127" t="n">
        <v>0</v>
      </c>
      <c r="O5127" t="n">
        <v>0</v>
      </c>
      <c r="P5127" t="n">
        <v>0</v>
      </c>
      <c r="Q5127" t="n">
        <v>0</v>
      </c>
      <c r="R5127" s="2" t="inlineStr"/>
    </row>
    <row r="5128" ht="15" customHeight="1">
      <c r="A5128" t="inlineStr">
        <is>
          <t>A 22027-2022</t>
        </is>
      </c>
      <c r="B5128" s="1" t="n">
        <v>44711</v>
      </c>
      <c r="C5128" s="1" t="n">
        <v>45344</v>
      </c>
      <c r="D5128" t="inlineStr">
        <is>
          <t>GÄVLEBORGS LÄN</t>
        </is>
      </c>
      <c r="E5128" t="inlineStr">
        <is>
          <t>NORDANSTIG</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22035-2022</t>
        </is>
      </c>
      <c r="B5129" s="1" t="n">
        <v>44711</v>
      </c>
      <c r="C5129" s="1" t="n">
        <v>45344</v>
      </c>
      <c r="D5129" t="inlineStr">
        <is>
          <t>GÄVLEBORGS LÄN</t>
        </is>
      </c>
      <c r="E5129" t="inlineStr">
        <is>
          <t>OCKELBO</t>
        </is>
      </c>
      <c r="F5129" t="inlineStr">
        <is>
          <t>Bergvik skog väst AB</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22032-2022</t>
        </is>
      </c>
      <c r="B5130" s="1" t="n">
        <v>44711</v>
      </c>
      <c r="C5130" s="1" t="n">
        <v>45344</v>
      </c>
      <c r="D5130" t="inlineStr">
        <is>
          <t>GÄVLEBORGS LÄN</t>
        </is>
      </c>
      <c r="E5130" t="inlineStr">
        <is>
          <t>OCKELBO</t>
        </is>
      </c>
      <c r="F5130" t="inlineStr">
        <is>
          <t>Bergvik skog väst AB</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22097-2022</t>
        </is>
      </c>
      <c r="B5131" s="1" t="n">
        <v>44712</v>
      </c>
      <c r="C5131" s="1" t="n">
        <v>45344</v>
      </c>
      <c r="D5131" t="inlineStr">
        <is>
          <t>GÄVLEBORGS LÄN</t>
        </is>
      </c>
      <c r="E5131" t="inlineStr">
        <is>
          <t>LJUSDAL</t>
        </is>
      </c>
      <c r="F5131" t="inlineStr">
        <is>
          <t>Naturvårdsverket</t>
        </is>
      </c>
      <c r="G5131" t="n">
        <v>3.5</v>
      </c>
      <c r="H5131" t="n">
        <v>0</v>
      </c>
      <c r="I5131" t="n">
        <v>0</v>
      </c>
      <c r="J5131" t="n">
        <v>0</v>
      </c>
      <c r="K5131" t="n">
        <v>0</v>
      </c>
      <c r="L5131" t="n">
        <v>0</v>
      </c>
      <c r="M5131" t="n">
        <v>0</v>
      </c>
      <c r="N5131" t="n">
        <v>0</v>
      </c>
      <c r="O5131" t="n">
        <v>0</v>
      </c>
      <c r="P5131" t="n">
        <v>0</v>
      </c>
      <c r="Q5131" t="n">
        <v>0</v>
      </c>
      <c r="R5131" s="2" t="inlineStr"/>
    </row>
    <row r="5132" ht="15" customHeight="1">
      <c r="A5132" t="inlineStr">
        <is>
          <t>A 22136-2022</t>
        </is>
      </c>
      <c r="B5132" s="1" t="n">
        <v>44712</v>
      </c>
      <c r="C5132" s="1" t="n">
        <v>45344</v>
      </c>
      <c r="D5132" t="inlineStr">
        <is>
          <t>GÄVLEBORGS LÄN</t>
        </is>
      </c>
      <c r="E5132" t="inlineStr">
        <is>
          <t>HUDIKSVALL</t>
        </is>
      </c>
      <c r="F5132" t="inlineStr">
        <is>
          <t>Holmen skog AB</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22151-2022</t>
        </is>
      </c>
      <c r="B5133" s="1" t="n">
        <v>44712</v>
      </c>
      <c r="C5133" s="1" t="n">
        <v>45344</v>
      </c>
      <c r="D5133" t="inlineStr">
        <is>
          <t>GÄVLEBORGS LÄN</t>
        </is>
      </c>
      <c r="E5133" t="inlineStr">
        <is>
          <t>OCKELBO</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22165-2022</t>
        </is>
      </c>
      <c r="B5134" s="1" t="n">
        <v>44712</v>
      </c>
      <c r="C5134" s="1" t="n">
        <v>45344</v>
      </c>
      <c r="D5134" t="inlineStr">
        <is>
          <t>GÄVLEBORGS LÄN</t>
        </is>
      </c>
      <c r="E5134" t="inlineStr">
        <is>
          <t>HUDIKSVALL</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22155-2022</t>
        </is>
      </c>
      <c r="B5135" s="1" t="n">
        <v>44712</v>
      </c>
      <c r="C5135" s="1" t="n">
        <v>45344</v>
      </c>
      <c r="D5135" t="inlineStr">
        <is>
          <t>GÄVLEBORGS LÄN</t>
        </is>
      </c>
      <c r="E5135" t="inlineStr">
        <is>
          <t>LJUSDAL</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22126-2022</t>
        </is>
      </c>
      <c r="B5136" s="1" t="n">
        <v>44712</v>
      </c>
      <c r="C5136" s="1" t="n">
        <v>45344</v>
      </c>
      <c r="D5136" t="inlineStr">
        <is>
          <t>GÄVLEBORGS LÄN</t>
        </is>
      </c>
      <c r="E5136" t="inlineStr">
        <is>
          <t>BOLLNÄS</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22235-2022</t>
        </is>
      </c>
      <c r="B5137" s="1" t="n">
        <v>44712</v>
      </c>
      <c r="C5137" s="1" t="n">
        <v>45344</v>
      </c>
      <c r="D5137" t="inlineStr">
        <is>
          <t>GÄVLEBORGS LÄN</t>
        </is>
      </c>
      <c r="E5137" t="inlineStr">
        <is>
          <t>NORDANSTIG</t>
        </is>
      </c>
      <c r="F5137" t="inlineStr">
        <is>
          <t>Holmen skog AB</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22254-2022</t>
        </is>
      </c>
      <c r="B5138" s="1" t="n">
        <v>44712</v>
      </c>
      <c r="C5138" s="1" t="n">
        <v>45344</v>
      </c>
      <c r="D5138" t="inlineStr">
        <is>
          <t>GÄVLEBORGS LÄN</t>
        </is>
      </c>
      <c r="E5138" t="inlineStr">
        <is>
          <t>NORDANSTIG</t>
        </is>
      </c>
      <c r="F5138" t="inlineStr">
        <is>
          <t>Holmen skog AB</t>
        </is>
      </c>
      <c r="G5138" t="n">
        <v>2.9</v>
      </c>
      <c r="H5138" t="n">
        <v>0</v>
      </c>
      <c r="I5138" t="n">
        <v>0</v>
      </c>
      <c r="J5138" t="n">
        <v>0</v>
      </c>
      <c r="K5138" t="n">
        <v>0</v>
      </c>
      <c r="L5138" t="n">
        <v>0</v>
      </c>
      <c r="M5138" t="n">
        <v>0</v>
      </c>
      <c r="N5138" t="n">
        <v>0</v>
      </c>
      <c r="O5138" t="n">
        <v>0</v>
      </c>
      <c r="P5138" t="n">
        <v>0</v>
      </c>
      <c r="Q5138" t="n">
        <v>0</v>
      </c>
      <c r="R5138" s="2" t="inlineStr"/>
    </row>
    <row r="5139" ht="15" customHeight="1">
      <c r="A5139" t="inlineStr">
        <is>
          <t>A 22198-2022</t>
        </is>
      </c>
      <c r="B5139" s="1" t="n">
        <v>44712</v>
      </c>
      <c r="C5139" s="1" t="n">
        <v>45344</v>
      </c>
      <c r="D5139" t="inlineStr">
        <is>
          <t>GÄVLEBORGS LÄN</t>
        </is>
      </c>
      <c r="E5139" t="inlineStr">
        <is>
          <t>HUDIKSVALL</t>
        </is>
      </c>
      <c r="F5139" t="inlineStr">
        <is>
          <t>Holmen skog AB</t>
        </is>
      </c>
      <c r="G5139" t="n">
        <v>4.5</v>
      </c>
      <c r="H5139" t="n">
        <v>0</v>
      </c>
      <c r="I5139" t="n">
        <v>0</v>
      </c>
      <c r="J5139" t="n">
        <v>0</v>
      </c>
      <c r="K5139" t="n">
        <v>0</v>
      </c>
      <c r="L5139" t="n">
        <v>0</v>
      </c>
      <c r="M5139" t="n">
        <v>0</v>
      </c>
      <c r="N5139" t="n">
        <v>0</v>
      </c>
      <c r="O5139" t="n">
        <v>0</v>
      </c>
      <c r="P5139" t="n">
        <v>0</v>
      </c>
      <c r="Q5139" t="n">
        <v>0</v>
      </c>
      <c r="R5139" s="2" t="inlineStr"/>
    </row>
    <row r="5140" ht="15" customHeight="1">
      <c r="A5140" t="inlineStr">
        <is>
          <t>A 22226-2022</t>
        </is>
      </c>
      <c r="B5140" s="1" t="n">
        <v>44712</v>
      </c>
      <c r="C5140" s="1" t="n">
        <v>45344</v>
      </c>
      <c r="D5140" t="inlineStr">
        <is>
          <t>GÄVLEBORGS LÄN</t>
        </is>
      </c>
      <c r="E5140" t="inlineStr">
        <is>
          <t>BOLLNÄS</t>
        </is>
      </c>
      <c r="F5140" t="inlineStr">
        <is>
          <t>Bergvik skog väst AB</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22361-2022</t>
        </is>
      </c>
      <c r="B5141" s="1" t="n">
        <v>44713</v>
      </c>
      <c r="C5141" s="1" t="n">
        <v>45344</v>
      </c>
      <c r="D5141" t="inlineStr">
        <is>
          <t>GÄVLEBORGS LÄN</t>
        </is>
      </c>
      <c r="E5141" t="inlineStr">
        <is>
          <t>NORDANSTIG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22362-2022</t>
        </is>
      </c>
      <c r="B5142" s="1" t="n">
        <v>44713</v>
      </c>
      <c r="C5142" s="1" t="n">
        <v>45344</v>
      </c>
      <c r="D5142" t="inlineStr">
        <is>
          <t>GÄVLEBORGS LÄN</t>
        </is>
      </c>
      <c r="E5142" t="inlineStr">
        <is>
          <t>NORDANSTIG</t>
        </is>
      </c>
      <c r="F5142" t="inlineStr">
        <is>
          <t>Holmen skog AB</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22357-2022</t>
        </is>
      </c>
      <c r="B5143" s="1" t="n">
        <v>44713</v>
      </c>
      <c r="C5143" s="1" t="n">
        <v>45344</v>
      </c>
      <c r="D5143" t="inlineStr">
        <is>
          <t>GÄVLEBORGS LÄN</t>
        </is>
      </c>
      <c r="E5143" t="inlineStr">
        <is>
          <t>LJUSDAL</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22546-2022</t>
        </is>
      </c>
      <c r="B5144" s="1" t="n">
        <v>44714</v>
      </c>
      <c r="C5144" s="1" t="n">
        <v>45344</v>
      </c>
      <c r="D5144" t="inlineStr">
        <is>
          <t>GÄVLEBORGS LÄN</t>
        </is>
      </c>
      <c r="E5144" t="inlineStr">
        <is>
          <t>NORDANSTIG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22547-2022</t>
        </is>
      </c>
      <c r="B5145" s="1" t="n">
        <v>44713</v>
      </c>
      <c r="C5145" s="1" t="n">
        <v>45344</v>
      </c>
      <c r="D5145" t="inlineStr">
        <is>
          <t>GÄVLEBORGS LÄN</t>
        </is>
      </c>
      <c r="E5145" t="inlineStr">
        <is>
          <t>NORDANSTIG</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22577-2022</t>
        </is>
      </c>
      <c r="B5146" s="1" t="n">
        <v>44713</v>
      </c>
      <c r="C5146" s="1" t="n">
        <v>45344</v>
      </c>
      <c r="D5146" t="inlineStr">
        <is>
          <t>GÄVLEBORGS LÄN</t>
        </is>
      </c>
      <c r="E5146" t="inlineStr">
        <is>
          <t>GÄVLE</t>
        </is>
      </c>
      <c r="F5146" t="inlineStr">
        <is>
          <t>Bergvik skog väst AB</t>
        </is>
      </c>
      <c r="G5146" t="n">
        <v>10</v>
      </c>
      <c r="H5146" t="n">
        <v>0</v>
      </c>
      <c r="I5146" t="n">
        <v>0</v>
      </c>
      <c r="J5146" t="n">
        <v>0</v>
      </c>
      <c r="K5146" t="n">
        <v>0</v>
      </c>
      <c r="L5146" t="n">
        <v>0</v>
      </c>
      <c r="M5146" t="n">
        <v>0</v>
      </c>
      <c r="N5146" t="n">
        <v>0</v>
      </c>
      <c r="O5146" t="n">
        <v>0</v>
      </c>
      <c r="P5146" t="n">
        <v>0</v>
      </c>
      <c r="Q5146" t="n">
        <v>0</v>
      </c>
      <c r="R5146" s="2" t="inlineStr"/>
    </row>
    <row r="5147" ht="15" customHeight="1">
      <c r="A5147" t="inlineStr">
        <is>
          <t>A 22573-2022</t>
        </is>
      </c>
      <c r="B5147" s="1" t="n">
        <v>44714</v>
      </c>
      <c r="C5147" s="1" t="n">
        <v>45344</v>
      </c>
      <c r="D5147" t="inlineStr">
        <is>
          <t>GÄVLEBORGS LÄN</t>
        </is>
      </c>
      <c r="E5147" t="inlineStr">
        <is>
          <t>LJUSDAL</t>
        </is>
      </c>
      <c r="F5147" t="inlineStr">
        <is>
          <t>Naturvårdsverket</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22599-2022</t>
        </is>
      </c>
      <c r="B5148" s="1" t="n">
        <v>44714</v>
      </c>
      <c r="C5148" s="1" t="n">
        <v>45344</v>
      </c>
      <c r="D5148" t="inlineStr">
        <is>
          <t>GÄVLEBORGS LÄN</t>
        </is>
      </c>
      <c r="E5148" t="inlineStr">
        <is>
          <t>SANDVIKEN</t>
        </is>
      </c>
      <c r="G5148" t="n">
        <v>6.7</v>
      </c>
      <c r="H5148" t="n">
        <v>0</v>
      </c>
      <c r="I5148" t="n">
        <v>0</v>
      </c>
      <c r="J5148" t="n">
        <v>0</v>
      </c>
      <c r="K5148" t="n">
        <v>0</v>
      </c>
      <c r="L5148" t="n">
        <v>0</v>
      </c>
      <c r="M5148" t="n">
        <v>0</v>
      </c>
      <c r="N5148" t="n">
        <v>0</v>
      </c>
      <c r="O5148" t="n">
        <v>0</v>
      </c>
      <c r="P5148" t="n">
        <v>0</v>
      </c>
      <c r="Q5148" t="n">
        <v>0</v>
      </c>
      <c r="R5148" s="2" t="inlineStr"/>
    </row>
    <row r="5149" ht="15" customHeight="1">
      <c r="A5149" t="inlineStr">
        <is>
          <t>A 22648-2022</t>
        </is>
      </c>
      <c r="B5149" s="1" t="n">
        <v>44714</v>
      </c>
      <c r="C5149" s="1" t="n">
        <v>45344</v>
      </c>
      <c r="D5149" t="inlineStr">
        <is>
          <t>GÄVLEBORGS LÄN</t>
        </is>
      </c>
      <c r="E5149" t="inlineStr">
        <is>
          <t>OCKELBO</t>
        </is>
      </c>
      <c r="F5149" t="inlineStr">
        <is>
          <t>Bergvik skog väst AB</t>
        </is>
      </c>
      <c r="G5149" t="n">
        <v>14.5</v>
      </c>
      <c r="H5149" t="n">
        <v>0</v>
      </c>
      <c r="I5149" t="n">
        <v>0</v>
      </c>
      <c r="J5149" t="n">
        <v>0</v>
      </c>
      <c r="K5149" t="n">
        <v>0</v>
      </c>
      <c r="L5149" t="n">
        <v>0</v>
      </c>
      <c r="M5149" t="n">
        <v>0</v>
      </c>
      <c r="N5149" t="n">
        <v>0</v>
      </c>
      <c r="O5149" t="n">
        <v>0</v>
      </c>
      <c r="P5149" t="n">
        <v>0</v>
      </c>
      <c r="Q5149" t="n">
        <v>0</v>
      </c>
      <c r="R5149" s="2" t="inlineStr"/>
    </row>
    <row r="5150" ht="15" customHeight="1">
      <c r="A5150" t="inlineStr">
        <is>
          <t>A 22689-2022</t>
        </is>
      </c>
      <c r="B5150" s="1" t="n">
        <v>44714</v>
      </c>
      <c r="C5150" s="1" t="n">
        <v>45344</v>
      </c>
      <c r="D5150" t="inlineStr">
        <is>
          <t>GÄVLEBORGS LÄN</t>
        </is>
      </c>
      <c r="E5150" t="inlineStr">
        <is>
          <t>BOLLNÄS</t>
        </is>
      </c>
      <c r="F5150" t="inlineStr">
        <is>
          <t>Bergvik skog väst AB</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22654-2022</t>
        </is>
      </c>
      <c r="B5151" s="1" t="n">
        <v>44714</v>
      </c>
      <c r="C5151" s="1" t="n">
        <v>45344</v>
      </c>
      <c r="D5151" t="inlineStr">
        <is>
          <t>GÄVLEBORGS LÄN</t>
        </is>
      </c>
      <c r="E5151" t="inlineStr">
        <is>
          <t>SANDVIKEN</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22646-2022</t>
        </is>
      </c>
      <c r="B5152" s="1" t="n">
        <v>44714</v>
      </c>
      <c r="C5152" s="1" t="n">
        <v>45344</v>
      </c>
      <c r="D5152" t="inlineStr">
        <is>
          <t>GÄVLEBORGS LÄN</t>
        </is>
      </c>
      <c r="E5152" t="inlineStr">
        <is>
          <t>BOLLNÄS</t>
        </is>
      </c>
      <c r="F5152" t="inlineStr">
        <is>
          <t>Bergvik skog väst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22700-2022</t>
        </is>
      </c>
      <c r="B5153" s="1" t="n">
        <v>44714</v>
      </c>
      <c r="C5153" s="1" t="n">
        <v>45344</v>
      </c>
      <c r="D5153" t="inlineStr">
        <is>
          <t>GÄVLEBORGS LÄN</t>
        </is>
      </c>
      <c r="E5153" t="inlineStr">
        <is>
          <t>OVANÅKER</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22699-2022</t>
        </is>
      </c>
      <c r="B5154" s="1" t="n">
        <v>44714</v>
      </c>
      <c r="C5154" s="1" t="n">
        <v>45344</v>
      </c>
      <c r="D5154" t="inlineStr">
        <is>
          <t>GÄVLEBORGS LÄN</t>
        </is>
      </c>
      <c r="E5154" t="inlineStr">
        <is>
          <t>LJUSDAL</t>
        </is>
      </c>
      <c r="G5154" t="n">
        <v>3.7</v>
      </c>
      <c r="H5154" t="n">
        <v>0</v>
      </c>
      <c r="I5154" t="n">
        <v>0</v>
      </c>
      <c r="J5154" t="n">
        <v>0</v>
      </c>
      <c r="K5154" t="n">
        <v>0</v>
      </c>
      <c r="L5154" t="n">
        <v>0</v>
      </c>
      <c r="M5154" t="n">
        <v>0</v>
      </c>
      <c r="N5154" t="n">
        <v>0</v>
      </c>
      <c r="O5154" t="n">
        <v>0</v>
      </c>
      <c r="P5154" t="n">
        <v>0</v>
      </c>
      <c r="Q5154" t="n">
        <v>0</v>
      </c>
      <c r="R5154" s="2" t="inlineStr"/>
    </row>
    <row r="5155" ht="15" customHeight="1">
      <c r="A5155" t="inlineStr">
        <is>
          <t>A 22728-2022</t>
        </is>
      </c>
      <c r="B5155" s="1" t="n">
        <v>44714</v>
      </c>
      <c r="C5155" s="1" t="n">
        <v>45344</v>
      </c>
      <c r="D5155" t="inlineStr">
        <is>
          <t>GÄVLEBORGS LÄN</t>
        </is>
      </c>
      <c r="E5155" t="inlineStr">
        <is>
          <t>BOLLNÄS</t>
        </is>
      </c>
      <c r="G5155" t="n">
        <v>3.2</v>
      </c>
      <c r="H5155" t="n">
        <v>0</v>
      </c>
      <c r="I5155" t="n">
        <v>0</v>
      </c>
      <c r="J5155" t="n">
        <v>0</v>
      </c>
      <c r="K5155" t="n">
        <v>0</v>
      </c>
      <c r="L5155" t="n">
        <v>0</v>
      </c>
      <c r="M5155" t="n">
        <v>0</v>
      </c>
      <c r="N5155" t="n">
        <v>0</v>
      </c>
      <c r="O5155" t="n">
        <v>0</v>
      </c>
      <c r="P5155" t="n">
        <v>0</v>
      </c>
      <c r="Q5155" t="n">
        <v>0</v>
      </c>
      <c r="R5155" s="2" t="inlineStr"/>
    </row>
    <row r="5156" ht="15" customHeight="1">
      <c r="A5156" t="inlineStr">
        <is>
          <t>A 22731-2022</t>
        </is>
      </c>
      <c r="B5156" s="1" t="n">
        <v>44714</v>
      </c>
      <c r="C5156" s="1" t="n">
        <v>45344</v>
      </c>
      <c r="D5156" t="inlineStr">
        <is>
          <t>GÄVLEBORGS LÄN</t>
        </is>
      </c>
      <c r="E5156" t="inlineStr">
        <is>
          <t>BOLLNÄS</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22745-2022</t>
        </is>
      </c>
      <c r="B5157" s="1" t="n">
        <v>44714</v>
      </c>
      <c r="C5157" s="1" t="n">
        <v>45344</v>
      </c>
      <c r="D5157" t="inlineStr">
        <is>
          <t>GÄVLEBORGS LÄN</t>
        </is>
      </c>
      <c r="E5157" t="inlineStr">
        <is>
          <t>BOLLNÄS</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22859-2022</t>
        </is>
      </c>
      <c r="B5158" s="1" t="n">
        <v>44715</v>
      </c>
      <c r="C5158" s="1" t="n">
        <v>45344</v>
      </c>
      <c r="D5158" t="inlineStr">
        <is>
          <t>GÄVLEBORGS LÄN</t>
        </is>
      </c>
      <c r="E5158" t="inlineStr">
        <is>
          <t>LJUSDAL</t>
        </is>
      </c>
      <c r="F5158" t="inlineStr">
        <is>
          <t>Sveaskog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22839-2022</t>
        </is>
      </c>
      <c r="B5159" s="1" t="n">
        <v>44715</v>
      </c>
      <c r="C5159" s="1" t="n">
        <v>45344</v>
      </c>
      <c r="D5159" t="inlineStr">
        <is>
          <t>GÄVLEBORGS LÄN</t>
        </is>
      </c>
      <c r="E5159" t="inlineStr">
        <is>
          <t>SANDVIKEN</t>
        </is>
      </c>
      <c r="F5159" t="inlineStr">
        <is>
          <t>Bergvik skog öst AB</t>
        </is>
      </c>
      <c r="G5159" t="n">
        <v>11.4</v>
      </c>
      <c r="H5159" t="n">
        <v>0</v>
      </c>
      <c r="I5159" t="n">
        <v>0</v>
      </c>
      <c r="J5159" t="n">
        <v>0</v>
      </c>
      <c r="K5159" t="n">
        <v>0</v>
      </c>
      <c r="L5159" t="n">
        <v>0</v>
      </c>
      <c r="M5159" t="n">
        <v>0</v>
      </c>
      <c r="N5159" t="n">
        <v>0</v>
      </c>
      <c r="O5159" t="n">
        <v>0</v>
      </c>
      <c r="P5159" t="n">
        <v>0</v>
      </c>
      <c r="Q5159" t="n">
        <v>0</v>
      </c>
      <c r="R5159" s="2" t="inlineStr"/>
    </row>
    <row r="5160" ht="15" customHeight="1">
      <c r="A5160" t="inlineStr">
        <is>
          <t>A 22851-2022</t>
        </is>
      </c>
      <c r="B5160" s="1" t="n">
        <v>44715</v>
      </c>
      <c r="C5160" s="1" t="n">
        <v>45344</v>
      </c>
      <c r="D5160" t="inlineStr">
        <is>
          <t>GÄVLEBORGS LÄN</t>
        </is>
      </c>
      <c r="E5160" t="inlineStr">
        <is>
          <t>LJUSDAL</t>
        </is>
      </c>
      <c r="F5160" t="inlineStr">
        <is>
          <t>Sveaskog</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22809-2022</t>
        </is>
      </c>
      <c r="B5161" s="1" t="n">
        <v>44715</v>
      </c>
      <c r="C5161" s="1" t="n">
        <v>45344</v>
      </c>
      <c r="D5161" t="inlineStr">
        <is>
          <t>GÄVLEBORGS LÄN</t>
        </is>
      </c>
      <c r="E5161" t="inlineStr">
        <is>
          <t>OVANÅKER</t>
        </is>
      </c>
      <c r="F5161" t="inlineStr">
        <is>
          <t>Bergvik skog väst AB</t>
        </is>
      </c>
      <c r="G5161" t="n">
        <v>13.5</v>
      </c>
      <c r="H5161" t="n">
        <v>0</v>
      </c>
      <c r="I5161" t="n">
        <v>0</v>
      </c>
      <c r="J5161" t="n">
        <v>0</v>
      </c>
      <c r="K5161" t="n">
        <v>0</v>
      </c>
      <c r="L5161" t="n">
        <v>0</v>
      </c>
      <c r="M5161" t="n">
        <v>0</v>
      </c>
      <c r="N5161" t="n">
        <v>0</v>
      </c>
      <c r="O5161" t="n">
        <v>0</v>
      </c>
      <c r="P5161" t="n">
        <v>0</v>
      </c>
      <c r="Q5161" t="n">
        <v>0</v>
      </c>
      <c r="R5161" s="2" t="inlineStr"/>
    </row>
    <row r="5162" ht="15" customHeight="1">
      <c r="A5162" t="inlineStr">
        <is>
          <t>A 22856-2022</t>
        </is>
      </c>
      <c r="B5162" s="1" t="n">
        <v>44715</v>
      </c>
      <c r="C5162" s="1" t="n">
        <v>45344</v>
      </c>
      <c r="D5162" t="inlineStr">
        <is>
          <t>GÄVLEBORGS LÄN</t>
        </is>
      </c>
      <c r="E5162" t="inlineStr">
        <is>
          <t>LJUSDAL</t>
        </is>
      </c>
      <c r="F5162" t="inlineStr">
        <is>
          <t>Sveaskog</t>
        </is>
      </c>
      <c r="G5162" t="n">
        <v>10.3</v>
      </c>
      <c r="H5162" t="n">
        <v>0</v>
      </c>
      <c r="I5162" t="n">
        <v>0</v>
      </c>
      <c r="J5162" t="n">
        <v>0</v>
      </c>
      <c r="K5162" t="n">
        <v>0</v>
      </c>
      <c r="L5162" t="n">
        <v>0</v>
      </c>
      <c r="M5162" t="n">
        <v>0</v>
      </c>
      <c r="N5162" t="n">
        <v>0</v>
      </c>
      <c r="O5162" t="n">
        <v>0</v>
      </c>
      <c r="P5162" t="n">
        <v>0</v>
      </c>
      <c r="Q5162" t="n">
        <v>0</v>
      </c>
      <c r="R5162" s="2" t="inlineStr"/>
    </row>
    <row r="5163" ht="15" customHeight="1">
      <c r="A5163" t="inlineStr">
        <is>
          <t>A 22933-2022</t>
        </is>
      </c>
      <c r="B5163" s="1" t="n">
        <v>44715</v>
      </c>
      <c r="C5163" s="1" t="n">
        <v>45344</v>
      </c>
      <c r="D5163" t="inlineStr">
        <is>
          <t>GÄVLEBORGS LÄN</t>
        </is>
      </c>
      <c r="E5163" t="inlineStr">
        <is>
          <t>LJUSDAL</t>
        </is>
      </c>
      <c r="F5163" t="inlineStr">
        <is>
          <t>Sveaskog</t>
        </is>
      </c>
      <c r="G5163" t="n">
        <v>10.1</v>
      </c>
      <c r="H5163" t="n">
        <v>0</v>
      </c>
      <c r="I5163" t="n">
        <v>0</v>
      </c>
      <c r="J5163" t="n">
        <v>0</v>
      </c>
      <c r="K5163" t="n">
        <v>0</v>
      </c>
      <c r="L5163" t="n">
        <v>0</v>
      </c>
      <c r="M5163" t="n">
        <v>0</v>
      </c>
      <c r="N5163" t="n">
        <v>0</v>
      </c>
      <c r="O5163" t="n">
        <v>0</v>
      </c>
      <c r="P5163" t="n">
        <v>0</v>
      </c>
      <c r="Q5163" t="n">
        <v>0</v>
      </c>
      <c r="R5163" s="2" t="inlineStr"/>
    </row>
    <row r="5164" ht="15" customHeight="1">
      <c r="A5164" t="inlineStr">
        <is>
          <t>A 22882-2022</t>
        </is>
      </c>
      <c r="B5164" s="1" t="n">
        <v>44715</v>
      </c>
      <c r="C5164" s="1" t="n">
        <v>45344</v>
      </c>
      <c r="D5164" t="inlineStr">
        <is>
          <t>GÄVLEBORGS LÄN</t>
        </is>
      </c>
      <c r="E5164" t="inlineStr">
        <is>
          <t>BOLLNÄS</t>
        </is>
      </c>
      <c r="F5164" t="inlineStr">
        <is>
          <t>Bergvik skog väst AB</t>
        </is>
      </c>
      <c r="G5164" t="n">
        <v>9.9</v>
      </c>
      <c r="H5164" t="n">
        <v>0</v>
      </c>
      <c r="I5164" t="n">
        <v>0</v>
      </c>
      <c r="J5164" t="n">
        <v>0</v>
      </c>
      <c r="K5164" t="n">
        <v>0</v>
      </c>
      <c r="L5164" t="n">
        <v>0</v>
      </c>
      <c r="M5164" t="n">
        <v>0</v>
      </c>
      <c r="N5164" t="n">
        <v>0</v>
      </c>
      <c r="O5164" t="n">
        <v>0</v>
      </c>
      <c r="P5164" t="n">
        <v>0</v>
      </c>
      <c r="Q5164" t="n">
        <v>0</v>
      </c>
      <c r="R5164" s="2" t="inlineStr"/>
    </row>
    <row r="5165" ht="15" customHeight="1">
      <c r="A5165" t="inlineStr">
        <is>
          <t>A 23014-2022</t>
        </is>
      </c>
      <c r="B5165" s="1" t="n">
        <v>44719</v>
      </c>
      <c r="C5165" s="1" t="n">
        <v>45344</v>
      </c>
      <c r="D5165" t="inlineStr">
        <is>
          <t>GÄVLEBORGS LÄN</t>
        </is>
      </c>
      <c r="E5165" t="inlineStr">
        <is>
          <t>OVANÅKER</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23023-2022</t>
        </is>
      </c>
      <c r="B5166" s="1" t="n">
        <v>44719</v>
      </c>
      <c r="C5166" s="1" t="n">
        <v>45344</v>
      </c>
      <c r="D5166" t="inlineStr">
        <is>
          <t>GÄVLEBORGS LÄN</t>
        </is>
      </c>
      <c r="E5166" t="inlineStr">
        <is>
          <t>OVANÅKER</t>
        </is>
      </c>
      <c r="G5166" t="n">
        <v>6.1</v>
      </c>
      <c r="H5166" t="n">
        <v>0</v>
      </c>
      <c r="I5166" t="n">
        <v>0</v>
      </c>
      <c r="J5166" t="n">
        <v>0</v>
      </c>
      <c r="K5166" t="n">
        <v>0</v>
      </c>
      <c r="L5166" t="n">
        <v>0</v>
      </c>
      <c r="M5166" t="n">
        <v>0</v>
      </c>
      <c r="N5166" t="n">
        <v>0</v>
      </c>
      <c r="O5166" t="n">
        <v>0</v>
      </c>
      <c r="P5166" t="n">
        <v>0</v>
      </c>
      <c r="Q5166" t="n">
        <v>0</v>
      </c>
      <c r="R5166" s="2" t="inlineStr"/>
    </row>
    <row r="5167" ht="15" customHeight="1">
      <c r="A5167" t="inlineStr">
        <is>
          <t>A 23089-2022</t>
        </is>
      </c>
      <c r="B5167" s="1" t="n">
        <v>44719</v>
      </c>
      <c r="C5167" s="1" t="n">
        <v>45344</v>
      </c>
      <c r="D5167" t="inlineStr">
        <is>
          <t>GÄVLEBORGS LÄN</t>
        </is>
      </c>
      <c r="E5167" t="inlineStr">
        <is>
          <t>LJUSDAL</t>
        </is>
      </c>
      <c r="F5167" t="inlineStr">
        <is>
          <t>Sveaskog</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23087-2022</t>
        </is>
      </c>
      <c r="B5168" s="1" t="n">
        <v>44719</v>
      </c>
      <c r="C5168" s="1" t="n">
        <v>45344</v>
      </c>
      <c r="D5168" t="inlineStr">
        <is>
          <t>GÄVLEBORGS LÄN</t>
        </is>
      </c>
      <c r="E5168" t="inlineStr">
        <is>
          <t>LJUSDAL</t>
        </is>
      </c>
      <c r="F5168" t="inlineStr">
        <is>
          <t>Sveaskog</t>
        </is>
      </c>
      <c r="G5168" t="n">
        <v>3.1</v>
      </c>
      <c r="H5168" t="n">
        <v>0</v>
      </c>
      <c r="I5168" t="n">
        <v>0</v>
      </c>
      <c r="J5168" t="n">
        <v>0</v>
      </c>
      <c r="K5168" t="n">
        <v>0</v>
      </c>
      <c r="L5168" t="n">
        <v>0</v>
      </c>
      <c r="M5168" t="n">
        <v>0</v>
      </c>
      <c r="N5168" t="n">
        <v>0</v>
      </c>
      <c r="O5168" t="n">
        <v>0</v>
      </c>
      <c r="P5168" t="n">
        <v>0</v>
      </c>
      <c r="Q5168" t="n">
        <v>0</v>
      </c>
      <c r="R5168" s="2" t="inlineStr"/>
    </row>
    <row r="5169" ht="15" customHeight="1">
      <c r="A5169" t="inlineStr">
        <is>
          <t>A 23093-2022</t>
        </is>
      </c>
      <c r="B5169" s="1" t="n">
        <v>44719</v>
      </c>
      <c r="C5169" s="1" t="n">
        <v>45344</v>
      </c>
      <c r="D5169" t="inlineStr">
        <is>
          <t>GÄVLEBORGS LÄN</t>
        </is>
      </c>
      <c r="E5169" t="inlineStr">
        <is>
          <t>OVANÅKER</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23195-2022</t>
        </is>
      </c>
      <c r="B5170" s="1" t="n">
        <v>44720</v>
      </c>
      <c r="C5170" s="1" t="n">
        <v>45344</v>
      </c>
      <c r="D5170" t="inlineStr">
        <is>
          <t>GÄVLEBORGS LÄN</t>
        </is>
      </c>
      <c r="E5170" t="inlineStr">
        <is>
          <t>LJUSDAL</t>
        </is>
      </c>
      <c r="G5170" t="n">
        <v>4.2</v>
      </c>
      <c r="H5170" t="n">
        <v>0</v>
      </c>
      <c r="I5170" t="n">
        <v>0</v>
      </c>
      <c r="J5170" t="n">
        <v>0</v>
      </c>
      <c r="K5170" t="n">
        <v>0</v>
      </c>
      <c r="L5170" t="n">
        <v>0</v>
      </c>
      <c r="M5170" t="n">
        <v>0</v>
      </c>
      <c r="N5170" t="n">
        <v>0</v>
      </c>
      <c r="O5170" t="n">
        <v>0</v>
      </c>
      <c r="P5170" t="n">
        <v>0</v>
      </c>
      <c r="Q5170" t="n">
        <v>0</v>
      </c>
      <c r="R5170" s="2" t="inlineStr"/>
    </row>
    <row r="5171" ht="15" customHeight="1">
      <c r="A5171" t="inlineStr">
        <is>
          <t>A 23191-2022</t>
        </is>
      </c>
      <c r="B5171" s="1" t="n">
        <v>44720</v>
      </c>
      <c r="C5171" s="1" t="n">
        <v>45344</v>
      </c>
      <c r="D5171" t="inlineStr">
        <is>
          <t>GÄVLEBORGS LÄN</t>
        </is>
      </c>
      <c r="E5171" t="inlineStr">
        <is>
          <t>LJUSDAL</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23132-2022</t>
        </is>
      </c>
      <c r="B5172" s="1" t="n">
        <v>44719</v>
      </c>
      <c r="C5172" s="1" t="n">
        <v>45344</v>
      </c>
      <c r="D5172" t="inlineStr">
        <is>
          <t>GÄVLEBORGS LÄN</t>
        </is>
      </c>
      <c r="E5172" t="inlineStr">
        <is>
          <t>HUDIKSVALL</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23192-2022</t>
        </is>
      </c>
      <c r="B5173" s="1" t="n">
        <v>44720</v>
      </c>
      <c r="C5173" s="1" t="n">
        <v>45344</v>
      </c>
      <c r="D5173" t="inlineStr">
        <is>
          <t>GÄVLEBORGS LÄN</t>
        </is>
      </c>
      <c r="E5173" t="inlineStr">
        <is>
          <t>LJUSDAL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23029-2022</t>
        </is>
      </c>
      <c r="B5174" s="1" t="n">
        <v>44719</v>
      </c>
      <c r="C5174" s="1" t="n">
        <v>45344</v>
      </c>
      <c r="D5174" t="inlineStr">
        <is>
          <t>GÄVLEBORGS LÄN</t>
        </is>
      </c>
      <c r="E5174" t="inlineStr">
        <is>
          <t>OVANÅKER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23251-2022</t>
        </is>
      </c>
      <c r="B5175" s="1" t="n">
        <v>44720</v>
      </c>
      <c r="C5175" s="1" t="n">
        <v>45344</v>
      </c>
      <c r="D5175" t="inlineStr">
        <is>
          <t>GÄVLEBORGS LÄN</t>
        </is>
      </c>
      <c r="E5175" t="inlineStr">
        <is>
          <t>OVANÅKER</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23358-2022</t>
        </is>
      </c>
      <c r="B5176" s="1" t="n">
        <v>44720</v>
      </c>
      <c r="C5176" s="1" t="n">
        <v>45344</v>
      </c>
      <c r="D5176" t="inlineStr">
        <is>
          <t>GÄVLEBORGS LÄN</t>
        </is>
      </c>
      <c r="E5176" t="inlineStr">
        <is>
          <t>BOLLNÄS</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23368-2022</t>
        </is>
      </c>
      <c r="B5177" s="1" t="n">
        <v>44720</v>
      </c>
      <c r="C5177" s="1" t="n">
        <v>45344</v>
      </c>
      <c r="D5177" t="inlineStr">
        <is>
          <t>GÄVLEBORGS LÄN</t>
        </is>
      </c>
      <c r="E5177" t="inlineStr">
        <is>
          <t>NORDANSTIG</t>
        </is>
      </c>
      <c r="F5177" t="inlineStr">
        <is>
          <t>Holmen skog AB</t>
        </is>
      </c>
      <c r="G5177" t="n">
        <v>2.4</v>
      </c>
      <c r="H5177" t="n">
        <v>0</v>
      </c>
      <c r="I5177" t="n">
        <v>0</v>
      </c>
      <c r="J5177" t="n">
        <v>0</v>
      </c>
      <c r="K5177" t="n">
        <v>0</v>
      </c>
      <c r="L5177" t="n">
        <v>0</v>
      </c>
      <c r="M5177" t="n">
        <v>0</v>
      </c>
      <c r="N5177" t="n">
        <v>0</v>
      </c>
      <c r="O5177" t="n">
        <v>0</v>
      </c>
      <c r="P5177" t="n">
        <v>0</v>
      </c>
      <c r="Q5177" t="n">
        <v>0</v>
      </c>
      <c r="R5177" s="2" t="inlineStr"/>
    </row>
    <row r="5178" ht="15" customHeight="1">
      <c r="A5178" t="inlineStr">
        <is>
          <t>A 23378-2022</t>
        </is>
      </c>
      <c r="B5178" s="1" t="n">
        <v>44720</v>
      </c>
      <c r="C5178" s="1" t="n">
        <v>45344</v>
      </c>
      <c r="D5178" t="inlineStr">
        <is>
          <t>GÄVLEBORGS LÄN</t>
        </is>
      </c>
      <c r="E5178" t="inlineStr">
        <is>
          <t>BOLLNÄS</t>
        </is>
      </c>
      <c r="G5178" t="n">
        <v>5.2</v>
      </c>
      <c r="H5178" t="n">
        <v>0</v>
      </c>
      <c r="I5178" t="n">
        <v>0</v>
      </c>
      <c r="J5178" t="n">
        <v>0</v>
      </c>
      <c r="K5178" t="n">
        <v>0</v>
      </c>
      <c r="L5178" t="n">
        <v>0</v>
      </c>
      <c r="M5178" t="n">
        <v>0</v>
      </c>
      <c r="N5178" t="n">
        <v>0</v>
      </c>
      <c r="O5178" t="n">
        <v>0</v>
      </c>
      <c r="P5178" t="n">
        <v>0</v>
      </c>
      <c r="Q5178" t="n">
        <v>0</v>
      </c>
      <c r="R5178" s="2" t="inlineStr"/>
    </row>
    <row r="5179" ht="15" customHeight="1">
      <c r="A5179" t="inlineStr">
        <is>
          <t>A 23369-2022</t>
        </is>
      </c>
      <c r="B5179" s="1" t="n">
        <v>44720</v>
      </c>
      <c r="C5179" s="1" t="n">
        <v>45344</v>
      </c>
      <c r="D5179" t="inlineStr">
        <is>
          <t>GÄVLEBORGS LÄN</t>
        </is>
      </c>
      <c r="E5179" t="inlineStr">
        <is>
          <t>NORDANSTIG</t>
        </is>
      </c>
      <c r="G5179" t="n">
        <v>5.3</v>
      </c>
      <c r="H5179" t="n">
        <v>0</v>
      </c>
      <c r="I5179" t="n">
        <v>0</v>
      </c>
      <c r="J5179" t="n">
        <v>0</v>
      </c>
      <c r="K5179" t="n">
        <v>0</v>
      </c>
      <c r="L5179" t="n">
        <v>0</v>
      </c>
      <c r="M5179" t="n">
        <v>0</v>
      </c>
      <c r="N5179" t="n">
        <v>0</v>
      </c>
      <c r="O5179" t="n">
        <v>0</v>
      </c>
      <c r="P5179" t="n">
        <v>0</v>
      </c>
      <c r="Q5179" t="n">
        <v>0</v>
      </c>
      <c r="R5179" s="2" t="inlineStr"/>
    </row>
    <row r="5180" ht="15" customHeight="1">
      <c r="A5180" t="inlineStr">
        <is>
          <t>A 23367-2022</t>
        </is>
      </c>
      <c r="B5180" s="1" t="n">
        <v>44720</v>
      </c>
      <c r="C5180" s="1" t="n">
        <v>45344</v>
      </c>
      <c r="D5180" t="inlineStr">
        <is>
          <t>GÄVLEBORGS LÄN</t>
        </is>
      </c>
      <c r="E5180" t="inlineStr">
        <is>
          <t>NORDANSTIG</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23400-2022</t>
        </is>
      </c>
      <c r="B5181" s="1" t="n">
        <v>44720</v>
      </c>
      <c r="C5181" s="1" t="n">
        <v>45344</v>
      </c>
      <c r="D5181" t="inlineStr">
        <is>
          <t>GÄVLEBORGS LÄN</t>
        </is>
      </c>
      <c r="E5181" t="inlineStr">
        <is>
          <t>GÄVLE</t>
        </is>
      </c>
      <c r="F5181" t="inlineStr">
        <is>
          <t>Bergvik skog väst AB</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23652-2022</t>
        </is>
      </c>
      <c r="B5182" s="1" t="n">
        <v>44721</v>
      </c>
      <c r="C5182" s="1" t="n">
        <v>45344</v>
      </c>
      <c r="D5182" t="inlineStr">
        <is>
          <t>GÄVLEBORGS LÄN</t>
        </is>
      </c>
      <c r="E5182" t="inlineStr">
        <is>
          <t>LJUSDAL</t>
        </is>
      </c>
      <c r="F5182" t="inlineStr">
        <is>
          <t>Sveaskog</t>
        </is>
      </c>
      <c r="G5182" t="n">
        <v>7.6</v>
      </c>
      <c r="H5182" t="n">
        <v>0</v>
      </c>
      <c r="I5182" t="n">
        <v>0</v>
      </c>
      <c r="J5182" t="n">
        <v>0</v>
      </c>
      <c r="K5182" t="n">
        <v>0</v>
      </c>
      <c r="L5182" t="n">
        <v>0</v>
      </c>
      <c r="M5182" t="n">
        <v>0</v>
      </c>
      <c r="N5182" t="n">
        <v>0</v>
      </c>
      <c r="O5182" t="n">
        <v>0</v>
      </c>
      <c r="P5182" t="n">
        <v>0</v>
      </c>
      <c r="Q5182" t="n">
        <v>0</v>
      </c>
      <c r="R5182" s="2" t="inlineStr"/>
    </row>
    <row r="5183" ht="15" customHeight="1">
      <c r="A5183" t="inlineStr">
        <is>
          <t>A 23619-2022</t>
        </is>
      </c>
      <c r="B5183" s="1" t="n">
        <v>44721</v>
      </c>
      <c r="C5183" s="1" t="n">
        <v>45344</v>
      </c>
      <c r="D5183" t="inlineStr">
        <is>
          <t>GÄVLEBORGS LÄN</t>
        </is>
      </c>
      <c r="E5183" t="inlineStr">
        <is>
          <t>LJUSDAL</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23881-2022</t>
        </is>
      </c>
      <c r="B5184" s="1" t="n">
        <v>44722</v>
      </c>
      <c r="C5184" s="1" t="n">
        <v>45344</v>
      </c>
      <c r="D5184" t="inlineStr">
        <is>
          <t>GÄVLEBORGS LÄN</t>
        </is>
      </c>
      <c r="E5184" t="inlineStr">
        <is>
          <t>NORDANSTIG</t>
        </is>
      </c>
      <c r="F5184" t="inlineStr">
        <is>
          <t>Holmen skog AB</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23919-2022</t>
        </is>
      </c>
      <c r="B5185" s="1" t="n">
        <v>44722</v>
      </c>
      <c r="C5185" s="1" t="n">
        <v>45344</v>
      </c>
      <c r="D5185" t="inlineStr">
        <is>
          <t>GÄVLEBORGS LÄN</t>
        </is>
      </c>
      <c r="E5185" t="inlineStr">
        <is>
          <t>HUDIKSVALL</t>
        </is>
      </c>
      <c r="F5185" t="inlineStr">
        <is>
          <t>Holmen skog AB</t>
        </is>
      </c>
      <c r="G5185" t="n">
        <v>13.1</v>
      </c>
      <c r="H5185" t="n">
        <v>0</v>
      </c>
      <c r="I5185" t="n">
        <v>0</v>
      </c>
      <c r="J5185" t="n">
        <v>0</v>
      </c>
      <c r="K5185" t="n">
        <v>0</v>
      </c>
      <c r="L5185" t="n">
        <v>0</v>
      </c>
      <c r="M5185" t="n">
        <v>0</v>
      </c>
      <c r="N5185" t="n">
        <v>0</v>
      </c>
      <c r="O5185" t="n">
        <v>0</v>
      </c>
      <c r="P5185" t="n">
        <v>0</v>
      </c>
      <c r="Q5185" t="n">
        <v>0</v>
      </c>
      <c r="R5185" s="2" t="inlineStr"/>
    </row>
    <row r="5186" ht="15" customHeight="1">
      <c r="A5186" t="inlineStr">
        <is>
          <t>A 23925-2022</t>
        </is>
      </c>
      <c r="B5186" s="1" t="n">
        <v>44722</v>
      </c>
      <c r="C5186" s="1" t="n">
        <v>45344</v>
      </c>
      <c r="D5186" t="inlineStr">
        <is>
          <t>GÄVLEBORGS LÄN</t>
        </is>
      </c>
      <c r="E5186" t="inlineStr">
        <is>
          <t>BOLLNÄS</t>
        </is>
      </c>
      <c r="G5186" t="n">
        <v>0.1</v>
      </c>
      <c r="H5186" t="n">
        <v>0</v>
      </c>
      <c r="I5186" t="n">
        <v>0</v>
      </c>
      <c r="J5186" t="n">
        <v>0</v>
      </c>
      <c r="K5186" t="n">
        <v>0</v>
      </c>
      <c r="L5186" t="n">
        <v>0</v>
      </c>
      <c r="M5186" t="n">
        <v>0</v>
      </c>
      <c r="N5186" t="n">
        <v>0</v>
      </c>
      <c r="O5186" t="n">
        <v>0</v>
      </c>
      <c r="P5186" t="n">
        <v>0</v>
      </c>
      <c r="Q5186" t="n">
        <v>0</v>
      </c>
      <c r="R5186" s="2" t="inlineStr"/>
    </row>
    <row r="5187" ht="15" customHeight="1">
      <c r="A5187" t="inlineStr">
        <is>
          <t>A 23885-2022</t>
        </is>
      </c>
      <c r="B5187" s="1" t="n">
        <v>44722</v>
      </c>
      <c r="C5187" s="1" t="n">
        <v>45344</v>
      </c>
      <c r="D5187" t="inlineStr">
        <is>
          <t>GÄVLEBORGS LÄN</t>
        </is>
      </c>
      <c r="E5187" t="inlineStr">
        <is>
          <t>NORDANSTIG</t>
        </is>
      </c>
      <c r="F5187" t="inlineStr">
        <is>
          <t>Holmen skog AB</t>
        </is>
      </c>
      <c r="G5187" t="n">
        <v>4.9</v>
      </c>
      <c r="H5187" t="n">
        <v>0</v>
      </c>
      <c r="I5187" t="n">
        <v>0</v>
      </c>
      <c r="J5187" t="n">
        <v>0</v>
      </c>
      <c r="K5187" t="n">
        <v>0</v>
      </c>
      <c r="L5187" t="n">
        <v>0</v>
      </c>
      <c r="M5187" t="n">
        <v>0</v>
      </c>
      <c r="N5187" t="n">
        <v>0</v>
      </c>
      <c r="O5187" t="n">
        <v>0</v>
      </c>
      <c r="P5187" t="n">
        <v>0</v>
      </c>
      <c r="Q5187" t="n">
        <v>0</v>
      </c>
      <c r="R5187" s="2" t="inlineStr"/>
    </row>
    <row r="5188" ht="15" customHeight="1">
      <c r="A5188" t="inlineStr">
        <is>
          <t>A 23965-2022</t>
        </is>
      </c>
      <c r="B5188" s="1" t="n">
        <v>44722</v>
      </c>
      <c r="C5188" s="1" t="n">
        <v>45344</v>
      </c>
      <c r="D5188" t="inlineStr">
        <is>
          <t>GÄVLEBORGS LÄN</t>
        </is>
      </c>
      <c r="E5188" t="inlineStr">
        <is>
          <t>NORDANSTIG</t>
        </is>
      </c>
      <c r="F5188" t="inlineStr">
        <is>
          <t>Holmen skog AB</t>
        </is>
      </c>
      <c r="G5188" t="n">
        <v>6.5</v>
      </c>
      <c r="H5188" t="n">
        <v>0</v>
      </c>
      <c r="I5188" t="n">
        <v>0</v>
      </c>
      <c r="J5188" t="n">
        <v>0</v>
      </c>
      <c r="K5188" t="n">
        <v>0</v>
      </c>
      <c r="L5188" t="n">
        <v>0</v>
      </c>
      <c r="M5188" t="n">
        <v>0</v>
      </c>
      <c r="N5188" t="n">
        <v>0</v>
      </c>
      <c r="O5188" t="n">
        <v>0</v>
      </c>
      <c r="P5188" t="n">
        <v>0</v>
      </c>
      <c r="Q5188" t="n">
        <v>0</v>
      </c>
      <c r="R5188" s="2" t="inlineStr"/>
    </row>
    <row r="5189" ht="15" customHeight="1">
      <c r="A5189" t="inlineStr">
        <is>
          <t>A 23982-2022</t>
        </is>
      </c>
      <c r="B5189" s="1" t="n">
        <v>44723</v>
      </c>
      <c r="C5189" s="1" t="n">
        <v>45344</v>
      </c>
      <c r="D5189" t="inlineStr">
        <is>
          <t>GÄVLEBORGS LÄN</t>
        </is>
      </c>
      <c r="E5189" t="inlineStr">
        <is>
          <t>LJUSDAL</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23957-2022</t>
        </is>
      </c>
      <c r="B5190" s="1" t="n">
        <v>44722</v>
      </c>
      <c r="C5190" s="1" t="n">
        <v>45344</v>
      </c>
      <c r="D5190" t="inlineStr">
        <is>
          <t>GÄVLEBORGS LÄN</t>
        </is>
      </c>
      <c r="E5190" t="inlineStr">
        <is>
          <t>LJUSDAL</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23985-2022</t>
        </is>
      </c>
      <c r="B5191" s="1" t="n">
        <v>44723</v>
      </c>
      <c r="C5191" s="1" t="n">
        <v>45344</v>
      </c>
      <c r="D5191" t="inlineStr">
        <is>
          <t>GÄVLEBORGS LÄN</t>
        </is>
      </c>
      <c r="E5191" t="inlineStr">
        <is>
          <t>LJUSDAL</t>
        </is>
      </c>
      <c r="G5191" t="n">
        <v>6.6</v>
      </c>
      <c r="H5191" t="n">
        <v>0</v>
      </c>
      <c r="I5191" t="n">
        <v>0</v>
      </c>
      <c r="J5191" t="n">
        <v>0</v>
      </c>
      <c r="K5191" t="n">
        <v>0</v>
      </c>
      <c r="L5191" t="n">
        <v>0</v>
      </c>
      <c r="M5191" t="n">
        <v>0</v>
      </c>
      <c r="N5191" t="n">
        <v>0</v>
      </c>
      <c r="O5191" t="n">
        <v>0</v>
      </c>
      <c r="P5191" t="n">
        <v>0</v>
      </c>
      <c r="Q5191" t="n">
        <v>0</v>
      </c>
      <c r="R5191" s="2" t="inlineStr"/>
    </row>
    <row r="5192" ht="15" customHeight="1">
      <c r="A5192" t="inlineStr">
        <is>
          <t>A 24205-2022</t>
        </is>
      </c>
      <c r="B5192" s="1" t="n">
        <v>44725</v>
      </c>
      <c r="C5192" s="1" t="n">
        <v>45344</v>
      </c>
      <c r="D5192" t="inlineStr">
        <is>
          <t>GÄVLEBORGS LÄN</t>
        </is>
      </c>
      <c r="E5192" t="inlineStr">
        <is>
          <t>LJUSDAL</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24095-2022</t>
        </is>
      </c>
      <c r="B5193" s="1" t="n">
        <v>44725</v>
      </c>
      <c r="C5193" s="1" t="n">
        <v>45344</v>
      </c>
      <c r="D5193" t="inlineStr">
        <is>
          <t>GÄVLEBORGS LÄN</t>
        </is>
      </c>
      <c r="E5193" t="inlineStr">
        <is>
          <t>OVANÅKER</t>
        </is>
      </c>
      <c r="F5193" t="inlineStr">
        <is>
          <t>Bergvik skog väst AB</t>
        </is>
      </c>
      <c r="G5193" t="n">
        <v>3.2</v>
      </c>
      <c r="H5193" t="n">
        <v>0</v>
      </c>
      <c r="I5193" t="n">
        <v>0</v>
      </c>
      <c r="J5193" t="n">
        <v>0</v>
      </c>
      <c r="K5193" t="n">
        <v>0</v>
      </c>
      <c r="L5193" t="n">
        <v>0</v>
      </c>
      <c r="M5193" t="n">
        <v>0</v>
      </c>
      <c r="N5193" t="n">
        <v>0</v>
      </c>
      <c r="O5193" t="n">
        <v>0</v>
      </c>
      <c r="P5193" t="n">
        <v>0</v>
      </c>
      <c r="Q5193" t="n">
        <v>0</v>
      </c>
      <c r="R5193" s="2" t="inlineStr"/>
    </row>
    <row r="5194" ht="15" customHeight="1">
      <c r="A5194" t="inlineStr">
        <is>
          <t>A 24219-2022</t>
        </is>
      </c>
      <c r="B5194" s="1" t="n">
        <v>44725</v>
      </c>
      <c r="C5194" s="1" t="n">
        <v>45344</v>
      </c>
      <c r="D5194" t="inlineStr">
        <is>
          <t>GÄVLEBORGS LÄN</t>
        </is>
      </c>
      <c r="E5194" t="inlineStr">
        <is>
          <t>NORDANSTIG</t>
        </is>
      </c>
      <c r="F5194" t="inlineStr">
        <is>
          <t>Holmen skog AB</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24228-2022</t>
        </is>
      </c>
      <c r="B5195" s="1" t="n">
        <v>44725</v>
      </c>
      <c r="C5195" s="1" t="n">
        <v>45344</v>
      </c>
      <c r="D5195" t="inlineStr">
        <is>
          <t>GÄVLEBORGS LÄN</t>
        </is>
      </c>
      <c r="E5195" t="inlineStr">
        <is>
          <t>OCKELBO</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24208-2022</t>
        </is>
      </c>
      <c r="B5196" s="1" t="n">
        <v>44725</v>
      </c>
      <c r="C5196" s="1" t="n">
        <v>45344</v>
      </c>
      <c r="D5196" t="inlineStr">
        <is>
          <t>GÄVLEBORGS LÄN</t>
        </is>
      </c>
      <c r="E5196" t="inlineStr">
        <is>
          <t>LJUSDAL</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24217-2022</t>
        </is>
      </c>
      <c r="B5197" s="1" t="n">
        <v>44725</v>
      </c>
      <c r="C5197" s="1" t="n">
        <v>45344</v>
      </c>
      <c r="D5197" t="inlineStr">
        <is>
          <t>GÄVLEBORGS LÄN</t>
        </is>
      </c>
      <c r="E5197" t="inlineStr">
        <is>
          <t>LJUSDAL</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24102-2022</t>
        </is>
      </c>
      <c r="B5198" s="1" t="n">
        <v>44725</v>
      </c>
      <c r="C5198" s="1" t="n">
        <v>45344</v>
      </c>
      <c r="D5198" t="inlineStr">
        <is>
          <t>GÄVLEBORGS LÄN</t>
        </is>
      </c>
      <c r="E5198" t="inlineStr">
        <is>
          <t>LJUSDAL</t>
        </is>
      </c>
      <c r="F5198" t="inlineStr">
        <is>
          <t>Bergvik skog väst AB</t>
        </is>
      </c>
      <c r="G5198" t="n">
        <v>10.5</v>
      </c>
      <c r="H5198" t="n">
        <v>0</v>
      </c>
      <c r="I5198" t="n">
        <v>0</v>
      </c>
      <c r="J5198" t="n">
        <v>0</v>
      </c>
      <c r="K5198" t="n">
        <v>0</v>
      </c>
      <c r="L5198" t="n">
        <v>0</v>
      </c>
      <c r="M5198" t="n">
        <v>0</v>
      </c>
      <c r="N5198" t="n">
        <v>0</v>
      </c>
      <c r="O5198" t="n">
        <v>0</v>
      </c>
      <c r="P5198" t="n">
        <v>0</v>
      </c>
      <c r="Q5198" t="n">
        <v>0</v>
      </c>
      <c r="R5198" s="2" t="inlineStr"/>
    </row>
    <row r="5199" ht="15" customHeight="1">
      <c r="A5199" t="inlineStr">
        <is>
          <t>A 24347-2022</t>
        </is>
      </c>
      <c r="B5199" s="1" t="n">
        <v>44726</v>
      </c>
      <c r="C5199" s="1" t="n">
        <v>45344</v>
      </c>
      <c r="D5199" t="inlineStr">
        <is>
          <t>GÄVLEBORGS LÄN</t>
        </is>
      </c>
      <c r="E5199" t="inlineStr">
        <is>
          <t>LJUSDAL</t>
        </is>
      </c>
      <c r="G5199" t="n">
        <v>1.7</v>
      </c>
      <c r="H5199" t="n">
        <v>0</v>
      </c>
      <c r="I5199" t="n">
        <v>0</v>
      </c>
      <c r="J5199" t="n">
        <v>0</v>
      </c>
      <c r="K5199" t="n">
        <v>0</v>
      </c>
      <c r="L5199" t="n">
        <v>0</v>
      </c>
      <c r="M5199" t="n">
        <v>0</v>
      </c>
      <c r="N5199" t="n">
        <v>0</v>
      </c>
      <c r="O5199" t="n">
        <v>0</v>
      </c>
      <c r="P5199" t="n">
        <v>0</v>
      </c>
      <c r="Q5199" t="n">
        <v>0</v>
      </c>
      <c r="R5199" s="2" t="inlineStr"/>
    </row>
    <row r="5200" ht="15" customHeight="1">
      <c r="A5200" t="inlineStr">
        <is>
          <t>A 24340-2022</t>
        </is>
      </c>
      <c r="B5200" s="1" t="n">
        <v>44726</v>
      </c>
      <c r="C5200" s="1" t="n">
        <v>45344</v>
      </c>
      <c r="D5200" t="inlineStr">
        <is>
          <t>GÄVLEBORGS LÄN</t>
        </is>
      </c>
      <c r="E5200" t="inlineStr">
        <is>
          <t>LJUSDAL</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24342-2022</t>
        </is>
      </c>
      <c r="B5201" s="1" t="n">
        <v>44726</v>
      </c>
      <c r="C5201" s="1" t="n">
        <v>45344</v>
      </c>
      <c r="D5201" t="inlineStr">
        <is>
          <t>GÄVLEBORGS LÄN</t>
        </is>
      </c>
      <c r="E5201" t="inlineStr">
        <is>
          <t>LJUSDAL</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24457-2022</t>
        </is>
      </c>
      <c r="B5202" s="1" t="n">
        <v>44726</v>
      </c>
      <c r="C5202" s="1" t="n">
        <v>45344</v>
      </c>
      <c r="D5202" t="inlineStr">
        <is>
          <t>GÄVLEBORGS LÄN</t>
        </is>
      </c>
      <c r="E5202" t="inlineStr">
        <is>
          <t>LJUSDAL</t>
        </is>
      </c>
      <c r="F5202" t="inlineStr">
        <is>
          <t>Allmännings- och besparingsskogar</t>
        </is>
      </c>
      <c r="G5202" t="n">
        <v>1.5</v>
      </c>
      <c r="H5202" t="n">
        <v>0</v>
      </c>
      <c r="I5202" t="n">
        <v>0</v>
      </c>
      <c r="J5202" t="n">
        <v>0</v>
      </c>
      <c r="K5202" t="n">
        <v>0</v>
      </c>
      <c r="L5202" t="n">
        <v>0</v>
      </c>
      <c r="M5202" t="n">
        <v>0</v>
      </c>
      <c r="N5202" t="n">
        <v>0</v>
      </c>
      <c r="O5202" t="n">
        <v>0</v>
      </c>
      <c r="P5202" t="n">
        <v>0</v>
      </c>
      <c r="Q5202" t="n">
        <v>0</v>
      </c>
      <c r="R5202" s="2" t="inlineStr"/>
    </row>
    <row r="5203" ht="15" customHeight="1">
      <c r="A5203" t="inlineStr">
        <is>
          <t>A 24444-2022</t>
        </is>
      </c>
      <c r="B5203" s="1" t="n">
        <v>44726</v>
      </c>
      <c r="C5203" s="1" t="n">
        <v>45344</v>
      </c>
      <c r="D5203" t="inlineStr">
        <is>
          <t>GÄVLEBORGS LÄN</t>
        </is>
      </c>
      <c r="E5203" t="inlineStr">
        <is>
          <t>LJUSDAL</t>
        </is>
      </c>
      <c r="F5203" t="inlineStr">
        <is>
          <t>Sveaskog</t>
        </is>
      </c>
      <c r="G5203" t="n">
        <v>15.6</v>
      </c>
      <c r="H5203" t="n">
        <v>0</v>
      </c>
      <c r="I5203" t="n">
        <v>0</v>
      </c>
      <c r="J5203" t="n">
        <v>0</v>
      </c>
      <c r="K5203" t="n">
        <v>0</v>
      </c>
      <c r="L5203" t="n">
        <v>0</v>
      </c>
      <c r="M5203" t="n">
        <v>0</v>
      </c>
      <c r="N5203" t="n">
        <v>0</v>
      </c>
      <c r="O5203" t="n">
        <v>0</v>
      </c>
      <c r="P5203" t="n">
        <v>0</v>
      </c>
      <c r="Q5203" t="n">
        <v>0</v>
      </c>
      <c r="R5203" s="2" t="inlineStr"/>
    </row>
    <row r="5204" ht="15" customHeight="1">
      <c r="A5204" t="inlineStr">
        <is>
          <t>A 24491-2022</t>
        </is>
      </c>
      <c r="B5204" s="1" t="n">
        <v>44726</v>
      </c>
      <c r="C5204" s="1" t="n">
        <v>45344</v>
      </c>
      <c r="D5204" t="inlineStr">
        <is>
          <t>GÄVLEBORGS LÄN</t>
        </is>
      </c>
      <c r="E5204" t="inlineStr">
        <is>
          <t>LJUSDAL</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24470-2022</t>
        </is>
      </c>
      <c r="B5205" s="1" t="n">
        <v>44726</v>
      </c>
      <c r="C5205" s="1" t="n">
        <v>45344</v>
      </c>
      <c r="D5205" t="inlineStr">
        <is>
          <t>GÄVLEBORGS LÄN</t>
        </is>
      </c>
      <c r="E5205" t="inlineStr">
        <is>
          <t>HUDIKSVALL</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24512-2022</t>
        </is>
      </c>
      <c r="B5206" s="1" t="n">
        <v>44726</v>
      </c>
      <c r="C5206" s="1" t="n">
        <v>45344</v>
      </c>
      <c r="D5206" t="inlineStr">
        <is>
          <t>GÄVLEBORGS LÄN</t>
        </is>
      </c>
      <c r="E5206" t="inlineStr">
        <is>
          <t>LJUSDAL</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24752-2022</t>
        </is>
      </c>
      <c r="B5207" s="1" t="n">
        <v>44728</v>
      </c>
      <c r="C5207" s="1" t="n">
        <v>45344</v>
      </c>
      <c r="D5207" t="inlineStr">
        <is>
          <t>GÄVLEBORGS LÄN</t>
        </is>
      </c>
      <c r="E5207" t="inlineStr">
        <is>
          <t>LJUSDAL</t>
        </is>
      </c>
      <c r="F5207" t="inlineStr">
        <is>
          <t>Sveaskog</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24763-2022</t>
        </is>
      </c>
      <c r="B5208" s="1" t="n">
        <v>44728</v>
      </c>
      <c r="C5208" s="1" t="n">
        <v>45344</v>
      </c>
      <c r="D5208" t="inlineStr">
        <is>
          <t>GÄVLEBORGS LÄN</t>
        </is>
      </c>
      <c r="E5208" t="inlineStr">
        <is>
          <t>BOLLNÄS</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24806-2022</t>
        </is>
      </c>
      <c r="B5209" s="1" t="n">
        <v>44728</v>
      </c>
      <c r="C5209" s="1" t="n">
        <v>45344</v>
      </c>
      <c r="D5209" t="inlineStr">
        <is>
          <t>GÄVLEBORGS LÄN</t>
        </is>
      </c>
      <c r="E5209" t="inlineStr">
        <is>
          <t>HUDIKSVALL</t>
        </is>
      </c>
      <c r="F5209" t="inlineStr">
        <is>
          <t>Sveaskog</t>
        </is>
      </c>
      <c r="G5209" t="n">
        <v>7.1</v>
      </c>
      <c r="H5209" t="n">
        <v>0</v>
      </c>
      <c r="I5209" t="n">
        <v>0</v>
      </c>
      <c r="J5209" t="n">
        <v>0</v>
      </c>
      <c r="K5209" t="n">
        <v>0</v>
      </c>
      <c r="L5209" t="n">
        <v>0</v>
      </c>
      <c r="M5209" t="n">
        <v>0</v>
      </c>
      <c r="N5209" t="n">
        <v>0</v>
      </c>
      <c r="O5209" t="n">
        <v>0</v>
      </c>
      <c r="P5209" t="n">
        <v>0</v>
      </c>
      <c r="Q5209" t="n">
        <v>0</v>
      </c>
      <c r="R5209" s="2" t="inlineStr"/>
    </row>
    <row r="5210" ht="15" customHeight="1">
      <c r="A5210" t="inlineStr">
        <is>
          <t>A 24751-2022</t>
        </is>
      </c>
      <c r="B5210" s="1" t="n">
        <v>44728</v>
      </c>
      <c r="C5210" s="1" t="n">
        <v>45344</v>
      </c>
      <c r="D5210" t="inlineStr">
        <is>
          <t>GÄVLEBORGS LÄN</t>
        </is>
      </c>
      <c r="E5210" t="inlineStr">
        <is>
          <t>OVANÅKER</t>
        </is>
      </c>
      <c r="G5210" t="n">
        <v>2.2</v>
      </c>
      <c r="H5210" t="n">
        <v>0</v>
      </c>
      <c r="I5210" t="n">
        <v>0</v>
      </c>
      <c r="J5210" t="n">
        <v>0</v>
      </c>
      <c r="K5210" t="n">
        <v>0</v>
      </c>
      <c r="L5210" t="n">
        <v>0</v>
      </c>
      <c r="M5210" t="n">
        <v>0</v>
      </c>
      <c r="N5210" t="n">
        <v>0</v>
      </c>
      <c r="O5210" t="n">
        <v>0</v>
      </c>
      <c r="P5210" t="n">
        <v>0</v>
      </c>
      <c r="Q5210" t="n">
        <v>0</v>
      </c>
      <c r="R5210" s="2" t="inlineStr"/>
    </row>
    <row r="5211" ht="15" customHeight="1">
      <c r="A5211" t="inlineStr">
        <is>
          <t>A 24770-2022</t>
        </is>
      </c>
      <c r="B5211" s="1" t="n">
        <v>44728</v>
      </c>
      <c r="C5211" s="1" t="n">
        <v>45344</v>
      </c>
      <c r="D5211" t="inlineStr">
        <is>
          <t>GÄVLEBORGS LÄN</t>
        </is>
      </c>
      <c r="E5211" t="inlineStr">
        <is>
          <t>BOLLNÄS</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24858-2022</t>
        </is>
      </c>
      <c r="B5212" s="1" t="n">
        <v>44728</v>
      </c>
      <c r="C5212" s="1" t="n">
        <v>45344</v>
      </c>
      <c r="D5212" t="inlineStr">
        <is>
          <t>GÄVLEBORGS LÄN</t>
        </is>
      </c>
      <c r="E5212" t="inlineStr">
        <is>
          <t>OVANÅKER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24808-2022</t>
        </is>
      </c>
      <c r="B5213" s="1" t="n">
        <v>44728</v>
      </c>
      <c r="C5213" s="1" t="n">
        <v>45344</v>
      </c>
      <c r="D5213" t="inlineStr">
        <is>
          <t>GÄVLEBORGS LÄN</t>
        </is>
      </c>
      <c r="E5213" t="inlineStr">
        <is>
          <t>HUDIKSVALL</t>
        </is>
      </c>
      <c r="F5213" t="inlineStr">
        <is>
          <t>Sveaskog</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24750-2022</t>
        </is>
      </c>
      <c r="B5214" s="1" t="n">
        <v>44728</v>
      </c>
      <c r="C5214" s="1" t="n">
        <v>45344</v>
      </c>
      <c r="D5214" t="inlineStr">
        <is>
          <t>GÄVLEBORGS LÄN</t>
        </is>
      </c>
      <c r="E5214" t="inlineStr">
        <is>
          <t>LJUSDAL</t>
        </is>
      </c>
      <c r="F5214" t="inlineStr">
        <is>
          <t>Sveaskog</t>
        </is>
      </c>
      <c r="G5214" t="n">
        <v>20.7</v>
      </c>
      <c r="H5214" t="n">
        <v>0</v>
      </c>
      <c r="I5214" t="n">
        <v>0</v>
      </c>
      <c r="J5214" t="n">
        <v>0</v>
      </c>
      <c r="K5214" t="n">
        <v>0</v>
      </c>
      <c r="L5214" t="n">
        <v>0</v>
      </c>
      <c r="M5214" t="n">
        <v>0</v>
      </c>
      <c r="N5214" t="n">
        <v>0</v>
      </c>
      <c r="O5214" t="n">
        <v>0</v>
      </c>
      <c r="P5214" t="n">
        <v>0</v>
      </c>
      <c r="Q5214" t="n">
        <v>0</v>
      </c>
      <c r="R5214" s="2" t="inlineStr"/>
    </row>
    <row r="5215" ht="15" customHeight="1">
      <c r="A5215" t="inlineStr">
        <is>
          <t>A 24799-2022</t>
        </is>
      </c>
      <c r="B5215" s="1" t="n">
        <v>44728</v>
      </c>
      <c r="C5215" s="1" t="n">
        <v>45344</v>
      </c>
      <c r="D5215" t="inlineStr">
        <is>
          <t>GÄVLEBORGS LÄN</t>
        </is>
      </c>
      <c r="E5215" t="inlineStr">
        <is>
          <t>BOLLNÄS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24872-2022</t>
        </is>
      </c>
      <c r="B5216" s="1" t="n">
        <v>44728</v>
      </c>
      <c r="C5216" s="1" t="n">
        <v>45344</v>
      </c>
      <c r="D5216" t="inlineStr">
        <is>
          <t>GÄVLEBORGS LÄN</t>
        </is>
      </c>
      <c r="E5216" t="inlineStr">
        <is>
          <t>HUDIKSVALL</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24981-2022</t>
        </is>
      </c>
      <c r="B5217" s="1" t="n">
        <v>44728</v>
      </c>
      <c r="C5217" s="1" t="n">
        <v>45344</v>
      </c>
      <c r="D5217" t="inlineStr">
        <is>
          <t>GÄVLEBORGS LÄN</t>
        </is>
      </c>
      <c r="E5217" t="inlineStr">
        <is>
          <t>BOLLNÄS</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24999-2022</t>
        </is>
      </c>
      <c r="B5218" s="1" t="n">
        <v>44728</v>
      </c>
      <c r="C5218" s="1" t="n">
        <v>45344</v>
      </c>
      <c r="D5218" t="inlineStr">
        <is>
          <t>GÄVLEBORGS LÄN</t>
        </is>
      </c>
      <c r="E5218" t="inlineStr">
        <is>
          <t>NORDANSTIG</t>
        </is>
      </c>
      <c r="G5218" t="n">
        <v>18.5</v>
      </c>
      <c r="H5218" t="n">
        <v>0</v>
      </c>
      <c r="I5218" t="n">
        <v>0</v>
      </c>
      <c r="J5218" t="n">
        <v>0</v>
      </c>
      <c r="K5218" t="n">
        <v>0</v>
      </c>
      <c r="L5218" t="n">
        <v>0</v>
      </c>
      <c r="M5218" t="n">
        <v>0</v>
      </c>
      <c r="N5218" t="n">
        <v>0</v>
      </c>
      <c r="O5218" t="n">
        <v>0</v>
      </c>
      <c r="P5218" t="n">
        <v>0</v>
      </c>
      <c r="Q5218" t="n">
        <v>0</v>
      </c>
      <c r="R5218" s="2" t="inlineStr"/>
    </row>
    <row r="5219" ht="15" customHeight="1">
      <c r="A5219" t="inlineStr">
        <is>
          <t>A 25005-2022</t>
        </is>
      </c>
      <c r="B5219" s="1" t="n">
        <v>44729</v>
      </c>
      <c r="C5219" s="1" t="n">
        <v>45344</v>
      </c>
      <c r="D5219" t="inlineStr">
        <is>
          <t>GÄVLEBORGS LÄN</t>
        </is>
      </c>
      <c r="E5219" t="inlineStr">
        <is>
          <t>NORDANSTIG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25001-2022</t>
        </is>
      </c>
      <c r="B5220" s="1" t="n">
        <v>44728</v>
      </c>
      <c r="C5220" s="1" t="n">
        <v>45344</v>
      </c>
      <c r="D5220" t="inlineStr">
        <is>
          <t>GÄVLEBORGS LÄN</t>
        </is>
      </c>
      <c r="E5220" t="inlineStr">
        <is>
          <t>NORDANSTIG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24996-2022</t>
        </is>
      </c>
      <c r="B5221" s="1" t="n">
        <v>44729</v>
      </c>
      <c r="C5221" s="1" t="n">
        <v>45344</v>
      </c>
      <c r="D5221" t="inlineStr">
        <is>
          <t>GÄVLEBORGS LÄN</t>
        </is>
      </c>
      <c r="E5221" t="inlineStr">
        <is>
          <t>NORDANSTIG</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24998-2022</t>
        </is>
      </c>
      <c r="B5222" s="1" t="n">
        <v>44729</v>
      </c>
      <c r="C5222" s="1" t="n">
        <v>45344</v>
      </c>
      <c r="D5222" t="inlineStr">
        <is>
          <t>GÄVLEBORGS LÄN</t>
        </is>
      </c>
      <c r="E5222" t="inlineStr">
        <is>
          <t>NORDANSTIG</t>
        </is>
      </c>
      <c r="G5222" t="n">
        <v>6.3</v>
      </c>
      <c r="H5222" t="n">
        <v>0</v>
      </c>
      <c r="I5222" t="n">
        <v>0</v>
      </c>
      <c r="J5222" t="n">
        <v>0</v>
      </c>
      <c r="K5222" t="n">
        <v>0</v>
      </c>
      <c r="L5222" t="n">
        <v>0</v>
      </c>
      <c r="M5222" t="n">
        <v>0</v>
      </c>
      <c r="N5222" t="n">
        <v>0</v>
      </c>
      <c r="O5222" t="n">
        <v>0</v>
      </c>
      <c r="P5222" t="n">
        <v>0</v>
      </c>
      <c r="Q5222" t="n">
        <v>0</v>
      </c>
      <c r="R5222" s="2" t="inlineStr"/>
    </row>
    <row r="5223" ht="15" customHeight="1">
      <c r="A5223" t="inlineStr">
        <is>
          <t>A 25002-2022</t>
        </is>
      </c>
      <c r="B5223" s="1" t="n">
        <v>44728</v>
      </c>
      <c r="C5223" s="1" t="n">
        <v>45344</v>
      </c>
      <c r="D5223" t="inlineStr">
        <is>
          <t>GÄVLEBORGS LÄN</t>
        </is>
      </c>
      <c r="E5223" t="inlineStr">
        <is>
          <t>NORDANSTIG</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24997-2022</t>
        </is>
      </c>
      <c r="B5224" s="1" t="n">
        <v>44729</v>
      </c>
      <c r="C5224" s="1" t="n">
        <v>45344</v>
      </c>
      <c r="D5224" t="inlineStr">
        <is>
          <t>GÄVLEBORGS LÄN</t>
        </is>
      </c>
      <c r="E5224" t="inlineStr">
        <is>
          <t>NORDANSTIG</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25088-2022</t>
        </is>
      </c>
      <c r="B5225" s="1" t="n">
        <v>44729</v>
      </c>
      <c r="C5225" s="1" t="n">
        <v>45344</v>
      </c>
      <c r="D5225" t="inlineStr">
        <is>
          <t>GÄVLEBORGS LÄN</t>
        </is>
      </c>
      <c r="E5225" t="inlineStr">
        <is>
          <t>BOLLNÄS</t>
        </is>
      </c>
      <c r="F5225" t="inlineStr">
        <is>
          <t>Bergvik skog väst AB</t>
        </is>
      </c>
      <c r="G5225" t="n">
        <v>0.3</v>
      </c>
      <c r="H5225" t="n">
        <v>0</v>
      </c>
      <c r="I5225" t="n">
        <v>0</v>
      </c>
      <c r="J5225" t="n">
        <v>0</v>
      </c>
      <c r="K5225" t="n">
        <v>0</v>
      </c>
      <c r="L5225" t="n">
        <v>0</v>
      </c>
      <c r="M5225" t="n">
        <v>0</v>
      </c>
      <c r="N5225" t="n">
        <v>0</v>
      </c>
      <c r="O5225" t="n">
        <v>0</v>
      </c>
      <c r="P5225" t="n">
        <v>0</v>
      </c>
      <c r="Q5225" t="n">
        <v>0</v>
      </c>
      <c r="R5225" s="2" t="inlineStr"/>
    </row>
    <row r="5226" ht="15" customHeight="1">
      <c r="A5226" t="inlineStr">
        <is>
          <t>A 25075-2022</t>
        </is>
      </c>
      <c r="B5226" s="1" t="n">
        <v>44729</v>
      </c>
      <c r="C5226" s="1" t="n">
        <v>45344</v>
      </c>
      <c r="D5226" t="inlineStr">
        <is>
          <t>GÄVLEBORGS LÄN</t>
        </is>
      </c>
      <c r="E5226" t="inlineStr">
        <is>
          <t>LJUSDAL</t>
        </is>
      </c>
      <c r="F5226" t="inlineStr">
        <is>
          <t>Bergvik skog väst AB</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25116-2022</t>
        </is>
      </c>
      <c r="B5227" s="1" t="n">
        <v>44729</v>
      </c>
      <c r="C5227" s="1" t="n">
        <v>45344</v>
      </c>
      <c r="D5227" t="inlineStr">
        <is>
          <t>GÄVLEBORGS LÄN</t>
        </is>
      </c>
      <c r="E5227" t="inlineStr">
        <is>
          <t>LJUSDAL</t>
        </is>
      </c>
      <c r="F5227" t="inlineStr">
        <is>
          <t>Sveaskog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25242-2022</t>
        </is>
      </c>
      <c r="B5228" s="1" t="n">
        <v>44729</v>
      </c>
      <c r="C5228" s="1" t="n">
        <v>45344</v>
      </c>
      <c r="D5228" t="inlineStr">
        <is>
          <t>GÄVLEBORGS LÄN</t>
        </is>
      </c>
      <c r="E5228" t="inlineStr">
        <is>
          <t>BOLLNÄS</t>
        </is>
      </c>
      <c r="F5228" t="inlineStr">
        <is>
          <t>Bergvik skog väst AB</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25073-2022</t>
        </is>
      </c>
      <c r="B5229" s="1" t="n">
        <v>44729</v>
      </c>
      <c r="C5229" s="1" t="n">
        <v>45344</v>
      </c>
      <c r="D5229" t="inlineStr">
        <is>
          <t>GÄVLEBORGS LÄN</t>
        </is>
      </c>
      <c r="E5229" t="inlineStr">
        <is>
          <t>OCKELBO</t>
        </is>
      </c>
      <c r="F5229" t="inlineStr">
        <is>
          <t>Bergvik skog väst AB</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25100-2022</t>
        </is>
      </c>
      <c r="B5230" s="1" t="n">
        <v>44729</v>
      </c>
      <c r="C5230" s="1" t="n">
        <v>45344</v>
      </c>
      <c r="D5230" t="inlineStr">
        <is>
          <t>GÄVLEBORGS LÄN</t>
        </is>
      </c>
      <c r="E5230" t="inlineStr">
        <is>
          <t>BOLLNÄS</t>
        </is>
      </c>
      <c r="G5230" t="n">
        <v>0.5</v>
      </c>
      <c r="H5230" t="n">
        <v>0</v>
      </c>
      <c r="I5230" t="n">
        <v>0</v>
      </c>
      <c r="J5230" t="n">
        <v>0</v>
      </c>
      <c r="K5230" t="n">
        <v>0</v>
      </c>
      <c r="L5230" t="n">
        <v>0</v>
      </c>
      <c r="M5230" t="n">
        <v>0</v>
      </c>
      <c r="N5230" t="n">
        <v>0</v>
      </c>
      <c r="O5230" t="n">
        <v>0</v>
      </c>
      <c r="P5230" t="n">
        <v>0</v>
      </c>
      <c r="Q5230" t="n">
        <v>0</v>
      </c>
      <c r="R5230" s="2" t="inlineStr"/>
    </row>
    <row r="5231" ht="15" customHeight="1">
      <c r="A5231" t="inlineStr">
        <is>
          <t>A 25238-2022</t>
        </is>
      </c>
      <c r="B5231" s="1" t="n">
        <v>44729</v>
      </c>
      <c r="C5231" s="1" t="n">
        <v>45344</v>
      </c>
      <c r="D5231" t="inlineStr">
        <is>
          <t>GÄVLEBORGS LÄN</t>
        </is>
      </c>
      <c r="E5231" t="inlineStr">
        <is>
          <t>BOLLNÄS</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25058-2022</t>
        </is>
      </c>
      <c r="B5232" s="1" t="n">
        <v>44729</v>
      </c>
      <c r="C5232" s="1" t="n">
        <v>45344</v>
      </c>
      <c r="D5232" t="inlineStr">
        <is>
          <t>GÄVLEBORGS LÄN</t>
        </is>
      </c>
      <c r="E5232" t="inlineStr">
        <is>
          <t>OVANÅKER</t>
        </is>
      </c>
      <c r="G5232" t="n">
        <v>2.5</v>
      </c>
      <c r="H5232" t="n">
        <v>0</v>
      </c>
      <c r="I5232" t="n">
        <v>0</v>
      </c>
      <c r="J5232" t="n">
        <v>0</v>
      </c>
      <c r="K5232" t="n">
        <v>0</v>
      </c>
      <c r="L5232" t="n">
        <v>0</v>
      </c>
      <c r="M5232" t="n">
        <v>0</v>
      </c>
      <c r="N5232" t="n">
        <v>0</v>
      </c>
      <c r="O5232" t="n">
        <v>0</v>
      </c>
      <c r="P5232" t="n">
        <v>0</v>
      </c>
      <c r="Q5232" t="n">
        <v>0</v>
      </c>
      <c r="R5232" s="2" t="inlineStr"/>
    </row>
    <row r="5233" ht="15" customHeight="1">
      <c r="A5233" t="inlineStr">
        <is>
          <t>A 25237-2022</t>
        </is>
      </c>
      <c r="B5233" s="1" t="n">
        <v>44729</v>
      </c>
      <c r="C5233" s="1" t="n">
        <v>45344</v>
      </c>
      <c r="D5233" t="inlineStr">
        <is>
          <t>GÄVLEBORGS LÄN</t>
        </is>
      </c>
      <c r="E5233" t="inlineStr">
        <is>
          <t>SÖDERHAMN</t>
        </is>
      </c>
      <c r="F5233" t="inlineStr">
        <is>
          <t>Bergvik skog väst AB</t>
        </is>
      </c>
      <c r="G5233" t="n">
        <v>18.6</v>
      </c>
      <c r="H5233" t="n">
        <v>0</v>
      </c>
      <c r="I5233" t="n">
        <v>0</v>
      </c>
      <c r="J5233" t="n">
        <v>0</v>
      </c>
      <c r="K5233" t="n">
        <v>0</v>
      </c>
      <c r="L5233" t="n">
        <v>0</v>
      </c>
      <c r="M5233" t="n">
        <v>0</v>
      </c>
      <c r="N5233" t="n">
        <v>0</v>
      </c>
      <c r="O5233" t="n">
        <v>0</v>
      </c>
      <c r="P5233" t="n">
        <v>0</v>
      </c>
      <c r="Q5233" t="n">
        <v>0</v>
      </c>
      <c r="R5233" s="2" t="inlineStr"/>
    </row>
    <row r="5234" ht="15" customHeight="1">
      <c r="A5234" t="inlineStr">
        <is>
          <t>A 25087-2022</t>
        </is>
      </c>
      <c r="B5234" s="1" t="n">
        <v>44729</v>
      </c>
      <c r="C5234" s="1" t="n">
        <v>45344</v>
      </c>
      <c r="D5234" t="inlineStr">
        <is>
          <t>GÄVLEBORGS LÄN</t>
        </is>
      </c>
      <c r="E5234" t="inlineStr">
        <is>
          <t>OVANÅKER</t>
        </is>
      </c>
      <c r="F5234" t="inlineStr">
        <is>
          <t>Bergvik skog väst AB</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25239-2022</t>
        </is>
      </c>
      <c r="B5235" s="1" t="n">
        <v>44729</v>
      </c>
      <c r="C5235" s="1" t="n">
        <v>45344</v>
      </c>
      <c r="D5235" t="inlineStr">
        <is>
          <t>GÄVLEBORGS LÄN</t>
        </is>
      </c>
      <c r="E5235" t="inlineStr">
        <is>
          <t>BOLLNÄS</t>
        </is>
      </c>
      <c r="F5235" t="inlineStr">
        <is>
          <t>Bergvik skog väst AB</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25200-2022</t>
        </is>
      </c>
      <c r="B5236" s="1" t="n">
        <v>44729</v>
      </c>
      <c r="C5236" s="1" t="n">
        <v>45344</v>
      </c>
      <c r="D5236" t="inlineStr">
        <is>
          <t>GÄVLEBORGS LÄN</t>
        </is>
      </c>
      <c r="E5236" t="inlineStr">
        <is>
          <t>NORDANSTIG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25110-2022</t>
        </is>
      </c>
      <c r="B5237" s="1" t="n">
        <v>44729</v>
      </c>
      <c r="C5237" s="1" t="n">
        <v>45344</v>
      </c>
      <c r="D5237" t="inlineStr">
        <is>
          <t>GÄVLEBORGS LÄN</t>
        </is>
      </c>
      <c r="E5237" t="inlineStr">
        <is>
          <t>LJUSDAL</t>
        </is>
      </c>
      <c r="F5237" t="inlineStr">
        <is>
          <t>Sveaskog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25126-2022</t>
        </is>
      </c>
      <c r="B5238" s="1" t="n">
        <v>44729</v>
      </c>
      <c r="C5238" s="1" t="n">
        <v>45344</v>
      </c>
      <c r="D5238" t="inlineStr">
        <is>
          <t>GÄVLEBORGS LÄN</t>
        </is>
      </c>
      <c r="E5238" t="inlineStr">
        <is>
          <t>LJUSDAL</t>
        </is>
      </c>
      <c r="F5238" t="inlineStr">
        <is>
          <t>Sveaskog</t>
        </is>
      </c>
      <c r="G5238" t="n">
        <v>9.699999999999999</v>
      </c>
      <c r="H5238" t="n">
        <v>0</v>
      </c>
      <c r="I5238" t="n">
        <v>0</v>
      </c>
      <c r="J5238" t="n">
        <v>0</v>
      </c>
      <c r="K5238" t="n">
        <v>0</v>
      </c>
      <c r="L5238" t="n">
        <v>0</v>
      </c>
      <c r="M5238" t="n">
        <v>0</v>
      </c>
      <c r="N5238" t="n">
        <v>0</v>
      </c>
      <c r="O5238" t="n">
        <v>0</v>
      </c>
      <c r="P5238" t="n">
        <v>0</v>
      </c>
      <c r="Q5238" t="n">
        <v>0</v>
      </c>
      <c r="R5238" s="2" t="inlineStr"/>
    </row>
    <row r="5239" ht="15" customHeight="1">
      <c r="A5239" t="inlineStr">
        <is>
          <t>A 25378-2022</t>
        </is>
      </c>
      <c r="B5239" s="1" t="n">
        <v>44732</v>
      </c>
      <c r="C5239" s="1" t="n">
        <v>45344</v>
      </c>
      <c r="D5239" t="inlineStr">
        <is>
          <t>GÄVLEBORGS LÄN</t>
        </is>
      </c>
      <c r="E5239" t="inlineStr">
        <is>
          <t>SÖDERHAMN</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25394-2022</t>
        </is>
      </c>
      <c r="B5240" s="1" t="n">
        <v>44732</v>
      </c>
      <c r="C5240" s="1" t="n">
        <v>45344</v>
      </c>
      <c r="D5240" t="inlineStr">
        <is>
          <t>GÄVLEBORGS LÄN</t>
        </is>
      </c>
      <c r="E5240" t="inlineStr">
        <is>
          <t>OVANÅKER</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25409-2022</t>
        </is>
      </c>
      <c r="B5241" s="1" t="n">
        <v>44732</v>
      </c>
      <c r="C5241" s="1" t="n">
        <v>45344</v>
      </c>
      <c r="D5241" t="inlineStr">
        <is>
          <t>GÄVLEBORGS LÄN</t>
        </is>
      </c>
      <c r="E5241" t="inlineStr">
        <is>
          <t>OVANÅKER</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25349-2022</t>
        </is>
      </c>
      <c r="B5242" s="1" t="n">
        <v>44732</v>
      </c>
      <c r="C5242" s="1" t="n">
        <v>45344</v>
      </c>
      <c r="D5242" t="inlineStr">
        <is>
          <t>GÄVLEBORGS LÄN</t>
        </is>
      </c>
      <c r="E5242" t="inlineStr">
        <is>
          <t>HUDIKSVALL</t>
        </is>
      </c>
      <c r="G5242" t="n">
        <v>5.4</v>
      </c>
      <c r="H5242" t="n">
        <v>0</v>
      </c>
      <c r="I5242" t="n">
        <v>0</v>
      </c>
      <c r="J5242" t="n">
        <v>0</v>
      </c>
      <c r="K5242" t="n">
        <v>0</v>
      </c>
      <c r="L5242" t="n">
        <v>0</v>
      </c>
      <c r="M5242" t="n">
        <v>0</v>
      </c>
      <c r="N5242" t="n">
        <v>0</v>
      </c>
      <c r="O5242" t="n">
        <v>0</v>
      </c>
      <c r="P5242" t="n">
        <v>0</v>
      </c>
      <c r="Q5242" t="n">
        <v>0</v>
      </c>
      <c r="R5242" s="2" t="inlineStr"/>
    </row>
    <row r="5243" ht="15" customHeight="1">
      <c r="A5243" t="inlineStr">
        <is>
          <t>A 25447-2022</t>
        </is>
      </c>
      <c r="B5243" s="1" t="n">
        <v>44732</v>
      </c>
      <c r="C5243" s="1" t="n">
        <v>45344</v>
      </c>
      <c r="D5243" t="inlineStr">
        <is>
          <t>GÄVLEBORGS LÄN</t>
        </is>
      </c>
      <c r="E5243" t="inlineStr">
        <is>
          <t>LJUSDAL</t>
        </is>
      </c>
      <c r="F5243" t="inlineStr">
        <is>
          <t>Sveaskog</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25453-2022</t>
        </is>
      </c>
      <c r="B5244" s="1" t="n">
        <v>44732</v>
      </c>
      <c r="C5244" s="1" t="n">
        <v>45344</v>
      </c>
      <c r="D5244" t="inlineStr">
        <is>
          <t>GÄVLEBORGS LÄN</t>
        </is>
      </c>
      <c r="E5244" t="inlineStr">
        <is>
          <t>OCKELBO</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25460-2022</t>
        </is>
      </c>
      <c r="B5245" s="1" t="n">
        <v>44732</v>
      </c>
      <c r="C5245" s="1" t="n">
        <v>45344</v>
      </c>
      <c r="D5245" t="inlineStr">
        <is>
          <t>GÄVLEBORGS LÄN</t>
        </is>
      </c>
      <c r="E5245" t="inlineStr">
        <is>
          <t>NORDANSTIG</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25415-2022</t>
        </is>
      </c>
      <c r="B5246" s="1" t="n">
        <v>44732</v>
      </c>
      <c r="C5246" s="1" t="n">
        <v>45344</v>
      </c>
      <c r="D5246" t="inlineStr">
        <is>
          <t>GÄVLEBORGS LÄN</t>
        </is>
      </c>
      <c r="E5246" t="inlineStr">
        <is>
          <t>LJUSDAL</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25629-2022</t>
        </is>
      </c>
      <c r="B5247" s="1" t="n">
        <v>44733</v>
      </c>
      <c r="C5247" s="1" t="n">
        <v>45344</v>
      </c>
      <c r="D5247" t="inlineStr">
        <is>
          <t>GÄVLEBORGS LÄN</t>
        </is>
      </c>
      <c r="E5247" t="inlineStr">
        <is>
          <t>BOLLNÄS</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25633-2022</t>
        </is>
      </c>
      <c r="B5248" s="1" t="n">
        <v>44732</v>
      </c>
      <c r="C5248" s="1" t="n">
        <v>45344</v>
      </c>
      <c r="D5248" t="inlineStr">
        <is>
          <t>GÄVLEBORGS LÄN</t>
        </is>
      </c>
      <c r="E5248" t="inlineStr">
        <is>
          <t>BOLLNÄS</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25632-2022</t>
        </is>
      </c>
      <c r="B5249" s="1" t="n">
        <v>44733</v>
      </c>
      <c r="C5249" s="1" t="n">
        <v>45344</v>
      </c>
      <c r="D5249" t="inlineStr">
        <is>
          <t>GÄVLEBORGS LÄN</t>
        </is>
      </c>
      <c r="E5249" t="inlineStr">
        <is>
          <t>BOLLNÄS</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25640-2022</t>
        </is>
      </c>
      <c r="B5250" s="1" t="n">
        <v>44732</v>
      </c>
      <c r="C5250" s="1" t="n">
        <v>45344</v>
      </c>
      <c r="D5250" t="inlineStr">
        <is>
          <t>GÄVLEBORGS LÄN</t>
        </is>
      </c>
      <c r="E5250" t="inlineStr">
        <is>
          <t>SÖDERHAMN</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25631-2022</t>
        </is>
      </c>
      <c r="B5251" s="1" t="n">
        <v>44732</v>
      </c>
      <c r="C5251" s="1" t="n">
        <v>45344</v>
      </c>
      <c r="D5251" t="inlineStr">
        <is>
          <t>GÄVLEBORGS LÄN</t>
        </is>
      </c>
      <c r="E5251" t="inlineStr">
        <is>
          <t>BOLLNÄS</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25638-2022</t>
        </is>
      </c>
      <c r="B5252" s="1" t="n">
        <v>44733</v>
      </c>
      <c r="C5252" s="1" t="n">
        <v>45344</v>
      </c>
      <c r="D5252" t="inlineStr">
        <is>
          <t>GÄVLEBORGS LÄN</t>
        </is>
      </c>
      <c r="E5252" t="inlineStr">
        <is>
          <t>LJUSDAL</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25630-2022</t>
        </is>
      </c>
      <c r="B5253" s="1" t="n">
        <v>44733</v>
      </c>
      <c r="C5253" s="1" t="n">
        <v>45344</v>
      </c>
      <c r="D5253" t="inlineStr">
        <is>
          <t>GÄVLEBORGS LÄN</t>
        </is>
      </c>
      <c r="E5253" t="inlineStr">
        <is>
          <t>LJUSDAL</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25634-2022</t>
        </is>
      </c>
      <c r="B5254" s="1" t="n">
        <v>44733</v>
      </c>
      <c r="C5254" s="1" t="n">
        <v>45344</v>
      </c>
      <c r="D5254" t="inlineStr">
        <is>
          <t>GÄVLEBORGS LÄN</t>
        </is>
      </c>
      <c r="E5254" t="inlineStr">
        <is>
          <t>LJUSDAL</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25722-2022</t>
        </is>
      </c>
      <c r="B5255" s="1" t="n">
        <v>44733</v>
      </c>
      <c r="C5255" s="1" t="n">
        <v>45344</v>
      </c>
      <c r="D5255" t="inlineStr">
        <is>
          <t>GÄVLEBORGS LÄN</t>
        </is>
      </c>
      <c r="E5255" t="inlineStr">
        <is>
          <t>GÄVLE</t>
        </is>
      </c>
      <c r="F5255" t="inlineStr">
        <is>
          <t>Bergvik skog öst AB</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25684-2022</t>
        </is>
      </c>
      <c r="B5256" s="1" t="n">
        <v>44733</v>
      </c>
      <c r="C5256" s="1" t="n">
        <v>45344</v>
      </c>
      <c r="D5256" t="inlineStr">
        <is>
          <t>GÄVLEBORGS LÄN</t>
        </is>
      </c>
      <c r="E5256" t="inlineStr">
        <is>
          <t>SANDVIKEN</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25768-2022</t>
        </is>
      </c>
      <c r="B5257" s="1" t="n">
        <v>44733</v>
      </c>
      <c r="C5257" s="1" t="n">
        <v>45344</v>
      </c>
      <c r="D5257" t="inlineStr">
        <is>
          <t>GÄVLEBORGS LÄN</t>
        </is>
      </c>
      <c r="E5257" t="inlineStr">
        <is>
          <t>GÄVLE</t>
        </is>
      </c>
      <c r="F5257" t="inlineStr">
        <is>
          <t>Bergvik skog öst AB</t>
        </is>
      </c>
      <c r="G5257" t="n">
        <v>3</v>
      </c>
      <c r="H5257" t="n">
        <v>0</v>
      </c>
      <c r="I5257" t="n">
        <v>0</v>
      </c>
      <c r="J5257" t="n">
        <v>0</v>
      </c>
      <c r="K5257" t="n">
        <v>0</v>
      </c>
      <c r="L5257" t="n">
        <v>0</v>
      </c>
      <c r="M5257" t="n">
        <v>0</v>
      </c>
      <c r="N5257" t="n">
        <v>0</v>
      </c>
      <c r="O5257" t="n">
        <v>0</v>
      </c>
      <c r="P5257" t="n">
        <v>0</v>
      </c>
      <c r="Q5257" t="n">
        <v>0</v>
      </c>
      <c r="R5257" s="2" t="inlineStr"/>
    </row>
    <row r="5258" ht="15" customHeight="1">
      <c r="A5258" t="inlineStr">
        <is>
          <t>A 25774-2022</t>
        </is>
      </c>
      <c r="B5258" s="1" t="n">
        <v>44733</v>
      </c>
      <c r="C5258" s="1" t="n">
        <v>45344</v>
      </c>
      <c r="D5258" t="inlineStr">
        <is>
          <t>GÄVLEBORGS LÄN</t>
        </is>
      </c>
      <c r="E5258" t="inlineStr">
        <is>
          <t>GÄVLE</t>
        </is>
      </c>
      <c r="F5258" t="inlineStr">
        <is>
          <t>Bergvik skog öst AB</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25941-2022</t>
        </is>
      </c>
      <c r="B5259" s="1" t="n">
        <v>44734</v>
      </c>
      <c r="C5259" s="1" t="n">
        <v>45344</v>
      </c>
      <c r="D5259" t="inlineStr">
        <is>
          <t>GÄVLEBORGS LÄN</t>
        </is>
      </c>
      <c r="E5259" t="inlineStr">
        <is>
          <t>SANDVIKEN</t>
        </is>
      </c>
      <c r="F5259" t="inlineStr">
        <is>
          <t>Sveaskog</t>
        </is>
      </c>
      <c r="G5259" t="n">
        <v>13.5</v>
      </c>
      <c r="H5259" t="n">
        <v>0</v>
      </c>
      <c r="I5259" t="n">
        <v>0</v>
      </c>
      <c r="J5259" t="n">
        <v>0</v>
      </c>
      <c r="K5259" t="n">
        <v>0</v>
      </c>
      <c r="L5259" t="n">
        <v>0</v>
      </c>
      <c r="M5259" t="n">
        <v>0</v>
      </c>
      <c r="N5259" t="n">
        <v>0</v>
      </c>
      <c r="O5259" t="n">
        <v>0</v>
      </c>
      <c r="P5259" t="n">
        <v>0</v>
      </c>
      <c r="Q5259" t="n">
        <v>0</v>
      </c>
      <c r="R5259" s="2" t="inlineStr"/>
    </row>
    <row r="5260" ht="15" customHeight="1">
      <c r="A5260" t="inlineStr">
        <is>
          <t>A 25938-2022</t>
        </is>
      </c>
      <c r="B5260" s="1" t="n">
        <v>44734</v>
      </c>
      <c r="C5260" s="1" t="n">
        <v>45344</v>
      </c>
      <c r="D5260" t="inlineStr">
        <is>
          <t>GÄVLEBORGS LÄN</t>
        </is>
      </c>
      <c r="E5260" t="inlineStr">
        <is>
          <t>GÄVLE</t>
        </is>
      </c>
      <c r="G5260" t="n">
        <v>4.1</v>
      </c>
      <c r="H5260" t="n">
        <v>0</v>
      </c>
      <c r="I5260" t="n">
        <v>0</v>
      </c>
      <c r="J5260" t="n">
        <v>0</v>
      </c>
      <c r="K5260" t="n">
        <v>0</v>
      </c>
      <c r="L5260" t="n">
        <v>0</v>
      </c>
      <c r="M5260" t="n">
        <v>0</v>
      </c>
      <c r="N5260" t="n">
        <v>0</v>
      </c>
      <c r="O5260" t="n">
        <v>0</v>
      </c>
      <c r="P5260" t="n">
        <v>0</v>
      </c>
      <c r="Q5260" t="n">
        <v>0</v>
      </c>
      <c r="R5260" s="2" t="inlineStr"/>
    </row>
    <row r="5261" ht="15" customHeight="1">
      <c r="A5261" t="inlineStr">
        <is>
          <t>A 26113-2022</t>
        </is>
      </c>
      <c r="B5261" s="1" t="n">
        <v>44734</v>
      </c>
      <c r="C5261" s="1" t="n">
        <v>45344</v>
      </c>
      <c r="D5261" t="inlineStr">
        <is>
          <t>GÄVLEBORGS LÄN</t>
        </is>
      </c>
      <c r="E5261" t="inlineStr">
        <is>
          <t>NORDANSTIG</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26249-2022</t>
        </is>
      </c>
      <c r="B5262" s="1" t="n">
        <v>44735</v>
      </c>
      <c r="C5262" s="1" t="n">
        <v>45344</v>
      </c>
      <c r="D5262" t="inlineStr">
        <is>
          <t>GÄVLEBORGS LÄN</t>
        </is>
      </c>
      <c r="E5262" t="inlineStr">
        <is>
          <t>GÄVLE</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26304-2022</t>
        </is>
      </c>
      <c r="B5263" s="1" t="n">
        <v>44735</v>
      </c>
      <c r="C5263" s="1" t="n">
        <v>45344</v>
      </c>
      <c r="D5263" t="inlineStr">
        <is>
          <t>GÄVLEBORGS LÄN</t>
        </is>
      </c>
      <c r="E5263" t="inlineStr">
        <is>
          <t>BOLLNÄS</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26157-2022</t>
        </is>
      </c>
      <c r="B5264" s="1" t="n">
        <v>44735</v>
      </c>
      <c r="C5264" s="1" t="n">
        <v>45344</v>
      </c>
      <c r="D5264" t="inlineStr">
        <is>
          <t>GÄVLEBORGS LÄN</t>
        </is>
      </c>
      <c r="E5264" t="inlineStr">
        <is>
          <t>GÄVLE</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26336-2022</t>
        </is>
      </c>
      <c r="B5265" s="1" t="n">
        <v>44735</v>
      </c>
      <c r="C5265" s="1" t="n">
        <v>45344</v>
      </c>
      <c r="D5265" t="inlineStr">
        <is>
          <t>GÄVLEBORGS LÄN</t>
        </is>
      </c>
      <c r="E5265" t="inlineStr">
        <is>
          <t>GÄVLE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26150-2022</t>
        </is>
      </c>
      <c r="B5266" s="1" t="n">
        <v>44735</v>
      </c>
      <c r="C5266" s="1" t="n">
        <v>45344</v>
      </c>
      <c r="D5266" t="inlineStr">
        <is>
          <t>GÄVLEBORGS LÄN</t>
        </is>
      </c>
      <c r="E5266" t="inlineStr">
        <is>
          <t>OCKELBO</t>
        </is>
      </c>
      <c r="F5266" t="inlineStr">
        <is>
          <t>Bergvik skog väst AB</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26228-2022</t>
        </is>
      </c>
      <c r="B5267" s="1" t="n">
        <v>44735</v>
      </c>
      <c r="C5267" s="1" t="n">
        <v>45344</v>
      </c>
      <c r="D5267" t="inlineStr">
        <is>
          <t>GÄVLEBORGS LÄN</t>
        </is>
      </c>
      <c r="E5267" t="inlineStr">
        <is>
          <t>LJUSDAL</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26271-2022</t>
        </is>
      </c>
      <c r="B5268" s="1" t="n">
        <v>44735</v>
      </c>
      <c r="C5268" s="1" t="n">
        <v>45344</v>
      </c>
      <c r="D5268" t="inlineStr">
        <is>
          <t>GÄVLEBORGS LÄN</t>
        </is>
      </c>
      <c r="E5268" t="inlineStr">
        <is>
          <t>LJUSDAL</t>
        </is>
      </c>
      <c r="F5268" t="inlineStr">
        <is>
          <t>Sveaskog</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26152-2022</t>
        </is>
      </c>
      <c r="B5269" s="1" t="n">
        <v>44735</v>
      </c>
      <c r="C5269" s="1" t="n">
        <v>45344</v>
      </c>
      <c r="D5269" t="inlineStr">
        <is>
          <t>GÄVLEBORGS LÄN</t>
        </is>
      </c>
      <c r="E5269" t="inlineStr">
        <is>
          <t>OCKELBO</t>
        </is>
      </c>
      <c r="F5269" t="inlineStr">
        <is>
          <t>Bergvik skog väst AB</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26176-2022</t>
        </is>
      </c>
      <c r="B5270" s="1" t="n">
        <v>44735</v>
      </c>
      <c r="C5270" s="1" t="n">
        <v>45344</v>
      </c>
      <c r="D5270" t="inlineStr">
        <is>
          <t>GÄVLEBORGS LÄN</t>
        </is>
      </c>
      <c r="E5270" t="inlineStr">
        <is>
          <t>LJUSDAL</t>
        </is>
      </c>
      <c r="F5270" t="inlineStr">
        <is>
          <t>Naturvårdsverket</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26301-2022</t>
        </is>
      </c>
      <c r="B5271" s="1" t="n">
        <v>44735</v>
      </c>
      <c r="C5271" s="1" t="n">
        <v>45344</v>
      </c>
      <c r="D5271" t="inlineStr">
        <is>
          <t>GÄVLEBORGS LÄN</t>
        </is>
      </c>
      <c r="E5271" t="inlineStr">
        <is>
          <t>BOLLNÄS</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26334-2022</t>
        </is>
      </c>
      <c r="B5272" s="1" t="n">
        <v>44735</v>
      </c>
      <c r="C5272" s="1" t="n">
        <v>45344</v>
      </c>
      <c r="D5272" t="inlineStr">
        <is>
          <t>GÄVLEBORGS LÄN</t>
        </is>
      </c>
      <c r="E5272" t="inlineStr">
        <is>
          <t>GÄVLE</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26349-2022</t>
        </is>
      </c>
      <c r="B5273" s="1" t="n">
        <v>44735</v>
      </c>
      <c r="C5273" s="1" t="n">
        <v>45344</v>
      </c>
      <c r="D5273" t="inlineStr">
        <is>
          <t>GÄVLEBORGS LÄN</t>
        </is>
      </c>
      <c r="E5273" t="inlineStr">
        <is>
          <t>GÄVLE</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26554-2022</t>
        </is>
      </c>
      <c r="B5274" s="1" t="n">
        <v>44739</v>
      </c>
      <c r="C5274" s="1" t="n">
        <v>45344</v>
      </c>
      <c r="D5274" t="inlineStr">
        <is>
          <t>GÄVLEBORGS LÄN</t>
        </is>
      </c>
      <c r="E5274" t="inlineStr">
        <is>
          <t>SÖDERHAMN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26564-2022</t>
        </is>
      </c>
      <c r="B5275" s="1" t="n">
        <v>44739</v>
      </c>
      <c r="C5275" s="1" t="n">
        <v>45344</v>
      </c>
      <c r="D5275" t="inlineStr">
        <is>
          <t>GÄVLEBORGS LÄN</t>
        </is>
      </c>
      <c r="E5275" t="inlineStr">
        <is>
          <t>GÄVLE</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26651-2022</t>
        </is>
      </c>
      <c r="B5276" s="1" t="n">
        <v>44739</v>
      </c>
      <c r="C5276" s="1" t="n">
        <v>45344</v>
      </c>
      <c r="D5276" t="inlineStr">
        <is>
          <t>GÄVLEBORGS LÄN</t>
        </is>
      </c>
      <c r="E5276" t="inlineStr">
        <is>
          <t>HUDIKSVALL</t>
        </is>
      </c>
      <c r="F5276" t="inlineStr">
        <is>
          <t>Naturvårdsverket</t>
        </is>
      </c>
      <c r="G5276" t="n">
        <v>14.7</v>
      </c>
      <c r="H5276" t="n">
        <v>0</v>
      </c>
      <c r="I5276" t="n">
        <v>0</v>
      </c>
      <c r="J5276" t="n">
        <v>0</v>
      </c>
      <c r="K5276" t="n">
        <v>0</v>
      </c>
      <c r="L5276" t="n">
        <v>0</v>
      </c>
      <c r="M5276" t="n">
        <v>0</v>
      </c>
      <c r="N5276" t="n">
        <v>0</v>
      </c>
      <c r="O5276" t="n">
        <v>0</v>
      </c>
      <c r="P5276" t="n">
        <v>0</v>
      </c>
      <c r="Q5276" t="n">
        <v>0</v>
      </c>
      <c r="R5276" s="2" t="inlineStr"/>
    </row>
    <row r="5277" ht="15" customHeight="1">
      <c r="A5277" t="inlineStr">
        <is>
          <t>A 26711-2022</t>
        </is>
      </c>
      <c r="B5277" s="1" t="n">
        <v>44739</v>
      </c>
      <c r="C5277" s="1" t="n">
        <v>45344</v>
      </c>
      <c r="D5277" t="inlineStr">
        <is>
          <t>GÄVLEBORGS LÄN</t>
        </is>
      </c>
      <c r="E5277" t="inlineStr">
        <is>
          <t>SANDVIKEN</t>
        </is>
      </c>
      <c r="F5277" t="inlineStr">
        <is>
          <t>Sveaskog</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26547-2022</t>
        </is>
      </c>
      <c r="B5278" s="1" t="n">
        <v>44739</v>
      </c>
      <c r="C5278" s="1" t="n">
        <v>45344</v>
      </c>
      <c r="D5278" t="inlineStr">
        <is>
          <t>GÄVLEBORGS LÄN</t>
        </is>
      </c>
      <c r="E5278" t="inlineStr">
        <is>
          <t>NORDANSTIG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26728-2022</t>
        </is>
      </c>
      <c r="B5279" s="1" t="n">
        <v>44740</v>
      </c>
      <c r="C5279" s="1" t="n">
        <v>45344</v>
      </c>
      <c r="D5279" t="inlineStr">
        <is>
          <t>GÄVLEBORGS LÄN</t>
        </is>
      </c>
      <c r="E5279" t="inlineStr">
        <is>
          <t>NORDANSTIG</t>
        </is>
      </c>
      <c r="G5279" t="n">
        <v>6.5</v>
      </c>
      <c r="H5279" t="n">
        <v>0</v>
      </c>
      <c r="I5279" t="n">
        <v>0</v>
      </c>
      <c r="J5279" t="n">
        <v>0</v>
      </c>
      <c r="K5279" t="n">
        <v>0</v>
      </c>
      <c r="L5279" t="n">
        <v>0</v>
      </c>
      <c r="M5279" t="n">
        <v>0</v>
      </c>
      <c r="N5279" t="n">
        <v>0</v>
      </c>
      <c r="O5279" t="n">
        <v>0</v>
      </c>
      <c r="P5279" t="n">
        <v>0</v>
      </c>
      <c r="Q5279" t="n">
        <v>0</v>
      </c>
      <c r="R5279" s="2" t="inlineStr"/>
    </row>
    <row r="5280" ht="15" customHeight="1">
      <c r="A5280" t="inlineStr">
        <is>
          <t>A 26821-2022</t>
        </is>
      </c>
      <c r="B5280" s="1" t="n">
        <v>44740</v>
      </c>
      <c r="C5280" s="1" t="n">
        <v>45344</v>
      </c>
      <c r="D5280" t="inlineStr">
        <is>
          <t>GÄVLEBORGS LÄN</t>
        </is>
      </c>
      <c r="E5280" t="inlineStr">
        <is>
          <t>OVANÅKER</t>
        </is>
      </c>
      <c r="F5280" t="inlineStr">
        <is>
          <t>Bergvik skog väst AB</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26939-2022</t>
        </is>
      </c>
      <c r="B5281" s="1" t="n">
        <v>44740</v>
      </c>
      <c r="C5281" s="1" t="n">
        <v>45344</v>
      </c>
      <c r="D5281" t="inlineStr">
        <is>
          <t>GÄVLEBORGS LÄN</t>
        </is>
      </c>
      <c r="E5281" t="inlineStr">
        <is>
          <t>SÖDERHAMN</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26941-2022</t>
        </is>
      </c>
      <c r="B5282" s="1" t="n">
        <v>44740</v>
      </c>
      <c r="C5282" s="1" t="n">
        <v>45344</v>
      </c>
      <c r="D5282" t="inlineStr">
        <is>
          <t>GÄVLEBORGS LÄN</t>
        </is>
      </c>
      <c r="E5282" t="inlineStr">
        <is>
          <t>BOLLNÄS</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26940-2022</t>
        </is>
      </c>
      <c r="B5283" s="1" t="n">
        <v>44740</v>
      </c>
      <c r="C5283" s="1" t="n">
        <v>45344</v>
      </c>
      <c r="D5283" t="inlineStr">
        <is>
          <t>GÄVLEBORGS LÄN</t>
        </is>
      </c>
      <c r="E5283" t="inlineStr">
        <is>
          <t>SÖDERHAMN</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26955-2022</t>
        </is>
      </c>
      <c r="B5284" s="1" t="n">
        <v>44740</v>
      </c>
      <c r="C5284" s="1" t="n">
        <v>45344</v>
      </c>
      <c r="D5284" t="inlineStr">
        <is>
          <t>GÄVLEBORGS LÄN</t>
        </is>
      </c>
      <c r="E5284" t="inlineStr">
        <is>
          <t>LJUSDAL</t>
        </is>
      </c>
      <c r="F5284" t="inlineStr">
        <is>
          <t>Holmen skog AB</t>
        </is>
      </c>
      <c r="G5284" t="n">
        <v>0.8</v>
      </c>
      <c r="H5284" t="n">
        <v>0</v>
      </c>
      <c r="I5284" t="n">
        <v>0</v>
      </c>
      <c r="J5284" t="n">
        <v>0</v>
      </c>
      <c r="K5284" t="n">
        <v>0</v>
      </c>
      <c r="L5284" t="n">
        <v>0</v>
      </c>
      <c r="M5284" t="n">
        <v>0</v>
      </c>
      <c r="N5284" t="n">
        <v>0</v>
      </c>
      <c r="O5284" t="n">
        <v>0</v>
      </c>
      <c r="P5284" t="n">
        <v>0</v>
      </c>
      <c r="Q5284" t="n">
        <v>0</v>
      </c>
      <c r="R5284" s="2" t="inlineStr"/>
    </row>
    <row r="5285" ht="15" customHeight="1">
      <c r="A5285" t="inlineStr">
        <is>
          <t>A 26976-2022</t>
        </is>
      </c>
      <c r="B5285" s="1" t="n">
        <v>44740</v>
      </c>
      <c r="C5285" s="1" t="n">
        <v>45344</v>
      </c>
      <c r="D5285" t="inlineStr">
        <is>
          <t>GÄVLEBORGS LÄN</t>
        </is>
      </c>
      <c r="E5285" t="inlineStr">
        <is>
          <t>LJUSDAL</t>
        </is>
      </c>
      <c r="F5285" t="inlineStr">
        <is>
          <t>Holmen skog AB</t>
        </is>
      </c>
      <c r="G5285" t="n">
        <v>10.8</v>
      </c>
      <c r="H5285" t="n">
        <v>0</v>
      </c>
      <c r="I5285" t="n">
        <v>0</v>
      </c>
      <c r="J5285" t="n">
        <v>0</v>
      </c>
      <c r="K5285" t="n">
        <v>0</v>
      </c>
      <c r="L5285" t="n">
        <v>0</v>
      </c>
      <c r="M5285" t="n">
        <v>0</v>
      </c>
      <c r="N5285" t="n">
        <v>0</v>
      </c>
      <c r="O5285" t="n">
        <v>0</v>
      </c>
      <c r="P5285" t="n">
        <v>0</v>
      </c>
      <c r="Q5285" t="n">
        <v>0</v>
      </c>
      <c r="R5285" s="2" t="inlineStr"/>
      <c r="U5285">
        <f>HYPERLINK("https://klasma.github.io/Logging_2161/knärot/A 26976-2022 karta knärot.png", "A 26976-2022")</f>
        <v/>
      </c>
      <c r="V5285">
        <f>HYPERLINK("https://klasma.github.io/Logging_2161/klagomål/A 26976-2022 FSC-klagomål.docx", "A 26976-2022")</f>
        <v/>
      </c>
      <c r="W5285">
        <f>HYPERLINK("https://klasma.github.io/Logging_2161/klagomålsmail/A 26976-2022 FSC-klagomål mail.docx", "A 26976-2022")</f>
        <v/>
      </c>
      <c r="X5285">
        <f>HYPERLINK("https://klasma.github.io/Logging_2161/tillsyn/A 26976-2022 tillsynsbegäran.docx", "A 26976-2022")</f>
        <v/>
      </c>
      <c r="Y5285">
        <f>HYPERLINK("https://klasma.github.io/Logging_2161/tillsynsmail/A 26976-2022 tillsynsbegäran mail.docx", "A 26976-2022")</f>
        <v/>
      </c>
    </row>
    <row r="5286" ht="15" customHeight="1">
      <c r="A5286" t="inlineStr">
        <is>
          <t>A 26953-2022</t>
        </is>
      </c>
      <c r="B5286" s="1" t="n">
        <v>44740</v>
      </c>
      <c r="C5286" s="1" t="n">
        <v>45344</v>
      </c>
      <c r="D5286" t="inlineStr">
        <is>
          <t>GÄVLEBORGS LÄN</t>
        </is>
      </c>
      <c r="E5286" t="inlineStr">
        <is>
          <t>OVANÅKER</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26978-2022</t>
        </is>
      </c>
      <c r="B5287" s="1" t="n">
        <v>44740</v>
      </c>
      <c r="C5287" s="1" t="n">
        <v>45344</v>
      </c>
      <c r="D5287" t="inlineStr">
        <is>
          <t>GÄVLEBORGS LÄN</t>
        </is>
      </c>
      <c r="E5287" t="inlineStr">
        <is>
          <t>SÖDERHAMN</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27182-2022</t>
        </is>
      </c>
      <c r="B5288" s="1" t="n">
        <v>44741</v>
      </c>
      <c r="C5288" s="1" t="n">
        <v>45344</v>
      </c>
      <c r="D5288" t="inlineStr">
        <is>
          <t>GÄVLEBORGS LÄN</t>
        </is>
      </c>
      <c r="E5288" t="inlineStr">
        <is>
          <t>GÄVLE</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27060-2022</t>
        </is>
      </c>
      <c r="B5289" s="1" t="n">
        <v>44741</v>
      </c>
      <c r="C5289" s="1" t="n">
        <v>45344</v>
      </c>
      <c r="D5289" t="inlineStr">
        <is>
          <t>GÄVLEBORGS LÄN</t>
        </is>
      </c>
      <c r="E5289" t="inlineStr">
        <is>
          <t>HUDIKSVALL</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27051-2022</t>
        </is>
      </c>
      <c r="B5290" s="1" t="n">
        <v>44741</v>
      </c>
      <c r="C5290" s="1" t="n">
        <v>45344</v>
      </c>
      <c r="D5290" t="inlineStr">
        <is>
          <t>GÄVLEBORGS LÄN</t>
        </is>
      </c>
      <c r="E5290" t="inlineStr">
        <is>
          <t>HUDIKSVALL</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27247-2022</t>
        </is>
      </c>
      <c r="B5291" s="1" t="n">
        <v>44741</v>
      </c>
      <c r="C5291" s="1" t="n">
        <v>45344</v>
      </c>
      <c r="D5291" t="inlineStr">
        <is>
          <t>GÄVLEBORGS LÄN</t>
        </is>
      </c>
      <c r="E5291" t="inlineStr">
        <is>
          <t>LJUSDAL</t>
        </is>
      </c>
      <c r="F5291" t="inlineStr">
        <is>
          <t>Sveaskog</t>
        </is>
      </c>
      <c r="G5291" t="n">
        <v>11.7</v>
      </c>
      <c r="H5291" t="n">
        <v>0</v>
      </c>
      <c r="I5291" t="n">
        <v>0</v>
      </c>
      <c r="J5291" t="n">
        <v>0</v>
      </c>
      <c r="K5291" t="n">
        <v>0</v>
      </c>
      <c r="L5291" t="n">
        <v>0</v>
      </c>
      <c r="M5291" t="n">
        <v>0</v>
      </c>
      <c r="N5291" t="n">
        <v>0</v>
      </c>
      <c r="O5291" t="n">
        <v>0</v>
      </c>
      <c r="P5291" t="n">
        <v>0</v>
      </c>
      <c r="Q5291" t="n">
        <v>0</v>
      </c>
      <c r="R5291" s="2" t="inlineStr"/>
    </row>
    <row r="5292" ht="15" customHeight="1">
      <c r="A5292" t="inlineStr">
        <is>
          <t>A 27276-2022</t>
        </is>
      </c>
      <c r="B5292" s="1" t="n">
        <v>44742</v>
      </c>
      <c r="C5292" s="1" t="n">
        <v>45344</v>
      </c>
      <c r="D5292" t="inlineStr">
        <is>
          <t>GÄVLEBORGS LÄN</t>
        </is>
      </c>
      <c r="E5292" t="inlineStr">
        <is>
          <t>NORDANSTIG</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27248-2022</t>
        </is>
      </c>
      <c r="B5293" s="1" t="n">
        <v>44741</v>
      </c>
      <c r="C5293" s="1" t="n">
        <v>45344</v>
      </c>
      <c r="D5293" t="inlineStr">
        <is>
          <t>GÄVLEBORGS LÄN</t>
        </is>
      </c>
      <c r="E5293" t="inlineStr">
        <is>
          <t>LJUSDAL</t>
        </is>
      </c>
      <c r="F5293" t="inlineStr">
        <is>
          <t>Sveaskog</t>
        </is>
      </c>
      <c r="G5293" t="n">
        <v>5.5</v>
      </c>
      <c r="H5293" t="n">
        <v>0</v>
      </c>
      <c r="I5293" t="n">
        <v>0</v>
      </c>
      <c r="J5293" t="n">
        <v>0</v>
      </c>
      <c r="K5293" t="n">
        <v>0</v>
      </c>
      <c r="L5293" t="n">
        <v>0</v>
      </c>
      <c r="M5293" t="n">
        <v>0</v>
      </c>
      <c r="N5293" t="n">
        <v>0</v>
      </c>
      <c r="O5293" t="n">
        <v>0</v>
      </c>
      <c r="P5293" t="n">
        <v>0</v>
      </c>
      <c r="Q5293" t="n">
        <v>0</v>
      </c>
      <c r="R5293" s="2" t="inlineStr"/>
    </row>
    <row r="5294" ht="15" customHeight="1">
      <c r="A5294" t="inlineStr">
        <is>
          <t>A 27355-2022</t>
        </is>
      </c>
      <c r="B5294" s="1" t="n">
        <v>44742</v>
      </c>
      <c r="C5294" s="1" t="n">
        <v>45344</v>
      </c>
      <c r="D5294" t="inlineStr">
        <is>
          <t>GÄVLEBORGS LÄN</t>
        </is>
      </c>
      <c r="E5294" t="inlineStr">
        <is>
          <t>GÄVLE</t>
        </is>
      </c>
      <c r="F5294" t="inlineStr">
        <is>
          <t>Bergvik skog öst AB</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27320-2022</t>
        </is>
      </c>
      <c r="B5295" s="1" t="n">
        <v>44742</v>
      </c>
      <c r="C5295" s="1" t="n">
        <v>45344</v>
      </c>
      <c r="D5295" t="inlineStr">
        <is>
          <t>GÄVLEBORGS LÄN</t>
        </is>
      </c>
      <c r="E5295" t="inlineStr">
        <is>
          <t>LJUSDAL</t>
        </is>
      </c>
      <c r="F5295" t="inlineStr">
        <is>
          <t>Holmen skog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27539-2022</t>
        </is>
      </c>
      <c r="B5296" s="1" t="n">
        <v>44742</v>
      </c>
      <c r="C5296" s="1" t="n">
        <v>45344</v>
      </c>
      <c r="D5296" t="inlineStr">
        <is>
          <t>GÄVLEBORGS LÄN</t>
        </is>
      </c>
      <c r="E5296" t="inlineStr">
        <is>
          <t>LJUSDAL</t>
        </is>
      </c>
      <c r="F5296" t="inlineStr">
        <is>
          <t>Holmen skog AB</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27695-2022</t>
        </is>
      </c>
      <c r="B5297" s="1" t="n">
        <v>44743</v>
      </c>
      <c r="C5297" s="1" t="n">
        <v>45344</v>
      </c>
      <c r="D5297" t="inlineStr">
        <is>
          <t>GÄVLEBORGS LÄN</t>
        </is>
      </c>
      <c r="E5297" t="inlineStr">
        <is>
          <t>NORDANSTIG</t>
        </is>
      </c>
      <c r="F5297" t="inlineStr">
        <is>
          <t>Holmen skog AB</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27764-2022</t>
        </is>
      </c>
      <c r="B5298" s="1" t="n">
        <v>44743</v>
      </c>
      <c r="C5298" s="1" t="n">
        <v>45344</v>
      </c>
      <c r="D5298" t="inlineStr">
        <is>
          <t>GÄVLEBORGS LÄN</t>
        </is>
      </c>
      <c r="E5298" t="inlineStr">
        <is>
          <t>LJUSDAL</t>
        </is>
      </c>
      <c r="F5298" t="inlineStr">
        <is>
          <t>Bergvik skog väst AB</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27799-2022</t>
        </is>
      </c>
      <c r="B5299" s="1" t="n">
        <v>44743</v>
      </c>
      <c r="C5299" s="1" t="n">
        <v>45344</v>
      </c>
      <c r="D5299" t="inlineStr">
        <is>
          <t>GÄVLEBORGS LÄN</t>
        </is>
      </c>
      <c r="E5299" t="inlineStr">
        <is>
          <t>LJUSDAL</t>
        </is>
      </c>
      <c r="F5299" t="inlineStr">
        <is>
          <t>Sveaskog</t>
        </is>
      </c>
      <c r="G5299" t="n">
        <v>6.2</v>
      </c>
      <c r="H5299" t="n">
        <v>0</v>
      </c>
      <c r="I5299" t="n">
        <v>0</v>
      </c>
      <c r="J5299" t="n">
        <v>0</v>
      </c>
      <c r="K5299" t="n">
        <v>0</v>
      </c>
      <c r="L5299" t="n">
        <v>0</v>
      </c>
      <c r="M5299" t="n">
        <v>0</v>
      </c>
      <c r="N5299" t="n">
        <v>0</v>
      </c>
      <c r="O5299" t="n">
        <v>0</v>
      </c>
      <c r="P5299" t="n">
        <v>0</v>
      </c>
      <c r="Q5299" t="n">
        <v>0</v>
      </c>
      <c r="R5299" s="2" t="inlineStr"/>
    </row>
    <row r="5300" ht="15" customHeight="1">
      <c r="A5300" t="inlineStr">
        <is>
          <t>A 27809-2022</t>
        </is>
      </c>
      <c r="B5300" s="1" t="n">
        <v>44743</v>
      </c>
      <c r="C5300" s="1" t="n">
        <v>45344</v>
      </c>
      <c r="D5300" t="inlineStr">
        <is>
          <t>GÄVLEBORGS LÄN</t>
        </is>
      </c>
      <c r="E5300" t="inlineStr">
        <is>
          <t>LJUSDAL</t>
        </is>
      </c>
      <c r="F5300" t="inlineStr">
        <is>
          <t>Sveaskog</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27847-2022</t>
        </is>
      </c>
      <c r="B5301" s="1" t="n">
        <v>44743</v>
      </c>
      <c r="C5301" s="1" t="n">
        <v>45344</v>
      </c>
      <c r="D5301" t="inlineStr">
        <is>
          <t>GÄVLEBORGS LÄN</t>
        </is>
      </c>
      <c r="E5301" t="inlineStr">
        <is>
          <t>SANDVIKEN</t>
        </is>
      </c>
      <c r="F5301" t="inlineStr">
        <is>
          <t>Sveaskog</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27768-2022</t>
        </is>
      </c>
      <c r="B5302" s="1" t="n">
        <v>44743</v>
      </c>
      <c r="C5302" s="1" t="n">
        <v>45344</v>
      </c>
      <c r="D5302" t="inlineStr">
        <is>
          <t>GÄVLEBORGS LÄN</t>
        </is>
      </c>
      <c r="E5302" t="inlineStr">
        <is>
          <t>LJUSDAL</t>
        </is>
      </c>
      <c r="F5302" t="inlineStr">
        <is>
          <t>Bergvik skog väst AB</t>
        </is>
      </c>
      <c r="G5302" t="n">
        <v>9</v>
      </c>
      <c r="H5302" t="n">
        <v>0</v>
      </c>
      <c r="I5302" t="n">
        <v>0</v>
      </c>
      <c r="J5302" t="n">
        <v>0</v>
      </c>
      <c r="K5302" t="n">
        <v>0</v>
      </c>
      <c r="L5302" t="n">
        <v>0</v>
      </c>
      <c r="M5302" t="n">
        <v>0</v>
      </c>
      <c r="N5302" t="n">
        <v>0</v>
      </c>
      <c r="O5302" t="n">
        <v>0</v>
      </c>
      <c r="P5302" t="n">
        <v>0</v>
      </c>
      <c r="Q5302" t="n">
        <v>0</v>
      </c>
      <c r="R5302" s="2" t="inlineStr"/>
    </row>
    <row r="5303" ht="15" customHeight="1">
      <c r="A5303" t="inlineStr">
        <is>
          <t>A 27806-2022</t>
        </is>
      </c>
      <c r="B5303" s="1" t="n">
        <v>44743</v>
      </c>
      <c r="C5303" s="1" t="n">
        <v>45344</v>
      </c>
      <c r="D5303" t="inlineStr">
        <is>
          <t>GÄVLEBORGS LÄN</t>
        </is>
      </c>
      <c r="E5303" t="inlineStr">
        <is>
          <t>LJUSDAL</t>
        </is>
      </c>
      <c r="F5303" t="inlineStr">
        <is>
          <t>Sveaskog</t>
        </is>
      </c>
      <c r="G5303" t="n">
        <v>9.699999999999999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27818-2022</t>
        </is>
      </c>
      <c r="B5304" s="1" t="n">
        <v>44743</v>
      </c>
      <c r="C5304" s="1" t="n">
        <v>45344</v>
      </c>
      <c r="D5304" t="inlineStr">
        <is>
          <t>GÄVLEBORGS LÄN</t>
        </is>
      </c>
      <c r="E5304" t="inlineStr">
        <is>
          <t>LJUSDAL</t>
        </is>
      </c>
      <c r="F5304" t="inlineStr">
        <is>
          <t>Sveaskog</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27802-2022</t>
        </is>
      </c>
      <c r="B5305" s="1" t="n">
        <v>44743</v>
      </c>
      <c r="C5305" s="1" t="n">
        <v>45344</v>
      </c>
      <c r="D5305" t="inlineStr">
        <is>
          <t>GÄVLEBORGS LÄN</t>
        </is>
      </c>
      <c r="E5305" t="inlineStr">
        <is>
          <t>LJUSDAL</t>
        </is>
      </c>
      <c r="F5305" t="inlineStr">
        <is>
          <t>Sveaskog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27915-2022</t>
        </is>
      </c>
      <c r="B5306" s="1" t="n">
        <v>44744</v>
      </c>
      <c r="C5306" s="1" t="n">
        <v>45344</v>
      </c>
      <c r="D5306" t="inlineStr">
        <is>
          <t>GÄVLEBORGS LÄN</t>
        </is>
      </c>
      <c r="E5306" t="inlineStr">
        <is>
          <t>LJUSDAL</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27819-2022</t>
        </is>
      </c>
      <c r="B5307" s="1" t="n">
        <v>44743</v>
      </c>
      <c r="C5307" s="1" t="n">
        <v>45344</v>
      </c>
      <c r="D5307" t="inlineStr">
        <is>
          <t>GÄVLEBORGS LÄN</t>
        </is>
      </c>
      <c r="E5307" t="inlineStr">
        <is>
          <t>LJUSDAL</t>
        </is>
      </c>
      <c r="F5307" t="inlineStr">
        <is>
          <t>Sveaskog</t>
        </is>
      </c>
      <c r="G5307" t="n">
        <v>4.2</v>
      </c>
      <c r="H5307" t="n">
        <v>0</v>
      </c>
      <c r="I5307" t="n">
        <v>0</v>
      </c>
      <c r="J5307" t="n">
        <v>0</v>
      </c>
      <c r="K5307" t="n">
        <v>0</v>
      </c>
      <c r="L5307" t="n">
        <v>0</v>
      </c>
      <c r="M5307" t="n">
        <v>0</v>
      </c>
      <c r="N5307" t="n">
        <v>0</v>
      </c>
      <c r="O5307" t="n">
        <v>0</v>
      </c>
      <c r="P5307" t="n">
        <v>0</v>
      </c>
      <c r="Q5307" t="n">
        <v>0</v>
      </c>
      <c r="R5307" s="2" t="inlineStr"/>
    </row>
    <row r="5308" ht="15" customHeight="1">
      <c r="A5308" t="inlineStr">
        <is>
          <t>A 27914-2022</t>
        </is>
      </c>
      <c r="B5308" s="1" t="n">
        <v>44744</v>
      </c>
      <c r="C5308" s="1" t="n">
        <v>45344</v>
      </c>
      <c r="D5308" t="inlineStr">
        <is>
          <t>GÄVLEBORGS LÄN</t>
        </is>
      </c>
      <c r="E5308" t="inlineStr">
        <is>
          <t>LJUSDAL</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27966-2022</t>
        </is>
      </c>
      <c r="B5309" s="1" t="n">
        <v>44744</v>
      </c>
      <c r="C5309" s="1" t="n">
        <v>45344</v>
      </c>
      <c r="D5309" t="inlineStr">
        <is>
          <t>GÄVLEBORGS LÄN</t>
        </is>
      </c>
      <c r="E5309" t="inlineStr">
        <is>
          <t>SANDVIKEN</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27967-2022</t>
        </is>
      </c>
      <c r="B5310" s="1" t="n">
        <v>44744</v>
      </c>
      <c r="C5310" s="1" t="n">
        <v>45344</v>
      </c>
      <c r="D5310" t="inlineStr">
        <is>
          <t>GÄVLEBORGS LÄN</t>
        </is>
      </c>
      <c r="E5310" t="inlineStr">
        <is>
          <t>SANDVIKEN</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28007-2022</t>
        </is>
      </c>
      <c r="B5311" s="1" t="n">
        <v>44746</v>
      </c>
      <c r="C5311" s="1" t="n">
        <v>45344</v>
      </c>
      <c r="D5311" t="inlineStr">
        <is>
          <t>GÄVLEBORGS LÄN</t>
        </is>
      </c>
      <c r="E5311" t="inlineStr">
        <is>
          <t>HUDIKSVALL</t>
        </is>
      </c>
      <c r="F5311" t="inlineStr">
        <is>
          <t>Holmen skog AB</t>
        </is>
      </c>
      <c r="G5311" t="n">
        <v>10</v>
      </c>
      <c r="H5311" t="n">
        <v>0</v>
      </c>
      <c r="I5311" t="n">
        <v>0</v>
      </c>
      <c r="J5311" t="n">
        <v>0</v>
      </c>
      <c r="K5311" t="n">
        <v>0</v>
      </c>
      <c r="L5311" t="n">
        <v>0</v>
      </c>
      <c r="M5311" t="n">
        <v>0</v>
      </c>
      <c r="N5311" t="n">
        <v>0</v>
      </c>
      <c r="O5311" t="n">
        <v>0</v>
      </c>
      <c r="P5311" t="n">
        <v>0</v>
      </c>
      <c r="Q5311" t="n">
        <v>0</v>
      </c>
      <c r="R5311" s="2" t="inlineStr"/>
    </row>
    <row r="5312" ht="15" customHeight="1">
      <c r="A5312" t="inlineStr">
        <is>
          <t>A 28023-2022</t>
        </is>
      </c>
      <c r="B5312" s="1" t="n">
        <v>44746</v>
      </c>
      <c r="C5312" s="1" t="n">
        <v>45344</v>
      </c>
      <c r="D5312" t="inlineStr">
        <is>
          <t>GÄVLEBORGS LÄN</t>
        </is>
      </c>
      <c r="E5312" t="inlineStr">
        <is>
          <t>HUDIKSVALL</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28255-2022</t>
        </is>
      </c>
      <c r="B5313" s="1" t="n">
        <v>44746</v>
      </c>
      <c r="C5313" s="1" t="n">
        <v>45344</v>
      </c>
      <c r="D5313" t="inlineStr">
        <is>
          <t>GÄVLEBORGS LÄN</t>
        </is>
      </c>
      <c r="E5313" t="inlineStr">
        <is>
          <t>LJUSDAL</t>
        </is>
      </c>
      <c r="F5313" t="inlineStr">
        <is>
          <t>Allmännings- och besparingsskogar</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28231-2022</t>
        </is>
      </c>
      <c r="B5314" s="1" t="n">
        <v>44746</v>
      </c>
      <c r="C5314" s="1" t="n">
        <v>45344</v>
      </c>
      <c r="D5314" t="inlineStr">
        <is>
          <t>GÄVLEBORGS LÄN</t>
        </is>
      </c>
      <c r="E5314" t="inlineStr">
        <is>
          <t>OVANÅKER</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28181-2022</t>
        </is>
      </c>
      <c r="B5315" s="1" t="n">
        <v>44746</v>
      </c>
      <c r="C5315" s="1" t="n">
        <v>45344</v>
      </c>
      <c r="D5315" t="inlineStr">
        <is>
          <t>GÄVLEBORGS LÄN</t>
        </is>
      </c>
      <c r="E5315" t="inlineStr">
        <is>
          <t>OCKELBO</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28416-2022</t>
        </is>
      </c>
      <c r="B5316" s="1" t="n">
        <v>44747</v>
      </c>
      <c r="C5316" s="1" t="n">
        <v>45344</v>
      </c>
      <c r="D5316" t="inlineStr">
        <is>
          <t>GÄVLEBORGS LÄN</t>
        </is>
      </c>
      <c r="E5316" t="inlineStr">
        <is>
          <t>OCKELBO</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28454-2022</t>
        </is>
      </c>
      <c r="B5317" s="1" t="n">
        <v>44747</v>
      </c>
      <c r="C5317" s="1" t="n">
        <v>45344</v>
      </c>
      <c r="D5317" t="inlineStr">
        <is>
          <t>GÄVLEBORGS LÄN</t>
        </is>
      </c>
      <c r="E5317" t="inlineStr">
        <is>
          <t>LJUSDAL</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28457-2022</t>
        </is>
      </c>
      <c r="B5318" s="1" t="n">
        <v>44747</v>
      </c>
      <c r="C5318" s="1" t="n">
        <v>45344</v>
      </c>
      <c r="D5318" t="inlineStr">
        <is>
          <t>GÄVLEBORGS LÄN</t>
        </is>
      </c>
      <c r="E5318" t="inlineStr">
        <is>
          <t>LJUSDAL</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28464-2022</t>
        </is>
      </c>
      <c r="B5319" s="1" t="n">
        <v>44747</v>
      </c>
      <c r="C5319" s="1" t="n">
        <v>45344</v>
      </c>
      <c r="D5319" t="inlineStr">
        <is>
          <t>GÄVLEBORGS LÄN</t>
        </is>
      </c>
      <c r="E5319" t="inlineStr">
        <is>
          <t>LJUSDAL</t>
        </is>
      </c>
      <c r="G5319" t="n">
        <v>7.2</v>
      </c>
      <c r="H5319" t="n">
        <v>0</v>
      </c>
      <c r="I5319" t="n">
        <v>0</v>
      </c>
      <c r="J5319" t="n">
        <v>0</v>
      </c>
      <c r="K5319" t="n">
        <v>0</v>
      </c>
      <c r="L5319" t="n">
        <v>0</v>
      </c>
      <c r="M5319" t="n">
        <v>0</v>
      </c>
      <c r="N5319" t="n">
        <v>0</v>
      </c>
      <c r="O5319" t="n">
        <v>0</v>
      </c>
      <c r="P5319" t="n">
        <v>0</v>
      </c>
      <c r="Q5319" t="n">
        <v>0</v>
      </c>
      <c r="R5319" s="2" t="inlineStr"/>
    </row>
    <row r="5320" ht="15" customHeight="1">
      <c r="A5320" t="inlineStr">
        <is>
          <t>A 28455-2022</t>
        </is>
      </c>
      <c r="B5320" s="1" t="n">
        <v>44747</v>
      </c>
      <c r="C5320" s="1" t="n">
        <v>45344</v>
      </c>
      <c r="D5320" t="inlineStr">
        <is>
          <t>GÄVLEBORGS LÄN</t>
        </is>
      </c>
      <c r="E5320" t="inlineStr">
        <is>
          <t>LJUSDAL</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28460-2022</t>
        </is>
      </c>
      <c r="B5321" s="1" t="n">
        <v>44747</v>
      </c>
      <c r="C5321" s="1" t="n">
        <v>45344</v>
      </c>
      <c r="D5321" t="inlineStr">
        <is>
          <t>GÄVLEBORGS LÄN</t>
        </is>
      </c>
      <c r="E5321" t="inlineStr">
        <is>
          <t>LJUSDAL</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28527-2022</t>
        </is>
      </c>
      <c r="B5322" s="1" t="n">
        <v>44748</v>
      </c>
      <c r="C5322" s="1" t="n">
        <v>45344</v>
      </c>
      <c r="D5322" t="inlineStr">
        <is>
          <t>GÄVLEBORGS LÄN</t>
        </is>
      </c>
      <c r="E5322" t="inlineStr">
        <is>
          <t>LJUSDAL</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28628-2022</t>
        </is>
      </c>
      <c r="B5323" s="1" t="n">
        <v>44748</v>
      </c>
      <c r="C5323" s="1" t="n">
        <v>45344</v>
      </c>
      <c r="D5323" t="inlineStr">
        <is>
          <t>GÄVLEBORGS LÄN</t>
        </is>
      </c>
      <c r="E5323" t="inlineStr">
        <is>
          <t>SANDVIKEN</t>
        </is>
      </c>
      <c r="F5323" t="inlineStr">
        <is>
          <t>Sveaskog</t>
        </is>
      </c>
      <c r="G5323" t="n">
        <v>6.1</v>
      </c>
      <c r="H5323" t="n">
        <v>0</v>
      </c>
      <c r="I5323" t="n">
        <v>0</v>
      </c>
      <c r="J5323" t="n">
        <v>0</v>
      </c>
      <c r="K5323" t="n">
        <v>0</v>
      </c>
      <c r="L5323" t="n">
        <v>0</v>
      </c>
      <c r="M5323" t="n">
        <v>0</v>
      </c>
      <c r="N5323" t="n">
        <v>0</v>
      </c>
      <c r="O5323" t="n">
        <v>0</v>
      </c>
      <c r="P5323" t="n">
        <v>0</v>
      </c>
      <c r="Q5323" t="n">
        <v>0</v>
      </c>
      <c r="R5323" s="2" t="inlineStr"/>
    </row>
    <row r="5324" ht="15" customHeight="1">
      <c r="A5324" t="inlineStr">
        <is>
          <t>A 28546-2022</t>
        </is>
      </c>
      <c r="B5324" s="1" t="n">
        <v>44748</v>
      </c>
      <c r="C5324" s="1" t="n">
        <v>45344</v>
      </c>
      <c r="D5324" t="inlineStr">
        <is>
          <t>GÄVLEBORGS LÄN</t>
        </is>
      </c>
      <c r="E5324" t="inlineStr">
        <is>
          <t>HUDIKSVALL</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28553-2022</t>
        </is>
      </c>
      <c r="B5325" s="1" t="n">
        <v>44748</v>
      </c>
      <c r="C5325" s="1" t="n">
        <v>45344</v>
      </c>
      <c r="D5325" t="inlineStr">
        <is>
          <t>GÄVLEBORGS LÄN</t>
        </is>
      </c>
      <c r="E5325" t="inlineStr">
        <is>
          <t>BOLLNÄS</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28648-2022</t>
        </is>
      </c>
      <c r="B5326" s="1" t="n">
        <v>44748</v>
      </c>
      <c r="C5326" s="1" t="n">
        <v>45344</v>
      </c>
      <c r="D5326" t="inlineStr">
        <is>
          <t>GÄVLEBORGS LÄN</t>
        </is>
      </c>
      <c r="E5326" t="inlineStr">
        <is>
          <t>SÖDERHAMN</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28649-2022</t>
        </is>
      </c>
      <c r="B5327" s="1" t="n">
        <v>44748</v>
      </c>
      <c r="C5327" s="1" t="n">
        <v>45344</v>
      </c>
      <c r="D5327" t="inlineStr">
        <is>
          <t>GÄVLEBORGS LÄN</t>
        </is>
      </c>
      <c r="E5327" t="inlineStr">
        <is>
          <t>SÖDERHAMN</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28711-2022</t>
        </is>
      </c>
      <c r="B5328" s="1" t="n">
        <v>44748</v>
      </c>
      <c r="C5328" s="1" t="n">
        <v>45344</v>
      </c>
      <c r="D5328" t="inlineStr">
        <is>
          <t>GÄVLEBORGS LÄN</t>
        </is>
      </c>
      <c r="E5328" t="inlineStr">
        <is>
          <t>NORDANSTIG</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28775-2022</t>
        </is>
      </c>
      <c r="B5329" s="1" t="n">
        <v>44749</v>
      </c>
      <c r="C5329" s="1" t="n">
        <v>45344</v>
      </c>
      <c r="D5329" t="inlineStr">
        <is>
          <t>GÄVLEBORGS LÄN</t>
        </is>
      </c>
      <c r="E5329" t="inlineStr">
        <is>
          <t>OVANÅKER</t>
        </is>
      </c>
      <c r="F5329" t="inlineStr">
        <is>
          <t>Bergvik skog väst AB</t>
        </is>
      </c>
      <c r="G5329" t="n">
        <v>21.9</v>
      </c>
      <c r="H5329" t="n">
        <v>0</v>
      </c>
      <c r="I5329" t="n">
        <v>0</v>
      </c>
      <c r="J5329" t="n">
        <v>0</v>
      </c>
      <c r="K5329" t="n">
        <v>0</v>
      </c>
      <c r="L5329" t="n">
        <v>0</v>
      </c>
      <c r="M5329" t="n">
        <v>0</v>
      </c>
      <c r="N5329" t="n">
        <v>0</v>
      </c>
      <c r="O5329" t="n">
        <v>0</v>
      </c>
      <c r="P5329" t="n">
        <v>0</v>
      </c>
      <c r="Q5329" t="n">
        <v>0</v>
      </c>
      <c r="R5329" s="2" t="inlineStr"/>
    </row>
    <row r="5330" ht="15" customHeight="1">
      <c r="A5330" t="inlineStr">
        <is>
          <t>A 28757-2022</t>
        </is>
      </c>
      <c r="B5330" s="1" t="n">
        <v>44749</v>
      </c>
      <c r="C5330" s="1" t="n">
        <v>45344</v>
      </c>
      <c r="D5330" t="inlineStr">
        <is>
          <t>GÄVLEBORGS LÄN</t>
        </is>
      </c>
      <c r="E5330" t="inlineStr">
        <is>
          <t>GÄVLE</t>
        </is>
      </c>
      <c r="G5330" t="n">
        <v>8.6</v>
      </c>
      <c r="H5330" t="n">
        <v>0</v>
      </c>
      <c r="I5330" t="n">
        <v>0</v>
      </c>
      <c r="J5330" t="n">
        <v>0</v>
      </c>
      <c r="K5330" t="n">
        <v>0</v>
      </c>
      <c r="L5330" t="n">
        <v>0</v>
      </c>
      <c r="M5330" t="n">
        <v>0</v>
      </c>
      <c r="N5330" t="n">
        <v>0</v>
      </c>
      <c r="O5330" t="n">
        <v>0</v>
      </c>
      <c r="P5330" t="n">
        <v>0</v>
      </c>
      <c r="Q5330" t="n">
        <v>0</v>
      </c>
      <c r="R5330" s="2" t="inlineStr"/>
    </row>
    <row r="5331" ht="15" customHeight="1">
      <c r="A5331" t="inlineStr">
        <is>
          <t>A 28841-2022</t>
        </is>
      </c>
      <c r="B5331" s="1" t="n">
        <v>44749</v>
      </c>
      <c r="C5331" s="1" t="n">
        <v>45344</v>
      </c>
      <c r="D5331" t="inlineStr">
        <is>
          <t>GÄVLEBORGS LÄN</t>
        </is>
      </c>
      <c r="E5331" t="inlineStr">
        <is>
          <t>LJUSDAL</t>
        </is>
      </c>
      <c r="F5331" t="inlineStr">
        <is>
          <t>Bergvik skog väst AB</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28846-2022</t>
        </is>
      </c>
      <c r="B5332" s="1" t="n">
        <v>44749</v>
      </c>
      <c r="C5332" s="1" t="n">
        <v>45344</v>
      </c>
      <c r="D5332" t="inlineStr">
        <is>
          <t>GÄVLEBORGS LÄN</t>
        </is>
      </c>
      <c r="E5332" t="inlineStr">
        <is>
          <t>LJUSDAL</t>
        </is>
      </c>
      <c r="F5332" t="inlineStr">
        <is>
          <t>Bergvik skog väst AB</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28858-2022</t>
        </is>
      </c>
      <c r="B5333" s="1" t="n">
        <v>44749</v>
      </c>
      <c r="C5333" s="1" t="n">
        <v>45344</v>
      </c>
      <c r="D5333" t="inlineStr">
        <is>
          <t>GÄVLEBORGS LÄN</t>
        </is>
      </c>
      <c r="E5333" t="inlineStr">
        <is>
          <t>OCKELBO</t>
        </is>
      </c>
      <c r="F5333" t="inlineStr">
        <is>
          <t>Bergvik skog väst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28967-2022</t>
        </is>
      </c>
      <c r="B5334" s="1" t="n">
        <v>44749</v>
      </c>
      <c r="C5334" s="1" t="n">
        <v>45344</v>
      </c>
      <c r="D5334" t="inlineStr">
        <is>
          <t>GÄVLEBORGS LÄN</t>
        </is>
      </c>
      <c r="E5334" t="inlineStr">
        <is>
          <t>HUDIKSVALL</t>
        </is>
      </c>
      <c r="G5334" t="n">
        <v>4.8</v>
      </c>
      <c r="H5334" t="n">
        <v>0</v>
      </c>
      <c r="I5334" t="n">
        <v>0</v>
      </c>
      <c r="J5334" t="n">
        <v>0</v>
      </c>
      <c r="K5334" t="n">
        <v>0</v>
      </c>
      <c r="L5334" t="n">
        <v>0</v>
      </c>
      <c r="M5334" t="n">
        <v>0</v>
      </c>
      <c r="N5334" t="n">
        <v>0</v>
      </c>
      <c r="O5334" t="n">
        <v>0</v>
      </c>
      <c r="P5334" t="n">
        <v>0</v>
      </c>
      <c r="Q5334" t="n">
        <v>0</v>
      </c>
      <c r="R5334" s="2" t="inlineStr"/>
    </row>
    <row r="5335" ht="15" customHeight="1">
      <c r="A5335" t="inlineStr">
        <is>
          <t>A 28979-2022</t>
        </is>
      </c>
      <c r="B5335" s="1" t="n">
        <v>44749</v>
      </c>
      <c r="C5335" s="1" t="n">
        <v>45344</v>
      </c>
      <c r="D5335" t="inlineStr">
        <is>
          <t>GÄVLEBORGS LÄN</t>
        </is>
      </c>
      <c r="E5335" t="inlineStr">
        <is>
          <t>BOLLNÄS</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28981-2022</t>
        </is>
      </c>
      <c r="B5336" s="1" t="n">
        <v>44749</v>
      </c>
      <c r="C5336" s="1" t="n">
        <v>45344</v>
      </c>
      <c r="D5336" t="inlineStr">
        <is>
          <t>GÄVLEBORGS LÄN</t>
        </is>
      </c>
      <c r="E5336" t="inlineStr">
        <is>
          <t>BOLLNÄS</t>
        </is>
      </c>
      <c r="G5336" t="n">
        <v>0.4</v>
      </c>
      <c r="H5336" t="n">
        <v>0</v>
      </c>
      <c r="I5336" t="n">
        <v>0</v>
      </c>
      <c r="J5336" t="n">
        <v>0</v>
      </c>
      <c r="K5336" t="n">
        <v>0</v>
      </c>
      <c r="L5336" t="n">
        <v>0</v>
      </c>
      <c r="M5336" t="n">
        <v>0</v>
      </c>
      <c r="N5336" t="n">
        <v>0</v>
      </c>
      <c r="O5336" t="n">
        <v>0</v>
      </c>
      <c r="P5336" t="n">
        <v>0</v>
      </c>
      <c r="Q5336" t="n">
        <v>0</v>
      </c>
      <c r="R5336" s="2" t="inlineStr"/>
    </row>
    <row r="5337" ht="15" customHeight="1">
      <c r="A5337" t="inlineStr">
        <is>
          <t>A 28870-2022</t>
        </is>
      </c>
      <c r="B5337" s="1" t="n">
        <v>44749</v>
      </c>
      <c r="C5337" s="1" t="n">
        <v>45344</v>
      </c>
      <c r="D5337" t="inlineStr">
        <is>
          <t>GÄVLEBORGS LÄN</t>
        </is>
      </c>
      <c r="E5337" t="inlineStr">
        <is>
          <t>HOFORS</t>
        </is>
      </c>
      <c r="F5337" t="inlineStr">
        <is>
          <t>Sveaskog</t>
        </is>
      </c>
      <c r="G5337" t="n">
        <v>5.8</v>
      </c>
      <c r="H5337" t="n">
        <v>0</v>
      </c>
      <c r="I5337" t="n">
        <v>0</v>
      </c>
      <c r="J5337" t="n">
        <v>0</v>
      </c>
      <c r="K5337" t="n">
        <v>0</v>
      </c>
      <c r="L5337" t="n">
        <v>0</v>
      </c>
      <c r="M5337" t="n">
        <v>0</v>
      </c>
      <c r="N5337" t="n">
        <v>0</v>
      </c>
      <c r="O5337" t="n">
        <v>0</v>
      </c>
      <c r="P5337" t="n">
        <v>0</v>
      </c>
      <c r="Q5337" t="n">
        <v>0</v>
      </c>
      <c r="R5337" s="2" t="inlineStr"/>
    </row>
    <row r="5338" ht="15" customHeight="1">
      <c r="A5338" t="inlineStr">
        <is>
          <t>A 28983-2022</t>
        </is>
      </c>
      <c r="B5338" s="1" t="n">
        <v>44749</v>
      </c>
      <c r="C5338" s="1" t="n">
        <v>45344</v>
      </c>
      <c r="D5338" t="inlineStr">
        <is>
          <t>GÄVLEBORGS LÄN</t>
        </is>
      </c>
      <c r="E5338" t="inlineStr">
        <is>
          <t>BOLLNÄS</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29267-2022</t>
        </is>
      </c>
      <c r="B5339" s="1" t="n">
        <v>44750</v>
      </c>
      <c r="C5339" s="1" t="n">
        <v>45344</v>
      </c>
      <c r="D5339" t="inlineStr">
        <is>
          <t>GÄVLEBORGS LÄN</t>
        </is>
      </c>
      <c r="E5339" t="inlineStr">
        <is>
          <t>LJUSDAL</t>
        </is>
      </c>
      <c r="F5339" t="inlineStr">
        <is>
          <t>Holmen skog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29241-2022</t>
        </is>
      </c>
      <c r="B5340" s="1" t="n">
        <v>44750</v>
      </c>
      <c r="C5340" s="1" t="n">
        <v>45344</v>
      </c>
      <c r="D5340" t="inlineStr">
        <is>
          <t>GÄVLEBORGS LÄN</t>
        </is>
      </c>
      <c r="E5340" t="inlineStr">
        <is>
          <t>BOLLNÄS</t>
        </is>
      </c>
      <c r="F5340" t="inlineStr">
        <is>
          <t>Sveaskog</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29100-2022</t>
        </is>
      </c>
      <c r="B5341" s="1" t="n">
        <v>44750</v>
      </c>
      <c r="C5341" s="1" t="n">
        <v>45344</v>
      </c>
      <c r="D5341" t="inlineStr">
        <is>
          <t>GÄVLEBORGS LÄN</t>
        </is>
      </c>
      <c r="E5341" t="inlineStr">
        <is>
          <t>SANDVIKEN</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29263-2022</t>
        </is>
      </c>
      <c r="B5342" s="1" t="n">
        <v>44750</v>
      </c>
      <c r="C5342" s="1" t="n">
        <v>45344</v>
      </c>
      <c r="D5342" t="inlineStr">
        <is>
          <t>GÄVLEBORGS LÄN</t>
        </is>
      </c>
      <c r="E5342" t="inlineStr">
        <is>
          <t>LJUSDAL</t>
        </is>
      </c>
      <c r="F5342" t="inlineStr">
        <is>
          <t>Holmen skog AB</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29272-2022</t>
        </is>
      </c>
      <c r="B5343" s="1" t="n">
        <v>44750</v>
      </c>
      <c r="C5343" s="1" t="n">
        <v>45344</v>
      </c>
      <c r="D5343" t="inlineStr">
        <is>
          <t>GÄVLEBORGS LÄN</t>
        </is>
      </c>
      <c r="E5343" t="inlineStr">
        <is>
          <t>OVANÅKER</t>
        </is>
      </c>
      <c r="F5343" t="inlineStr">
        <is>
          <t>Holmen skog AB</t>
        </is>
      </c>
      <c r="G5343" t="n">
        <v>6.1</v>
      </c>
      <c r="H5343" t="n">
        <v>0</v>
      </c>
      <c r="I5343" t="n">
        <v>0</v>
      </c>
      <c r="J5343" t="n">
        <v>0</v>
      </c>
      <c r="K5343" t="n">
        <v>0</v>
      </c>
      <c r="L5343" t="n">
        <v>0</v>
      </c>
      <c r="M5343" t="n">
        <v>0</v>
      </c>
      <c r="N5343" t="n">
        <v>0</v>
      </c>
      <c r="O5343" t="n">
        <v>0</v>
      </c>
      <c r="P5343" t="n">
        <v>0</v>
      </c>
      <c r="Q5343" t="n">
        <v>0</v>
      </c>
      <c r="R5343" s="2" t="inlineStr"/>
    </row>
    <row r="5344" ht="15" customHeight="1">
      <c r="A5344" t="inlineStr">
        <is>
          <t>A 29197-2022</t>
        </is>
      </c>
      <c r="B5344" s="1" t="n">
        <v>44750</v>
      </c>
      <c r="C5344" s="1" t="n">
        <v>45344</v>
      </c>
      <c r="D5344" t="inlineStr">
        <is>
          <t>GÄVLEBORGS LÄN</t>
        </is>
      </c>
      <c r="E5344" t="inlineStr">
        <is>
          <t>GÄVLE</t>
        </is>
      </c>
      <c r="F5344" t="inlineStr">
        <is>
          <t>Kommuner</t>
        </is>
      </c>
      <c r="G5344" t="n">
        <v>92.59999999999999</v>
      </c>
      <c r="H5344" t="n">
        <v>0</v>
      </c>
      <c r="I5344" t="n">
        <v>0</v>
      </c>
      <c r="J5344" t="n">
        <v>0</v>
      </c>
      <c r="K5344" t="n">
        <v>0</v>
      </c>
      <c r="L5344" t="n">
        <v>0</v>
      </c>
      <c r="M5344" t="n">
        <v>0</v>
      </c>
      <c r="N5344" t="n">
        <v>0</v>
      </c>
      <c r="O5344" t="n">
        <v>0</v>
      </c>
      <c r="P5344" t="n">
        <v>0</v>
      </c>
      <c r="Q5344" t="n">
        <v>0</v>
      </c>
      <c r="R5344" s="2" t="inlineStr"/>
    </row>
    <row r="5345" ht="15" customHeight="1">
      <c r="A5345" t="inlineStr">
        <is>
          <t>A 29289-2022</t>
        </is>
      </c>
      <c r="B5345" s="1" t="n">
        <v>44750</v>
      </c>
      <c r="C5345" s="1" t="n">
        <v>45344</v>
      </c>
      <c r="D5345" t="inlineStr">
        <is>
          <t>GÄVLEBORGS LÄN</t>
        </is>
      </c>
      <c r="E5345" t="inlineStr">
        <is>
          <t>SÖDERHAMN</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29601-2022</t>
        </is>
      </c>
      <c r="B5346" s="1" t="n">
        <v>44754</v>
      </c>
      <c r="C5346" s="1" t="n">
        <v>45344</v>
      </c>
      <c r="D5346" t="inlineStr">
        <is>
          <t>GÄVLEBORGS LÄN</t>
        </is>
      </c>
      <c r="E5346" t="inlineStr">
        <is>
          <t>LJUSDAL</t>
        </is>
      </c>
      <c r="F5346" t="inlineStr">
        <is>
          <t>Bergvik skog väst AB</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29670-2022</t>
        </is>
      </c>
      <c r="B5347" s="1" t="n">
        <v>44754</v>
      </c>
      <c r="C5347" s="1" t="n">
        <v>45344</v>
      </c>
      <c r="D5347" t="inlineStr">
        <is>
          <t>GÄVLEBORGS LÄN</t>
        </is>
      </c>
      <c r="E5347" t="inlineStr">
        <is>
          <t>SANDVIKEN</t>
        </is>
      </c>
      <c r="F5347" t="inlineStr">
        <is>
          <t>Sveaskog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29659-2022</t>
        </is>
      </c>
      <c r="B5348" s="1" t="n">
        <v>44754</v>
      </c>
      <c r="C5348" s="1" t="n">
        <v>45344</v>
      </c>
      <c r="D5348" t="inlineStr">
        <is>
          <t>GÄVLEBORGS LÄN</t>
        </is>
      </c>
      <c r="E5348" t="inlineStr">
        <is>
          <t>HUDIKSVALL</t>
        </is>
      </c>
      <c r="F5348" t="inlineStr">
        <is>
          <t>Sveaskog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29671-2022</t>
        </is>
      </c>
      <c r="B5349" s="1" t="n">
        <v>44754</v>
      </c>
      <c r="C5349" s="1" t="n">
        <v>45344</v>
      </c>
      <c r="D5349" t="inlineStr">
        <is>
          <t>GÄVLEBORGS LÄN</t>
        </is>
      </c>
      <c r="E5349" t="inlineStr">
        <is>
          <t>SANDVIKEN</t>
        </is>
      </c>
      <c r="F5349" t="inlineStr">
        <is>
          <t>Sveaskog</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29676-2022</t>
        </is>
      </c>
      <c r="B5350" s="1" t="n">
        <v>44754</v>
      </c>
      <c r="C5350" s="1" t="n">
        <v>45344</v>
      </c>
      <c r="D5350" t="inlineStr">
        <is>
          <t>GÄVLEBORGS LÄN</t>
        </is>
      </c>
      <c r="E5350" t="inlineStr">
        <is>
          <t>OVANÅKER</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29762-2022</t>
        </is>
      </c>
      <c r="B5351" s="1" t="n">
        <v>44755</v>
      </c>
      <c r="C5351" s="1" t="n">
        <v>45344</v>
      </c>
      <c r="D5351" t="inlineStr">
        <is>
          <t>GÄVLEBORGS LÄN</t>
        </is>
      </c>
      <c r="E5351" t="inlineStr">
        <is>
          <t>OVANÅKER</t>
        </is>
      </c>
      <c r="F5351" t="inlineStr">
        <is>
          <t>Bergvik skog öst AB</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29705-2022</t>
        </is>
      </c>
      <c r="B5352" s="1" t="n">
        <v>44755</v>
      </c>
      <c r="C5352" s="1" t="n">
        <v>45344</v>
      </c>
      <c r="D5352" t="inlineStr">
        <is>
          <t>GÄVLEBORGS LÄN</t>
        </is>
      </c>
      <c r="E5352" t="inlineStr">
        <is>
          <t>SANDVIKEN</t>
        </is>
      </c>
      <c r="F5352" t="inlineStr">
        <is>
          <t>Sveaskog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29929-2022</t>
        </is>
      </c>
      <c r="B5353" s="1" t="n">
        <v>44756</v>
      </c>
      <c r="C5353" s="1" t="n">
        <v>45344</v>
      </c>
      <c r="D5353" t="inlineStr">
        <is>
          <t>GÄVLEBORGS LÄN</t>
        </is>
      </c>
      <c r="E5353" t="inlineStr">
        <is>
          <t>GÄVLE</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29951-2022</t>
        </is>
      </c>
      <c r="B5354" s="1" t="n">
        <v>44756</v>
      </c>
      <c r="C5354" s="1" t="n">
        <v>45344</v>
      </c>
      <c r="D5354" t="inlineStr">
        <is>
          <t>GÄVLEBORGS LÄN</t>
        </is>
      </c>
      <c r="E5354" t="inlineStr">
        <is>
          <t>LJUSDAL</t>
        </is>
      </c>
      <c r="F5354" t="inlineStr">
        <is>
          <t>Sveaskog</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29905-2022</t>
        </is>
      </c>
      <c r="B5355" s="1" t="n">
        <v>44756</v>
      </c>
      <c r="C5355" s="1" t="n">
        <v>45344</v>
      </c>
      <c r="D5355" t="inlineStr">
        <is>
          <t>GÄVLEBORGS LÄN</t>
        </is>
      </c>
      <c r="E5355" t="inlineStr">
        <is>
          <t>GÄVLE</t>
        </is>
      </c>
      <c r="G5355" t="n">
        <v>7.4</v>
      </c>
      <c r="H5355" t="n">
        <v>0</v>
      </c>
      <c r="I5355" t="n">
        <v>0</v>
      </c>
      <c r="J5355" t="n">
        <v>0</v>
      </c>
      <c r="K5355" t="n">
        <v>0</v>
      </c>
      <c r="L5355" t="n">
        <v>0</v>
      </c>
      <c r="M5355" t="n">
        <v>0</v>
      </c>
      <c r="N5355" t="n">
        <v>0</v>
      </c>
      <c r="O5355" t="n">
        <v>0</v>
      </c>
      <c r="P5355" t="n">
        <v>0</v>
      </c>
      <c r="Q5355" t="n">
        <v>0</v>
      </c>
      <c r="R5355" s="2" t="inlineStr"/>
    </row>
    <row r="5356" ht="15" customHeight="1">
      <c r="A5356" t="inlineStr">
        <is>
          <t>A 29927-2022</t>
        </is>
      </c>
      <c r="B5356" s="1" t="n">
        <v>44756</v>
      </c>
      <c r="C5356" s="1" t="n">
        <v>45344</v>
      </c>
      <c r="D5356" t="inlineStr">
        <is>
          <t>GÄVLEBORGS LÄN</t>
        </is>
      </c>
      <c r="E5356" t="inlineStr">
        <is>
          <t>GÄVLE</t>
        </is>
      </c>
      <c r="G5356" t="n">
        <v>1.4</v>
      </c>
      <c r="H5356" t="n">
        <v>0</v>
      </c>
      <c r="I5356" t="n">
        <v>0</v>
      </c>
      <c r="J5356" t="n">
        <v>0</v>
      </c>
      <c r="K5356" t="n">
        <v>0</v>
      </c>
      <c r="L5356" t="n">
        <v>0</v>
      </c>
      <c r="M5356" t="n">
        <v>0</v>
      </c>
      <c r="N5356" t="n">
        <v>0</v>
      </c>
      <c r="O5356" t="n">
        <v>0</v>
      </c>
      <c r="P5356" t="n">
        <v>0</v>
      </c>
      <c r="Q5356" t="n">
        <v>0</v>
      </c>
      <c r="R5356" s="2" t="inlineStr"/>
    </row>
    <row r="5357" ht="15" customHeight="1">
      <c r="A5357" t="inlineStr">
        <is>
          <t>A 29933-2022</t>
        </is>
      </c>
      <c r="B5357" s="1" t="n">
        <v>44756</v>
      </c>
      <c r="C5357" s="1" t="n">
        <v>45344</v>
      </c>
      <c r="D5357" t="inlineStr">
        <is>
          <t>GÄVLEBORGS LÄN</t>
        </is>
      </c>
      <c r="E5357" t="inlineStr">
        <is>
          <t>GÄVLE</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29923-2022</t>
        </is>
      </c>
      <c r="B5358" s="1" t="n">
        <v>44756</v>
      </c>
      <c r="C5358" s="1" t="n">
        <v>45344</v>
      </c>
      <c r="D5358" t="inlineStr">
        <is>
          <t>GÄVLEBORGS LÄN</t>
        </is>
      </c>
      <c r="E5358" t="inlineStr">
        <is>
          <t>GÄVLE</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29977-2022</t>
        </is>
      </c>
      <c r="B5359" s="1" t="n">
        <v>44756</v>
      </c>
      <c r="C5359" s="1" t="n">
        <v>45344</v>
      </c>
      <c r="D5359" t="inlineStr">
        <is>
          <t>GÄVLEBORGS LÄN</t>
        </is>
      </c>
      <c r="E5359" t="inlineStr">
        <is>
          <t>SANDVIKEN</t>
        </is>
      </c>
      <c r="G5359" t="n">
        <v>14.1</v>
      </c>
      <c r="H5359" t="n">
        <v>0</v>
      </c>
      <c r="I5359" t="n">
        <v>0</v>
      </c>
      <c r="J5359" t="n">
        <v>0</v>
      </c>
      <c r="K5359" t="n">
        <v>0</v>
      </c>
      <c r="L5359" t="n">
        <v>0</v>
      </c>
      <c r="M5359" t="n">
        <v>0</v>
      </c>
      <c r="N5359" t="n">
        <v>0</v>
      </c>
      <c r="O5359" t="n">
        <v>0</v>
      </c>
      <c r="P5359" t="n">
        <v>0</v>
      </c>
      <c r="Q5359" t="n">
        <v>0</v>
      </c>
      <c r="R5359" s="2" t="inlineStr"/>
    </row>
    <row r="5360" ht="15" customHeight="1">
      <c r="A5360" t="inlineStr">
        <is>
          <t>A 29972-2022</t>
        </is>
      </c>
      <c r="B5360" s="1" t="n">
        <v>44756</v>
      </c>
      <c r="C5360" s="1" t="n">
        <v>45344</v>
      </c>
      <c r="D5360" t="inlineStr">
        <is>
          <t>GÄVLEBORGS LÄN</t>
        </is>
      </c>
      <c r="E5360" t="inlineStr">
        <is>
          <t>SANDVIKEN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29949-2022</t>
        </is>
      </c>
      <c r="B5361" s="1" t="n">
        <v>44756</v>
      </c>
      <c r="C5361" s="1" t="n">
        <v>45344</v>
      </c>
      <c r="D5361" t="inlineStr">
        <is>
          <t>GÄVLEBORGS LÄN</t>
        </is>
      </c>
      <c r="E5361" t="inlineStr">
        <is>
          <t>LJUSDAL</t>
        </is>
      </c>
      <c r="F5361" t="inlineStr">
        <is>
          <t>Sveaskog</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29976-2022</t>
        </is>
      </c>
      <c r="B5362" s="1" t="n">
        <v>44756</v>
      </c>
      <c r="C5362" s="1" t="n">
        <v>45344</v>
      </c>
      <c r="D5362" t="inlineStr">
        <is>
          <t>GÄVLEBORGS LÄN</t>
        </is>
      </c>
      <c r="E5362" t="inlineStr">
        <is>
          <t>SANDVIKEN</t>
        </is>
      </c>
      <c r="G5362" t="n">
        <v>2.8</v>
      </c>
      <c r="H5362" t="n">
        <v>0</v>
      </c>
      <c r="I5362" t="n">
        <v>0</v>
      </c>
      <c r="J5362" t="n">
        <v>0</v>
      </c>
      <c r="K5362" t="n">
        <v>0</v>
      </c>
      <c r="L5362" t="n">
        <v>0</v>
      </c>
      <c r="M5362" t="n">
        <v>0</v>
      </c>
      <c r="N5362" t="n">
        <v>0</v>
      </c>
      <c r="O5362" t="n">
        <v>0</v>
      </c>
      <c r="P5362" t="n">
        <v>0</v>
      </c>
      <c r="Q5362" t="n">
        <v>0</v>
      </c>
      <c r="R5362" s="2" t="inlineStr"/>
    </row>
    <row r="5363" ht="15" customHeight="1">
      <c r="A5363" t="inlineStr">
        <is>
          <t>A 30051-2022</t>
        </is>
      </c>
      <c r="B5363" s="1" t="n">
        <v>44757</v>
      </c>
      <c r="C5363" s="1" t="n">
        <v>45344</v>
      </c>
      <c r="D5363" t="inlineStr">
        <is>
          <t>GÄVLEBORGS LÄN</t>
        </is>
      </c>
      <c r="E5363" t="inlineStr">
        <is>
          <t>NORDANSTIG</t>
        </is>
      </c>
      <c r="F5363" t="inlineStr">
        <is>
          <t>Holmen skog AB</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30152-2022</t>
        </is>
      </c>
      <c r="B5364" s="1" t="n">
        <v>44757</v>
      </c>
      <c r="C5364" s="1" t="n">
        <v>45344</v>
      </c>
      <c r="D5364" t="inlineStr">
        <is>
          <t>GÄVLEBORGS LÄN</t>
        </is>
      </c>
      <c r="E5364" t="inlineStr">
        <is>
          <t>BOLLNÄS</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30137-2022</t>
        </is>
      </c>
      <c r="B5365" s="1" t="n">
        <v>44757</v>
      </c>
      <c r="C5365" s="1" t="n">
        <v>45344</v>
      </c>
      <c r="D5365" t="inlineStr">
        <is>
          <t>GÄVLEBORGS LÄN</t>
        </is>
      </c>
      <c r="E5365" t="inlineStr">
        <is>
          <t>OVANÅKER</t>
        </is>
      </c>
      <c r="F5365" t="inlineStr">
        <is>
          <t>Holmen skog AB</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30168-2022</t>
        </is>
      </c>
      <c r="B5366" s="1" t="n">
        <v>44757</v>
      </c>
      <c r="C5366" s="1" t="n">
        <v>45344</v>
      </c>
      <c r="D5366" t="inlineStr">
        <is>
          <t>GÄVLEBORGS LÄN</t>
        </is>
      </c>
      <c r="E5366" t="inlineStr">
        <is>
          <t>OVANÅKER</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30181-2022</t>
        </is>
      </c>
      <c r="B5367" s="1" t="n">
        <v>44757</v>
      </c>
      <c r="C5367" s="1" t="n">
        <v>45344</v>
      </c>
      <c r="D5367" t="inlineStr">
        <is>
          <t>GÄVLEBORGS LÄN</t>
        </is>
      </c>
      <c r="E5367" t="inlineStr">
        <is>
          <t>GÄVLE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30202-2022</t>
        </is>
      </c>
      <c r="B5368" s="1" t="n">
        <v>44757</v>
      </c>
      <c r="C5368" s="1" t="n">
        <v>45344</v>
      </c>
      <c r="D5368" t="inlineStr">
        <is>
          <t>GÄVLEBORGS LÄN</t>
        </is>
      </c>
      <c r="E5368" t="inlineStr">
        <is>
          <t>LJUSDAL</t>
        </is>
      </c>
      <c r="F5368" t="inlineStr">
        <is>
          <t>Allmännings- och besparingsskogar</t>
        </is>
      </c>
      <c r="G5368" t="n">
        <v>0.8</v>
      </c>
      <c r="H5368" t="n">
        <v>0</v>
      </c>
      <c r="I5368" t="n">
        <v>0</v>
      </c>
      <c r="J5368" t="n">
        <v>0</v>
      </c>
      <c r="K5368" t="n">
        <v>0</v>
      </c>
      <c r="L5368" t="n">
        <v>0</v>
      </c>
      <c r="M5368" t="n">
        <v>0</v>
      </c>
      <c r="N5368" t="n">
        <v>0</v>
      </c>
      <c r="O5368" t="n">
        <v>0</v>
      </c>
      <c r="P5368" t="n">
        <v>0</v>
      </c>
      <c r="Q5368" t="n">
        <v>0</v>
      </c>
      <c r="R5368" s="2" t="inlineStr"/>
    </row>
    <row r="5369" ht="15" customHeight="1">
      <c r="A5369" t="inlineStr">
        <is>
          <t>A 30166-2022</t>
        </is>
      </c>
      <c r="B5369" s="1" t="n">
        <v>44757</v>
      </c>
      <c r="C5369" s="1" t="n">
        <v>45344</v>
      </c>
      <c r="D5369" t="inlineStr">
        <is>
          <t>GÄVLEBORGS LÄN</t>
        </is>
      </c>
      <c r="E5369" t="inlineStr">
        <is>
          <t>OVANÅKER</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30201-2022</t>
        </is>
      </c>
      <c r="B5370" s="1" t="n">
        <v>44757</v>
      </c>
      <c r="C5370" s="1" t="n">
        <v>45344</v>
      </c>
      <c r="D5370" t="inlineStr">
        <is>
          <t>GÄVLEBORGS LÄN</t>
        </is>
      </c>
      <c r="E5370" t="inlineStr">
        <is>
          <t>OVANÅKER</t>
        </is>
      </c>
      <c r="F5370" t="inlineStr">
        <is>
          <t>Holmen skog AB</t>
        </is>
      </c>
      <c r="G5370" t="n">
        <v>6.4</v>
      </c>
      <c r="H5370" t="n">
        <v>0</v>
      </c>
      <c r="I5370" t="n">
        <v>0</v>
      </c>
      <c r="J5370" t="n">
        <v>0</v>
      </c>
      <c r="K5370" t="n">
        <v>0</v>
      </c>
      <c r="L5370" t="n">
        <v>0</v>
      </c>
      <c r="M5370" t="n">
        <v>0</v>
      </c>
      <c r="N5370" t="n">
        <v>0</v>
      </c>
      <c r="O5370" t="n">
        <v>0</v>
      </c>
      <c r="P5370" t="n">
        <v>0</v>
      </c>
      <c r="Q5370" t="n">
        <v>0</v>
      </c>
      <c r="R5370" s="2" t="inlineStr"/>
    </row>
    <row r="5371" ht="15" customHeight="1">
      <c r="A5371" t="inlineStr">
        <is>
          <t>A 30199-2022</t>
        </is>
      </c>
      <c r="B5371" s="1" t="n">
        <v>44757</v>
      </c>
      <c r="C5371" s="1" t="n">
        <v>45344</v>
      </c>
      <c r="D5371" t="inlineStr">
        <is>
          <t>GÄVLEBORGS LÄN</t>
        </is>
      </c>
      <c r="E5371" t="inlineStr">
        <is>
          <t>LJUSDAL</t>
        </is>
      </c>
      <c r="F5371" t="inlineStr">
        <is>
          <t>Allmännings- och besparingsskogar</t>
        </is>
      </c>
      <c r="G5371" t="n">
        <v>3.3</v>
      </c>
      <c r="H5371" t="n">
        <v>0</v>
      </c>
      <c r="I5371" t="n">
        <v>0</v>
      </c>
      <c r="J5371" t="n">
        <v>0</v>
      </c>
      <c r="K5371" t="n">
        <v>0</v>
      </c>
      <c r="L5371" t="n">
        <v>0</v>
      </c>
      <c r="M5371" t="n">
        <v>0</v>
      </c>
      <c r="N5371" t="n">
        <v>0</v>
      </c>
      <c r="O5371" t="n">
        <v>0</v>
      </c>
      <c r="P5371" t="n">
        <v>0</v>
      </c>
      <c r="Q5371" t="n">
        <v>0</v>
      </c>
      <c r="R5371" s="2" t="inlineStr"/>
    </row>
    <row r="5372" ht="15" customHeight="1">
      <c r="A5372" t="inlineStr">
        <is>
          <t>A 30208-2022</t>
        </is>
      </c>
      <c r="B5372" s="1" t="n">
        <v>44757</v>
      </c>
      <c r="C5372" s="1" t="n">
        <v>45344</v>
      </c>
      <c r="D5372" t="inlineStr">
        <is>
          <t>GÄVLEBORGS LÄN</t>
        </is>
      </c>
      <c r="E5372" t="inlineStr">
        <is>
          <t>SÖDERHAMN</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30336-2022</t>
        </is>
      </c>
      <c r="B5373" s="1" t="n">
        <v>44760</v>
      </c>
      <c r="C5373" s="1" t="n">
        <v>45344</v>
      </c>
      <c r="D5373" t="inlineStr">
        <is>
          <t>GÄVLEBORGS LÄN</t>
        </is>
      </c>
      <c r="E5373" t="inlineStr">
        <is>
          <t>SÖDERHAMN</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30374-2022</t>
        </is>
      </c>
      <c r="B5374" s="1" t="n">
        <v>44760</v>
      </c>
      <c r="C5374" s="1" t="n">
        <v>45344</v>
      </c>
      <c r="D5374" t="inlineStr">
        <is>
          <t>GÄVLEBORGS LÄN</t>
        </is>
      </c>
      <c r="E5374" t="inlineStr">
        <is>
          <t>OVANÅKER</t>
        </is>
      </c>
      <c r="G5374" t="n">
        <v>0.2</v>
      </c>
      <c r="H5374" t="n">
        <v>0</v>
      </c>
      <c r="I5374" t="n">
        <v>0</v>
      </c>
      <c r="J5374" t="n">
        <v>0</v>
      </c>
      <c r="K5374" t="n">
        <v>0</v>
      </c>
      <c r="L5374" t="n">
        <v>0</v>
      </c>
      <c r="M5374" t="n">
        <v>0</v>
      </c>
      <c r="N5374" t="n">
        <v>0</v>
      </c>
      <c r="O5374" t="n">
        <v>0</v>
      </c>
      <c r="P5374" t="n">
        <v>0</v>
      </c>
      <c r="Q5374" t="n">
        <v>0</v>
      </c>
      <c r="R5374" s="2" t="inlineStr"/>
    </row>
    <row r="5375" ht="15" customHeight="1">
      <c r="A5375" t="inlineStr">
        <is>
          <t>A 30372-2022</t>
        </is>
      </c>
      <c r="B5375" s="1" t="n">
        <v>44760</v>
      </c>
      <c r="C5375" s="1" t="n">
        <v>45344</v>
      </c>
      <c r="D5375" t="inlineStr">
        <is>
          <t>GÄVLEBORGS LÄN</t>
        </is>
      </c>
      <c r="E5375" t="inlineStr">
        <is>
          <t>OVANÅKER</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30364-2022</t>
        </is>
      </c>
      <c r="B5376" s="1" t="n">
        <v>44760</v>
      </c>
      <c r="C5376" s="1" t="n">
        <v>45344</v>
      </c>
      <c r="D5376" t="inlineStr">
        <is>
          <t>GÄVLEBORGS LÄN</t>
        </is>
      </c>
      <c r="E5376" t="inlineStr">
        <is>
          <t>OVANÅKER</t>
        </is>
      </c>
      <c r="F5376" t="inlineStr">
        <is>
          <t>Bergvik skog öst AB</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30391-2022</t>
        </is>
      </c>
      <c r="B5377" s="1" t="n">
        <v>44760</v>
      </c>
      <c r="C5377" s="1" t="n">
        <v>45344</v>
      </c>
      <c r="D5377" t="inlineStr">
        <is>
          <t>GÄVLEBORGS LÄN</t>
        </is>
      </c>
      <c r="E5377" t="inlineStr">
        <is>
          <t>SANDVIKEN</t>
        </is>
      </c>
      <c r="F5377" t="inlineStr">
        <is>
          <t>Sveaskog</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30545-2022</t>
        </is>
      </c>
      <c r="B5378" s="1" t="n">
        <v>44762</v>
      </c>
      <c r="C5378" s="1" t="n">
        <v>45344</v>
      </c>
      <c r="D5378" t="inlineStr">
        <is>
          <t>GÄVLEBORGS LÄN</t>
        </is>
      </c>
      <c r="E5378" t="inlineStr">
        <is>
          <t>LJUSDAL</t>
        </is>
      </c>
      <c r="F5378" t="inlineStr">
        <is>
          <t>Bergvik skog väst AB</t>
        </is>
      </c>
      <c r="G5378" t="n">
        <v>13.8</v>
      </c>
      <c r="H5378" t="n">
        <v>0</v>
      </c>
      <c r="I5378" t="n">
        <v>0</v>
      </c>
      <c r="J5378" t="n">
        <v>0</v>
      </c>
      <c r="K5378" t="n">
        <v>0</v>
      </c>
      <c r="L5378" t="n">
        <v>0</v>
      </c>
      <c r="M5378" t="n">
        <v>0</v>
      </c>
      <c r="N5378" t="n">
        <v>0</v>
      </c>
      <c r="O5378" t="n">
        <v>0</v>
      </c>
      <c r="P5378" t="n">
        <v>0</v>
      </c>
      <c r="Q5378" t="n">
        <v>0</v>
      </c>
      <c r="R5378" s="2" t="inlineStr"/>
    </row>
    <row r="5379" ht="15" customHeight="1">
      <c r="A5379" t="inlineStr">
        <is>
          <t>A 30556-2022</t>
        </is>
      </c>
      <c r="B5379" s="1" t="n">
        <v>44762</v>
      </c>
      <c r="C5379" s="1" t="n">
        <v>45344</v>
      </c>
      <c r="D5379" t="inlineStr">
        <is>
          <t>GÄVLEBORGS LÄN</t>
        </is>
      </c>
      <c r="E5379" t="inlineStr">
        <is>
          <t>LJUSDAL</t>
        </is>
      </c>
      <c r="F5379" t="inlineStr">
        <is>
          <t>Bergvik skog väst AB</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30589-2022</t>
        </is>
      </c>
      <c r="B5380" s="1" t="n">
        <v>44762</v>
      </c>
      <c r="C5380" s="1" t="n">
        <v>45344</v>
      </c>
      <c r="D5380" t="inlineStr">
        <is>
          <t>GÄVLEBORGS LÄN</t>
        </is>
      </c>
      <c r="E5380" t="inlineStr">
        <is>
          <t>HUDIKSVALL</t>
        </is>
      </c>
      <c r="F5380" t="inlineStr">
        <is>
          <t>Sveaskog</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30591-2022</t>
        </is>
      </c>
      <c r="B5381" s="1" t="n">
        <v>44762</v>
      </c>
      <c r="C5381" s="1" t="n">
        <v>45344</v>
      </c>
      <c r="D5381" t="inlineStr">
        <is>
          <t>GÄVLEBORGS LÄN</t>
        </is>
      </c>
      <c r="E5381" t="inlineStr">
        <is>
          <t>HUDIKSVALL</t>
        </is>
      </c>
      <c r="F5381" t="inlineStr">
        <is>
          <t>Sveaskog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30590-2022</t>
        </is>
      </c>
      <c r="B5382" s="1" t="n">
        <v>44762</v>
      </c>
      <c r="C5382" s="1" t="n">
        <v>45344</v>
      </c>
      <c r="D5382" t="inlineStr">
        <is>
          <t>GÄVLEBORGS LÄN</t>
        </is>
      </c>
      <c r="E5382" t="inlineStr">
        <is>
          <t>HUDIKSVALL</t>
        </is>
      </c>
      <c r="F5382" t="inlineStr">
        <is>
          <t>Sveaskog</t>
        </is>
      </c>
      <c r="G5382" t="n">
        <v>0.7</v>
      </c>
      <c r="H5382" t="n">
        <v>0</v>
      </c>
      <c r="I5382" t="n">
        <v>0</v>
      </c>
      <c r="J5382" t="n">
        <v>0</v>
      </c>
      <c r="K5382" t="n">
        <v>0</v>
      </c>
      <c r="L5382" t="n">
        <v>0</v>
      </c>
      <c r="M5382" t="n">
        <v>0</v>
      </c>
      <c r="N5382" t="n">
        <v>0</v>
      </c>
      <c r="O5382" t="n">
        <v>0</v>
      </c>
      <c r="P5382" t="n">
        <v>0</v>
      </c>
      <c r="Q5382" t="n">
        <v>0</v>
      </c>
      <c r="R5382" s="2" t="inlineStr"/>
    </row>
    <row r="5383" ht="15" customHeight="1">
      <c r="A5383" t="inlineStr">
        <is>
          <t>A 30629-2022</t>
        </is>
      </c>
      <c r="B5383" s="1" t="n">
        <v>44763</v>
      </c>
      <c r="C5383" s="1" t="n">
        <v>45344</v>
      </c>
      <c r="D5383" t="inlineStr">
        <is>
          <t>GÄVLEBORGS LÄN</t>
        </is>
      </c>
      <c r="E5383" t="inlineStr">
        <is>
          <t>LJUSDAL</t>
        </is>
      </c>
      <c r="F5383" t="inlineStr">
        <is>
          <t>Sveaskog</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30662-2022</t>
        </is>
      </c>
      <c r="B5384" s="1" t="n">
        <v>44763</v>
      </c>
      <c r="C5384" s="1" t="n">
        <v>45344</v>
      </c>
      <c r="D5384" t="inlineStr">
        <is>
          <t>GÄVLEBORGS LÄN</t>
        </is>
      </c>
      <c r="E5384" t="inlineStr">
        <is>
          <t>GÄVLE</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30668-2022</t>
        </is>
      </c>
      <c r="B5385" s="1" t="n">
        <v>44763</v>
      </c>
      <c r="C5385" s="1" t="n">
        <v>45344</v>
      </c>
      <c r="D5385" t="inlineStr">
        <is>
          <t>GÄVLEBORGS LÄN</t>
        </is>
      </c>
      <c r="E5385" t="inlineStr">
        <is>
          <t>LJUSDAL</t>
        </is>
      </c>
      <c r="F5385" t="inlineStr">
        <is>
          <t>Bergvik skog väst AB</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30671-2022</t>
        </is>
      </c>
      <c r="B5386" s="1" t="n">
        <v>44763</v>
      </c>
      <c r="C5386" s="1" t="n">
        <v>45344</v>
      </c>
      <c r="D5386" t="inlineStr">
        <is>
          <t>GÄVLEBORGS LÄN</t>
        </is>
      </c>
      <c r="E5386" t="inlineStr">
        <is>
          <t>LJUSDAL</t>
        </is>
      </c>
      <c r="F5386" t="inlineStr">
        <is>
          <t>Sveaskog</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30615-2022</t>
        </is>
      </c>
      <c r="B5387" s="1" t="n">
        <v>44763</v>
      </c>
      <c r="C5387" s="1" t="n">
        <v>45344</v>
      </c>
      <c r="D5387" t="inlineStr">
        <is>
          <t>GÄVLEBORGS LÄN</t>
        </is>
      </c>
      <c r="E5387" t="inlineStr">
        <is>
          <t>BOLLNÄS</t>
        </is>
      </c>
      <c r="G5387" t="n">
        <v>0.2</v>
      </c>
      <c r="H5387" t="n">
        <v>0</v>
      </c>
      <c r="I5387" t="n">
        <v>0</v>
      </c>
      <c r="J5387" t="n">
        <v>0</v>
      </c>
      <c r="K5387" t="n">
        <v>0</v>
      </c>
      <c r="L5387" t="n">
        <v>0</v>
      </c>
      <c r="M5387" t="n">
        <v>0</v>
      </c>
      <c r="N5387" t="n">
        <v>0</v>
      </c>
      <c r="O5387" t="n">
        <v>0</v>
      </c>
      <c r="P5387" t="n">
        <v>0</v>
      </c>
      <c r="Q5387" t="n">
        <v>0</v>
      </c>
      <c r="R5387" s="2" t="inlineStr"/>
    </row>
    <row r="5388" ht="15" customHeight="1">
      <c r="A5388" t="inlineStr">
        <is>
          <t>A 30630-2022</t>
        </is>
      </c>
      <c r="B5388" s="1" t="n">
        <v>44763</v>
      </c>
      <c r="C5388" s="1" t="n">
        <v>45344</v>
      </c>
      <c r="D5388" t="inlineStr">
        <is>
          <t>GÄVLEBORGS LÄN</t>
        </is>
      </c>
      <c r="E5388" t="inlineStr">
        <is>
          <t>NORDANSTIG</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30658-2022</t>
        </is>
      </c>
      <c r="B5389" s="1" t="n">
        <v>44763</v>
      </c>
      <c r="C5389" s="1" t="n">
        <v>45344</v>
      </c>
      <c r="D5389" t="inlineStr">
        <is>
          <t>GÄVLEBORGS LÄN</t>
        </is>
      </c>
      <c r="E5389" t="inlineStr">
        <is>
          <t>SANDVIKEN</t>
        </is>
      </c>
      <c r="F5389" t="inlineStr">
        <is>
          <t>Sveaskog</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30642-2022</t>
        </is>
      </c>
      <c r="B5390" s="1" t="n">
        <v>44763</v>
      </c>
      <c r="C5390" s="1" t="n">
        <v>45344</v>
      </c>
      <c r="D5390" t="inlineStr">
        <is>
          <t>GÄVLEBORGS LÄN</t>
        </is>
      </c>
      <c r="E5390" t="inlineStr">
        <is>
          <t>NORDANSTIG</t>
        </is>
      </c>
      <c r="F5390" t="inlineStr">
        <is>
          <t>Holmen skog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30660-2022</t>
        </is>
      </c>
      <c r="B5391" s="1" t="n">
        <v>44763</v>
      </c>
      <c r="C5391" s="1" t="n">
        <v>45344</v>
      </c>
      <c r="D5391" t="inlineStr">
        <is>
          <t>GÄVLEBORGS LÄN</t>
        </is>
      </c>
      <c r="E5391" t="inlineStr">
        <is>
          <t>SANDVIKEN</t>
        </is>
      </c>
      <c r="F5391" t="inlineStr">
        <is>
          <t>Sveaskog</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30667-2022</t>
        </is>
      </c>
      <c r="B5392" s="1" t="n">
        <v>44763</v>
      </c>
      <c r="C5392" s="1" t="n">
        <v>45344</v>
      </c>
      <c r="D5392" t="inlineStr">
        <is>
          <t>GÄVLEBORGS LÄN</t>
        </is>
      </c>
      <c r="E5392" t="inlineStr">
        <is>
          <t>LJUSDAL</t>
        </is>
      </c>
      <c r="F5392" t="inlineStr">
        <is>
          <t>Sveaskog</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30696-2022</t>
        </is>
      </c>
      <c r="B5393" s="1" t="n">
        <v>44763</v>
      </c>
      <c r="C5393" s="1" t="n">
        <v>45344</v>
      </c>
      <c r="D5393" t="inlineStr">
        <is>
          <t>GÄVLEBORGS LÄN</t>
        </is>
      </c>
      <c r="E5393" t="inlineStr">
        <is>
          <t>SANDVIKEN</t>
        </is>
      </c>
      <c r="F5393" t="inlineStr">
        <is>
          <t>Sveaskog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30797-2022</t>
        </is>
      </c>
      <c r="B5394" s="1" t="n">
        <v>44764</v>
      </c>
      <c r="C5394" s="1" t="n">
        <v>45344</v>
      </c>
      <c r="D5394" t="inlineStr">
        <is>
          <t>GÄVLEBORGS LÄN</t>
        </is>
      </c>
      <c r="E5394" t="inlineStr">
        <is>
          <t>SANDVIKEN</t>
        </is>
      </c>
      <c r="F5394" t="inlineStr">
        <is>
          <t>Sveaskog</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30799-2022</t>
        </is>
      </c>
      <c r="B5395" s="1" t="n">
        <v>44764</v>
      </c>
      <c r="C5395" s="1" t="n">
        <v>45344</v>
      </c>
      <c r="D5395" t="inlineStr">
        <is>
          <t>GÄVLEBORGS LÄN</t>
        </is>
      </c>
      <c r="E5395" t="inlineStr">
        <is>
          <t>SANDVIKEN</t>
        </is>
      </c>
      <c r="F5395" t="inlineStr">
        <is>
          <t>Sveaskog</t>
        </is>
      </c>
      <c r="G5395" t="n">
        <v>4.7</v>
      </c>
      <c r="H5395" t="n">
        <v>0</v>
      </c>
      <c r="I5395" t="n">
        <v>0</v>
      </c>
      <c r="J5395" t="n">
        <v>0</v>
      </c>
      <c r="K5395" t="n">
        <v>0</v>
      </c>
      <c r="L5395" t="n">
        <v>0</v>
      </c>
      <c r="M5395" t="n">
        <v>0</v>
      </c>
      <c r="N5395" t="n">
        <v>0</v>
      </c>
      <c r="O5395" t="n">
        <v>0</v>
      </c>
      <c r="P5395" t="n">
        <v>0</v>
      </c>
      <c r="Q5395" t="n">
        <v>0</v>
      </c>
      <c r="R5395" s="2" t="inlineStr"/>
    </row>
    <row r="5396" ht="15" customHeight="1">
      <c r="A5396" t="inlineStr">
        <is>
          <t>A 30798-2022</t>
        </is>
      </c>
      <c r="B5396" s="1" t="n">
        <v>44764</v>
      </c>
      <c r="C5396" s="1" t="n">
        <v>45344</v>
      </c>
      <c r="D5396" t="inlineStr">
        <is>
          <t>GÄVLEBORGS LÄN</t>
        </is>
      </c>
      <c r="E5396" t="inlineStr">
        <is>
          <t>SANDVIKEN</t>
        </is>
      </c>
      <c r="F5396" t="inlineStr">
        <is>
          <t>Sveaskog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30779-2022</t>
        </is>
      </c>
      <c r="B5397" s="1" t="n">
        <v>44764</v>
      </c>
      <c r="C5397" s="1" t="n">
        <v>45344</v>
      </c>
      <c r="D5397" t="inlineStr">
        <is>
          <t>GÄVLEBORGS LÄN</t>
        </is>
      </c>
      <c r="E5397" t="inlineStr">
        <is>
          <t>NORDANSTIG</t>
        </is>
      </c>
      <c r="F5397" t="inlineStr">
        <is>
          <t>Holmen skog AB</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30817-2022</t>
        </is>
      </c>
      <c r="B5398" s="1" t="n">
        <v>44765</v>
      </c>
      <c r="C5398" s="1" t="n">
        <v>45344</v>
      </c>
      <c r="D5398" t="inlineStr">
        <is>
          <t>GÄVLEBORGS LÄN</t>
        </is>
      </c>
      <c r="E5398" t="inlineStr">
        <is>
          <t>NORDANSTIG</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30816-2022</t>
        </is>
      </c>
      <c r="B5399" s="1" t="n">
        <v>44765</v>
      </c>
      <c r="C5399" s="1" t="n">
        <v>45344</v>
      </c>
      <c r="D5399" t="inlineStr">
        <is>
          <t>GÄVLEBORGS LÄN</t>
        </is>
      </c>
      <c r="E5399" t="inlineStr">
        <is>
          <t>NORDANSTIG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30825-2022</t>
        </is>
      </c>
      <c r="B5400" s="1" t="n">
        <v>44767</v>
      </c>
      <c r="C5400" s="1" t="n">
        <v>45344</v>
      </c>
      <c r="D5400" t="inlineStr">
        <is>
          <t>GÄVLEBORGS LÄN</t>
        </is>
      </c>
      <c r="E5400" t="inlineStr">
        <is>
          <t>HUDIKSVALL</t>
        </is>
      </c>
      <c r="F5400" t="inlineStr">
        <is>
          <t>Holmen skog AB</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30869-2022</t>
        </is>
      </c>
      <c r="B5401" s="1" t="n">
        <v>44767</v>
      </c>
      <c r="C5401" s="1" t="n">
        <v>45344</v>
      </c>
      <c r="D5401" t="inlineStr">
        <is>
          <t>GÄVLEBORGS LÄN</t>
        </is>
      </c>
      <c r="E5401" t="inlineStr">
        <is>
          <t>LJUSDAL</t>
        </is>
      </c>
      <c r="F5401" t="inlineStr">
        <is>
          <t>Holmen skog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30877-2022</t>
        </is>
      </c>
      <c r="B5402" s="1" t="n">
        <v>44767</v>
      </c>
      <c r="C5402" s="1" t="n">
        <v>45344</v>
      </c>
      <c r="D5402" t="inlineStr">
        <is>
          <t>GÄVLEBORGS LÄN</t>
        </is>
      </c>
      <c r="E5402" t="inlineStr">
        <is>
          <t>LJUSDAL</t>
        </is>
      </c>
      <c r="F5402" t="inlineStr">
        <is>
          <t>Holmen skog AB</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30844-2022</t>
        </is>
      </c>
      <c r="B5403" s="1" t="n">
        <v>44767</v>
      </c>
      <c r="C5403" s="1" t="n">
        <v>45344</v>
      </c>
      <c r="D5403" t="inlineStr">
        <is>
          <t>GÄVLEBORGS LÄN</t>
        </is>
      </c>
      <c r="E5403" t="inlineStr">
        <is>
          <t>HUDIKSVALL</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30857-2022</t>
        </is>
      </c>
      <c r="B5404" s="1" t="n">
        <v>44767</v>
      </c>
      <c r="C5404" s="1" t="n">
        <v>45344</v>
      </c>
      <c r="D5404" t="inlineStr">
        <is>
          <t>GÄVLEBORGS LÄN</t>
        </is>
      </c>
      <c r="E5404" t="inlineStr">
        <is>
          <t>NORDANSTIG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30875-2022</t>
        </is>
      </c>
      <c r="B5405" s="1" t="n">
        <v>44767</v>
      </c>
      <c r="C5405" s="1" t="n">
        <v>45344</v>
      </c>
      <c r="D5405" t="inlineStr">
        <is>
          <t>GÄVLEBORGS LÄN</t>
        </is>
      </c>
      <c r="E5405" t="inlineStr">
        <is>
          <t>GÄVLE</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30959-2022</t>
        </is>
      </c>
      <c r="B5406" s="1" t="n">
        <v>44768</v>
      </c>
      <c r="C5406" s="1" t="n">
        <v>45344</v>
      </c>
      <c r="D5406" t="inlineStr">
        <is>
          <t>GÄVLEBORGS LÄN</t>
        </is>
      </c>
      <c r="E5406" t="inlineStr">
        <is>
          <t>HUDIKSVALL</t>
        </is>
      </c>
      <c r="F5406" t="inlineStr">
        <is>
          <t>Holmen skog AB</t>
        </is>
      </c>
      <c r="G5406" t="n">
        <v>3.1</v>
      </c>
      <c r="H5406" t="n">
        <v>0</v>
      </c>
      <c r="I5406" t="n">
        <v>0</v>
      </c>
      <c r="J5406" t="n">
        <v>0</v>
      </c>
      <c r="K5406" t="n">
        <v>0</v>
      </c>
      <c r="L5406" t="n">
        <v>0</v>
      </c>
      <c r="M5406" t="n">
        <v>0</v>
      </c>
      <c r="N5406" t="n">
        <v>0</v>
      </c>
      <c r="O5406" t="n">
        <v>0</v>
      </c>
      <c r="P5406" t="n">
        <v>0</v>
      </c>
      <c r="Q5406" t="n">
        <v>0</v>
      </c>
      <c r="R5406" s="2" t="inlineStr"/>
    </row>
    <row r="5407" ht="15" customHeight="1">
      <c r="A5407" t="inlineStr">
        <is>
          <t>A 30960-2022</t>
        </is>
      </c>
      <c r="B5407" s="1" t="n">
        <v>44768</v>
      </c>
      <c r="C5407" s="1" t="n">
        <v>45344</v>
      </c>
      <c r="D5407" t="inlineStr">
        <is>
          <t>GÄVLEBORGS LÄN</t>
        </is>
      </c>
      <c r="E5407" t="inlineStr">
        <is>
          <t>HUDIKSVALL</t>
        </is>
      </c>
      <c r="F5407" t="inlineStr">
        <is>
          <t>Holmen skog AB</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30990-2022</t>
        </is>
      </c>
      <c r="B5408" s="1" t="n">
        <v>44768</v>
      </c>
      <c r="C5408" s="1" t="n">
        <v>45344</v>
      </c>
      <c r="D5408" t="inlineStr">
        <is>
          <t>GÄVLEBORGS LÄN</t>
        </is>
      </c>
      <c r="E5408" t="inlineStr">
        <is>
          <t>SANDVIKEN</t>
        </is>
      </c>
      <c r="F5408" t="inlineStr">
        <is>
          <t>Bergvik skog öst AB</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30984-2022</t>
        </is>
      </c>
      <c r="B5409" s="1" t="n">
        <v>44768</v>
      </c>
      <c r="C5409" s="1" t="n">
        <v>45344</v>
      </c>
      <c r="D5409" t="inlineStr">
        <is>
          <t>GÄVLEBORGS LÄN</t>
        </is>
      </c>
      <c r="E5409" t="inlineStr">
        <is>
          <t>LJUSDAL</t>
        </is>
      </c>
      <c r="F5409" t="inlineStr">
        <is>
          <t>Allmännings- och besparingsskogar</t>
        </is>
      </c>
      <c r="G5409" t="n">
        <v>6.5</v>
      </c>
      <c r="H5409" t="n">
        <v>0</v>
      </c>
      <c r="I5409" t="n">
        <v>0</v>
      </c>
      <c r="J5409" t="n">
        <v>0</v>
      </c>
      <c r="K5409" t="n">
        <v>0</v>
      </c>
      <c r="L5409" t="n">
        <v>0</v>
      </c>
      <c r="M5409" t="n">
        <v>0</v>
      </c>
      <c r="N5409" t="n">
        <v>0</v>
      </c>
      <c r="O5409" t="n">
        <v>0</v>
      </c>
      <c r="P5409" t="n">
        <v>0</v>
      </c>
      <c r="Q5409" t="n">
        <v>0</v>
      </c>
      <c r="R5409" s="2" t="inlineStr"/>
    </row>
    <row r="5410" ht="15" customHeight="1">
      <c r="A5410" t="inlineStr">
        <is>
          <t>A 31019-2022</t>
        </is>
      </c>
      <c r="B5410" s="1" t="n">
        <v>44768</v>
      </c>
      <c r="C5410" s="1" t="n">
        <v>45344</v>
      </c>
      <c r="D5410" t="inlineStr">
        <is>
          <t>GÄVLEBORGS LÄN</t>
        </is>
      </c>
      <c r="E5410" t="inlineStr">
        <is>
          <t>LJUSDAL</t>
        </is>
      </c>
      <c r="F5410" t="inlineStr">
        <is>
          <t>Allmännings- och besparingsskogar</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30940-2022</t>
        </is>
      </c>
      <c r="B5411" s="1" t="n">
        <v>44768</v>
      </c>
      <c r="C5411" s="1" t="n">
        <v>45344</v>
      </c>
      <c r="D5411" t="inlineStr">
        <is>
          <t>GÄVLEBORGS LÄN</t>
        </is>
      </c>
      <c r="E5411" t="inlineStr">
        <is>
          <t>NORDANSTIG</t>
        </is>
      </c>
      <c r="F5411" t="inlineStr">
        <is>
          <t>Holmen skog AB</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31204-2022</t>
        </is>
      </c>
      <c r="B5412" s="1" t="n">
        <v>44771</v>
      </c>
      <c r="C5412" s="1" t="n">
        <v>45344</v>
      </c>
      <c r="D5412" t="inlineStr">
        <is>
          <t>GÄVLEBORGS LÄN</t>
        </is>
      </c>
      <c r="E5412" t="inlineStr">
        <is>
          <t>HUDIKSVALL</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31163-2022</t>
        </is>
      </c>
      <c r="B5413" s="1" t="n">
        <v>44770</v>
      </c>
      <c r="C5413" s="1" t="n">
        <v>45344</v>
      </c>
      <c r="D5413" t="inlineStr">
        <is>
          <t>GÄVLEBORGS LÄN</t>
        </is>
      </c>
      <c r="E5413" t="inlineStr">
        <is>
          <t>OVANÅKER</t>
        </is>
      </c>
      <c r="F5413" t="inlineStr">
        <is>
          <t>Bergvik skog öst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31205-2022</t>
        </is>
      </c>
      <c r="B5414" s="1" t="n">
        <v>44770</v>
      </c>
      <c r="C5414" s="1" t="n">
        <v>45344</v>
      </c>
      <c r="D5414" t="inlineStr">
        <is>
          <t>GÄVLEBORGS LÄN</t>
        </is>
      </c>
      <c r="E5414" t="inlineStr">
        <is>
          <t>HOFORS</t>
        </is>
      </c>
      <c r="F5414" t="inlineStr">
        <is>
          <t>Sveaskog</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31237-2022</t>
        </is>
      </c>
      <c r="B5415" s="1" t="n">
        <v>44771</v>
      </c>
      <c r="C5415" s="1" t="n">
        <v>45344</v>
      </c>
      <c r="D5415" t="inlineStr">
        <is>
          <t>GÄVLEBORGS LÄN</t>
        </is>
      </c>
      <c r="E5415" t="inlineStr">
        <is>
          <t>BOLLNÄS</t>
        </is>
      </c>
      <c r="G5415" t="n">
        <v>13.5</v>
      </c>
      <c r="H5415" t="n">
        <v>0</v>
      </c>
      <c r="I5415" t="n">
        <v>0</v>
      </c>
      <c r="J5415" t="n">
        <v>0</v>
      </c>
      <c r="K5415" t="n">
        <v>0</v>
      </c>
      <c r="L5415" t="n">
        <v>0</v>
      </c>
      <c r="M5415" t="n">
        <v>0</v>
      </c>
      <c r="N5415" t="n">
        <v>0</v>
      </c>
      <c r="O5415" t="n">
        <v>0</v>
      </c>
      <c r="P5415" t="n">
        <v>0</v>
      </c>
      <c r="Q5415" t="n">
        <v>0</v>
      </c>
      <c r="R5415" s="2" t="inlineStr"/>
    </row>
    <row r="5416" ht="15" customHeight="1">
      <c r="A5416" t="inlineStr">
        <is>
          <t>A 31348-2022</t>
        </is>
      </c>
      <c r="B5416" s="1" t="n">
        <v>44774</v>
      </c>
      <c r="C5416" s="1" t="n">
        <v>45344</v>
      </c>
      <c r="D5416" t="inlineStr">
        <is>
          <t>GÄVLEBORGS LÄN</t>
        </is>
      </c>
      <c r="E5416" t="inlineStr">
        <is>
          <t>LJUSDAL</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31356-2022</t>
        </is>
      </c>
      <c r="B5417" s="1" t="n">
        <v>44774</v>
      </c>
      <c r="C5417" s="1" t="n">
        <v>45344</v>
      </c>
      <c r="D5417" t="inlineStr">
        <is>
          <t>GÄVLEBORGS LÄN</t>
        </is>
      </c>
      <c r="E5417" t="inlineStr">
        <is>
          <t>OVANÅKER</t>
        </is>
      </c>
      <c r="F5417" t="inlineStr">
        <is>
          <t>Bergvik skog väst AB</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31312-2022</t>
        </is>
      </c>
      <c r="B5418" s="1" t="n">
        <v>44774</v>
      </c>
      <c r="C5418" s="1" t="n">
        <v>45344</v>
      </c>
      <c r="D5418" t="inlineStr">
        <is>
          <t>GÄVLEBORGS LÄN</t>
        </is>
      </c>
      <c r="E5418" t="inlineStr">
        <is>
          <t>LJUSDAL</t>
        </is>
      </c>
      <c r="F5418" t="inlineStr">
        <is>
          <t>Holmen skog AB</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31377-2022</t>
        </is>
      </c>
      <c r="B5419" s="1" t="n">
        <v>44774</v>
      </c>
      <c r="C5419" s="1" t="n">
        <v>45344</v>
      </c>
      <c r="D5419" t="inlineStr">
        <is>
          <t>GÄVLEBORGS LÄN</t>
        </is>
      </c>
      <c r="E5419" t="inlineStr">
        <is>
          <t>OVANÅKER</t>
        </is>
      </c>
      <c r="F5419" t="inlineStr">
        <is>
          <t>Bergvik skog väst AB</t>
        </is>
      </c>
      <c r="G5419" t="n">
        <v>5.7</v>
      </c>
      <c r="H5419" t="n">
        <v>0</v>
      </c>
      <c r="I5419" t="n">
        <v>0</v>
      </c>
      <c r="J5419" t="n">
        <v>0</v>
      </c>
      <c r="K5419" t="n">
        <v>0</v>
      </c>
      <c r="L5419" t="n">
        <v>0</v>
      </c>
      <c r="M5419" t="n">
        <v>0</v>
      </c>
      <c r="N5419" t="n">
        <v>0</v>
      </c>
      <c r="O5419" t="n">
        <v>0</v>
      </c>
      <c r="P5419" t="n">
        <v>0</v>
      </c>
      <c r="Q5419" t="n">
        <v>0</v>
      </c>
      <c r="R5419" s="2" t="inlineStr"/>
    </row>
    <row r="5420" ht="15" customHeight="1">
      <c r="A5420" t="inlineStr">
        <is>
          <t>A 31327-2022</t>
        </is>
      </c>
      <c r="B5420" s="1" t="n">
        <v>44774</v>
      </c>
      <c r="C5420" s="1" t="n">
        <v>45344</v>
      </c>
      <c r="D5420" t="inlineStr">
        <is>
          <t>GÄVLEBORGS LÄN</t>
        </is>
      </c>
      <c r="E5420" t="inlineStr">
        <is>
          <t>SÖDERHAMN</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31336-2022</t>
        </is>
      </c>
      <c r="B5421" s="1" t="n">
        <v>44774</v>
      </c>
      <c r="C5421" s="1" t="n">
        <v>45344</v>
      </c>
      <c r="D5421" t="inlineStr">
        <is>
          <t>GÄVLEBORGS LÄN</t>
        </is>
      </c>
      <c r="E5421" t="inlineStr">
        <is>
          <t>LJUSDAL</t>
        </is>
      </c>
      <c r="F5421" t="inlineStr">
        <is>
          <t>Holmen skog AB</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31378-2022</t>
        </is>
      </c>
      <c r="B5422" s="1" t="n">
        <v>44774</v>
      </c>
      <c r="C5422" s="1" t="n">
        <v>45344</v>
      </c>
      <c r="D5422" t="inlineStr">
        <is>
          <t>GÄVLEBORGS LÄN</t>
        </is>
      </c>
      <c r="E5422" t="inlineStr">
        <is>
          <t>LJUSDAL</t>
        </is>
      </c>
      <c r="F5422" t="inlineStr">
        <is>
          <t>Holmen skog AB</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31397-2022</t>
        </is>
      </c>
      <c r="B5423" s="1" t="n">
        <v>44774</v>
      </c>
      <c r="C5423" s="1" t="n">
        <v>45344</v>
      </c>
      <c r="D5423" t="inlineStr">
        <is>
          <t>GÄVLEBORGS LÄN</t>
        </is>
      </c>
      <c r="E5423" t="inlineStr">
        <is>
          <t>LJUSDAL</t>
        </is>
      </c>
      <c r="F5423" t="inlineStr">
        <is>
          <t>Holmen skog AB</t>
        </is>
      </c>
      <c r="G5423" t="n">
        <v>5.3</v>
      </c>
      <c r="H5423" t="n">
        <v>0</v>
      </c>
      <c r="I5423" t="n">
        <v>0</v>
      </c>
      <c r="J5423" t="n">
        <v>0</v>
      </c>
      <c r="K5423" t="n">
        <v>0</v>
      </c>
      <c r="L5423" t="n">
        <v>0</v>
      </c>
      <c r="M5423" t="n">
        <v>0</v>
      </c>
      <c r="N5423" t="n">
        <v>0</v>
      </c>
      <c r="O5423" t="n">
        <v>0</v>
      </c>
      <c r="P5423" t="n">
        <v>0</v>
      </c>
      <c r="Q5423" t="n">
        <v>0</v>
      </c>
      <c r="R5423" s="2" t="inlineStr"/>
    </row>
    <row r="5424" ht="15" customHeight="1">
      <c r="A5424" t="inlineStr">
        <is>
          <t>A 31419-2022</t>
        </is>
      </c>
      <c r="B5424" s="1" t="n">
        <v>44774</v>
      </c>
      <c r="C5424" s="1" t="n">
        <v>45344</v>
      </c>
      <c r="D5424" t="inlineStr">
        <is>
          <t>GÄVLEBORGS LÄN</t>
        </is>
      </c>
      <c r="E5424" t="inlineStr">
        <is>
          <t>SANDVIKEN</t>
        </is>
      </c>
      <c r="F5424" t="inlineStr">
        <is>
          <t>Sveaskog</t>
        </is>
      </c>
      <c r="G5424" t="n">
        <v>0.4</v>
      </c>
      <c r="H5424" t="n">
        <v>0</v>
      </c>
      <c r="I5424" t="n">
        <v>0</v>
      </c>
      <c r="J5424" t="n">
        <v>0</v>
      </c>
      <c r="K5424" t="n">
        <v>0</v>
      </c>
      <c r="L5424" t="n">
        <v>0</v>
      </c>
      <c r="M5424" t="n">
        <v>0</v>
      </c>
      <c r="N5424" t="n">
        <v>0</v>
      </c>
      <c r="O5424" t="n">
        <v>0</v>
      </c>
      <c r="P5424" t="n">
        <v>0</v>
      </c>
      <c r="Q5424" t="n">
        <v>0</v>
      </c>
      <c r="R5424" s="2" t="inlineStr"/>
    </row>
    <row r="5425" ht="15" customHeight="1">
      <c r="A5425" t="inlineStr">
        <is>
          <t>A 31432-2022</t>
        </is>
      </c>
      <c r="B5425" s="1" t="n">
        <v>44775</v>
      </c>
      <c r="C5425" s="1" t="n">
        <v>45344</v>
      </c>
      <c r="D5425" t="inlineStr">
        <is>
          <t>GÄVLEBORGS LÄN</t>
        </is>
      </c>
      <c r="E5425" t="inlineStr">
        <is>
          <t>NORDANSTIG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31434-2022</t>
        </is>
      </c>
      <c r="B5426" s="1" t="n">
        <v>44775</v>
      </c>
      <c r="C5426" s="1" t="n">
        <v>45344</v>
      </c>
      <c r="D5426" t="inlineStr">
        <is>
          <t>GÄVLEBORGS LÄN</t>
        </is>
      </c>
      <c r="E5426" t="inlineStr">
        <is>
          <t>BOLLNÄS</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31535-2022</t>
        </is>
      </c>
      <c r="B5427" s="1" t="n">
        <v>44775</v>
      </c>
      <c r="C5427" s="1" t="n">
        <v>45344</v>
      </c>
      <c r="D5427" t="inlineStr">
        <is>
          <t>GÄVLEBORGS LÄN</t>
        </is>
      </c>
      <c r="E5427" t="inlineStr">
        <is>
          <t>GÄVLE</t>
        </is>
      </c>
      <c r="G5427" t="n">
        <v>8</v>
      </c>
      <c r="H5427" t="n">
        <v>0</v>
      </c>
      <c r="I5427" t="n">
        <v>0</v>
      </c>
      <c r="J5427" t="n">
        <v>0</v>
      </c>
      <c r="K5427" t="n">
        <v>0</v>
      </c>
      <c r="L5427" t="n">
        <v>0</v>
      </c>
      <c r="M5427" t="n">
        <v>0</v>
      </c>
      <c r="N5427" t="n">
        <v>0</v>
      </c>
      <c r="O5427" t="n">
        <v>0</v>
      </c>
      <c r="P5427" t="n">
        <v>0</v>
      </c>
      <c r="Q5427" t="n">
        <v>0</v>
      </c>
      <c r="R5427" s="2" t="inlineStr"/>
    </row>
    <row r="5428" ht="15" customHeight="1">
      <c r="A5428" t="inlineStr">
        <is>
          <t>A 31551-2022</t>
        </is>
      </c>
      <c r="B5428" s="1" t="n">
        <v>44775</v>
      </c>
      <c r="C5428" s="1" t="n">
        <v>45344</v>
      </c>
      <c r="D5428" t="inlineStr">
        <is>
          <t>GÄVLEBORGS LÄN</t>
        </is>
      </c>
      <c r="E5428" t="inlineStr">
        <is>
          <t>NORDANSTIG</t>
        </is>
      </c>
      <c r="F5428" t="inlineStr">
        <is>
          <t>Holmen skog AB</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31528-2022</t>
        </is>
      </c>
      <c r="B5429" s="1" t="n">
        <v>44775</v>
      </c>
      <c r="C5429" s="1" t="n">
        <v>45344</v>
      </c>
      <c r="D5429" t="inlineStr">
        <is>
          <t>GÄVLEBORGS LÄN</t>
        </is>
      </c>
      <c r="E5429" t="inlineStr">
        <is>
          <t>GÄVLE</t>
        </is>
      </c>
      <c r="F5429" t="inlineStr">
        <is>
          <t>Bergvik skog öst AB</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31531-2022</t>
        </is>
      </c>
      <c r="B5430" s="1" t="n">
        <v>44775</v>
      </c>
      <c r="C5430" s="1" t="n">
        <v>45344</v>
      </c>
      <c r="D5430" t="inlineStr">
        <is>
          <t>GÄVLEBORGS LÄN</t>
        </is>
      </c>
      <c r="E5430" t="inlineStr">
        <is>
          <t>GÄVLE</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31541-2022</t>
        </is>
      </c>
      <c r="B5431" s="1" t="n">
        <v>44775</v>
      </c>
      <c r="C5431" s="1" t="n">
        <v>45344</v>
      </c>
      <c r="D5431" t="inlineStr">
        <is>
          <t>GÄVLEBORGS LÄN</t>
        </is>
      </c>
      <c r="E5431" t="inlineStr">
        <is>
          <t>NORDANSTIG</t>
        </is>
      </c>
      <c r="F5431" t="inlineStr">
        <is>
          <t>Holmen skog AB</t>
        </is>
      </c>
      <c r="G5431" t="n">
        <v>13.9</v>
      </c>
      <c r="H5431" t="n">
        <v>0</v>
      </c>
      <c r="I5431" t="n">
        <v>0</v>
      </c>
      <c r="J5431" t="n">
        <v>0</v>
      </c>
      <c r="K5431" t="n">
        <v>0</v>
      </c>
      <c r="L5431" t="n">
        <v>0</v>
      </c>
      <c r="M5431" t="n">
        <v>0</v>
      </c>
      <c r="N5431" t="n">
        <v>0</v>
      </c>
      <c r="O5431" t="n">
        <v>0</v>
      </c>
      <c r="P5431" t="n">
        <v>0</v>
      </c>
      <c r="Q5431" t="n">
        <v>0</v>
      </c>
      <c r="R5431" s="2" t="inlineStr"/>
    </row>
    <row r="5432" ht="15" customHeight="1">
      <c r="A5432" t="inlineStr">
        <is>
          <t>A 31676-2022</t>
        </is>
      </c>
      <c r="B5432" s="1" t="n">
        <v>44776</v>
      </c>
      <c r="C5432" s="1" t="n">
        <v>45344</v>
      </c>
      <c r="D5432" t="inlineStr">
        <is>
          <t>GÄVLEBORGS LÄN</t>
        </is>
      </c>
      <c r="E5432" t="inlineStr">
        <is>
          <t>SÖDERHAMN</t>
        </is>
      </c>
      <c r="F5432" t="inlineStr">
        <is>
          <t>Bergvik skog väst AB</t>
        </is>
      </c>
      <c r="G5432" t="n">
        <v>4.6</v>
      </c>
      <c r="H5432" t="n">
        <v>0</v>
      </c>
      <c r="I5432" t="n">
        <v>0</v>
      </c>
      <c r="J5432" t="n">
        <v>0</v>
      </c>
      <c r="K5432" t="n">
        <v>0</v>
      </c>
      <c r="L5432" t="n">
        <v>0</v>
      </c>
      <c r="M5432" t="n">
        <v>0</v>
      </c>
      <c r="N5432" t="n">
        <v>0</v>
      </c>
      <c r="O5432" t="n">
        <v>0</v>
      </c>
      <c r="P5432" t="n">
        <v>0</v>
      </c>
      <c r="Q5432" t="n">
        <v>0</v>
      </c>
      <c r="R5432" s="2" t="inlineStr"/>
    </row>
    <row r="5433" ht="15" customHeight="1">
      <c r="A5433" t="inlineStr">
        <is>
          <t>A 31773-2022</t>
        </is>
      </c>
      <c r="B5433" s="1" t="n">
        <v>44776</v>
      </c>
      <c r="C5433" s="1" t="n">
        <v>45344</v>
      </c>
      <c r="D5433" t="inlineStr">
        <is>
          <t>GÄVLEBORGS LÄN</t>
        </is>
      </c>
      <c r="E5433" t="inlineStr">
        <is>
          <t>GÄVLE</t>
        </is>
      </c>
      <c r="F5433" t="inlineStr">
        <is>
          <t>Bergvik skog väst AB</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31808-2022</t>
        </is>
      </c>
      <c r="B5434" s="1" t="n">
        <v>44776</v>
      </c>
      <c r="C5434" s="1" t="n">
        <v>45344</v>
      </c>
      <c r="D5434" t="inlineStr">
        <is>
          <t>GÄVLEBORGS LÄN</t>
        </is>
      </c>
      <c r="E5434" t="inlineStr">
        <is>
          <t>LJUSDAL</t>
        </is>
      </c>
      <c r="G5434" t="n">
        <v>5.6</v>
      </c>
      <c r="H5434" t="n">
        <v>0</v>
      </c>
      <c r="I5434" t="n">
        <v>0</v>
      </c>
      <c r="J5434" t="n">
        <v>0</v>
      </c>
      <c r="K5434" t="n">
        <v>0</v>
      </c>
      <c r="L5434" t="n">
        <v>0</v>
      </c>
      <c r="M5434" t="n">
        <v>0</v>
      </c>
      <c r="N5434" t="n">
        <v>0</v>
      </c>
      <c r="O5434" t="n">
        <v>0</v>
      </c>
      <c r="P5434" t="n">
        <v>0</v>
      </c>
      <c r="Q5434" t="n">
        <v>0</v>
      </c>
      <c r="R5434" s="2" t="inlineStr"/>
    </row>
    <row r="5435" ht="15" customHeight="1">
      <c r="A5435" t="inlineStr">
        <is>
          <t>A 31787-2022</t>
        </is>
      </c>
      <c r="B5435" s="1" t="n">
        <v>44776</v>
      </c>
      <c r="C5435" s="1" t="n">
        <v>45344</v>
      </c>
      <c r="D5435" t="inlineStr">
        <is>
          <t>GÄVLEBORGS LÄN</t>
        </is>
      </c>
      <c r="E5435" t="inlineStr">
        <is>
          <t>NORDANSTIG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31800-2022</t>
        </is>
      </c>
      <c r="B5436" s="1" t="n">
        <v>44776</v>
      </c>
      <c r="C5436" s="1" t="n">
        <v>45344</v>
      </c>
      <c r="D5436" t="inlineStr">
        <is>
          <t>GÄVLEBORGS LÄN</t>
        </is>
      </c>
      <c r="E5436" t="inlineStr">
        <is>
          <t>OVANÅKER</t>
        </is>
      </c>
      <c r="F5436" t="inlineStr">
        <is>
          <t>Bergvik skog väst AB</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31805-2022</t>
        </is>
      </c>
      <c r="B5437" s="1" t="n">
        <v>44776</v>
      </c>
      <c r="C5437" s="1" t="n">
        <v>45344</v>
      </c>
      <c r="D5437" t="inlineStr">
        <is>
          <t>GÄVLEBORGS LÄN</t>
        </is>
      </c>
      <c r="E5437" t="inlineStr">
        <is>
          <t>OVANÅKER</t>
        </is>
      </c>
      <c r="F5437" t="inlineStr">
        <is>
          <t>Bergvik skog väst AB</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31899-2022</t>
        </is>
      </c>
      <c r="B5438" s="1" t="n">
        <v>44777</v>
      </c>
      <c r="C5438" s="1" t="n">
        <v>45344</v>
      </c>
      <c r="D5438" t="inlineStr">
        <is>
          <t>GÄVLEBORGS LÄN</t>
        </is>
      </c>
      <c r="E5438" t="inlineStr">
        <is>
          <t>NORDANSTIG</t>
        </is>
      </c>
      <c r="F5438" t="inlineStr">
        <is>
          <t>Holmen skog AB</t>
        </is>
      </c>
      <c r="G5438" t="n">
        <v>1.1</v>
      </c>
      <c r="H5438" t="n">
        <v>0</v>
      </c>
      <c r="I5438" t="n">
        <v>0</v>
      </c>
      <c r="J5438" t="n">
        <v>0</v>
      </c>
      <c r="K5438" t="n">
        <v>0</v>
      </c>
      <c r="L5438" t="n">
        <v>0</v>
      </c>
      <c r="M5438" t="n">
        <v>0</v>
      </c>
      <c r="N5438" t="n">
        <v>0</v>
      </c>
      <c r="O5438" t="n">
        <v>0</v>
      </c>
      <c r="P5438" t="n">
        <v>0</v>
      </c>
      <c r="Q5438" t="n">
        <v>0</v>
      </c>
      <c r="R5438" s="2" t="inlineStr"/>
    </row>
    <row r="5439" ht="15" customHeight="1">
      <c r="A5439" t="inlineStr">
        <is>
          <t>A 31890-2022</t>
        </is>
      </c>
      <c r="B5439" s="1" t="n">
        <v>44777</v>
      </c>
      <c r="C5439" s="1" t="n">
        <v>45344</v>
      </c>
      <c r="D5439" t="inlineStr">
        <is>
          <t>GÄVLEBORGS LÄN</t>
        </is>
      </c>
      <c r="E5439" t="inlineStr">
        <is>
          <t>LJUSDAL</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32040-2022</t>
        </is>
      </c>
      <c r="B5440" s="1" t="n">
        <v>44778</v>
      </c>
      <c r="C5440" s="1" t="n">
        <v>45344</v>
      </c>
      <c r="D5440" t="inlineStr">
        <is>
          <t>GÄVLEBORGS LÄN</t>
        </is>
      </c>
      <c r="E5440" t="inlineStr">
        <is>
          <t>LJUSDAL</t>
        </is>
      </c>
      <c r="F5440" t="inlineStr">
        <is>
          <t>Sveaskog</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32087-2022</t>
        </is>
      </c>
      <c r="B5441" s="1" t="n">
        <v>44778</v>
      </c>
      <c r="C5441" s="1" t="n">
        <v>45344</v>
      </c>
      <c r="D5441" t="inlineStr">
        <is>
          <t>GÄVLEBORGS LÄN</t>
        </is>
      </c>
      <c r="E5441" t="inlineStr">
        <is>
          <t>HUDIKSVALL</t>
        </is>
      </c>
      <c r="G5441" t="n">
        <v>7.4</v>
      </c>
      <c r="H5441" t="n">
        <v>0</v>
      </c>
      <c r="I5441" t="n">
        <v>0</v>
      </c>
      <c r="J5441" t="n">
        <v>0</v>
      </c>
      <c r="K5441" t="n">
        <v>0</v>
      </c>
      <c r="L5441" t="n">
        <v>0</v>
      </c>
      <c r="M5441" t="n">
        <v>0</v>
      </c>
      <c r="N5441" t="n">
        <v>0</v>
      </c>
      <c r="O5441" t="n">
        <v>0</v>
      </c>
      <c r="P5441" t="n">
        <v>0</v>
      </c>
      <c r="Q5441" t="n">
        <v>0</v>
      </c>
      <c r="R5441" s="2" t="inlineStr"/>
    </row>
    <row r="5442" ht="15" customHeight="1">
      <c r="A5442" t="inlineStr">
        <is>
          <t>A 32004-2022</t>
        </is>
      </c>
      <c r="B5442" s="1" t="n">
        <v>44778</v>
      </c>
      <c r="C5442" s="1" t="n">
        <v>45344</v>
      </c>
      <c r="D5442" t="inlineStr">
        <is>
          <t>GÄVLEBORGS LÄN</t>
        </is>
      </c>
      <c r="E5442" t="inlineStr">
        <is>
          <t>HUDIKSVALL</t>
        </is>
      </c>
      <c r="G5442" t="n">
        <v>4.8</v>
      </c>
      <c r="H5442" t="n">
        <v>0</v>
      </c>
      <c r="I5442" t="n">
        <v>0</v>
      </c>
      <c r="J5442" t="n">
        <v>0</v>
      </c>
      <c r="K5442" t="n">
        <v>0</v>
      </c>
      <c r="L5442" t="n">
        <v>0</v>
      </c>
      <c r="M5442" t="n">
        <v>0</v>
      </c>
      <c r="N5442" t="n">
        <v>0</v>
      </c>
      <c r="O5442" t="n">
        <v>0</v>
      </c>
      <c r="P5442" t="n">
        <v>0</v>
      </c>
      <c r="Q5442" t="n">
        <v>0</v>
      </c>
      <c r="R5442" s="2" t="inlineStr"/>
    </row>
    <row r="5443" ht="15" customHeight="1">
      <c r="A5443" t="inlineStr">
        <is>
          <t>A 32035-2022</t>
        </is>
      </c>
      <c r="B5443" s="1" t="n">
        <v>44778</v>
      </c>
      <c r="C5443" s="1" t="n">
        <v>45344</v>
      </c>
      <c r="D5443" t="inlineStr">
        <is>
          <t>GÄVLEBORGS LÄN</t>
        </is>
      </c>
      <c r="E5443" t="inlineStr">
        <is>
          <t>LJUSDAL</t>
        </is>
      </c>
      <c r="F5443" t="inlineStr">
        <is>
          <t>Sveaskog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32038-2022</t>
        </is>
      </c>
      <c r="B5444" s="1" t="n">
        <v>44778</v>
      </c>
      <c r="C5444" s="1" t="n">
        <v>45344</v>
      </c>
      <c r="D5444" t="inlineStr">
        <is>
          <t>GÄVLEBORGS LÄN</t>
        </is>
      </c>
      <c r="E5444" t="inlineStr">
        <is>
          <t>LJUSDAL</t>
        </is>
      </c>
      <c r="F5444" t="inlineStr">
        <is>
          <t>Sveaskog</t>
        </is>
      </c>
      <c r="G5444" t="n">
        <v>3.1</v>
      </c>
      <c r="H5444" t="n">
        <v>0</v>
      </c>
      <c r="I5444" t="n">
        <v>0</v>
      </c>
      <c r="J5444" t="n">
        <v>0</v>
      </c>
      <c r="K5444" t="n">
        <v>0</v>
      </c>
      <c r="L5444" t="n">
        <v>0</v>
      </c>
      <c r="M5444" t="n">
        <v>0</v>
      </c>
      <c r="N5444" t="n">
        <v>0</v>
      </c>
      <c r="O5444" t="n">
        <v>0</v>
      </c>
      <c r="P5444" t="n">
        <v>0</v>
      </c>
      <c r="Q5444" t="n">
        <v>0</v>
      </c>
      <c r="R5444" s="2" t="inlineStr"/>
    </row>
    <row r="5445" ht="15" customHeight="1">
      <c r="A5445" t="inlineStr">
        <is>
          <t>A 32217-2022</t>
        </is>
      </c>
      <c r="B5445" s="1" t="n">
        <v>44781</v>
      </c>
      <c r="C5445" s="1" t="n">
        <v>45344</v>
      </c>
      <c r="D5445" t="inlineStr">
        <is>
          <t>GÄVLEBORGS LÄN</t>
        </is>
      </c>
      <c r="E5445" t="inlineStr">
        <is>
          <t>LJUSDAL</t>
        </is>
      </c>
      <c r="F5445" t="inlineStr">
        <is>
          <t>Holmen skog AB</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32199-2022</t>
        </is>
      </c>
      <c r="B5446" s="1" t="n">
        <v>44781</v>
      </c>
      <c r="C5446" s="1" t="n">
        <v>45344</v>
      </c>
      <c r="D5446" t="inlineStr">
        <is>
          <t>GÄVLEBORGS LÄN</t>
        </is>
      </c>
      <c r="E5446" t="inlineStr">
        <is>
          <t>HUDIKSVALL</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32238-2022</t>
        </is>
      </c>
      <c r="B5447" s="1" t="n">
        <v>44781</v>
      </c>
      <c r="C5447" s="1" t="n">
        <v>45344</v>
      </c>
      <c r="D5447" t="inlineStr">
        <is>
          <t>GÄVLEBORGS LÄN</t>
        </is>
      </c>
      <c r="E5447" t="inlineStr">
        <is>
          <t>LJUSDAL</t>
        </is>
      </c>
      <c r="F5447" t="inlineStr">
        <is>
          <t>Holmen skog AB</t>
        </is>
      </c>
      <c r="G5447" t="n">
        <v>1.7</v>
      </c>
      <c r="H5447" t="n">
        <v>0</v>
      </c>
      <c r="I5447" t="n">
        <v>0</v>
      </c>
      <c r="J5447" t="n">
        <v>0</v>
      </c>
      <c r="K5447" t="n">
        <v>0</v>
      </c>
      <c r="L5447" t="n">
        <v>0</v>
      </c>
      <c r="M5447" t="n">
        <v>0</v>
      </c>
      <c r="N5447" t="n">
        <v>0</v>
      </c>
      <c r="O5447" t="n">
        <v>0</v>
      </c>
      <c r="P5447" t="n">
        <v>0</v>
      </c>
      <c r="Q5447" t="n">
        <v>0</v>
      </c>
      <c r="R5447" s="2" t="inlineStr"/>
    </row>
    <row r="5448" ht="15" customHeight="1">
      <c r="A5448" t="inlineStr">
        <is>
          <t>A 32201-2022</t>
        </is>
      </c>
      <c r="B5448" s="1" t="n">
        <v>44781</v>
      </c>
      <c r="C5448" s="1" t="n">
        <v>45344</v>
      </c>
      <c r="D5448" t="inlineStr">
        <is>
          <t>GÄVLEBORGS LÄN</t>
        </is>
      </c>
      <c r="E5448" t="inlineStr">
        <is>
          <t>HUDIKSVALL</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32301-2022</t>
        </is>
      </c>
      <c r="B5449" s="1" t="n">
        <v>44781</v>
      </c>
      <c r="C5449" s="1" t="n">
        <v>45344</v>
      </c>
      <c r="D5449" t="inlineStr">
        <is>
          <t>GÄVLEBORGS LÄN</t>
        </is>
      </c>
      <c r="E5449" t="inlineStr">
        <is>
          <t>OCKELBO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32330-2022</t>
        </is>
      </c>
      <c r="B5450" s="1" t="n">
        <v>44781</v>
      </c>
      <c r="C5450" s="1" t="n">
        <v>45344</v>
      </c>
      <c r="D5450" t="inlineStr">
        <is>
          <t>GÄVLEBORGS LÄN</t>
        </is>
      </c>
      <c r="E5450" t="inlineStr">
        <is>
          <t>HOFORS</t>
        </is>
      </c>
      <c r="F5450" t="inlineStr">
        <is>
          <t>Sveaskog</t>
        </is>
      </c>
      <c r="G5450" t="n">
        <v>6.9</v>
      </c>
      <c r="H5450" t="n">
        <v>0</v>
      </c>
      <c r="I5450" t="n">
        <v>0</v>
      </c>
      <c r="J5450" t="n">
        <v>0</v>
      </c>
      <c r="K5450" t="n">
        <v>0</v>
      </c>
      <c r="L5450" t="n">
        <v>0</v>
      </c>
      <c r="M5450" t="n">
        <v>0</v>
      </c>
      <c r="N5450" t="n">
        <v>0</v>
      </c>
      <c r="O5450" t="n">
        <v>0</v>
      </c>
      <c r="P5450" t="n">
        <v>0</v>
      </c>
      <c r="Q5450" t="n">
        <v>0</v>
      </c>
      <c r="R5450" s="2" t="inlineStr"/>
    </row>
    <row r="5451" ht="15" customHeight="1">
      <c r="A5451" t="inlineStr">
        <is>
          <t>A 32327-2022</t>
        </is>
      </c>
      <c r="B5451" s="1" t="n">
        <v>44781</v>
      </c>
      <c r="C5451" s="1" t="n">
        <v>45344</v>
      </c>
      <c r="D5451" t="inlineStr">
        <is>
          <t>GÄVLEBORGS LÄN</t>
        </is>
      </c>
      <c r="E5451" t="inlineStr">
        <is>
          <t>HOFORS</t>
        </is>
      </c>
      <c r="F5451" t="inlineStr">
        <is>
          <t>Sveaskog</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32277-2022</t>
        </is>
      </c>
      <c r="B5452" s="1" t="n">
        <v>44781</v>
      </c>
      <c r="C5452" s="1" t="n">
        <v>45344</v>
      </c>
      <c r="D5452" t="inlineStr">
        <is>
          <t>GÄVLEBORGS LÄN</t>
        </is>
      </c>
      <c r="E5452" t="inlineStr">
        <is>
          <t>LJUSDAL</t>
        </is>
      </c>
      <c r="F5452" t="inlineStr">
        <is>
          <t>Sveaskog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32342-2022</t>
        </is>
      </c>
      <c r="B5453" s="1" t="n">
        <v>44781</v>
      </c>
      <c r="C5453" s="1" t="n">
        <v>45344</v>
      </c>
      <c r="D5453" t="inlineStr">
        <is>
          <t>GÄVLEBORGS LÄN</t>
        </is>
      </c>
      <c r="E5453" t="inlineStr">
        <is>
          <t>NORDANSTIG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32350-2022</t>
        </is>
      </c>
      <c r="B5454" s="1" t="n">
        <v>44782</v>
      </c>
      <c r="C5454" s="1" t="n">
        <v>45344</v>
      </c>
      <c r="D5454" t="inlineStr">
        <is>
          <t>GÄVLEBORGS LÄN</t>
        </is>
      </c>
      <c r="E5454" t="inlineStr">
        <is>
          <t>NORDANSTIG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32465-2022</t>
        </is>
      </c>
      <c r="B5455" s="1" t="n">
        <v>44782</v>
      </c>
      <c r="C5455" s="1" t="n">
        <v>45344</v>
      </c>
      <c r="D5455" t="inlineStr">
        <is>
          <t>GÄVLEBORGS LÄN</t>
        </is>
      </c>
      <c r="E5455" t="inlineStr">
        <is>
          <t>SANDVIKEN</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32382-2022</t>
        </is>
      </c>
      <c r="B5456" s="1" t="n">
        <v>44782</v>
      </c>
      <c r="C5456" s="1" t="n">
        <v>45344</v>
      </c>
      <c r="D5456" t="inlineStr">
        <is>
          <t>GÄVLEBORGS LÄN</t>
        </is>
      </c>
      <c r="E5456" t="inlineStr">
        <is>
          <t>GÄVLE</t>
        </is>
      </c>
      <c r="G5456" t="n">
        <v>5.2</v>
      </c>
      <c r="H5456" t="n">
        <v>0</v>
      </c>
      <c r="I5456" t="n">
        <v>0</v>
      </c>
      <c r="J5456" t="n">
        <v>0</v>
      </c>
      <c r="K5456" t="n">
        <v>0</v>
      </c>
      <c r="L5456" t="n">
        <v>0</v>
      </c>
      <c r="M5456" t="n">
        <v>0</v>
      </c>
      <c r="N5456" t="n">
        <v>0</v>
      </c>
      <c r="O5456" t="n">
        <v>0</v>
      </c>
      <c r="P5456" t="n">
        <v>0</v>
      </c>
      <c r="Q5456" t="n">
        <v>0</v>
      </c>
      <c r="R5456" s="2" t="inlineStr"/>
    </row>
    <row r="5457" ht="15" customHeight="1">
      <c r="A5457" t="inlineStr">
        <is>
          <t>A 32689-2022</t>
        </is>
      </c>
      <c r="B5457" s="1" t="n">
        <v>44783</v>
      </c>
      <c r="C5457" s="1" t="n">
        <v>45344</v>
      </c>
      <c r="D5457" t="inlineStr">
        <is>
          <t>GÄVLEBORGS LÄN</t>
        </is>
      </c>
      <c r="E5457" t="inlineStr">
        <is>
          <t>LJUSDAL</t>
        </is>
      </c>
      <c r="F5457" t="inlineStr">
        <is>
          <t>Sveaskog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32750-2022</t>
        </is>
      </c>
      <c r="B5458" s="1" t="n">
        <v>44783</v>
      </c>
      <c r="C5458" s="1" t="n">
        <v>45344</v>
      </c>
      <c r="D5458" t="inlineStr">
        <is>
          <t>GÄVLEBORGS LÄN</t>
        </is>
      </c>
      <c r="E5458" t="inlineStr">
        <is>
          <t>SÖDERHAMN</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32622-2022</t>
        </is>
      </c>
      <c r="B5459" s="1" t="n">
        <v>44783</v>
      </c>
      <c r="C5459" s="1" t="n">
        <v>45344</v>
      </c>
      <c r="D5459" t="inlineStr">
        <is>
          <t>GÄVLEBORGS LÄN</t>
        </is>
      </c>
      <c r="E5459" t="inlineStr">
        <is>
          <t>NORDANSTIG</t>
        </is>
      </c>
      <c r="G5459" t="n">
        <v>2.7</v>
      </c>
      <c r="H5459" t="n">
        <v>0</v>
      </c>
      <c r="I5459" t="n">
        <v>0</v>
      </c>
      <c r="J5459" t="n">
        <v>0</v>
      </c>
      <c r="K5459" t="n">
        <v>0</v>
      </c>
      <c r="L5459" t="n">
        <v>0</v>
      </c>
      <c r="M5459" t="n">
        <v>0</v>
      </c>
      <c r="N5459" t="n">
        <v>0</v>
      </c>
      <c r="O5459" t="n">
        <v>0</v>
      </c>
      <c r="P5459" t="n">
        <v>0</v>
      </c>
      <c r="Q5459" t="n">
        <v>0</v>
      </c>
      <c r="R5459" s="2" t="inlineStr"/>
    </row>
    <row r="5460" ht="15" customHeight="1">
      <c r="A5460" t="inlineStr">
        <is>
          <t>A 32634-2022</t>
        </is>
      </c>
      <c r="B5460" s="1" t="n">
        <v>44783</v>
      </c>
      <c r="C5460" s="1" t="n">
        <v>45344</v>
      </c>
      <c r="D5460" t="inlineStr">
        <is>
          <t>GÄVLEBORGS LÄN</t>
        </is>
      </c>
      <c r="E5460" t="inlineStr">
        <is>
          <t>BOLLNÄS</t>
        </is>
      </c>
      <c r="F5460" t="inlineStr">
        <is>
          <t>Kyrkan</t>
        </is>
      </c>
      <c r="G5460" t="n">
        <v>3.6</v>
      </c>
      <c r="H5460" t="n">
        <v>0</v>
      </c>
      <c r="I5460" t="n">
        <v>0</v>
      </c>
      <c r="J5460" t="n">
        <v>0</v>
      </c>
      <c r="K5460" t="n">
        <v>0</v>
      </c>
      <c r="L5460" t="n">
        <v>0</v>
      </c>
      <c r="M5460" t="n">
        <v>0</v>
      </c>
      <c r="N5460" t="n">
        <v>0</v>
      </c>
      <c r="O5460" t="n">
        <v>0</v>
      </c>
      <c r="P5460" t="n">
        <v>0</v>
      </c>
      <c r="Q5460" t="n">
        <v>0</v>
      </c>
      <c r="R5460" s="2" t="inlineStr"/>
    </row>
    <row r="5461" ht="15" customHeight="1">
      <c r="A5461" t="inlineStr">
        <is>
          <t>A 32749-2022</t>
        </is>
      </c>
      <c r="B5461" s="1" t="n">
        <v>44783</v>
      </c>
      <c r="C5461" s="1" t="n">
        <v>45344</v>
      </c>
      <c r="D5461" t="inlineStr">
        <is>
          <t>GÄVLEBORGS LÄN</t>
        </is>
      </c>
      <c r="E5461" t="inlineStr">
        <is>
          <t>SÖDERHAMN</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32635-2022</t>
        </is>
      </c>
      <c r="B5462" s="1" t="n">
        <v>44783</v>
      </c>
      <c r="C5462" s="1" t="n">
        <v>45344</v>
      </c>
      <c r="D5462" t="inlineStr">
        <is>
          <t>GÄVLEBORGS LÄN</t>
        </is>
      </c>
      <c r="E5462" t="inlineStr">
        <is>
          <t>NORDANSTIG</t>
        </is>
      </c>
      <c r="G5462" t="n">
        <v>10</v>
      </c>
      <c r="H5462" t="n">
        <v>0</v>
      </c>
      <c r="I5462" t="n">
        <v>0</v>
      </c>
      <c r="J5462" t="n">
        <v>0</v>
      </c>
      <c r="K5462" t="n">
        <v>0</v>
      </c>
      <c r="L5462" t="n">
        <v>0</v>
      </c>
      <c r="M5462" t="n">
        <v>0</v>
      </c>
      <c r="N5462" t="n">
        <v>0</v>
      </c>
      <c r="O5462" t="n">
        <v>0</v>
      </c>
      <c r="P5462" t="n">
        <v>0</v>
      </c>
      <c r="Q5462" t="n">
        <v>0</v>
      </c>
      <c r="R5462" s="2" t="inlineStr"/>
    </row>
    <row r="5463" ht="15" customHeight="1">
      <c r="A5463" t="inlineStr">
        <is>
          <t>A 32613-2022</t>
        </is>
      </c>
      <c r="B5463" s="1" t="n">
        <v>44783</v>
      </c>
      <c r="C5463" s="1" t="n">
        <v>45344</v>
      </c>
      <c r="D5463" t="inlineStr">
        <is>
          <t>GÄVLEBORGS LÄN</t>
        </is>
      </c>
      <c r="E5463" t="inlineStr">
        <is>
          <t>BOLLNÄS</t>
        </is>
      </c>
      <c r="F5463" t="inlineStr">
        <is>
          <t>Kyrkan</t>
        </is>
      </c>
      <c r="G5463" t="n">
        <v>4.2</v>
      </c>
      <c r="H5463" t="n">
        <v>0</v>
      </c>
      <c r="I5463" t="n">
        <v>0</v>
      </c>
      <c r="J5463" t="n">
        <v>0</v>
      </c>
      <c r="K5463" t="n">
        <v>0</v>
      </c>
      <c r="L5463" t="n">
        <v>0</v>
      </c>
      <c r="M5463" t="n">
        <v>0</v>
      </c>
      <c r="N5463" t="n">
        <v>0</v>
      </c>
      <c r="O5463" t="n">
        <v>0</v>
      </c>
      <c r="P5463" t="n">
        <v>0</v>
      </c>
      <c r="Q5463" t="n">
        <v>0</v>
      </c>
      <c r="R5463" s="2" t="inlineStr"/>
    </row>
    <row r="5464" ht="15" customHeight="1">
      <c r="A5464" t="inlineStr">
        <is>
          <t>A 32879-2022</t>
        </is>
      </c>
      <c r="B5464" s="1" t="n">
        <v>44784</v>
      </c>
      <c r="C5464" s="1" t="n">
        <v>45344</v>
      </c>
      <c r="D5464" t="inlineStr">
        <is>
          <t>GÄVLEBORGS LÄN</t>
        </is>
      </c>
      <c r="E5464" t="inlineStr">
        <is>
          <t>LJUSDAL</t>
        </is>
      </c>
      <c r="F5464" t="inlineStr">
        <is>
          <t>Bergvik skog väst AB</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32832-2022</t>
        </is>
      </c>
      <c r="B5465" s="1" t="n">
        <v>44784</v>
      </c>
      <c r="C5465" s="1" t="n">
        <v>45344</v>
      </c>
      <c r="D5465" t="inlineStr">
        <is>
          <t>GÄVLEBORGS LÄN</t>
        </is>
      </c>
      <c r="E5465" t="inlineStr">
        <is>
          <t>LJUSDAL</t>
        </is>
      </c>
      <c r="F5465" t="inlineStr">
        <is>
          <t>Bergvik skog väst AB</t>
        </is>
      </c>
      <c r="G5465" t="n">
        <v>2.4</v>
      </c>
      <c r="H5465" t="n">
        <v>0</v>
      </c>
      <c r="I5465" t="n">
        <v>0</v>
      </c>
      <c r="J5465" t="n">
        <v>0</v>
      </c>
      <c r="K5465" t="n">
        <v>0</v>
      </c>
      <c r="L5465" t="n">
        <v>0</v>
      </c>
      <c r="M5465" t="n">
        <v>0</v>
      </c>
      <c r="N5465" t="n">
        <v>0</v>
      </c>
      <c r="O5465" t="n">
        <v>0</v>
      </c>
      <c r="P5465" t="n">
        <v>0</v>
      </c>
      <c r="Q5465" t="n">
        <v>0</v>
      </c>
      <c r="R5465" s="2" t="inlineStr"/>
    </row>
    <row r="5466" ht="15" customHeight="1">
      <c r="A5466" t="inlineStr">
        <is>
          <t>A 32847-2022</t>
        </is>
      </c>
      <c r="B5466" s="1" t="n">
        <v>44784</v>
      </c>
      <c r="C5466" s="1" t="n">
        <v>45344</v>
      </c>
      <c r="D5466" t="inlineStr">
        <is>
          <t>GÄVLEBORGS LÄN</t>
        </is>
      </c>
      <c r="E5466" t="inlineStr">
        <is>
          <t>SANDVIKEN</t>
        </is>
      </c>
      <c r="G5466" t="n">
        <v>3.4</v>
      </c>
      <c r="H5466" t="n">
        <v>0</v>
      </c>
      <c r="I5466" t="n">
        <v>0</v>
      </c>
      <c r="J5466" t="n">
        <v>0</v>
      </c>
      <c r="K5466" t="n">
        <v>0</v>
      </c>
      <c r="L5466" t="n">
        <v>0</v>
      </c>
      <c r="M5466" t="n">
        <v>0</v>
      </c>
      <c r="N5466" t="n">
        <v>0</v>
      </c>
      <c r="O5466" t="n">
        <v>0</v>
      </c>
      <c r="P5466" t="n">
        <v>0</v>
      </c>
      <c r="Q5466" t="n">
        <v>0</v>
      </c>
      <c r="R5466" s="2" t="inlineStr"/>
    </row>
    <row r="5467" ht="15" customHeight="1">
      <c r="A5467" t="inlineStr">
        <is>
          <t>A 32849-2022</t>
        </is>
      </c>
      <c r="B5467" s="1" t="n">
        <v>44784</v>
      </c>
      <c r="C5467" s="1" t="n">
        <v>45344</v>
      </c>
      <c r="D5467" t="inlineStr">
        <is>
          <t>GÄVLEBORGS LÄN</t>
        </is>
      </c>
      <c r="E5467" t="inlineStr">
        <is>
          <t>SANDVIKEN</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32948-2022</t>
        </is>
      </c>
      <c r="B5468" s="1" t="n">
        <v>44784</v>
      </c>
      <c r="C5468" s="1" t="n">
        <v>45344</v>
      </c>
      <c r="D5468" t="inlineStr">
        <is>
          <t>GÄVLEBORGS LÄN</t>
        </is>
      </c>
      <c r="E5468" t="inlineStr">
        <is>
          <t>BOLLNÄS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33028-2022</t>
        </is>
      </c>
      <c r="B5469" s="1" t="n">
        <v>44785</v>
      </c>
      <c r="C5469" s="1" t="n">
        <v>45344</v>
      </c>
      <c r="D5469" t="inlineStr">
        <is>
          <t>GÄVLEBORGS LÄN</t>
        </is>
      </c>
      <c r="E5469" t="inlineStr">
        <is>
          <t>BOLLNÄS</t>
        </is>
      </c>
      <c r="F5469" t="inlineStr">
        <is>
          <t>Kyrkan</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33049-2022</t>
        </is>
      </c>
      <c r="B5470" s="1" t="n">
        <v>44785</v>
      </c>
      <c r="C5470" s="1" t="n">
        <v>45344</v>
      </c>
      <c r="D5470" t="inlineStr">
        <is>
          <t>GÄVLEBORGS LÄN</t>
        </is>
      </c>
      <c r="E5470" t="inlineStr">
        <is>
          <t>BOLLNÄS</t>
        </is>
      </c>
      <c r="F5470" t="inlineStr">
        <is>
          <t>Kyrkan</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33109-2022</t>
        </is>
      </c>
      <c r="B5471" s="1" t="n">
        <v>44785</v>
      </c>
      <c r="C5471" s="1" t="n">
        <v>45344</v>
      </c>
      <c r="D5471" t="inlineStr">
        <is>
          <t>GÄVLEBORGS LÄN</t>
        </is>
      </c>
      <c r="E5471" t="inlineStr">
        <is>
          <t>NORDANSTIG</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33040-2022</t>
        </is>
      </c>
      <c r="B5472" s="1" t="n">
        <v>44785</v>
      </c>
      <c r="C5472" s="1" t="n">
        <v>45344</v>
      </c>
      <c r="D5472" t="inlineStr">
        <is>
          <t>GÄVLEBORGS LÄN</t>
        </is>
      </c>
      <c r="E5472" t="inlineStr">
        <is>
          <t>BOLLNÄS</t>
        </is>
      </c>
      <c r="F5472" t="inlineStr">
        <is>
          <t>Kyrkan</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33022-2022</t>
        </is>
      </c>
      <c r="B5473" s="1" t="n">
        <v>44785</v>
      </c>
      <c r="C5473" s="1" t="n">
        <v>45344</v>
      </c>
      <c r="D5473" t="inlineStr">
        <is>
          <t>GÄVLEBORGS LÄN</t>
        </is>
      </c>
      <c r="E5473" t="inlineStr">
        <is>
          <t>OVANÅKER</t>
        </is>
      </c>
      <c r="F5473" t="inlineStr">
        <is>
          <t>Bergvik skog väst AB</t>
        </is>
      </c>
      <c r="G5473" t="n">
        <v>15.3</v>
      </c>
      <c r="H5473" t="n">
        <v>0</v>
      </c>
      <c r="I5473" t="n">
        <v>0</v>
      </c>
      <c r="J5473" t="n">
        <v>0</v>
      </c>
      <c r="K5473" t="n">
        <v>0</v>
      </c>
      <c r="L5473" t="n">
        <v>0</v>
      </c>
      <c r="M5473" t="n">
        <v>0</v>
      </c>
      <c r="N5473" t="n">
        <v>0</v>
      </c>
      <c r="O5473" t="n">
        <v>0</v>
      </c>
      <c r="P5473" t="n">
        <v>0</v>
      </c>
      <c r="Q5473" t="n">
        <v>0</v>
      </c>
      <c r="R5473" s="2" t="inlineStr"/>
    </row>
    <row r="5474" ht="15" customHeight="1">
      <c r="A5474" t="inlineStr">
        <is>
          <t>A 33086-2022</t>
        </is>
      </c>
      <c r="B5474" s="1" t="n">
        <v>44785</v>
      </c>
      <c r="C5474" s="1" t="n">
        <v>45344</v>
      </c>
      <c r="D5474" t="inlineStr">
        <is>
          <t>GÄVLEBORGS LÄN</t>
        </is>
      </c>
      <c r="E5474" t="inlineStr">
        <is>
          <t>BOLLNÄS</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33178-2022</t>
        </is>
      </c>
      <c r="B5475" s="1" t="n">
        <v>44785</v>
      </c>
      <c r="C5475" s="1" t="n">
        <v>45344</v>
      </c>
      <c r="D5475" t="inlineStr">
        <is>
          <t>GÄVLEBORGS LÄN</t>
        </is>
      </c>
      <c r="E5475" t="inlineStr">
        <is>
          <t>GÄVLE</t>
        </is>
      </c>
      <c r="G5475" t="n">
        <v>0.4</v>
      </c>
      <c r="H5475" t="n">
        <v>0</v>
      </c>
      <c r="I5475" t="n">
        <v>0</v>
      </c>
      <c r="J5475" t="n">
        <v>0</v>
      </c>
      <c r="K5475" t="n">
        <v>0</v>
      </c>
      <c r="L5475" t="n">
        <v>0</v>
      </c>
      <c r="M5475" t="n">
        <v>0</v>
      </c>
      <c r="N5475" t="n">
        <v>0</v>
      </c>
      <c r="O5475" t="n">
        <v>0</v>
      </c>
      <c r="P5475" t="n">
        <v>0</v>
      </c>
      <c r="Q5475" t="n">
        <v>0</v>
      </c>
      <c r="R5475" s="2" t="inlineStr"/>
    </row>
    <row r="5476" ht="15" customHeight="1">
      <c r="A5476" t="inlineStr">
        <is>
          <t>A 33138-2022</t>
        </is>
      </c>
      <c r="B5476" s="1" t="n">
        <v>44785</v>
      </c>
      <c r="C5476" s="1" t="n">
        <v>45344</v>
      </c>
      <c r="D5476" t="inlineStr">
        <is>
          <t>GÄVLEBORGS LÄN</t>
        </is>
      </c>
      <c r="E5476" t="inlineStr">
        <is>
          <t>HUDIKSVALL</t>
        </is>
      </c>
      <c r="F5476" t="inlineStr">
        <is>
          <t>Holmen skog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33175-2022</t>
        </is>
      </c>
      <c r="B5477" s="1" t="n">
        <v>44785</v>
      </c>
      <c r="C5477" s="1" t="n">
        <v>45344</v>
      </c>
      <c r="D5477" t="inlineStr">
        <is>
          <t>GÄVLEBORGS LÄN</t>
        </is>
      </c>
      <c r="E5477" t="inlineStr">
        <is>
          <t>GÄVLE</t>
        </is>
      </c>
      <c r="G5477" t="n">
        <v>0.4</v>
      </c>
      <c r="H5477" t="n">
        <v>0</v>
      </c>
      <c r="I5477" t="n">
        <v>0</v>
      </c>
      <c r="J5477" t="n">
        <v>0</v>
      </c>
      <c r="K5477" t="n">
        <v>0</v>
      </c>
      <c r="L5477" t="n">
        <v>0</v>
      </c>
      <c r="M5477" t="n">
        <v>0</v>
      </c>
      <c r="N5477" t="n">
        <v>0</v>
      </c>
      <c r="O5477" t="n">
        <v>0</v>
      </c>
      <c r="P5477" t="n">
        <v>0</v>
      </c>
      <c r="Q5477" t="n">
        <v>0</v>
      </c>
      <c r="R5477" s="2" t="inlineStr"/>
    </row>
    <row r="5478" ht="15" customHeight="1">
      <c r="A5478" t="inlineStr">
        <is>
          <t>A 33280-2022</t>
        </is>
      </c>
      <c r="B5478" s="1" t="n">
        <v>44788</v>
      </c>
      <c r="C5478" s="1" t="n">
        <v>45344</v>
      </c>
      <c r="D5478" t="inlineStr">
        <is>
          <t>GÄVLEBORGS LÄN</t>
        </is>
      </c>
      <c r="E5478" t="inlineStr">
        <is>
          <t>GÄVLE</t>
        </is>
      </c>
      <c r="F5478" t="inlineStr">
        <is>
          <t>Bergvik skog öst AB</t>
        </is>
      </c>
      <c r="G5478" t="n">
        <v>2.1</v>
      </c>
      <c r="H5478" t="n">
        <v>0</v>
      </c>
      <c r="I5478" t="n">
        <v>0</v>
      </c>
      <c r="J5478" t="n">
        <v>0</v>
      </c>
      <c r="K5478" t="n">
        <v>0</v>
      </c>
      <c r="L5478" t="n">
        <v>0</v>
      </c>
      <c r="M5478" t="n">
        <v>0</v>
      </c>
      <c r="N5478" t="n">
        <v>0</v>
      </c>
      <c r="O5478" t="n">
        <v>0</v>
      </c>
      <c r="P5478" t="n">
        <v>0</v>
      </c>
      <c r="Q5478" t="n">
        <v>0</v>
      </c>
      <c r="R5478" s="2" t="inlineStr"/>
    </row>
    <row r="5479" ht="15" customHeight="1">
      <c r="A5479" t="inlineStr">
        <is>
          <t>A 33414-2022</t>
        </is>
      </c>
      <c r="B5479" s="1" t="n">
        <v>44788</v>
      </c>
      <c r="C5479" s="1" t="n">
        <v>45344</v>
      </c>
      <c r="D5479" t="inlineStr">
        <is>
          <t>GÄVLEBORGS LÄN</t>
        </is>
      </c>
      <c r="E5479" t="inlineStr">
        <is>
          <t>NORDANSTIG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33293-2022</t>
        </is>
      </c>
      <c r="B5480" s="1" t="n">
        <v>44788</v>
      </c>
      <c r="C5480" s="1" t="n">
        <v>45344</v>
      </c>
      <c r="D5480" t="inlineStr">
        <is>
          <t>GÄVLEBORGS LÄN</t>
        </is>
      </c>
      <c r="E5480" t="inlineStr">
        <is>
          <t>NORDANSTIG</t>
        </is>
      </c>
      <c r="F5480" t="inlineStr">
        <is>
          <t>Holmen skog AB</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33377-2022</t>
        </is>
      </c>
      <c r="B5481" s="1" t="n">
        <v>44788</v>
      </c>
      <c r="C5481" s="1" t="n">
        <v>45344</v>
      </c>
      <c r="D5481" t="inlineStr">
        <is>
          <t>GÄVLEBORGS LÄN</t>
        </is>
      </c>
      <c r="E5481" t="inlineStr">
        <is>
          <t>NORDANSTIG</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33417-2022</t>
        </is>
      </c>
      <c r="B5482" s="1" t="n">
        <v>44788</v>
      </c>
      <c r="C5482" s="1" t="n">
        <v>45344</v>
      </c>
      <c r="D5482" t="inlineStr">
        <is>
          <t>GÄVLEBORGS LÄN</t>
        </is>
      </c>
      <c r="E5482" t="inlineStr">
        <is>
          <t>NORDANSTIG</t>
        </is>
      </c>
      <c r="G5482" t="n">
        <v>11.4</v>
      </c>
      <c r="H5482" t="n">
        <v>0</v>
      </c>
      <c r="I5482" t="n">
        <v>0</v>
      </c>
      <c r="J5482" t="n">
        <v>0</v>
      </c>
      <c r="K5482" t="n">
        <v>0</v>
      </c>
      <c r="L5482" t="n">
        <v>0</v>
      </c>
      <c r="M5482" t="n">
        <v>0</v>
      </c>
      <c r="N5482" t="n">
        <v>0</v>
      </c>
      <c r="O5482" t="n">
        <v>0</v>
      </c>
      <c r="P5482" t="n">
        <v>0</v>
      </c>
      <c r="Q5482" t="n">
        <v>0</v>
      </c>
      <c r="R5482" s="2" t="inlineStr"/>
    </row>
    <row r="5483" ht="15" customHeight="1">
      <c r="A5483" t="inlineStr">
        <is>
          <t>A 33432-2022</t>
        </is>
      </c>
      <c r="B5483" s="1" t="n">
        <v>44788</v>
      </c>
      <c r="C5483" s="1" t="n">
        <v>45344</v>
      </c>
      <c r="D5483" t="inlineStr">
        <is>
          <t>GÄVLEBORGS LÄN</t>
        </is>
      </c>
      <c r="E5483" t="inlineStr">
        <is>
          <t>BOLLNÄS</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33672-2022</t>
        </is>
      </c>
      <c r="B5484" s="1" t="n">
        <v>44789</v>
      </c>
      <c r="C5484" s="1" t="n">
        <v>45344</v>
      </c>
      <c r="D5484" t="inlineStr">
        <is>
          <t>GÄVLEBORGS LÄN</t>
        </is>
      </c>
      <c r="E5484" t="inlineStr">
        <is>
          <t>HOFORS</t>
        </is>
      </c>
      <c r="F5484" t="inlineStr">
        <is>
          <t>Sveaskog</t>
        </is>
      </c>
      <c r="G5484" t="n">
        <v>14.4</v>
      </c>
      <c r="H5484" t="n">
        <v>0</v>
      </c>
      <c r="I5484" t="n">
        <v>0</v>
      </c>
      <c r="J5484" t="n">
        <v>0</v>
      </c>
      <c r="K5484" t="n">
        <v>0</v>
      </c>
      <c r="L5484" t="n">
        <v>0</v>
      </c>
      <c r="M5484" t="n">
        <v>0</v>
      </c>
      <c r="N5484" t="n">
        <v>0</v>
      </c>
      <c r="O5484" t="n">
        <v>0</v>
      </c>
      <c r="P5484" t="n">
        <v>0</v>
      </c>
      <c r="Q5484" t="n">
        <v>0</v>
      </c>
      <c r="R5484" s="2" t="inlineStr"/>
    </row>
    <row r="5485" ht="15" customHeight="1">
      <c r="A5485" t="inlineStr">
        <is>
          <t>A 33559-2022</t>
        </is>
      </c>
      <c r="B5485" s="1" t="n">
        <v>44789</v>
      </c>
      <c r="C5485" s="1" t="n">
        <v>45344</v>
      </c>
      <c r="D5485" t="inlineStr">
        <is>
          <t>GÄVLEBORGS LÄN</t>
        </is>
      </c>
      <c r="E5485" t="inlineStr">
        <is>
          <t>NORDANSTIG</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33567-2022</t>
        </is>
      </c>
      <c r="B5486" s="1" t="n">
        <v>44789</v>
      </c>
      <c r="C5486" s="1" t="n">
        <v>45344</v>
      </c>
      <c r="D5486" t="inlineStr">
        <is>
          <t>GÄVLEBORGS LÄN</t>
        </is>
      </c>
      <c r="E5486" t="inlineStr">
        <is>
          <t>HUDIKSVALL</t>
        </is>
      </c>
      <c r="F5486" t="inlineStr">
        <is>
          <t>Holmen skog AB</t>
        </is>
      </c>
      <c r="G5486" t="n">
        <v>15.6</v>
      </c>
      <c r="H5486" t="n">
        <v>0</v>
      </c>
      <c r="I5486" t="n">
        <v>0</v>
      </c>
      <c r="J5486" t="n">
        <v>0</v>
      </c>
      <c r="K5486" t="n">
        <v>0</v>
      </c>
      <c r="L5486" t="n">
        <v>0</v>
      </c>
      <c r="M5486" t="n">
        <v>0</v>
      </c>
      <c r="N5486" t="n">
        <v>0</v>
      </c>
      <c r="O5486" t="n">
        <v>0</v>
      </c>
      <c r="P5486" t="n">
        <v>0</v>
      </c>
      <c r="Q5486" t="n">
        <v>0</v>
      </c>
      <c r="R5486" s="2" t="inlineStr"/>
    </row>
    <row r="5487" ht="15" customHeight="1">
      <c r="A5487" t="inlineStr">
        <is>
          <t>A 33568-2022</t>
        </is>
      </c>
      <c r="B5487" s="1" t="n">
        <v>44789</v>
      </c>
      <c r="C5487" s="1" t="n">
        <v>45344</v>
      </c>
      <c r="D5487" t="inlineStr">
        <is>
          <t>GÄVLEBORGS LÄN</t>
        </is>
      </c>
      <c r="E5487" t="inlineStr">
        <is>
          <t>LJUSDAL</t>
        </is>
      </c>
      <c r="F5487" t="inlineStr">
        <is>
          <t>Bergvik skog väst AB</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33626-2022</t>
        </is>
      </c>
      <c r="B5488" s="1" t="n">
        <v>44789</v>
      </c>
      <c r="C5488" s="1" t="n">
        <v>45344</v>
      </c>
      <c r="D5488" t="inlineStr">
        <is>
          <t>GÄVLEBORGS LÄN</t>
        </is>
      </c>
      <c r="E5488" t="inlineStr">
        <is>
          <t>LJUSDAL</t>
        </is>
      </c>
      <c r="G5488" t="n">
        <v>0.6</v>
      </c>
      <c r="H5488" t="n">
        <v>0</v>
      </c>
      <c r="I5488" t="n">
        <v>0</v>
      </c>
      <c r="J5488" t="n">
        <v>0</v>
      </c>
      <c r="K5488" t="n">
        <v>0</v>
      </c>
      <c r="L5488" t="n">
        <v>0</v>
      </c>
      <c r="M5488" t="n">
        <v>0</v>
      </c>
      <c r="N5488" t="n">
        <v>0</v>
      </c>
      <c r="O5488" t="n">
        <v>0</v>
      </c>
      <c r="P5488" t="n">
        <v>0</v>
      </c>
      <c r="Q5488" t="n">
        <v>0</v>
      </c>
      <c r="R5488" s="2" t="inlineStr"/>
    </row>
    <row r="5489" ht="15" customHeight="1">
      <c r="A5489" t="inlineStr">
        <is>
          <t>A 33535-2022</t>
        </is>
      </c>
      <c r="B5489" s="1" t="n">
        <v>44789</v>
      </c>
      <c r="C5489" s="1" t="n">
        <v>45344</v>
      </c>
      <c r="D5489" t="inlineStr">
        <is>
          <t>GÄVLEBORGS LÄN</t>
        </is>
      </c>
      <c r="E5489" t="inlineStr">
        <is>
          <t>NORDANSTIG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33558-2022</t>
        </is>
      </c>
      <c r="B5490" s="1" t="n">
        <v>44789</v>
      </c>
      <c r="C5490" s="1" t="n">
        <v>45344</v>
      </c>
      <c r="D5490" t="inlineStr">
        <is>
          <t>GÄVLEBORGS LÄN</t>
        </is>
      </c>
      <c r="E5490" t="inlineStr">
        <is>
          <t>NORDANSTIG</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33674-2022</t>
        </is>
      </c>
      <c r="B5491" s="1" t="n">
        <v>44789</v>
      </c>
      <c r="C5491" s="1" t="n">
        <v>45344</v>
      </c>
      <c r="D5491" t="inlineStr">
        <is>
          <t>GÄVLEBORGS LÄN</t>
        </is>
      </c>
      <c r="E5491" t="inlineStr">
        <is>
          <t>OVANÅKER</t>
        </is>
      </c>
      <c r="F5491" t="inlineStr">
        <is>
          <t>Holmen skog AB</t>
        </is>
      </c>
      <c r="G5491" t="n">
        <v>11.9</v>
      </c>
      <c r="H5491" t="n">
        <v>0</v>
      </c>
      <c r="I5491" t="n">
        <v>0</v>
      </c>
      <c r="J5491" t="n">
        <v>0</v>
      </c>
      <c r="K5491" t="n">
        <v>0</v>
      </c>
      <c r="L5491" t="n">
        <v>0</v>
      </c>
      <c r="M5491" t="n">
        <v>0</v>
      </c>
      <c r="N5491" t="n">
        <v>0</v>
      </c>
      <c r="O5491" t="n">
        <v>0</v>
      </c>
      <c r="P5491" t="n">
        <v>0</v>
      </c>
      <c r="Q5491" t="n">
        <v>0</v>
      </c>
      <c r="R5491" s="2" t="inlineStr"/>
    </row>
    <row r="5492" ht="15" customHeight="1">
      <c r="A5492" t="inlineStr">
        <is>
          <t>A 33806-2022</t>
        </is>
      </c>
      <c r="B5492" s="1" t="n">
        <v>44790</v>
      </c>
      <c r="C5492" s="1" t="n">
        <v>45344</v>
      </c>
      <c r="D5492" t="inlineStr">
        <is>
          <t>GÄVLEBORGS LÄN</t>
        </is>
      </c>
      <c r="E5492" t="inlineStr">
        <is>
          <t>LJUSDAL</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33880-2022</t>
        </is>
      </c>
      <c r="B5493" s="1" t="n">
        <v>44790</v>
      </c>
      <c r="C5493" s="1" t="n">
        <v>45344</v>
      </c>
      <c r="D5493" t="inlineStr">
        <is>
          <t>GÄVLEBORGS LÄN</t>
        </is>
      </c>
      <c r="E5493" t="inlineStr">
        <is>
          <t>GÄVLE</t>
        </is>
      </c>
      <c r="G5493" t="n">
        <v>9.4</v>
      </c>
      <c r="H5493" t="n">
        <v>0</v>
      </c>
      <c r="I5493" t="n">
        <v>0</v>
      </c>
      <c r="J5493" t="n">
        <v>0</v>
      </c>
      <c r="K5493" t="n">
        <v>0</v>
      </c>
      <c r="L5493" t="n">
        <v>0</v>
      </c>
      <c r="M5493" t="n">
        <v>0</v>
      </c>
      <c r="N5493" t="n">
        <v>0</v>
      </c>
      <c r="O5493" t="n">
        <v>0</v>
      </c>
      <c r="P5493" t="n">
        <v>0</v>
      </c>
      <c r="Q5493" t="n">
        <v>0</v>
      </c>
      <c r="R5493" s="2" t="inlineStr"/>
    </row>
    <row r="5494" ht="15" customHeight="1">
      <c r="A5494" t="inlineStr">
        <is>
          <t>A 33775-2022</t>
        </is>
      </c>
      <c r="B5494" s="1" t="n">
        <v>44790</v>
      </c>
      <c r="C5494" s="1" t="n">
        <v>45344</v>
      </c>
      <c r="D5494" t="inlineStr">
        <is>
          <t>GÄVLEBORGS LÄN</t>
        </is>
      </c>
      <c r="E5494" t="inlineStr">
        <is>
          <t>OVANÅKER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33752-2022</t>
        </is>
      </c>
      <c r="B5495" s="1" t="n">
        <v>44790</v>
      </c>
      <c r="C5495" s="1" t="n">
        <v>45344</v>
      </c>
      <c r="D5495" t="inlineStr">
        <is>
          <t>GÄVLEBORGS LÄN</t>
        </is>
      </c>
      <c r="E5495" t="inlineStr">
        <is>
          <t>HUDIKSVALL</t>
        </is>
      </c>
      <c r="G5495" t="n">
        <v>5.3</v>
      </c>
      <c r="H5495" t="n">
        <v>0</v>
      </c>
      <c r="I5495" t="n">
        <v>0</v>
      </c>
      <c r="J5495" t="n">
        <v>0</v>
      </c>
      <c r="K5495" t="n">
        <v>0</v>
      </c>
      <c r="L5495" t="n">
        <v>0</v>
      </c>
      <c r="M5495" t="n">
        <v>0</v>
      </c>
      <c r="N5495" t="n">
        <v>0</v>
      </c>
      <c r="O5495" t="n">
        <v>0</v>
      </c>
      <c r="P5495" t="n">
        <v>0</v>
      </c>
      <c r="Q5495" t="n">
        <v>0</v>
      </c>
      <c r="R5495" s="2" t="inlineStr"/>
    </row>
    <row r="5496" ht="15" customHeight="1">
      <c r="A5496" t="inlineStr">
        <is>
          <t>A 33968-2022</t>
        </is>
      </c>
      <c r="B5496" s="1" t="n">
        <v>44790</v>
      </c>
      <c r="C5496" s="1" t="n">
        <v>45344</v>
      </c>
      <c r="D5496" t="inlineStr">
        <is>
          <t>GÄVLEBORGS LÄN</t>
        </is>
      </c>
      <c r="E5496" t="inlineStr">
        <is>
          <t>HUDIKSVALL</t>
        </is>
      </c>
      <c r="F5496" t="inlineStr">
        <is>
          <t>Holmen skog AB</t>
        </is>
      </c>
      <c r="G5496" t="n">
        <v>11.1</v>
      </c>
      <c r="H5496" t="n">
        <v>0</v>
      </c>
      <c r="I5496" t="n">
        <v>0</v>
      </c>
      <c r="J5496" t="n">
        <v>0</v>
      </c>
      <c r="K5496" t="n">
        <v>0</v>
      </c>
      <c r="L5496" t="n">
        <v>0</v>
      </c>
      <c r="M5496" t="n">
        <v>0</v>
      </c>
      <c r="N5496" t="n">
        <v>0</v>
      </c>
      <c r="O5496" t="n">
        <v>0</v>
      </c>
      <c r="P5496" t="n">
        <v>0</v>
      </c>
      <c r="Q5496" t="n">
        <v>0</v>
      </c>
      <c r="R5496" s="2" t="inlineStr"/>
    </row>
    <row r="5497" ht="15" customHeight="1">
      <c r="A5497" t="inlineStr">
        <is>
          <t>A 33974-2022</t>
        </is>
      </c>
      <c r="B5497" s="1" t="n">
        <v>44790</v>
      </c>
      <c r="C5497" s="1" t="n">
        <v>45344</v>
      </c>
      <c r="D5497" t="inlineStr">
        <is>
          <t>GÄVLEBORGS LÄN</t>
        </is>
      </c>
      <c r="E5497" t="inlineStr">
        <is>
          <t>NORDANSTIG</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34175-2022</t>
        </is>
      </c>
      <c r="B5498" s="1" t="n">
        <v>44791</v>
      </c>
      <c r="C5498" s="1" t="n">
        <v>45344</v>
      </c>
      <c r="D5498" t="inlineStr">
        <is>
          <t>GÄVLEBORGS LÄN</t>
        </is>
      </c>
      <c r="E5498" t="inlineStr">
        <is>
          <t>BOLLNÄS</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34058-2022</t>
        </is>
      </c>
      <c r="B5499" s="1" t="n">
        <v>44791</v>
      </c>
      <c r="C5499" s="1" t="n">
        <v>45344</v>
      </c>
      <c r="D5499" t="inlineStr">
        <is>
          <t>GÄVLEBORGS LÄN</t>
        </is>
      </c>
      <c r="E5499" t="inlineStr">
        <is>
          <t>LJUSDAL</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34116-2022</t>
        </is>
      </c>
      <c r="B5500" s="1" t="n">
        <v>44791</v>
      </c>
      <c r="C5500" s="1" t="n">
        <v>45344</v>
      </c>
      <c r="D5500" t="inlineStr">
        <is>
          <t>GÄVLEBORGS LÄN</t>
        </is>
      </c>
      <c r="E5500" t="inlineStr">
        <is>
          <t>HUDIKSVALL</t>
        </is>
      </c>
      <c r="F5500" t="inlineStr">
        <is>
          <t>Holmen skog AB</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34172-2022</t>
        </is>
      </c>
      <c r="B5501" s="1" t="n">
        <v>44791</v>
      </c>
      <c r="C5501" s="1" t="n">
        <v>45344</v>
      </c>
      <c r="D5501" t="inlineStr">
        <is>
          <t>GÄVLEBORGS LÄN</t>
        </is>
      </c>
      <c r="E5501" t="inlineStr">
        <is>
          <t>LJUSDAL</t>
        </is>
      </c>
      <c r="G5501" t="n">
        <v>4.6</v>
      </c>
      <c r="H5501" t="n">
        <v>0</v>
      </c>
      <c r="I5501" t="n">
        <v>0</v>
      </c>
      <c r="J5501" t="n">
        <v>0</v>
      </c>
      <c r="K5501" t="n">
        <v>0</v>
      </c>
      <c r="L5501" t="n">
        <v>0</v>
      </c>
      <c r="M5501" t="n">
        <v>0</v>
      </c>
      <c r="N5501" t="n">
        <v>0</v>
      </c>
      <c r="O5501" t="n">
        <v>0</v>
      </c>
      <c r="P5501" t="n">
        <v>0</v>
      </c>
      <c r="Q5501" t="n">
        <v>0</v>
      </c>
      <c r="R5501" s="2" t="inlineStr"/>
    </row>
    <row r="5502" ht="15" customHeight="1">
      <c r="A5502" t="inlineStr">
        <is>
          <t>A 34363-2022</t>
        </is>
      </c>
      <c r="B5502" s="1" t="n">
        <v>44792</v>
      </c>
      <c r="C5502" s="1" t="n">
        <v>45344</v>
      </c>
      <c r="D5502" t="inlineStr">
        <is>
          <t>GÄVLEBORGS LÄN</t>
        </is>
      </c>
      <c r="E5502" t="inlineStr">
        <is>
          <t>HUDIKSVALL</t>
        </is>
      </c>
      <c r="F5502" t="inlineStr">
        <is>
          <t>Holmen skog AB</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34370-2022</t>
        </is>
      </c>
      <c r="B5503" s="1" t="n">
        <v>44792</v>
      </c>
      <c r="C5503" s="1" t="n">
        <v>45344</v>
      </c>
      <c r="D5503" t="inlineStr">
        <is>
          <t>GÄVLEBORGS LÄN</t>
        </is>
      </c>
      <c r="E5503" t="inlineStr">
        <is>
          <t>HUDIKSVALL</t>
        </is>
      </c>
      <c r="F5503" t="inlineStr">
        <is>
          <t>Holmen skog AB</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34422-2022</t>
        </is>
      </c>
      <c r="B5504" s="1" t="n">
        <v>44792</v>
      </c>
      <c r="C5504" s="1" t="n">
        <v>45344</v>
      </c>
      <c r="D5504" t="inlineStr">
        <is>
          <t>GÄVLEBORGS LÄN</t>
        </is>
      </c>
      <c r="E5504" t="inlineStr">
        <is>
          <t>LJUSDAL</t>
        </is>
      </c>
      <c r="F5504" t="inlineStr">
        <is>
          <t>Bergvik skog väst AB</t>
        </is>
      </c>
      <c r="G5504" t="n">
        <v>6.2</v>
      </c>
      <c r="H5504" t="n">
        <v>0</v>
      </c>
      <c r="I5504" t="n">
        <v>0</v>
      </c>
      <c r="J5504" t="n">
        <v>0</v>
      </c>
      <c r="K5504" t="n">
        <v>0</v>
      </c>
      <c r="L5504" t="n">
        <v>0</v>
      </c>
      <c r="M5504" t="n">
        <v>0</v>
      </c>
      <c r="N5504" t="n">
        <v>0</v>
      </c>
      <c r="O5504" t="n">
        <v>0</v>
      </c>
      <c r="P5504" t="n">
        <v>0</v>
      </c>
      <c r="Q5504" t="n">
        <v>0</v>
      </c>
      <c r="R5504" s="2" t="inlineStr"/>
    </row>
    <row r="5505" ht="15" customHeight="1">
      <c r="A5505" t="inlineStr">
        <is>
          <t>A 34352-2022</t>
        </is>
      </c>
      <c r="B5505" s="1" t="n">
        <v>44792</v>
      </c>
      <c r="C5505" s="1" t="n">
        <v>45344</v>
      </c>
      <c r="D5505" t="inlineStr">
        <is>
          <t>GÄVLEBORGS LÄN</t>
        </is>
      </c>
      <c r="E5505" t="inlineStr">
        <is>
          <t>HUDIKSVALL</t>
        </is>
      </c>
      <c r="F5505" t="inlineStr">
        <is>
          <t>Holmen skog AB</t>
        </is>
      </c>
      <c r="G5505" t="n">
        <v>13.3</v>
      </c>
      <c r="H5505" t="n">
        <v>0</v>
      </c>
      <c r="I5505" t="n">
        <v>0</v>
      </c>
      <c r="J5505" t="n">
        <v>0</v>
      </c>
      <c r="K5505" t="n">
        <v>0</v>
      </c>
      <c r="L5505" t="n">
        <v>0</v>
      </c>
      <c r="M5505" t="n">
        <v>0</v>
      </c>
      <c r="N5505" t="n">
        <v>0</v>
      </c>
      <c r="O5505" t="n">
        <v>0</v>
      </c>
      <c r="P5505" t="n">
        <v>0</v>
      </c>
      <c r="Q5505" t="n">
        <v>0</v>
      </c>
      <c r="R5505" s="2" t="inlineStr"/>
    </row>
    <row r="5506" ht="15" customHeight="1">
      <c r="A5506" t="inlineStr">
        <is>
          <t>A 34447-2022</t>
        </is>
      </c>
      <c r="B5506" s="1" t="n">
        <v>44792</v>
      </c>
      <c r="C5506" s="1" t="n">
        <v>45344</v>
      </c>
      <c r="D5506" t="inlineStr">
        <is>
          <t>GÄVLEBORGS LÄN</t>
        </is>
      </c>
      <c r="E5506" t="inlineStr">
        <is>
          <t>LJUSDAL</t>
        </is>
      </c>
      <c r="G5506" t="n">
        <v>3.5</v>
      </c>
      <c r="H5506" t="n">
        <v>0</v>
      </c>
      <c r="I5506" t="n">
        <v>0</v>
      </c>
      <c r="J5506" t="n">
        <v>0</v>
      </c>
      <c r="K5506" t="n">
        <v>0</v>
      </c>
      <c r="L5506" t="n">
        <v>0</v>
      </c>
      <c r="M5506" t="n">
        <v>0</v>
      </c>
      <c r="N5506" t="n">
        <v>0</v>
      </c>
      <c r="O5506" t="n">
        <v>0</v>
      </c>
      <c r="P5506" t="n">
        <v>0</v>
      </c>
      <c r="Q5506" t="n">
        <v>0</v>
      </c>
      <c r="R5506" s="2" t="inlineStr"/>
    </row>
    <row r="5507" ht="15" customHeight="1">
      <c r="A5507" t="inlineStr">
        <is>
          <t>A 34457-2022</t>
        </is>
      </c>
      <c r="B5507" s="1" t="n">
        <v>44792</v>
      </c>
      <c r="C5507" s="1" t="n">
        <v>45344</v>
      </c>
      <c r="D5507" t="inlineStr">
        <is>
          <t>GÄVLEBORGS LÄN</t>
        </is>
      </c>
      <c r="E5507" t="inlineStr">
        <is>
          <t>LJUSDAL</t>
        </is>
      </c>
      <c r="F5507" t="inlineStr">
        <is>
          <t>Sveaskog</t>
        </is>
      </c>
      <c r="G5507" t="n">
        <v>11.1</v>
      </c>
      <c r="H5507" t="n">
        <v>0</v>
      </c>
      <c r="I5507" t="n">
        <v>0</v>
      </c>
      <c r="J5507" t="n">
        <v>0</v>
      </c>
      <c r="K5507" t="n">
        <v>0</v>
      </c>
      <c r="L5507" t="n">
        <v>0</v>
      </c>
      <c r="M5507" t="n">
        <v>0</v>
      </c>
      <c r="N5507" t="n">
        <v>0</v>
      </c>
      <c r="O5507" t="n">
        <v>0</v>
      </c>
      <c r="P5507" t="n">
        <v>0</v>
      </c>
      <c r="Q5507" t="n">
        <v>0</v>
      </c>
      <c r="R5507" s="2" t="inlineStr"/>
    </row>
    <row r="5508" ht="15" customHeight="1">
      <c r="A5508" t="inlineStr">
        <is>
          <t>A 34427-2022</t>
        </is>
      </c>
      <c r="B5508" s="1" t="n">
        <v>44792</v>
      </c>
      <c r="C5508" s="1" t="n">
        <v>45344</v>
      </c>
      <c r="D5508" t="inlineStr">
        <is>
          <t>GÄVLEBORGS LÄN</t>
        </is>
      </c>
      <c r="E5508" t="inlineStr">
        <is>
          <t>HUDIKSVALL</t>
        </is>
      </c>
      <c r="F5508" t="inlineStr">
        <is>
          <t>Holmen skog AB</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34444-2022</t>
        </is>
      </c>
      <c r="B5509" s="1" t="n">
        <v>44792</v>
      </c>
      <c r="C5509" s="1" t="n">
        <v>45344</v>
      </c>
      <c r="D5509" t="inlineStr">
        <is>
          <t>GÄVLEBORGS LÄN</t>
        </is>
      </c>
      <c r="E5509" t="inlineStr">
        <is>
          <t>BOLLNÄS</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34503-2022</t>
        </is>
      </c>
      <c r="B5510" s="1" t="n">
        <v>44792</v>
      </c>
      <c r="C5510" s="1" t="n">
        <v>45344</v>
      </c>
      <c r="D5510" t="inlineStr">
        <is>
          <t>GÄVLEBORGS LÄN</t>
        </is>
      </c>
      <c r="E5510" t="inlineStr">
        <is>
          <t>LJUSDAL</t>
        </is>
      </c>
      <c r="F5510" t="inlineStr">
        <is>
          <t>Sveaskog</t>
        </is>
      </c>
      <c r="G5510" t="n">
        <v>12.5</v>
      </c>
      <c r="H5510" t="n">
        <v>0</v>
      </c>
      <c r="I5510" t="n">
        <v>0</v>
      </c>
      <c r="J5510" t="n">
        <v>0</v>
      </c>
      <c r="K5510" t="n">
        <v>0</v>
      </c>
      <c r="L5510" t="n">
        <v>0</v>
      </c>
      <c r="M5510" t="n">
        <v>0</v>
      </c>
      <c r="N5510" t="n">
        <v>0</v>
      </c>
      <c r="O5510" t="n">
        <v>0</v>
      </c>
      <c r="P5510" t="n">
        <v>0</v>
      </c>
      <c r="Q5510" t="n">
        <v>0</v>
      </c>
      <c r="R5510" s="2" t="inlineStr"/>
    </row>
    <row r="5511" ht="15" customHeight="1">
      <c r="A5511" t="inlineStr">
        <is>
          <t>A 34487-2022</t>
        </is>
      </c>
      <c r="B5511" s="1" t="n">
        <v>44792</v>
      </c>
      <c r="C5511" s="1" t="n">
        <v>45344</v>
      </c>
      <c r="D5511" t="inlineStr">
        <is>
          <t>GÄVLEBORGS LÄN</t>
        </is>
      </c>
      <c r="E5511" t="inlineStr">
        <is>
          <t>NORDANSTIG</t>
        </is>
      </c>
      <c r="F5511" t="inlineStr">
        <is>
          <t>Holmen skog AB</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34419-2022</t>
        </is>
      </c>
      <c r="B5512" s="1" t="n">
        <v>44792</v>
      </c>
      <c r="C5512" s="1" t="n">
        <v>45344</v>
      </c>
      <c r="D5512" t="inlineStr">
        <is>
          <t>GÄVLEBORGS LÄN</t>
        </is>
      </c>
      <c r="E5512" t="inlineStr">
        <is>
          <t>LJUSDAL</t>
        </is>
      </c>
      <c r="F5512" t="inlineStr">
        <is>
          <t>Sveaskog</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34491-2022</t>
        </is>
      </c>
      <c r="B5513" s="1" t="n">
        <v>44792</v>
      </c>
      <c r="C5513" s="1" t="n">
        <v>45344</v>
      </c>
      <c r="D5513" t="inlineStr">
        <is>
          <t>GÄVLEBORGS LÄN</t>
        </is>
      </c>
      <c r="E5513" t="inlineStr">
        <is>
          <t>NORDANSTIG</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34501-2022</t>
        </is>
      </c>
      <c r="B5514" s="1" t="n">
        <v>44792</v>
      </c>
      <c r="C5514" s="1" t="n">
        <v>45344</v>
      </c>
      <c r="D5514" t="inlineStr">
        <is>
          <t>GÄVLEBORGS LÄN</t>
        </is>
      </c>
      <c r="E5514" t="inlineStr">
        <is>
          <t>LJUSDAL</t>
        </is>
      </c>
      <c r="F5514" t="inlineStr">
        <is>
          <t>Sveaskog</t>
        </is>
      </c>
      <c r="G5514" t="n">
        <v>2.8</v>
      </c>
      <c r="H5514" t="n">
        <v>0</v>
      </c>
      <c r="I5514" t="n">
        <v>0</v>
      </c>
      <c r="J5514" t="n">
        <v>0</v>
      </c>
      <c r="K5514" t="n">
        <v>0</v>
      </c>
      <c r="L5514" t="n">
        <v>0</v>
      </c>
      <c r="M5514" t="n">
        <v>0</v>
      </c>
      <c r="N5514" t="n">
        <v>0</v>
      </c>
      <c r="O5514" t="n">
        <v>0</v>
      </c>
      <c r="P5514" t="n">
        <v>0</v>
      </c>
      <c r="Q5514" t="n">
        <v>0</v>
      </c>
      <c r="R5514" s="2" t="inlineStr"/>
    </row>
    <row r="5515" ht="15" customHeight="1">
      <c r="A5515" t="inlineStr">
        <is>
          <t>A 34538-2022</t>
        </is>
      </c>
      <c r="B5515" s="1" t="n">
        <v>44793</v>
      </c>
      <c r="C5515" s="1" t="n">
        <v>45344</v>
      </c>
      <c r="D5515" t="inlineStr">
        <is>
          <t>GÄVLEBORGS LÄN</t>
        </is>
      </c>
      <c r="E5515" t="inlineStr">
        <is>
          <t>OCKELBO</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34602-2022</t>
        </is>
      </c>
      <c r="B5516" s="1" t="n">
        <v>44795</v>
      </c>
      <c r="C5516" s="1" t="n">
        <v>45344</v>
      </c>
      <c r="D5516" t="inlineStr">
        <is>
          <t>GÄVLEBORGS LÄN</t>
        </is>
      </c>
      <c r="E5516" t="inlineStr">
        <is>
          <t>LJUSDAL</t>
        </is>
      </c>
      <c r="G5516" t="n">
        <v>7.7</v>
      </c>
      <c r="H5516" t="n">
        <v>0</v>
      </c>
      <c r="I5516" t="n">
        <v>0</v>
      </c>
      <c r="J5516" t="n">
        <v>0</v>
      </c>
      <c r="K5516" t="n">
        <v>0</v>
      </c>
      <c r="L5516" t="n">
        <v>0</v>
      </c>
      <c r="M5516" t="n">
        <v>0</v>
      </c>
      <c r="N5516" t="n">
        <v>0</v>
      </c>
      <c r="O5516" t="n">
        <v>0</v>
      </c>
      <c r="P5516" t="n">
        <v>0</v>
      </c>
      <c r="Q5516" t="n">
        <v>0</v>
      </c>
      <c r="R5516" s="2" t="inlineStr"/>
    </row>
    <row r="5517" ht="15" customHeight="1">
      <c r="A5517" t="inlineStr">
        <is>
          <t>A 34664-2022</t>
        </is>
      </c>
      <c r="B5517" s="1" t="n">
        <v>44795</v>
      </c>
      <c r="C5517" s="1" t="n">
        <v>45344</v>
      </c>
      <c r="D5517" t="inlineStr">
        <is>
          <t>GÄVLEBORGS LÄN</t>
        </is>
      </c>
      <c r="E5517" t="inlineStr">
        <is>
          <t>HUDIKSVALL</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34706-2022</t>
        </is>
      </c>
      <c r="B5518" s="1" t="n">
        <v>44795</v>
      </c>
      <c r="C5518" s="1" t="n">
        <v>45344</v>
      </c>
      <c r="D5518" t="inlineStr">
        <is>
          <t>GÄVLEBORGS LÄN</t>
        </is>
      </c>
      <c r="E5518" t="inlineStr">
        <is>
          <t>GÄVLE</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34712-2022</t>
        </is>
      </c>
      <c r="B5519" s="1" t="n">
        <v>44795</v>
      </c>
      <c r="C5519" s="1" t="n">
        <v>45344</v>
      </c>
      <c r="D5519" t="inlineStr">
        <is>
          <t>GÄVLEBORGS LÄN</t>
        </is>
      </c>
      <c r="E5519" t="inlineStr">
        <is>
          <t>OCKELBO</t>
        </is>
      </c>
      <c r="G5519" t="n">
        <v>0.3</v>
      </c>
      <c r="H5519" t="n">
        <v>0</v>
      </c>
      <c r="I5519" t="n">
        <v>0</v>
      </c>
      <c r="J5519" t="n">
        <v>0</v>
      </c>
      <c r="K5519" t="n">
        <v>0</v>
      </c>
      <c r="L5519" t="n">
        <v>0</v>
      </c>
      <c r="M5519" t="n">
        <v>0</v>
      </c>
      <c r="N5519" t="n">
        <v>0</v>
      </c>
      <c r="O5519" t="n">
        <v>0</v>
      </c>
      <c r="P5519" t="n">
        <v>0</v>
      </c>
      <c r="Q5519" t="n">
        <v>0</v>
      </c>
      <c r="R5519" s="2" t="inlineStr"/>
    </row>
    <row r="5520" ht="15" customHeight="1">
      <c r="A5520" t="inlineStr">
        <is>
          <t>A 34718-2022</t>
        </is>
      </c>
      <c r="B5520" s="1" t="n">
        <v>44795</v>
      </c>
      <c r="C5520" s="1" t="n">
        <v>45344</v>
      </c>
      <c r="D5520" t="inlineStr">
        <is>
          <t>GÄVLEBORGS LÄN</t>
        </is>
      </c>
      <c r="E5520" t="inlineStr">
        <is>
          <t>OCKELBO</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34725-2022</t>
        </is>
      </c>
      <c r="B5521" s="1" t="n">
        <v>44795</v>
      </c>
      <c r="C5521" s="1" t="n">
        <v>45344</v>
      </c>
      <c r="D5521" t="inlineStr">
        <is>
          <t>GÄVLEBORGS LÄN</t>
        </is>
      </c>
      <c r="E5521" t="inlineStr">
        <is>
          <t>SÖDERHAMN</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34771-2022</t>
        </is>
      </c>
      <c r="B5522" s="1" t="n">
        <v>44795</v>
      </c>
      <c r="C5522" s="1" t="n">
        <v>45344</v>
      </c>
      <c r="D5522" t="inlineStr">
        <is>
          <t>GÄVLEBORGS LÄN</t>
        </is>
      </c>
      <c r="E5522" t="inlineStr">
        <is>
          <t>LJUSDAL</t>
        </is>
      </c>
      <c r="F5522" t="inlineStr">
        <is>
          <t>Allmännings- och besparingsskogar</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34783-2022</t>
        </is>
      </c>
      <c r="B5523" s="1" t="n">
        <v>44795</v>
      </c>
      <c r="C5523" s="1" t="n">
        <v>45344</v>
      </c>
      <c r="D5523" t="inlineStr">
        <is>
          <t>GÄVLEBORGS LÄN</t>
        </is>
      </c>
      <c r="E5523" t="inlineStr">
        <is>
          <t>NORDANSTIG</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34709-2022</t>
        </is>
      </c>
      <c r="B5524" s="1" t="n">
        <v>44795</v>
      </c>
      <c r="C5524" s="1" t="n">
        <v>45344</v>
      </c>
      <c r="D5524" t="inlineStr">
        <is>
          <t>GÄVLEBORGS LÄN</t>
        </is>
      </c>
      <c r="E5524" t="inlineStr">
        <is>
          <t>OCKELBO</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34722-2022</t>
        </is>
      </c>
      <c r="B5525" s="1" t="n">
        <v>44795</v>
      </c>
      <c r="C5525" s="1" t="n">
        <v>45344</v>
      </c>
      <c r="D5525" t="inlineStr">
        <is>
          <t>GÄVLEBORGS LÄN</t>
        </is>
      </c>
      <c r="E5525" t="inlineStr">
        <is>
          <t>OCKELBO</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34871-2022</t>
        </is>
      </c>
      <c r="B5526" s="1" t="n">
        <v>44796</v>
      </c>
      <c r="C5526" s="1" t="n">
        <v>45344</v>
      </c>
      <c r="D5526" t="inlineStr">
        <is>
          <t>GÄVLEBORGS LÄN</t>
        </is>
      </c>
      <c r="E5526" t="inlineStr">
        <is>
          <t>GÄVLE</t>
        </is>
      </c>
      <c r="F5526" t="inlineStr">
        <is>
          <t>Bergvik skog öst AB</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34887-2022</t>
        </is>
      </c>
      <c r="B5527" s="1" t="n">
        <v>44796</v>
      </c>
      <c r="C5527" s="1" t="n">
        <v>45344</v>
      </c>
      <c r="D5527" t="inlineStr">
        <is>
          <t>GÄVLEBORGS LÄN</t>
        </is>
      </c>
      <c r="E5527" t="inlineStr">
        <is>
          <t>BOLLNÄS</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34893-2022</t>
        </is>
      </c>
      <c r="B5528" s="1" t="n">
        <v>44796</v>
      </c>
      <c r="C5528" s="1" t="n">
        <v>45344</v>
      </c>
      <c r="D5528" t="inlineStr">
        <is>
          <t>GÄVLEBORGS LÄN</t>
        </is>
      </c>
      <c r="E5528" t="inlineStr">
        <is>
          <t>BOLLNÄS</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34939-2022</t>
        </is>
      </c>
      <c r="B5529" s="1" t="n">
        <v>44796</v>
      </c>
      <c r="C5529" s="1" t="n">
        <v>45344</v>
      </c>
      <c r="D5529" t="inlineStr">
        <is>
          <t>GÄVLEBORGS LÄN</t>
        </is>
      </c>
      <c r="E5529" t="inlineStr">
        <is>
          <t>BOLLNÄS</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34946-2022</t>
        </is>
      </c>
      <c r="B5530" s="1" t="n">
        <v>44796</v>
      </c>
      <c r="C5530" s="1" t="n">
        <v>45344</v>
      </c>
      <c r="D5530" t="inlineStr">
        <is>
          <t>GÄVLEBORGS LÄN</t>
        </is>
      </c>
      <c r="E5530" t="inlineStr">
        <is>
          <t>SANDVIKEN</t>
        </is>
      </c>
      <c r="F5530" t="inlineStr">
        <is>
          <t>Bergvik skog öst AB</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35028-2022</t>
        </is>
      </c>
      <c r="B5531" s="1" t="n">
        <v>44797</v>
      </c>
      <c r="C5531" s="1" t="n">
        <v>45344</v>
      </c>
      <c r="D5531" t="inlineStr">
        <is>
          <t>GÄVLEBORGS LÄN</t>
        </is>
      </c>
      <c r="E5531" t="inlineStr">
        <is>
          <t>NORDANSTIG</t>
        </is>
      </c>
      <c r="F5531" t="inlineStr">
        <is>
          <t>SCA</t>
        </is>
      </c>
      <c r="G5531" t="n">
        <v>7.2</v>
      </c>
      <c r="H5531" t="n">
        <v>0</v>
      </c>
      <c r="I5531" t="n">
        <v>0</v>
      </c>
      <c r="J5531" t="n">
        <v>0</v>
      </c>
      <c r="K5531" t="n">
        <v>0</v>
      </c>
      <c r="L5531" t="n">
        <v>0</v>
      </c>
      <c r="M5531" t="n">
        <v>0</v>
      </c>
      <c r="N5531" t="n">
        <v>0</v>
      </c>
      <c r="O5531" t="n">
        <v>0</v>
      </c>
      <c r="P5531" t="n">
        <v>0</v>
      </c>
      <c r="Q5531" t="n">
        <v>0</v>
      </c>
      <c r="R5531" s="2" t="inlineStr"/>
    </row>
    <row r="5532" ht="15" customHeight="1">
      <c r="A5532" t="inlineStr">
        <is>
          <t>A 35048-2022</t>
        </is>
      </c>
      <c r="B5532" s="1" t="n">
        <v>44797</v>
      </c>
      <c r="C5532" s="1" t="n">
        <v>45344</v>
      </c>
      <c r="D5532" t="inlineStr">
        <is>
          <t>GÄVLEBORGS LÄN</t>
        </is>
      </c>
      <c r="E5532" t="inlineStr">
        <is>
          <t>OCKELBO</t>
        </is>
      </c>
      <c r="G5532" t="n">
        <v>5.9</v>
      </c>
      <c r="H5532" t="n">
        <v>0</v>
      </c>
      <c r="I5532" t="n">
        <v>0</v>
      </c>
      <c r="J5532" t="n">
        <v>0</v>
      </c>
      <c r="K5532" t="n">
        <v>0</v>
      </c>
      <c r="L5532" t="n">
        <v>0</v>
      </c>
      <c r="M5532" t="n">
        <v>0</v>
      </c>
      <c r="N5532" t="n">
        <v>0</v>
      </c>
      <c r="O5532" t="n">
        <v>0</v>
      </c>
      <c r="P5532" t="n">
        <v>0</v>
      </c>
      <c r="Q5532" t="n">
        <v>0</v>
      </c>
      <c r="R5532" s="2" t="inlineStr"/>
    </row>
    <row r="5533" ht="15" customHeight="1">
      <c r="A5533" t="inlineStr">
        <is>
          <t>A 35059-2022</t>
        </is>
      </c>
      <c r="B5533" s="1" t="n">
        <v>44797</v>
      </c>
      <c r="C5533" s="1" t="n">
        <v>45344</v>
      </c>
      <c r="D5533" t="inlineStr">
        <is>
          <t>GÄVLEBORGS LÄN</t>
        </is>
      </c>
      <c r="E5533" t="inlineStr">
        <is>
          <t>OCKELBO</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35115-2022</t>
        </is>
      </c>
      <c r="B5534" s="1" t="n">
        <v>44797</v>
      </c>
      <c r="C5534" s="1" t="n">
        <v>45344</v>
      </c>
      <c r="D5534" t="inlineStr">
        <is>
          <t>GÄVLEBORGS LÄN</t>
        </is>
      </c>
      <c r="E5534" t="inlineStr">
        <is>
          <t>NORDANSTIG</t>
        </is>
      </c>
      <c r="F5534" t="inlineStr">
        <is>
          <t>Holmen skog AB</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35035-2022</t>
        </is>
      </c>
      <c r="B5535" s="1" t="n">
        <v>44797</v>
      </c>
      <c r="C5535" s="1" t="n">
        <v>45344</v>
      </c>
      <c r="D5535" t="inlineStr">
        <is>
          <t>GÄVLEBORGS LÄN</t>
        </is>
      </c>
      <c r="E5535" t="inlineStr">
        <is>
          <t>LJUSDAL</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35049-2022</t>
        </is>
      </c>
      <c r="B5536" s="1" t="n">
        <v>44797</v>
      </c>
      <c r="C5536" s="1" t="n">
        <v>45344</v>
      </c>
      <c r="D5536" t="inlineStr">
        <is>
          <t>GÄVLEBORGS LÄN</t>
        </is>
      </c>
      <c r="E5536" t="inlineStr">
        <is>
          <t>OCKELBO</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35070-2022</t>
        </is>
      </c>
      <c r="B5537" s="1" t="n">
        <v>44797</v>
      </c>
      <c r="C5537" s="1" t="n">
        <v>45344</v>
      </c>
      <c r="D5537" t="inlineStr">
        <is>
          <t>GÄVLEBORGS LÄN</t>
        </is>
      </c>
      <c r="E5537" t="inlineStr">
        <is>
          <t>NORDANSTIG</t>
        </is>
      </c>
      <c r="F5537" t="inlineStr">
        <is>
          <t>Holmen skog AB</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35129-2022</t>
        </is>
      </c>
      <c r="B5538" s="1" t="n">
        <v>44797</v>
      </c>
      <c r="C5538" s="1" t="n">
        <v>45344</v>
      </c>
      <c r="D5538" t="inlineStr">
        <is>
          <t>GÄVLEBORGS LÄN</t>
        </is>
      </c>
      <c r="E5538" t="inlineStr">
        <is>
          <t>NORDANSTIG</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35053-2022</t>
        </is>
      </c>
      <c r="B5539" s="1" t="n">
        <v>44797</v>
      </c>
      <c r="C5539" s="1" t="n">
        <v>45344</v>
      </c>
      <c r="D5539" t="inlineStr">
        <is>
          <t>GÄVLEBORGS LÄN</t>
        </is>
      </c>
      <c r="E5539" t="inlineStr">
        <is>
          <t>OVANÅKER</t>
        </is>
      </c>
      <c r="G5539" t="n">
        <v>2.2</v>
      </c>
      <c r="H5539" t="n">
        <v>0</v>
      </c>
      <c r="I5539" t="n">
        <v>0</v>
      </c>
      <c r="J5539" t="n">
        <v>0</v>
      </c>
      <c r="K5539" t="n">
        <v>0</v>
      </c>
      <c r="L5539" t="n">
        <v>0</v>
      </c>
      <c r="M5539" t="n">
        <v>0</v>
      </c>
      <c r="N5539" t="n">
        <v>0</v>
      </c>
      <c r="O5539" t="n">
        <v>0</v>
      </c>
      <c r="P5539" t="n">
        <v>0</v>
      </c>
      <c r="Q5539" t="n">
        <v>0</v>
      </c>
      <c r="R5539" s="2" t="inlineStr"/>
    </row>
    <row r="5540" ht="15" customHeight="1">
      <c r="A5540" t="inlineStr">
        <is>
          <t>A 35030-2022</t>
        </is>
      </c>
      <c r="B5540" s="1" t="n">
        <v>44797</v>
      </c>
      <c r="C5540" s="1" t="n">
        <v>45344</v>
      </c>
      <c r="D5540" t="inlineStr">
        <is>
          <t>GÄVLEBORGS LÄN</t>
        </is>
      </c>
      <c r="E5540" t="inlineStr">
        <is>
          <t>LJUSDAL</t>
        </is>
      </c>
      <c r="F5540" t="inlineStr">
        <is>
          <t>Sveaskog</t>
        </is>
      </c>
      <c r="G5540" t="n">
        <v>7.3</v>
      </c>
      <c r="H5540" t="n">
        <v>0</v>
      </c>
      <c r="I5540" t="n">
        <v>0</v>
      </c>
      <c r="J5540" t="n">
        <v>0</v>
      </c>
      <c r="K5540" t="n">
        <v>0</v>
      </c>
      <c r="L5540" t="n">
        <v>0</v>
      </c>
      <c r="M5540" t="n">
        <v>0</v>
      </c>
      <c r="N5540" t="n">
        <v>0</v>
      </c>
      <c r="O5540" t="n">
        <v>0</v>
      </c>
      <c r="P5540" t="n">
        <v>0</v>
      </c>
      <c r="Q5540" t="n">
        <v>0</v>
      </c>
      <c r="R5540" s="2" t="inlineStr"/>
    </row>
    <row r="5541" ht="15" customHeight="1">
      <c r="A5541" t="inlineStr">
        <is>
          <t>A 35054-2022</t>
        </is>
      </c>
      <c r="B5541" s="1" t="n">
        <v>44797</v>
      </c>
      <c r="C5541" s="1" t="n">
        <v>45344</v>
      </c>
      <c r="D5541" t="inlineStr">
        <is>
          <t>GÄVLEBORGS LÄN</t>
        </is>
      </c>
      <c r="E5541" t="inlineStr">
        <is>
          <t>OCKELBO</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35179-2022</t>
        </is>
      </c>
      <c r="B5542" s="1" t="n">
        <v>44797</v>
      </c>
      <c r="C5542" s="1" t="n">
        <v>45344</v>
      </c>
      <c r="D5542" t="inlineStr">
        <is>
          <t>GÄVLEBORGS LÄN</t>
        </is>
      </c>
      <c r="E5542" t="inlineStr">
        <is>
          <t>HUDIKSVALL</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35184-2022</t>
        </is>
      </c>
      <c r="B5543" s="1" t="n">
        <v>44797</v>
      </c>
      <c r="C5543" s="1" t="n">
        <v>45344</v>
      </c>
      <c r="D5543" t="inlineStr">
        <is>
          <t>GÄVLEBORGS LÄN</t>
        </is>
      </c>
      <c r="E5543" t="inlineStr">
        <is>
          <t>SANDVIKEN</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35185-2022</t>
        </is>
      </c>
      <c r="B5544" s="1" t="n">
        <v>44797</v>
      </c>
      <c r="C5544" s="1" t="n">
        <v>45344</v>
      </c>
      <c r="D5544" t="inlineStr">
        <is>
          <t>GÄVLEBORGS LÄN</t>
        </is>
      </c>
      <c r="E5544" t="inlineStr">
        <is>
          <t>SANDVIKEN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35159-2022</t>
        </is>
      </c>
      <c r="B5545" s="1" t="n">
        <v>44797</v>
      </c>
      <c r="C5545" s="1" t="n">
        <v>45344</v>
      </c>
      <c r="D5545" t="inlineStr">
        <is>
          <t>GÄVLEBORGS LÄN</t>
        </is>
      </c>
      <c r="E5545" t="inlineStr">
        <is>
          <t>HUDIKSVALL</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35324-2022</t>
        </is>
      </c>
      <c r="B5546" s="1" t="n">
        <v>44798</v>
      </c>
      <c r="C5546" s="1" t="n">
        <v>45344</v>
      </c>
      <c r="D5546" t="inlineStr">
        <is>
          <t>GÄVLEBORGS LÄN</t>
        </is>
      </c>
      <c r="E5546" t="inlineStr">
        <is>
          <t>OVANÅKER</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35348-2022</t>
        </is>
      </c>
      <c r="B5547" s="1" t="n">
        <v>44798</v>
      </c>
      <c r="C5547" s="1" t="n">
        <v>45344</v>
      </c>
      <c r="D5547" t="inlineStr">
        <is>
          <t>GÄVLEBORGS LÄN</t>
        </is>
      </c>
      <c r="E5547" t="inlineStr">
        <is>
          <t>OVANÅKER</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35268-2022</t>
        </is>
      </c>
      <c r="B5548" s="1" t="n">
        <v>44798</v>
      </c>
      <c r="C5548" s="1" t="n">
        <v>45344</v>
      </c>
      <c r="D5548" t="inlineStr">
        <is>
          <t>GÄVLEBORGS LÄN</t>
        </is>
      </c>
      <c r="E5548" t="inlineStr">
        <is>
          <t>HUDIKSVALL</t>
        </is>
      </c>
      <c r="F5548" t="inlineStr">
        <is>
          <t>Holmen skog AB</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35245-2022</t>
        </is>
      </c>
      <c r="B5549" s="1" t="n">
        <v>44798</v>
      </c>
      <c r="C5549" s="1" t="n">
        <v>45344</v>
      </c>
      <c r="D5549" t="inlineStr">
        <is>
          <t>GÄVLEBORGS LÄN</t>
        </is>
      </c>
      <c r="E5549" t="inlineStr">
        <is>
          <t>BOLLNÄS</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35387-2022</t>
        </is>
      </c>
      <c r="B5550" s="1" t="n">
        <v>44798</v>
      </c>
      <c r="C5550" s="1" t="n">
        <v>45344</v>
      </c>
      <c r="D5550" t="inlineStr">
        <is>
          <t>GÄVLEBORGS LÄN</t>
        </is>
      </c>
      <c r="E5550" t="inlineStr">
        <is>
          <t>LJUSDAL</t>
        </is>
      </c>
      <c r="F5550" t="inlineStr">
        <is>
          <t>Sveaskog</t>
        </is>
      </c>
      <c r="G5550" t="n">
        <v>6.4</v>
      </c>
      <c r="H5550" t="n">
        <v>0</v>
      </c>
      <c r="I5550" t="n">
        <v>0</v>
      </c>
      <c r="J5550" t="n">
        <v>0</v>
      </c>
      <c r="K5550" t="n">
        <v>0</v>
      </c>
      <c r="L5550" t="n">
        <v>0</v>
      </c>
      <c r="M5550" t="n">
        <v>0</v>
      </c>
      <c r="N5550" t="n">
        <v>0</v>
      </c>
      <c r="O5550" t="n">
        <v>0</v>
      </c>
      <c r="P5550" t="n">
        <v>0</v>
      </c>
      <c r="Q5550" t="n">
        <v>0</v>
      </c>
      <c r="R5550" s="2" t="inlineStr"/>
    </row>
    <row r="5551" ht="15" customHeight="1">
      <c r="A5551" t="inlineStr">
        <is>
          <t>A 35461-2022</t>
        </is>
      </c>
      <c r="B5551" s="1" t="n">
        <v>44798</v>
      </c>
      <c r="C5551" s="1" t="n">
        <v>45344</v>
      </c>
      <c r="D5551" t="inlineStr">
        <is>
          <t>GÄVLEBORGS LÄN</t>
        </is>
      </c>
      <c r="E5551" t="inlineStr">
        <is>
          <t>LJUSDAL</t>
        </is>
      </c>
      <c r="F5551" t="inlineStr">
        <is>
          <t>Holmen skog AB</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35433-2022</t>
        </is>
      </c>
      <c r="B5552" s="1" t="n">
        <v>44798</v>
      </c>
      <c r="C5552" s="1" t="n">
        <v>45344</v>
      </c>
      <c r="D5552" t="inlineStr">
        <is>
          <t>GÄVLEBORGS LÄN</t>
        </is>
      </c>
      <c r="E5552" t="inlineStr">
        <is>
          <t>HUDIKSVALL</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35479-2022</t>
        </is>
      </c>
      <c r="B5553" s="1" t="n">
        <v>44798</v>
      </c>
      <c r="C5553" s="1" t="n">
        <v>45344</v>
      </c>
      <c r="D5553" t="inlineStr">
        <is>
          <t>GÄVLEBORGS LÄN</t>
        </is>
      </c>
      <c r="E5553" t="inlineStr">
        <is>
          <t>NORDANSTIG</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35467-2022</t>
        </is>
      </c>
      <c r="B5554" s="1" t="n">
        <v>44798</v>
      </c>
      <c r="C5554" s="1" t="n">
        <v>45344</v>
      </c>
      <c r="D5554" t="inlineStr">
        <is>
          <t>GÄVLEBORGS LÄN</t>
        </is>
      </c>
      <c r="E5554" t="inlineStr">
        <is>
          <t>LJUSDAL</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35527-2022</t>
        </is>
      </c>
      <c r="B5555" s="1" t="n">
        <v>44799</v>
      </c>
      <c r="C5555" s="1" t="n">
        <v>45344</v>
      </c>
      <c r="D5555" t="inlineStr">
        <is>
          <t>GÄVLEBORGS LÄN</t>
        </is>
      </c>
      <c r="E5555" t="inlineStr">
        <is>
          <t>LJUSDAL</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35586-2022</t>
        </is>
      </c>
      <c r="B5556" s="1" t="n">
        <v>44799</v>
      </c>
      <c r="C5556" s="1" t="n">
        <v>45344</v>
      </c>
      <c r="D5556" t="inlineStr">
        <is>
          <t>GÄVLEBORGS LÄN</t>
        </is>
      </c>
      <c r="E5556" t="inlineStr">
        <is>
          <t>LJUSDAL</t>
        </is>
      </c>
      <c r="F5556" t="inlineStr">
        <is>
          <t>Sveaskog</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35536-2022</t>
        </is>
      </c>
      <c r="B5557" s="1" t="n">
        <v>44799</v>
      </c>
      <c r="C5557" s="1" t="n">
        <v>45344</v>
      </c>
      <c r="D5557" t="inlineStr">
        <is>
          <t>GÄVLEBORGS LÄN</t>
        </is>
      </c>
      <c r="E5557" t="inlineStr">
        <is>
          <t>NORDANSTIG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35665-2022</t>
        </is>
      </c>
      <c r="B5558" s="1" t="n">
        <v>44799</v>
      </c>
      <c r="C5558" s="1" t="n">
        <v>45344</v>
      </c>
      <c r="D5558" t="inlineStr">
        <is>
          <t>GÄVLEBORGS LÄN</t>
        </is>
      </c>
      <c r="E5558" t="inlineStr">
        <is>
          <t>SÖDERHAMN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35523-2022</t>
        </is>
      </c>
      <c r="B5559" s="1" t="n">
        <v>44799</v>
      </c>
      <c r="C5559" s="1" t="n">
        <v>45344</v>
      </c>
      <c r="D5559" t="inlineStr">
        <is>
          <t>GÄVLEBORGS LÄN</t>
        </is>
      </c>
      <c r="E5559" t="inlineStr">
        <is>
          <t>SANDVIKEN</t>
        </is>
      </c>
      <c r="G5559" t="n">
        <v>2.1</v>
      </c>
      <c r="H5559" t="n">
        <v>0</v>
      </c>
      <c r="I5559" t="n">
        <v>0</v>
      </c>
      <c r="J5559" t="n">
        <v>0</v>
      </c>
      <c r="K5559" t="n">
        <v>0</v>
      </c>
      <c r="L5559" t="n">
        <v>0</v>
      </c>
      <c r="M5559" t="n">
        <v>0</v>
      </c>
      <c r="N5559" t="n">
        <v>0</v>
      </c>
      <c r="O5559" t="n">
        <v>0</v>
      </c>
      <c r="P5559" t="n">
        <v>0</v>
      </c>
      <c r="Q5559" t="n">
        <v>0</v>
      </c>
      <c r="R5559" s="2" t="inlineStr"/>
      <c r="U5559">
        <f>HYPERLINK("https://klasma.github.io/Logging_2181/knärot/A 35523-2022 karta knärot.png", "A 35523-2022")</f>
        <v/>
      </c>
      <c r="V5559">
        <f>HYPERLINK("https://klasma.github.io/Logging_2181/klagomål/A 35523-2022 FSC-klagomål.docx", "A 35523-2022")</f>
        <v/>
      </c>
      <c r="W5559">
        <f>HYPERLINK("https://klasma.github.io/Logging_2181/klagomålsmail/A 35523-2022 FSC-klagomål mail.docx", "A 35523-2022")</f>
        <v/>
      </c>
      <c r="X5559">
        <f>HYPERLINK("https://klasma.github.io/Logging_2181/tillsyn/A 35523-2022 tillsynsbegäran.docx", "A 35523-2022")</f>
        <v/>
      </c>
      <c r="Y5559">
        <f>HYPERLINK("https://klasma.github.io/Logging_2181/tillsynsmail/A 35523-2022 tillsynsbegäran mail.docx", "A 35523-2022")</f>
        <v/>
      </c>
    </row>
    <row r="5560" ht="15" customHeight="1">
      <c r="A5560" t="inlineStr">
        <is>
          <t>A 35584-2022</t>
        </is>
      </c>
      <c r="B5560" s="1" t="n">
        <v>44799</v>
      </c>
      <c r="C5560" s="1" t="n">
        <v>45344</v>
      </c>
      <c r="D5560" t="inlineStr">
        <is>
          <t>GÄVLEBORGS LÄN</t>
        </is>
      </c>
      <c r="E5560" t="inlineStr">
        <is>
          <t>LJUSDAL</t>
        </is>
      </c>
      <c r="F5560" t="inlineStr">
        <is>
          <t>Sveaskog</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35583-2022</t>
        </is>
      </c>
      <c r="B5561" s="1" t="n">
        <v>44799</v>
      </c>
      <c r="C5561" s="1" t="n">
        <v>45344</v>
      </c>
      <c r="D5561" t="inlineStr">
        <is>
          <t>GÄVLEBORGS LÄN</t>
        </is>
      </c>
      <c r="E5561" t="inlineStr">
        <is>
          <t>LJUSDAL</t>
        </is>
      </c>
      <c r="F5561" t="inlineStr">
        <is>
          <t>Sveaskog</t>
        </is>
      </c>
      <c r="G5561" t="n">
        <v>4.6</v>
      </c>
      <c r="H5561" t="n">
        <v>0</v>
      </c>
      <c r="I5561" t="n">
        <v>0</v>
      </c>
      <c r="J5561" t="n">
        <v>0</v>
      </c>
      <c r="K5561" t="n">
        <v>0</v>
      </c>
      <c r="L5561" t="n">
        <v>0</v>
      </c>
      <c r="M5561" t="n">
        <v>0</v>
      </c>
      <c r="N5561" t="n">
        <v>0</v>
      </c>
      <c r="O5561" t="n">
        <v>0</v>
      </c>
      <c r="P5561" t="n">
        <v>0</v>
      </c>
      <c r="Q5561" t="n">
        <v>0</v>
      </c>
      <c r="R5561" s="2" t="inlineStr"/>
    </row>
    <row r="5562" ht="15" customHeight="1">
      <c r="A5562" t="inlineStr">
        <is>
          <t>A 35591-2022</t>
        </is>
      </c>
      <c r="B5562" s="1" t="n">
        <v>44799</v>
      </c>
      <c r="C5562" s="1" t="n">
        <v>45344</v>
      </c>
      <c r="D5562" t="inlineStr">
        <is>
          <t>GÄVLEBORGS LÄN</t>
        </is>
      </c>
      <c r="E5562" t="inlineStr">
        <is>
          <t>LJUSDAL</t>
        </is>
      </c>
      <c r="F5562" t="inlineStr">
        <is>
          <t>Sveaskog</t>
        </is>
      </c>
      <c r="G5562" t="n">
        <v>12.1</v>
      </c>
      <c r="H5562" t="n">
        <v>0</v>
      </c>
      <c r="I5562" t="n">
        <v>0</v>
      </c>
      <c r="J5562" t="n">
        <v>0</v>
      </c>
      <c r="K5562" t="n">
        <v>0</v>
      </c>
      <c r="L5562" t="n">
        <v>0</v>
      </c>
      <c r="M5562" t="n">
        <v>0</v>
      </c>
      <c r="N5562" t="n">
        <v>0</v>
      </c>
      <c r="O5562" t="n">
        <v>0</v>
      </c>
      <c r="P5562" t="n">
        <v>0</v>
      </c>
      <c r="Q5562" t="n">
        <v>0</v>
      </c>
      <c r="R5562" s="2" t="inlineStr"/>
    </row>
    <row r="5563" ht="15" customHeight="1">
      <c r="A5563" t="inlineStr">
        <is>
          <t>A 35737-2022</t>
        </is>
      </c>
      <c r="B5563" s="1" t="n">
        <v>44800</v>
      </c>
      <c r="C5563" s="1" t="n">
        <v>45344</v>
      </c>
      <c r="D5563" t="inlineStr">
        <is>
          <t>GÄVLEBORGS LÄN</t>
        </is>
      </c>
      <c r="E5563" t="inlineStr">
        <is>
          <t>OVANÅKER</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35734-2022</t>
        </is>
      </c>
      <c r="B5564" s="1" t="n">
        <v>44800</v>
      </c>
      <c r="C5564" s="1" t="n">
        <v>45344</v>
      </c>
      <c r="D5564" t="inlineStr">
        <is>
          <t>GÄVLEBORGS LÄN</t>
        </is>
      </c>
      <c r="E5564" t="inlineStr">
        <is>
          <t>LJUSDAL</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35738-2022</t>
        </is>
      </c>
      <c r="B5565" s="1" t="n">
        <v>44800</v>
      </c>
      <c r="C5565" s="1" t="n">
        <v>45344</v>
      </c>
      <c r="D5565" t="inlineStr">
        <is>
          <t>GÄVLEBORGS LÄN</t>
        </is>
      </c>
      <c r="E5565" t="inlineStr">
        <is>
          <t>OVANÅKER</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35735-2022</t>
        </is>
      </c>
      <c r="B5566" s="1" t="n">
        <v>44799</v>
      </c>
      <c r="C5566" s="1" t="n">
        <v>45344</v>
      </c>
      <c r="D5566" t="inlineStr">
        <is>
          <t>GÄVLEBORGS LÄN</t>
        </is>
      </c>
      <c r="E5566" t="inlineStr">
        <is>
          <t>BOLLNÄS</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35739-2022</t>
        </is>
      </c>
      <c r="B5567" s="1" t="n">
        <v>44799</v>
      </c>
      <c r="C5567" s="1" t="n">
        <v>45344</v>
      </c>
      <c r="D5567" t="inlineStr">
        <is>
          <t>GÄVLEBORGS LÄN</t>
        </is>
      </c>
      <c r="E5567" t="inlineStr">
        <is>
          <t>OVANÅKER</t>
        </is>
      </c>
      <c r="G5567" t="n">
        <v>4.6</v>
      </c>
      <c r="H5567" t="n">
        <v>0</v>
      </c>
      <c r="I5567" t="n">
        <v>0</v>
      </c>
      <c r="J5567" t="n">
        <v>0</v>
      </c>
      <c r="K5567" t="n">
        <v>0</v>
      </c>
      <c r="L5567" t="n">
        <v>0</v>
      </c>
      <c r="M5567" t="n">
        <v>0</v>
      </c>
      <c r="N5567" t="n">
        <v>0</v>
      </c>
      <c r="O5567" t="n">
        <v>0</v>
      </c>
      <c r="P5567" t="n">
        <v>0</v>
      </c>
      <c r="Q5567" t="n">
        <v>0</v>
      </c>
      <c r="R5567" s="2" t="inlineStr"/>
      <c r="U5567">
        <f>HYPERLINK("https://klasma.github.io/Logging_2121/knärot/A 35739-2022 karta knärot.png", "A 35739-2022")</f>
        <v/>
      </c>
      <c r="V5567">
        <f>HYPERLINK("https://klasma.github.io/Logging_2121/klagomål/A 35739-2022 FSC-klagomål.docx", "A 35739-2022")</f>
        <v/>
      </c>
      <c r="W5567">
        <f>HYPERLINK("https://klasma.github.io/Logging_2121/klagomålsmail/A 35739-2022 FSC-klagomål mail.docx", "A 35739-2022")</f>
        <v/>
      </c>
      <c r="X5567">
        <f>HYPERLINK("https://klasma.github.io/Logging_2121/tillsyn/A 35739-2022 tillsynsbegäran.docx", "A 35739-2022")</f>
        <v/>
      </c>
      <c r="Y5567">
        <f>HYPERLINK("https://klasma.github.io/Logging_2121/tillsynsmail/A 35739-2022 tillsynsbegäran mail.docx", "A 35739-2022")</f>
        <v/>
      </c>
    </row>
    <row r="5568" ht="15" customHeight="1">
      <c r="A5568" t="inlineStr">
        <is>
          <t>A 35736-2022</t>
        </is>
      </c>
      <c r="B5568" s="1" t="n">
        <v>44799</v>
      </c>
      <c r="C5568" s="1" t="n">
        <v>45344</v>
      </c>
      <c r="D5568" t="inlineStr">
        <is>
          <t>GÄVLEBORGS LÄN</t>
        </is>
      </c>
      <c r="E5568" t="inlineStr">
        <is>
          <t>BOLLNÄS</t>
        </is>
      </c>
      <c r="G5568" t="n">
        <v>4</v>
      </c>
      <c r="H5568" t="n">
        <v>0</v>
      </c>
      <c r="I5568" t="n">
        <v>0</v>
      </c>
      <c r="J5568" t="n">
        <v>0</v>
      </c>
      <c r="K5568" t="n">
        <v>0</v>
      </c>
      <c r="L5568" t="n">
        <v>0</v>
      </c>
      <c r="M5568" t="n">
        <v>0</v>
      </c>
      <c r="N5568" t="n">
        <v>0</v>
      </c>
      <c r="O5568" t="n">
        <v>0</v>
      </c>
      <c r="P5568" t="n">
        <v>0</v>
      </c>
      <c r="Q5568" t="n">
        <v>0</v>
      </c>
      <c r="R5568" s="2" t="inlineStr"/>
    </row>
    <row r="5569" ht="15" customHeight="1">
      <c r="A5569" t="inlineStr">
        <is>
          <t>A 35761-2022</t>
        </is>
      </c>
      <c r="B5569" s="1" t="n">
        <v>44800</v>
      </c>
      <c r="C5569" s="1" t="n">
        <v>45344</v>
      </c>
      <c r="D5569" t="inlineStr">
        <is>
          <t>GÄVLEBORGS LÄN</t>
        </is>
      </c>
      <c r="E5569" t="inlineStr">
        <is>
          <t>GÄVLE</t>
        </is>
      </c>
      <c r="G5569" t="n">
        <v>8.199999999999999</v>
      </c>
      <c r="H5569" t="n">
        <v>0</v>
      </c>
      <c r="I5569" t="n">
        <v>0</v>
      </c>
      <c r="J5569" t="n">
        <v>0</v>
      </c>
      <c r="K5569" t="n">
        <v>0</v>
      </c>
      <c r="L5569" t="n">
        <v>0</v>
      </c>
      <c r="M5569" t="n">
        <v>0</v>
      </c>
      <c r="N5569" t="n">
        <v>0</v>
      </c>
      <c r="O5569" t="n">
        <v>0</v>
      </c>
      <c r="P5569" t="n">
        <v>0</v>
      </c>
      <c r="Q5569" t="n">
        <v>0</v>
      </c>
      <c r="R5569" s="2" t="inlineStr"/>
    </row>
    <row r="5570" ht="15" customHeight="1">
      <c r="A5570" t="inlineStr">
        <is>
          <t>A 35846-2022</t>
        </is>
      </c>
      <c r="B5570" s="1" t="n">
        <v>44802</v>
      </c>
      <c r="C5570" s="1" t="n">
        <v>45344</v>
      </c>
      <c r="D5570" t="inlineStr">
        <is>
          <t>GÄVLEBORGS LÄN</t>
        </is>
      </c>
      <c r="E5570" t="inlineStr">
        <is>
          <t>OCKELBO</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35855-2022</t>
        </is>
      </c>
      <c r="B5571" s="1" t="n">
        <v>44802</v>
      </c>
      <c r="C5571" s="1" t="n">
        <v>45344</v>
      </c>
      <c r="D5571" t="inlineStr">
        <is>
          <t>GÄVLEBORGS LÄN</t>
        </is>
      </c>
      <c r="E5571" t="inlineStr">
        <is>
          <t>LJUSDAL</t>
        </is>
      </c>
      <c r="G5571" t="n">
        <v>8.6</v>
      </c>
      <c r="H5571" t="n">
        <v>0</v>
      </c>
      <c r="I5571" t="n">
        <v>0</v>
      </c>
      <c r="J5571" t="n">
        <v>0</v>
      </c>
      <c r="K5571" t="n">
        <v>0</v>
      </c>
      <c r="L5571" t="n">
        <v>0</v>
      </c>
      <c r="M5571" t="n">
        <v>0</v>
      </c>
      <c r="N5571" t="n">
        <v>0</v>
      </c>
      <c r="O5571" t="n">
        <v>0</v>
      </c>
      <c r="P5571" t="n">
        <v>0</v>
      </c>
      <c r="Q5571" t="n">
        <v>0</v>
      </c>
      <c r="R5571" s="2" t="inlineStr"/>
    </row>
    <row r="5572" ht="15" customHeight="1">
      <c r="A5572" t="inlineStr">
        <is>
          <t>A 35937-2022</t>
        </is>
      </c>
      <c r="B5572" s="1" t="n">
        <v>44802</v>
      </c>
      <c r="C5572" s="1" t="n">
        <v>45344</v>
      </c>
      <c r="D5572" t="inlineStr">
        <is>
          <t>GÄVLEBORGS LÄN</t>
        </is>
      </c>
      <c r="E5572" t="inlineStr">
        <is>
          <t>HUDIKSVALL</t>
        </is>
      </c>
      <c r="F5572" t="inlineStr">
        <is>
          <t>Holmen skog AB</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35823-2022</t>
        </is>
      </c>
      <c r="B5573" s="1" t="n">
        <v>44802</v>
      </c>
      <c r="C5573" s="1" t="n">
        <v>45344</v>
      </c>
      <c r="D5573" t="inlineStr">
        <is>
          <t>GÄVLEBORGS LÄN</t>
        </is>
      </c>
      <c r="E5573" t="inlineStr">
        <is>
          <t>OVANÅKER</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35890-2022</t>
        </is>
      </c>
      <c r="B5574" s="1" t="n">
        <v>44802</v>
      </c>
      <c r="C5574" s="1" t="n">
        <v>45344</v>
      </c>
      <c r="D5574" t="inlineStr">
        <is>
          <t>GÄVLEBORGS LÄN</t>
        </is>
      </c>
      <c r="E5574" t="inlineStr">
        <is>
          <t>LJUSDAL</t>
        </is>
      </c>
      <c r="F5574" t="inlineStr">
        <is>
          <t>Bergvik skog väst AB</t>
        </is>
      </c>
      <c r="G5574" t="n">
        <v>1.8</v>
      </c>
      <c r="H5574" t="n">
        <v>0</v>
      </c>
      <c r="I5574" t="n">
        <v>0</v>
      </c>
      <c r="J5574" t="n">
        <v>0</v>
      </c>
      <c r="K5574" t="n">
        <v>0</v>
      </c>
      <c r="L5574" t="n">
        <v>0</v>
      </c>
      <c r="M5574" t="n">
        <v>0</v>
      </c>
      <c r="N5574" t="n">
        <v>0</v>
      </c>
      <c r="O5574" t="n">
        <v>0</v>
      </c>
      <c r="P5574" t="n">
        <v>0</v>
      </c>
      <c r="Q5574" t="n">
        <v>0</v>
      </c>
      <c r="R5574" s="2" t="inlineStr"/>
    </row>
    <row r="5575" ht="15" customHeight="1">
      <c r="A5575" t="inlineStr">
        <is>
          <t>A 35991-2022</t>
        </is>
      </c>
      <c r="B5575" s="1" t="n">
        <v>44802</v>
      </c>
      <c r="C5575" s="1" t="n">
        <v>45344</v>
      </c>
      <c r="D5575" t="inlineStr">
        <is>
          <t>GÄVLEBORGS LÄN</t>
        </is>
      </c>
      <c r="E5575" t="inlineStr">
        <is>
          <t>GÄVLE</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35941-2022</t>
        </is>
      </c>
      <c r="B5576" s="1" t="n">
        <v>44802</v>
      </c>
      <c r="C5576" s="1" t="n">
        <v>45344</v>
      </c>
      <c r="D5576" t="inlineStr">
        <is>
          <t>GÄVLEBORGS LÄN</t>
        </is>
      </c>
      <c r="E5576" t="inlineStr">
        <is>
          <t>BOLLNÄS</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36160-2022</t>
        </is>
      </c>
      <c r="B5577" s="1" t="n">
        <v>44803</v>
      </c>
      <c r="C5577" s="1" t="n">
        <v>45344</v>
      </c>
      <c r="D5577" t="inlineStr">
        <is>
          <t>GÄVLEBORGS LÄN</t>
        </is>
      </c>
      <c r="E5577" t="inlineStr">
        <is>
          <t>HUDIKSVALL</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36196-2022</t>
        </is>
      </c>
      <c r="B5578" s="1" t="n">
        <v>44803</v>
      </c>
      <c r="C5578" s="1" t="n">
        <v>45344</v>
      </c>
      <c r="D5578" t="inlineStr">
        <is>
          <t>GÄVLEBORGS LÄN</t>
        </is>
      </c>
      <c r="E5578" t="inlineStr">
        <is>
          <t>LJUSDAL</t>
        </is>
      </c>
      <c r="G5578" t="n">
        <v>37.7</v>
      </c>
      <c r="H5578" t="n">
        <v>0</v>
      </c>
      <c r="I5578" t="n">
        <v>0</v>
      </c>
      <c r="J5578" t="n">
        <v>0</v>
      </c>
      <c r="K5578" t="n">
        <v>0</v>
      </c>
      <c r="L5578" t="n">
        <v>0</v>
      </c>
      <c r="M5578" t="n">
        <v>0</v>
      </c>
      <c r="N5578" t="n">
        <v>0</v>
      </c>
      <c r="O5578" t="n">
        <v>0</v>
      </c>
      <c r="P5578" t="n">
        <v>0</v>
      </c>
      <c r="Q5578" t="n">
        <v>0</v>
      </c>
      <c r="R5578" s="2" t="inlineStr"/>
    </row>
    <row r="5579" ht="15" customHeight="1">
      <c r="A5579" t="inlineStr">
        <is>
          <t>A 36229-2022</t>
        </is>
      </c>
      <c r="B5579" s="1" t="n">
        <v>44803</v>
      </c>
      <c r="C5579" s="1" t="n">
        <v>45344</v>
      </c>
      <c r="D5579" t="inlineStr">
        <is>
          <t>GÄVLEBORGS LÄN</t>
        </is>
      </c>
      <c r="E5579" t="inlineStr">
        <is>
          <t>LJUSDAL</t>
        </is>
      </c>
      <c r="G5579" t="n">
        <v>8.1</v>
      </c>
      <c r="H5579" t="n">
        <v>0</v>
      </c>
      <c r="I5579" t="n">
        <v>0</v>
      </c>
      <c r="J5579" t="n">
        <v>0</v>
      </c>
      <c r="K5579" t="n">
        <v>0</v>
      </c>
      <c r="L5579" t="n">
        <v>0</v>
      </c>
      <c r="M5579" t="n">
        <v>0</v>
      </c>
      <c r="N5579" t="n">
        <v>0</v>
      </c>
      <c r="O5579" t="n">
        <v>0</v>
      </c>
      <c r="P5579" t="n">
        <v>0</v>
      </c>
      <c r="Q5579" t="n">
        <v>0</v>
      </c>
      <c r="R5579" s="2" t="inlineStr"/>
    </row>
    <row r="5580" ht="15" customHeight="1">
      <c r="A5580" t="inlineStr">
        <is>
          <t>A 36236-2022</t>
        </is>
      </c>
      <c r="B5580" s="1" t="n">
        <v>44803</v>
      </c>
      <c r="C5580" s="1" t="n">
        <v>45344</v>
      </c>
      <c r="D5580" t="inlineStr">
        <is>
          <t>GÄVLEBORGS LÄN</t>
        </is>
      </c>
      <c r="E5580" t="inlineStr">
        <is>
          <t>HUDIKSVALL</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36233-2022</t>
        </is>
      </c>
      <c r="B5581" s="1" t="n">
        <v>44803</v>
      </c>
      <c r="C5581" s="1" t="n">
        <v>45344</v>
      </c>
      <c r="D5581" t="inlineStr">
        <is>
          <t>GÄVLEBORGS LÄN</t>
        </is>
      </c>
      <c r="E5581" t="inlineStr">
        <is>
          <t>LJUSDAL</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36301-2022</t>
        </is>
      </c>
      <c r="B5582" s="1" t="n">
        <v>44803</v>
      </c>
      <c r="C5582" s="1" t="n">
        <v>45344</v>
      </c>
      <c r="D5582" t="inlineStr">
        <is>
          <t>GÄVLEBORGS LÄN</t>
        </is>
      </c>
      <c r="E5582" t="inlineStr">
        <is>
          <t>LJUSDAL</t>
        </is>
      </c>
      <c r="F5582" t="inlineStr">
        <is>
          <t>Sveaskog</t>
        </is>
      </c>
      <c r="G5582" t="n">
        <v>7.1</v>
      </c>
      <c r="H5582" t="n">
        <v>0</v>
      </c>
      <c r="I5582" t="n">
        <v>0</v>
      </c>
      <c r="J5582" t="n">
        <v>0</v>
      </c>
      <c r="K5582" t="n">
        <v>0</v>
      </c>
      <c r="L5582" t="n">
        <v>0</v>
      </c>
      <c r="M5582" t="n">
        <v>0</v>
      </c>
      <c r="N5582" t="n">
        <v>0</v>
      </c>
      <c r="O5582" t="n">
        <v>0</v>
      </c>
      <c r="P5582" t="n">
        <v>0</v>
      </c>
      <c r="Q5582" t="n">
        <v>0</v>
      </c>
      <c r="R5582" s="2" t="inlineStr"/>
    </row>
    <row r="5583" ht="15" customHeight="1">
      <c r="A5583" t="inlineStr">
        <is>
          <t>A 36466-2022</t>
        </is>
      </c>
      <c r="B5583" s="1" t="n">
        <v>44804</v>
      </c>
      <c r="C5583" s="1" t="n">
        <v>45344</v>
      </c>
      <c r="D5583" t="inlineStr">
        <is>
          <t>GÄVLEBORGS LÄN</t>
        </is>
      </c>
      <c r="E5583" t="inlineStr">
        <is>
          <t>LJUSDAL</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36478-2022</t>
        </is>
      </c>
      <c r="B5584" s="1" t="n">
        <v>44804</v>
      </c>
      <c r="C5584" s="1" t="n">
        <v>45344</v>
      </c>
      <c r="D5584" t="inlineStr">
        <is>
          <t>GÄVLEBORGS LÄN</t>
        </is>
      </c>
      <c r="E5584" t="inlineStr">
        <is>
          <t>NORDANSTIG</t>
        </is>
      </c>
      <c r="G5584" t="n">
        <v>3.6</v>
      </c>
      <c r="H5584" t="n">
        <v>0</v>
      </c>
      <c r="I5584" t="n">
        <v>0</v>
      </c>
      <c r="J5584" t="n">
        <v>0</v>
      </c>
      <c r="K5584" t="n">
        <v>0</v>
      </c>
      <c r="L5584" t="n">
        <v>0</v>
      </c>
      <c r="M5584" t="n">
        <v>0</v>
      </c>
      <c r="N5584" t="n">
        <v>0</v>
      </c>
      <c r="O5584" t="n">
        <v>0</v>
      </c>
      <c r="P5584" t="n">
        <v>0</v>
      </c>
      <c r="Q5584" t="n">
        <v>0</v>
      </c>
      <c r="R5584" s="2" t="inlineStr"/>
    </row>
    <row r="5585" ht="15" customHeight="1">
      <c r="A5585" t="inlineStr">
        <is>
          <t>A 36576-2022</t>
        </is>
      </c>
      <c r="B5585" s="1" t="n">
        <v>44804</v>
      </c>
      <c r="C5585" s="1" t="n">
        <v>45344</v>
      </c>
      <c r="D5585" t="inlineStr">
        <is>
          <t>GÄVLEBORGS LÄN</t>
        </is>
      </c>
      <c r="E5585" t="inlineStr">
        <is>
          <t>OVANÅKER</t>
        </is>
      </c>
      <c r="G5585" t="n">
        <v>4.9</v>
      </c>
      <c r="H5585" t="n">
        <v>0</v>
      </c>
      <c r="I5585" t="n">
        <v>0</v>
      </c>
      <c r="J5585" t="n">
        <v>0</v>
      </c>
      <c r="K5585" t="n">
        <v>0</v>
      </c>
      <c r="L5585" t="n">
        <v>0</v>
      </c>
      <c r="M5585" t="n">
        <v>0</v>
      </c>
      <c r="N5585" t="n">
        <v>0</v>
      </c>
      <c r="O5585" t="n">
        <v>0</v>
      </c>
      <c r="P5585" t="n">
        <v>0</v>
      </c>
      <c r="Q5585" t="n">
        <v>0</v>
      </c>
      <c r="R5585" s="2" t="inlineStr"/>
    </row>
    <row r="5586" ht="15" customHeight="1">
      <c r="A5586" t="inlineStr">
        <is>
          <t>A 36638-2022</t>
        </is>
      </c>
      <c r="B5586" s="1" t="n">
        <v>44804</v>
      </c>
      <c r="C5586" s="1" t="n">
        <v>45344</v>
      </c>
      <c r="D5586" t="inlineStr">
        <is>
          <t>GÄVLEBORGS LÄN</t>
        </is>
      </c>
      <c r="E5586" t="inlineStr">
        <is>
          <t>GÄVLE</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36470-2022</t>
        </is>
      </c>
      <c r="B5587" s="1" t="n">
        <v>44804</v>
      </c>
      <c r="C5587" s="1" t="n">
        <v>45344</v>
      </c>
      <c r="D5587" t="inlineStr">
        <is>
          <t>GÄVLEBORGS LÄN</t>
        </is>
      </c>
      <c r="E5587" t="inlineStr">
        <is>
          <t>LJUSDAL</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36475-2022</t>
        </is>
      </c>
      <c r="B5588" s="1" t="n">
        <v>44804</v>
      </c>
      <c r="C5588" s="1" t="n">
        <v>45344</v>
      </c>
      <c r="D5588" t="inlineStr">
        <is>
          <t>GÄVLEBORGS LÄN</t>
        </is>
      </c>
      <c r="E5588" t="inlineStr">
        <is>
          <t>LJUSDAL</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36518-2022</t>
        </is>
      </c>
      <c r="B5589" s="1" t="n">
        <v>44804</v>
      </c>
      <c r="C5589" s="1" t="n">
        <v>45344</v>
      </c>
      <c r="D5589" t="inlineStr">
        <is>
          <t>GÄVLEBORGS LÄN</t>
        </is>
      </c>
      <c r="E5589" t="inlineStr">
        <is>
          <t>LJUSDAL</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36433-2022</t>
        </is>
      </c>
      <c r="B5590" s="1" t="n">
        <v>44804</v>
      </c>
      <c r="C5590" s="1" t="n">
        <v>45344</v>
      </c>
      <c r="D5590" t="inlineStr">
        <is>
          <t>GÄVLEBORGS LÄN</t>
        </is>
      </c>
      <c r="E5590" t="inlineStr">
        <is>
          <t>GÄVLE</t>
        </is>
      </c>
      <c r="F5590" t="inlineStr">
        <is>
          <t>Bergvik skog öst AB</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36456-2022</t>
        </is>
      </c>
      <c r="B5591" s="1" t="n">
        <v>44804</v>
      </c>
      <c r="C5591" s="1" t="n">
        <v>45344</v>
      </c>
      <c r="D5591" t="inlineStr">
        <is>
          <t>GÄVLEBORGS LÄN</t>
        </is>
      </c>
      <c r="E5591" t="inlineStr">
        <is>
          <t>LJUSDAL</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36516-2022</t>
        </is>
      </c>
      <c r="B5592" s="1" t="n">
        <v>44804</v>
      </c>
      <c r="C5592" s="1" t="n">
        <v>45344</v>
      </c>
      <c r="D5592" t="inlineStr">
        <is>
          <t>GÄVLEBORGS LÄN</t>
        </is>
      </c>
      <c r="E5592" t="inlineStr">
        <is>
          <t>HUDIKSVALL</t>
        </is>
      </c>
      <c r="F5592" t="inlineStr">
        <is>
          <t>Holmen skog AB</t>
        </is>
      </c>
      <c r="G5592" t="n">
        <v>4.7</v>
      </c>
      <c r="H5592" t="n">
        <v>0</v>
      </c>
      <c r="I5592" t="n">
        <v>0</v>
      </c>
      <c r="J5592" t="n">
        <v>0</v>
      </c>
      <c r="K5592" t="n">
        <v>0</v>
      </c>
      <c r="L5592" t="n">
        <v>0</v>
      </c>
      <c r="M5592" t="n">
        <v>0</v>
      </c>
      <c r="N5592" t="n">
        <v>0</v>
      </c>
      <c r="O5592" t="n">
        <v>0</v>
      </c>
      <c r="P5592" t="n">
        <v>0</v>
      </c>
      <c r="Q5592" t="n">
        <v>0</v>
      </c>
      <c r="R5592" s="2" t="inlineStr"/>
    </row>
    <row r="5593" ht="15" customHeight="1">
      <c r="A5593" t="inlineStr">
        <is>
          <t>A 36563-2022</t>
        </is>
      </c>
      <c r="B5593" s="1" t="n">
        <v>44804</v>
      </c>
      <c r="C5593" s="1" t="n">
        <v>45344</v>
      </c>
      <c r="D5593" t="inlineStr">
        <is>
          <t>GÄVLEBORGS LÄN</t>
        </is>
      </c>
      <c r="E5593" t="inlineStr">
        <is>
          <t>LJUSDAL</t>
        </is>
      </c>
      <c r="F5593" t="inlineStr">
        <is>
          <t>Holmen skog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36521-2022</t>
        </is>
      </c>
      <c r="B5594" s="1" t="n">
        <v>44804</v>
      </c>
      <c r="C5594" s="1" t="n">
        <v>45344</v>
      </c>
      <c r="D5594" t="inlineStr">
        <is>
          <t>GÄVLEBORGS LÄN</t>
        </is>
      </c>
      <c r="E5594" t="inlineStr">
        <is>
          <t>OCKELBO</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36646-2022</t>
        </is>
      </c>
      <c r="B5595" s="1" t="n">
        <v>44804</v>
      </c>
      <c r="C5595" s="1" t="n">
        <v>45344</v>
      </c>
      <c r="D5595" t="inlineStr">
        <is>
          <t>GÄVLEBORGS LÄN</t>
        </is>
      </c>
      <c r="E5595" t="inlineStr">
        <is>
          <t>SANDVIKEN</t>
        </is>
      </c>
      <c r="G5595" t="n">
        <v>9.199999999999999</v>
      </c>
      <c r="H5595" t="n">
        <v>0</v>
      </c>
      <c r="I5595" t="n">
        <v>0</v>
      </c>
      <c r="J5595" t="n">
        <v>0</v>
      </c>
      <c r="K5595" t="n">
        <v>0</v>
      </c>
      <c r="L5595" t="n">
        <v>0</v>
      </c>
      <c r="M5595" t="n">
        <v>0</v>
      </c>
      <c r="N5595" t="n">
        <v>0</v>
      </c>
      <c r="O5595" t="n">
        <v>0</v>
      </c>
      <c r="P5595" t="n">
        <v>0</v>
      </c>
      <c r="Q5595" t="n">
        <v>0</v>
      </c>
      <c r="R5595" s="2" t="inlineStr"/>
    </row>
    <row r="5596" ht="15" customHeight="1">
      <c r="A5596" t="inlineStr">
        <is>
          <t>A 36655-2022</t>
        </is>
      </c>
      <c r="B5596" s="1" t="n">
        <v>44804</v>
      </c>
      <c r="C5596" s="1" t="n">
        <v>45344</v>
      </c>
      <c r="D5596" t="inlineStr">
        <is>
          <t>GÄVLEBORGS LÄN</t>
        </is>
      </c>
      <c r="E5596" t="inlineStr">
        <is>
          <t>NORDANSTIG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36768-2022</t>
        </is>
      </c>
      <c r="B5597" s="1" t="n">
        <v>44805</v>
      </c>
      <c r="C5597" s="1" t="n">
        <v>45344</v>
      </c>
      <c r="D5597" t="inlineStr">
        <is>
          <t>GÄVLEBORGS LÄN</t>
        </is>
      </c>
      <c r="E5597" t="inlineStr">
        <is>
          <t>GÄVLE</t>
        </is>
      </c>
      <c r="F5597" t="inlineStr">
        <is>
          <t>Kyrkan</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36779-2022</t>
        </is>
      </c>
      <c r="B5598" s="1" t="n">
        <v>44805</v>
      </c>
      <c r="C5598" s="1" t="n">
        <v>45344</v>
      </c>
      <c r="D5598" t="inlineStr">
        <is>
          <t>GÄVLEBORGS LÄN</t>
        </is>
      </c>
      <c r="E5598" t="inlineStr">
        <is>
          <t>OCKELBO</t>
        </is>
      </c>
      <c r="G5598" t="n">
        <v>5.2</v>
      </c>
      <c r="H5598" t="n">
        <v>0</v>
      </c>
      <c r="I5598" t="n">
        <v>0</v>
      </c>
      <c r="J5598" t="n">
        <v>0</v>
      </c>
      <c r="K5598" t="n">
        <v>0</v>
      </c>
      <c r="L5598" t="n">
        <v>0</v>
      </c>
      <c r="M5598" t="n">
        <v>0</v>
      </c>
      <c r="N5598" t="n">
        <v>0</v>
      </c>
      <c r="O5598" t="n">
        <v>0</v>
      </c>
      <c r="P5598" t="n">
        <v>0</v>
      </c>
      <c r="Q5598" t="n">
        <v>0</v>
      </c>
      <c r="R5598" s="2" t="inlineStr"/>
    </row>
    <row r="5599" ht="15" customHeight="1">
      <c r="A5599" t="inlineStr">
        <is>
          <t>A 36718-2022</t>
        </is>
      </c>
      <c r="B5599" s="1" t="n">
        <v>44805</v>
      </c>
      <c r="C5599" s="1" t="n">
        <v>45344</v>
      </c>
      <c r="D5599" t="inlineStr">
        <is>
          <t>GÄVLEBORGS LÄN</t>
        </is>
      </c>
      <c r="E5599" t="inlineStr">
        <is>
          <t>OVANÅKER</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36851-2022</t>
        </is>
      </c>
      <c r="B5600" s="1" t="n">
        <v>44805</v>
      </c>
      <c r="C5600" s="1" t="n">
        <v>45344</v>
      </c>
      <c r="D5600" t="inlineStr">
        <is>
          <t>GÄVLEBORGS LÄN</t>
        </is>
      </c>
      <c r="E5600" t="inlineStr">
        <is>
          <t>OCKELBO</t>
        </is>
      </c>
      <c r="F5600" t="inlineStr">
        <is>
          <t>Bergvik skog väst AB</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36833-2022</t>
        </is>
      </c>
      <c r="B5601" s="1" t="n">
        <v>44805</v>
      </c>
      <c r="C5601" s="1" t="n">
        <v>45344</v>
      </c>
      <c r="D5601" t="inlineStr">
        <is>
          <t>GÄVLEBORGS LÄN</t>
        </is>
      </c>
      <c r="E5601" t="inlineStr">
        <is>
          <t>SANDVIKEN</t>
        </is>
      </c>
      <c r="G5601" t="n">
        <v>2</v>
      </c>
      <c r="H5601" t="n">
        <v>0</v>
      </c>
      <c r="I5601" t="n">
        <v>0</v>
      </c>
      <c r="J5601" t="n">
        <v>0</v>
      </c>
      <c r="K5601" t="n">
        <v>0</v>
      </c>
      <c r="L5601" t="n">
        <v>0</v>
      </c>
      <c r="M5601" t="n">
        <v>0</v>
      </c>
      <c r="N5601" t="n">
        <v>0</v>
      </c>
      <c r="O5601" t="n">
        <v>0</v>
      </c>
      <c r="P5601" t="n">
        <v>0</v>
      </c>
      <c r="Q5601" t="n">
        <v>0</v>
      </c>
      <c r="R5601" s="2" t="inlineStr"/>
    </row>
    <row r="5602" ht="15" customHeight="1">
      <c r="A5602" t="inlineStr">
        <is>
          <t>A 36895-2022</t>
        </is>
      </c>
      <c r="B5602" s="1" t="n">
        <v>44805</v>
      </c>
      <c r="C5602" s="1" t="n">
        <v>45344</v>
      </c>
      <c r="D5602" t="inlineStr">
        <is>
          <t>GÄVLEBORGS LÄN</t>
        </is>
      </c>
      <c r="E5602" t="inlineStr">
        <is>
          <t>GÄVLE</t>
        </is>
      </c>
      <c r="G5602" t="n">
        <v>6</v>
      </c>
      <c r="H5602" t="n">
        <v>0</v>
      </c>
      <c r="I5602" t="n">
        <v>0</v>
      </c>
      <c r="J5602" t="n">
        <v>0</v>
      </c>
      <c r="K5602" t="n">
        <v>0</v>
      </c>
      <c r="L5602" t="n">
        <v>0</v>
      </c>
      <c r="M5602" t="n">
        <v>0</v>
      </c>
      <c r="N5602" t="n">
        <v>0</v>
      </c>
      <c r="O5602" t="n">
        <v>0</v>
      </c>
      <c r="P5602" t="n">
        <v>0</v>
      </c>
      <c r="Q5602" t="n">
        <v>0</v>
      </c>
      <c r="R5602" s="2" t="inlineStr"/>
    </row>
    <row r="5603" ht="15" customHeight="1">
      <c r="A5603" t="inlineStr">
        <is>
          <t>A 36882-2022</t>
        </is>
      </c>
      <c r="B5603" s="1" t="n">
        <v>44805</v>
      </c>
      <c r="C5603" s="1" t="n">
        <v>45344</v>
      </c>
      <c r="D5603" t="inlineStr">
        <is>
          <t>GÄVLEBORGS LÄN</t>
        </is>
      </c>
      <c r="E5603" t="inlineStr">
        <is>
          <t>HOFORS</t>
        </is>
      </c>
      <c r="F5603" t="inlineStr">
        <is>
          <t>Sveaskog</t>
        </is>
      </c>
      <c r="G5603" t="n">
        <v>7.3</v>
      </c>
      <c r="H5603" t="n">
        <v>0</v>
      </c>
      <c r="I5603" t="n">
        <v>0</v>
      </c>
      <c r="J5603" t="n">
        <v>0</v>
      </c>
      <c r="K5603" t="n">
        <v>0</v>
      </c>
      <c r="L5603" t="n">
        <v>0</v>
      </c>
      <c r="M5603" t="n">
        <v>0</v>
      </c>
      <c r="N5603" t="n">
        <v>0</v>
      </c>
      <c r="O5603" t="n">
        <v>0</v>
      </c>
      <c r="P5603" t="n">
        <v>0</v>
      </c>
      <c r="Q5603" t="n">
        <v>0</v>
      </c>
      <c r="R5603" s="2" t="inlineStr"/>
    </row>
    <row r="5604" ht="15" customHeight="1">
      <c r="A5604" t="inlineStr">
        <is>
          <t>A 36912-2022</t>
        </is>
      </c>
      <c r="B5604" s="1" t="n">
        <v>44805</v>
      </c>
      <c r="C5604" s="1" t="n">
        <v>45344</v>
      </c>
      <c r="D5604" t="inlineStr">
        <is>
          <t>GÄVLEBORGS LÄN</t>
        </is>
      </c>
      <c r="E5604" t="inlineStr">
        <is>
          <t>HUDIKSVALL</t>
        </is>
      </c>
      <c r="F5604" t="inlineStr">
        <is>
          <t>Holmen skog AB</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36920-2022</t>
        </is>
      </c>
      <c r="B5605" s="1" t="n">
        <v>44805</v>
      </c>
      <c r="C5605" s="1" t="n">
        <v>45344</v>
      </c>
      <c r="D5605" t="inlineStr">
        <is>
          <t>GÄVLEBORGS LÄN</t>
        </is>
      </c>
      <c r="E5605" t="inlineStr">
        <is>
          <t>SÖDERHAMN</t>
        </is>
      </c>
      <c r="G5605" t="n">
        <v>5.3</v>
      </c>
      <c r="H5605" t="n">
        <v>0</v>
      </c>
      <c r="I5605" t="n">
        <v>0</v>
      </c>
      <c r="J5605" t="n">
        <v>0</v>
      </c>
      <c r="K5605" t="n">
        <v>0</v>
      </c>
      <c r="L5605" t="n">
        <v>0</v>
      </c>
      <c r="M5605" t="n">
        <v>0</v>
      </c>
      <c r="N5605" t="n">
        <v>0</v>
      </c>
      <c r="O5605" t="n">
        <v>0</v>
      </c>
      <c r="P5605" t="n">
        <v>0</v>
      </c>
      <c r="Q5605" t="n">
        <v>0</v>
      </c>
      <c r="R5605" s="2" t="inlineStr"/>
    </row>
    <row r="5606" ht="15" customHeight="1">
      <c r="A5606" t="inlineStr">
        <is>
          <t>A 36877-2022</t>
        </is>
      </c>
      <c r="B5606" s="1" t="n">
        <v>44805</v>
      </c>
      <c r="C5606" s="1" t="n">
        <v>45344</v>
      </c>
      <c r="D5606" t="inlineStr">
        <is>
          <t>GÄVLEBORGS LÄN</t>
        </is>
      </c>
      <c r="E5606" t="inlineStr">
        <is>
          <t>BOLLNÄS</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36979-2022</t>
        </is>
      </c>
      <c r="B5607" s="1" t="n">
        <v>44806</v>
      </c>
      <c r="C5607" s="1" t="n">
        <v>45344</v>
      </c>
      <c r="D5607" t="inlineStr">
        <is>
          <t>GÄVLEBORGS LÄN</t>
        </is>
      </c>
      <c r="E5607" t="inlineStr">
        <is>
          <t>HUDIKSVALL</t>
        </is>
      </c>
      <c r="F5607" t="inlineStr">
        <is>
          <t>Holmen skog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37005-2022</t>
        </is>
      </c>
      <c r="B5608" s="1" t="n">
        <v>44806</v>
      </c>
      <c r="C5608" s="1" t="n">
        <v>45344</v>
      </c>
      <c r="D5608" t="inlineStr">
        <is>
          <t>GÄVLEBORGS LÄN</t>
        </is>
      </c>
      <c r="E5608" t="inlineStr">
        <is>
          <t>NORDANSTIG</t>
        </is>
      </c>
      <c r="G5608" t="n">
        <v>3.4</v>
      </c>
      <c r="H5608" t="n">
        <v>0</v>
      </c>
      <c r="I5608" t="n">
        <v>0</v>
      </c>
      <c r="J5608" t="n">
        <v>0</v>
      </c>
      <c r="K5608" t="n">
        <v>0</v>
      </c>
      <c r="L5608" t="n">
        <v>0</v>
      </c>
      <c r="M5608" t="n">
        <v>0</v>
      </c>
      <c r="N5608" t="n">
        <v>0</v>
      </c>
      <c r="O5608" t="n">
        <v>0</v>
      </c>
      <c r="P5608" t="n">
        <v>0</v>
      </c>
      <c r="Q5608" t="n">
        <v>0</v>
      </c>
      <c r="R5608" s="2" t="inlineStr"/>
    </row>
    <row r="5609" ht="15" customHeight="1">
      <c r="A5609" t="inlineStr">
        <is>
          <t>A 37020-2022</t>
        </is>
      </c>
      <c r="B5609" s="1" t="n">
        <v>44806</v>
      </c>
      <c r="C5609" s="1" t="n">
        <v>45344</v>
      </c>
      <c r="D5609" t="inlineStr">
        <is>
          <t>GÄVLEBORGS LÄN</t>
        </is>
      </c>
      <c r="E5609" t="inlineStr">
        <is>
          <t>NORDANSTIG</t>
        </is>
      </c>
      <c r="F5609" t="inlineStr">
        <is>
          <t>Holmen skog AB</t>
        </is>
      </c>
      <c r="G5609" t="n">
        <v>4.2</v>
      </c>
      <c r="H5609" t="n">
        <v>0</v>
      </c>
      <c r="I5609" t="n">
        <v>0</v>
      </c>
      <c r="J5609" t="n">
        <v>0</v>
      </c>
      <c r="K5609" t="n">
        <v>0</v>
      </c>
      <c r="L5609" t="n">
        <v>0</v>
      </c>
      <c r="M5609" t="n">
        <v>0</v>
      </c>
      <c r="N5609" t="n">
        <v>0</v>
      </c>
      <c r="O5609" t="n">
        <v>0</v>
      </c>
      <c r="P5609" t="n">
        <v>0</v>
      </c>
      <c r="Q5609" t="n">
        <v>0</v>
      </c>
      <c r="R5609" s="2" t="inlineStr"/>
    </row>
    <row r="5610" ht="15" customHeight="1">
      <c r="A5610" t="inlineStr">
        <is>
          <t>A 36974-2022</t>
        </is>
      </c>
      <c r="B5610" s="1" t="n">
        <v>44806</v>
      </c>
      <c r="C5610" s="1" t="n">
        <v>45344</v>
      </c>
      <c r="D5610" t="inlineStr">
        <is>
          <t>GÄVLEBORGS LÄN</t>
        </is>
      </c>
      <c r="E5610" t="inlineStr">
        <is>
          <t>NORDANSTIG</t>
        </is>
      </c>
      <c r="F5610" t="inlineStr">
        <is>
          <t>Holmen skog AB</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36981-2022</t>
        </is>
      </c>
      <c r="B5611" s="1" t="n">
        <v>44806</v>
      </c>
      <c r="C5611" s="1" t="n">
        <v>45344</v>
      </c>
      <c r="D5611" t="inlineStr">
        <is>
          <t>GÄVLEBORGS LÄN</t>
        </is>
      </c>
      <c r="E5611" t="inlineStr">
        <is>
          <t>BOLLNÄS</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37134-2022</t>
        </is>
      </c>
      <c r="B5612" s="1" t="n">
        <v>44806</v>
      </c>
      <c r="C5612" s="1" t="n">
        <v>45344</v>
      </c>
      <c r="D5612" t="inlineStr">
        <is>
          <t>GÄVLEBORGS LÄN</t>
        </is>
      </c>
      <c r="E5612" t="inlineStr">
        <is>
          <t>NORDANSTIG</t>
        </is>
      </c>
      <c r="F5612" t="inlineStr">
        <is>
          <t>Holmen skog AB</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37060-2022</t>
        </is>
      </c>
      <c r="B5613" s="1" t="n">
        <v>44806</v>
      </c>
      <c r="C5613" s="1" t="n">
        <v>45344</v>
      </c>
      <c r="D5613" t="inlineStr">
        <is>
          <t>GÄVLEBORGS LÄN</t>
        </is>
      </c>
      <c r="E5613" t="inlineStr">
        <is>
          <t>BOLLNÄS</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37071-2022</t>
        </is>
      </c>
      <c r="B5614" s="1" t="n">
        <v>44806</v>
      </c>
      <c r="C5614" s="1" t="n">
        <v>45344</v>
      </c>
      <c r="D5614" t="inlineStr">
        <is>
          <t>GÄVLEBORGS LÄN</t>
        </is>
      </c>
      <c r="E5614" t="inlineStr">
        <is>
          <t>BOLLNÄS</t>
        </is>
      </c>
      <c r="G5614" t="n">
        <v>1.4</v>
      </c>
      <c r="H5614" t="n">
        <v>0</v>
      </c>
      <c r="I5614" t="n">
        <v>0</v>
      </c>
      <c r="J5614" t="n">
        <v>0</v>
      </c>
      <c r="K5614" t="n">
        <v>0</v>
      </c>
      <c r="L5614" t="n">
        <v>0</v>
      </c>
      <c r="M5614" t="n">
        <v>0</v>
      </c>
      <c r="N5614" t="n">
        <v>0</v>
      </c>
      <c r="O5614" t="n">
        <v>0</v>
      </c>
      <c r="P5614" t="n">
        <v>0</v>
      </c>
      <c r="Q5614" t="n">
        <v>0</v>
      </c>
      <c r="R5614" s="2" t="inlineStr"/>
    </row>
    <row r="5615" ht="15" customHeight="1">
      <c r="A5615" t="inlineStr">
        <is>
          <t>A 37317-2022</t>
        </is>
      </c>
      <c r="B5615" s="1" t="n">
        <v>44806</v>
      </c>
      <c r="C5615" s="1" t="n">
        <v>45344</v>
      </c>
      <c r="D5615" t="inlineStr">
        <is>
          <t>GÄVLEBORGS LÄN</t>
        </is>
      </c>
      <c r="E5615" t="inlineStr">
        <is>
          <t>BOLLNÄS</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37303-2022</t>
        </is>
      </c>
      <c r="B5616" s="1" t="n">
        <v>44809</v>
      </c>
      <c r="C5616" s="1" t="n">
        <v>45344</v>
      </c>
      <c r="D5616" t="inlineStr">
        <is>
          <t>GÄVLEBORGS LÄN</t>
        </is>
      </c>
      <c r="E5616" t="inlineStr">
        <is>
          <t>LJUSDAL</t>
        </is>
      </c>
      <c r="G5616" t="n">
        <v>8.6</v>
      </c>
      <c r="H5616" t="n">
        <v>0</v>
      </c>
      <c r="I5616" t="n">
        <v>0</v>
      </c>
      <c r="J5616" t="n">
        <v>0</v>
      </c>
      <c r="K5616" t="n">
        <v>0</v>
      </c>
      <c r="L5616" t="n">
        <v>0</v>
      </c>
      <c r="M5616" t="n">
        <v>0</v>
      </c>
      <c r="N5616" t="n">
        <v>0</v>
      </c>
      <c r="O5616" t="n">
        <v>0</v>
      </c>
      <c r="P5616" t="n">
        <v>0</v>
      </c>
      <c r="Q5616" t="n">
        <v>0</v>
      </c>
      <c r="R5616" s="2" t="inlineStr"/>
    </row>
    <row r="5617" ht="15" customHeight="1">
      <c r="A5617" t="inlineStr">
        <is>
          <t>A 37295-2022</t>
        </is>
      </c>
      <c r="B5617" s="1" t="n">
        <v>44808</v>
      </c>
      <c r="C5617" s="1" t="n">
        <v>45344</v>
      </c>
      <c r="D5617" t="inlineStr">
        <is>
          <t>GÄVLEBORGS LÄN</t>
        </is>
      </c>
      <c r="E5617" t="inlineStr">
        <is>
          <t>NORDANSTIG</t>
        </is>
      </c>
      <c r="G5617" t="n">
        <v>0</v>
      </c>
      <c r="H5617" t="n">
        <v>0</v>
      </c>
      <c r="I5617" t="n">
        <v>0</v>
      </c>
      <c r="J5617" t="n">
        <v>0</v>
      </c>
      <c r="K5617" t="n">
        <v>0</v>
      </c>
      <c r="L5617" t="n">
        <v>0</v>
      </c>
      <c r="M5617" t="n">
        <v>0</v>
      </c>
      <c r="N5617" t="n">
        <v>0</v>
      </c>
      <c r="O5617" t="n">
        <v>0</v>
      </c>
      <c r="P5617" t="n">
        <v>0</v>
      </c>
      <c r="Q5617" t="n">
        <v>0</v>
      </c>
      <c r="R5617" s="2" t="inlineStr"/>
    </row>
    <row r="5618" ht="15" customHeight="1">
      <c r="A5618" t="inlineStr">
        <is>
          <t>A 37343-2022</t>
        </is>
      </c>
      <c r="B5618" s="1" t="n">
        <v>44809</v>
      </c>
      <c r="C5618" s="1" t="n">
        <v>45344</v>
      </c>
      <c r="D5618" t="inlineStr">
        <is>
          <t>GÄVLEBORGS LÄN</t>
        </is>
      </c>
      <c r="E5618" t="inlineStr">
        <is>
          <t>LJUSDAL</t>
        </is>
      </c>
      <c r="F5618" t="inlineStr">
        <is>
          <t>Sveaskog</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37345-2022</t>
        </is>
      </c>
      <c r="B5619" s="1" t="n">
        <v>44809</v>
      </c>
      <c r="C5619" s="1" t="n">
        <v>45344</v>
      </c>
      <c r="D5619" t="inlineStr">
        <is>
          <t>GÄVLEBORGS LÄN</t>
        </is>
      </c>
      <c r="E5619" t="inlineStr">
        <is>
          <t>LJUSDAL</t>
        </is>
      </c>
      <c r="F5619" t="inlineStr">
        <is>
          <t>Sveaskog</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37402-2022</t>
        </is>
      </c>
      <c r="B5620" s="1" t="n">
        <v>44809</v>
      </c>
      <c r="C5620" s="1" t="n">
        <v>45344</v>
      </c>
      <c r="D5620" t="inlineStr">
        <is>
          <t>GÄVLEBORGS LÄN</t>
        </is>
      </c>
      <c r="E5620" t="inlineStr">
        <is>
          <t>HUDIKSVALL</t>
        </is>
      </c>
      <c r="G5620" t="n">
        <v>7.8</v>
      </c>
      <c r="H5620" t="n">
        <v>0</v>
      </c>
      <c r="I5620" t="n">
        <v>0</v>
      </c>
      <c r="J5620" t="n">
        <v>0</v>
      </c>
      <c r="K5620" t="n">
        <v>0</v>
      </c>
      <c r="L5620" t="n">
        <v>0</v>
      </c>
      <c r="M5620" t="n">
        <v>0</v>
      </c>
      <c r="N5620" t="n">
        <v>0</v>
      </c>
      <c r="O5620" t="n">
        <v>0</v>
      </c>
      <c r="P5620" t="n">
        <v>0</v>
      </c>
      <c r="Q5620" t="n">
        <v>0</v>
      </c>
      <c r="R5620" s="2" t="inlineStr"/>
    </row>
    <row r="5621" ht="15" customHeight="1">
      <c r="A5621" t="inlineStr">
        <is>
          <t>A 37638-2022</t>
        </is>
      </c>
      <c r="B5621" s="1" t="n">
        <v>44810</v>
      </c>
      <c r="C5621" s="1" t="n">
        <v>45344</v>
      </c>
      <c r="D5621" t="inlineStr">
        <is>
          <t>GÄVLEBORGS LÄN</t>
        </is>
      </c>
      <c r="E5621" t="inlineStr">
        <is>
          <t>HUDIKSVALL</t>
        </is>
      </c>
      <c r="F5621" t="inlineStr">
        <is>
          <t>Holmen skog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37680-2022</t>
        </is>
      </c>
      <c r="B5622" s="1" t="n">
        <v>44810</v>
      </c>
      <c r="C5622" s="1" t="n">
        <v>45344</v>
      </c>
      <c r="D5622" t="inlineStr">
        <is>
          <t>GÄVLEBORGS LÄN</t>
        </is>
      </c>
      <c r="E5622" t="inlineStr">
        <is>
          <t>HOFORS</t>
        </is>
      </c>
      <c r="G5622" t="n">
        <v>6.6</v>
      </c>
      <c r="H5622" t="n">
        <v>0</v>
      </c>
      <c r="I5622" t="n">
        <v>0</v>
      </c>
      <c r="J5622" t="n">
        <v>0</v>
      </c>
      <c r="K5622" t="n">
        <v>0</v>
      </c>
      <c r="L5622" t="n">
        <v>0</v>
      </c>
      <c r="M5622" t="n">
        <v>0</v>
      </c>
      <c r="N5622" t="n">
        <v>0</v>
      </c>
      <c r="O5622" t="n">
        <v>0</v>
      </c>
      <c r="P5622" t="n">
        <v>0</v>
      </c>
      <c r="Q5622" t="n">
        <v>0</v>
      </c>
      <c r="R5622" s="2" t="inlineStr"/>
    </row>
    <row r="5623" ht="15" customHeight="1">
      <c r="A5623" t="inlineStr">
        <is>
          <t>A 37743-2022</t>
        </is>
      </c>
      <c r="B5623" s="1" t="n">
        <v>44810</v>
      </c>
      <c r="C5623" s="1" t="n">
        <v>45344</v>
      </c>
      <c r="D5623" t="inlineStr">
        <is>
          <t>GÄVLEBORGS LÄN</t>
        </is>
      </c>
      <c r="E5623" t="inlineStr">
        <is>
          <t>HOFORS</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37640-2022</t>
        </is>
      </c>
      <c r="B5624" s="1" t="n">
        <v>44810</v>
      </c>
      <c r="C5624" s="1" t="n">
        <v>45344</v>
      </c>
      <c r="D5624" t="inlineStr">
        <is>
          <t>GÄVLEBORGS LÄN</t>
        </is>
      </c>
      <c r="E5624" t="inlineStr">
        <is>
          <t>SÖDERHAMN</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37681-2022</t>
        </is>
      </c>
      <c r="B5625" s="1" t="n">
        <v>44810</v>
      </c>
      <c r="C5625" s="1" t="n">
        <v>45344</v>
      </c>
      <c r="D5625" t="inlineStr">
        <is>
          <t>GÄVLEBORGS LÄN</t>
        </is>
      </c>
      <c r="E5625" t="inlineStr">
        <is>
          <t>HUDIKSVALL</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37632-2022</t>
        </is>
      </c>
      <c r="B5626" s="1" t="n">
        <v>44810</v>
      </c>
      <c r="C5626" s="1" t="n">
        <v>45344</v>
      </c>
      <c r="D5626" t="inlineStr">
        <is>
          <t>GÄVLEBORGS LÄN</t>
        </is>
      </c>
      <c r="E5626" t="inlineStr">
        <is>
          <t>BOLLNÄS</t>
        </is>
      </c>
      <c r="G5626" t="n">
        <v>4.7</v>
      </c>
      <c r="H5626" t="n">
        <v>0</v>
      </c>
      <c r="I5626" t="n">
        <v>0</v>
      </c>
      <c r="J5626" t="n">
        <v>0</v>
      </c>
      <c r="K5626" t="n">
        <v>0</v>
      </c>
      <c r="L5626" t="n">
        <v>0</v>
      </c>
      <c r="M5626" t="n">
        <v>0</v>
      </c>
      <c r="N5626" t="n">
        <v>0</v>
      </c>
      <c r="O5626" t="n">
        <v>0</v>
      </c>
      <c r="P5626" t="n">
        <v>0</v>
      </c>
      <c r="Q5626" t="n">
        <v>0</v>
      </c>
      <c r="R5626" s="2" t="inlineStr"/>
    </row>
    <row r="5627" ht="15" customHeight="1">
      <c r="A5627" t="inlineStr">
        <is>
          <t>A 37697-2022</t>
        </is>
      </c>
      <c r="B5627" s="1" t="n">
        <v>44810</v>
      </c>
      <c r="C5627" s="1" t="n">
        <v>45344</v>
      </c>
      <c r="D5627" t="inlineStr">
        <is>
          <t>GÄVLEBORGS LÄN</t>
        </is>
      </c>
      <c r="E5627" t="inlineStr">
        <is>
          <t>SANDVIKEN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37767-2022</t>
        </is>
      </c>
      <c r="B5628" s="1" t="n">
        <v>44810</v>
      </c>
      <c r="C5628" s="1" t="n">
        <v>45344</v>
      </c>
      <c r="D5628" t="inlineStr">
        <is>
          <t>GÄVLEBORGS LÄN</t>
        </is>
      </c>
      <c r="E5628" t="inlineStr">
        <is>
          <t>HOFORS</t>
        </is>
      </c>
      <c r="F5628" t="inlineStr">
        <is>
          <t>Sveaskog</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37775-2022</t>
        </is>
      </c>
      <c r="B5629" s="1" t="n">
        <v>44810</v>
      </c>
      <c r="C5629" s="1" t="n">
        <v>45344</v>
      </c>
      <c r="D5629" t="inlineStr">
        <is>
          <t>GÄVLEBORGS LÄN</t>
        </is>
      </c>
      <c r="E5629" t="inlineStr">
        <is>
          <t>GÄVLE</t>
        </is>
      </c>
      <c r="F5629" t="inlineStr">
        <is>
          <t>Bergvik skog väst AB</t>
        </is>
      </c>
      <c r="G5629" t="n">
        <v>8.1</v>
      </c>
      <c r="H5629" t="n">
        <v>0</v>
      </c>
      <c r="I5629" t="n">
        <v>0</v>
      </c>
      <c r="J5629" t="n">
        <v>0</v>
      </c>
      <c r="K5629" t="n">
        <v>0</v>
      </c>
      <c r="L5629" t="n">
        <v>0</v>
      </c>
      <c r="M5629" t="n">
        <v>0</v>
      </c>
      <c r="N5629" t="n">
        <v>0</v>
      </c>
      <c r="O5629" t="n">
        <v>0</v>
      </c>
      <c r="P5629" t="n">
        <v>0</v>
      </c>
      <c r="Q5629" t="n">
        <v>0</v>
      </c>
      <c r="R5629" s="2" t="inlineStr"/>
    </row>
    <row r="5630" ht="15" customHeight="1">
      <c r="A5630" t="inlineStr">
        <is>
          <t>A 37795-2022</t>
        </is>
      </c>
      <c r="B5630" s="1" t="n">
        <v>44810</v>
      </c>
      <c r="C5630" s="1" t="n">
        <v>45344</v>
      </c>
      <c r="D5630" t="inlineStr">
        <is>
          <t>GÄVLEBORGS LÄN</t>
        </is>
      </c>
      <c r="E5630" t="inlineStr">
        <is>
          <t>GÄVLE</t>
        </is>
      </c>
      <c r="F5630" t="inlineStr">
        <is>
          <t>Bergvik skog väst AB</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37801-2022</t>
        </is>
      </c>
      <c r="B5631" s="1" t="n">
        <v>44810</v>
      </c>
      <c r="C5631" s="1" t="n">
        <v>45344</v>
      </c>
      <c r="D5631" t="inlineStr">
        <is>
          <t>GÄVLEBORGS LÄN</t>
        </is>
      </c>
      <c r="E5631" t="inlineStr">
        <is>
          <t>GÄVLE</t>
        </is>
      </c>
      <c r="F5631" t="inlineStr">
        <is>
          <t>Bergvik skog väst AB</t>
        </is>
      </c>
      <c r="G5631" t="n">
        <v>25.5</v>
      </c>
      <c r="H5631" t="n">
        <v>0</v>
      </c>
      <c r="I5631" t="n">
        <v>0</v>
      </c>
      <c r="J5631" t="n">
        <v>0</v>
      </c>
      <c r="K5631" t="n">
        <v>0</v>
      </c>
      <c r="L5631" t="n">
        <v>0</v>
      </c>
      <c r="M5631" t="n">
        <v>0</v>
      </c>
      <c r="N5631" t="n">
        <v>0</v>
      </c>
      <c r="O5631" t="n">
        <v>0</v>
      </c>
      <c r="P5631" t="n">
        <v>0</v>
      </c>
      <c r="Q5631" t="n">
        <v>0</v>
      </c>
      <c r="R5631" s="2" t="inlineStr"/>
    </row>
    <row r="5632" ht="15" customHeight="1">
      <c r="A5632" t="inlineStr">
        <is>
          <t>A 37792-2022</t>
        </is>
      </c>
      <c r="B5632" s="1" t="n">
        <v>44810</v>
      </c>
      <c r="C5632" s="1" t="n">
        <v>45344</v>
      </c>
      <c r="D5632" t="inlineStr">
        <is>
          <t>GÄVLEBORGS LÄN</t>
        </is>
      </c>
      <c r="E5632" t="inlineStr">
        <is>
          <t>LJUSDAL</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37744-2022</t>
        </is>
      </c>
      <c r="B5633" s="1" t="n">
        <v>44810</v>
      </c>
      <c r="C5633" s="1" t="n">
        <v>45344</v>
      </c>
      <c r="D5633" t="inlineStr">
        <is>
          <t>GÄVLEBORGS LÄN</t>
        </is>
      </c>
      <c r="E5633" t="inlineStr">
        <is>
          <t>HOFORS</t>
        </is>
      </c>
      <c r="G5633" t="n">
        <v>1.1</v>
      </c>
      <c r="H5633" t="n">
        <v>0</v>
      </c>
      <c r="I5633" t="n">
        <v>0</v>
      </c>
      <c r="J5633" t="n">
        <v>0</v>
      </c>
      <c r="K5633" t="n">
        <v>0</v>
      </c>
      <c r="L5633" t="n">
        <v>0</v>
      </c>
      <c r="M5633" t="n">
        <v>0</v>
      </c>
      <c r="N5633" t="n">
        <v>0</v>
      </c>
      <c r="O5633" t="n">
        <v>0</v>
      </c>
      <c r="P5633" t="n">
        <v>0</v>
      </c>
      <c r="Q5633" t="n">
        <v>0</v>
      </c>
      <c r="R5633" s="2" t="inlineStr"/>
    </row>
    <row r="5634" ht="15" customHeight="1">
      <c r="A5634" t="inlineStr">
        <is>
          <t>A 37925-2022</t>
        </is>
      </c>
      <c r="B5634" s="1" t="n">
        <v>44811</v>
      </c>
      <c r="C5634" s="1" t="n">
        <v>45344</v>
      </c>
      <c r="D5634" t="inlineStr">
        <is>
          <t>GÄVLEBORGS LÄN</t>
        </is>
      </c>
      <c r="E5634" t="inlineStr">
        <is>
          <t>OVANÅKER</t>
        </is>
      </c>
      <c r="F5634" t="inlineStr">
        <is>
          <t>Bergvik skog väst AB</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37931-2022</t>
        </is>
      </c>
      <c r="B5635" s="1" t="n">
        <v>44811</v>
      </c>
      <c r="C5635" s="1" t="n">
        <v>45344</v>
      </c>
      <c r="D5635" t="inlineStr">
        <is>
          <t>GÄVLEBORGS LÄN</t>
        </is>
      </c>
      <c r="E5635" t="inlineStr">
        <is>
          <t>HUDIKSVALL</t>
        </is>
      </c>
      <c r="G5635" t="n">
        <v>3.6</v>
      </c>
      <c r="H5635" t="n">
        <v>0</v>
      </c>
      <c r="I5635" t="n">
        <v>0</v>
      </c>
      <c r="J5635" t="n">
        <v>0</v>
      </c>
      <c r="K5635" t="n">
        <v>0</v>
      </c>
      <c r="L5635" t="n">
        <v>0</v>
      </c>
      <c r="M5635" t="n">
        <v>0</v>
      </c>
      <c r="N5635" t="n">
        <v>0</v>
      </c>
      <c r="O5635" t="n">
        <v>0</v>
      </c>
      <c r="P5635" t="n">
        <v>0</v>
      </c>
      <c r="Q5635" t="n">
        <v>0</v>
      </c>
      <c r="R5635" s="2" t="inlineStr"/>
    </row>
    <row r="5636" ht="15" customHeight="1">
      <c r="A5636" t="inlineStr">
        <is>
          <t>A 37965-2022</t>
        </is>
      </c>
      <c r="B5636" s="1" t="n">
        <v>44811</v>
      </c>
      <c r="C5636" s="1" t="n">
        <v>45344</v>
      </c>
      <c r="D5636" t="inlineStr">
        <is>
          <t>GÄVLEBORGS LÄN</t>
        </is>
      </c>
      <c r="E5636" t="inlineStr">
        <is>
          <t>NORDANSTIG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37972-2022</t>
        </is>
      </c>
      <c r="B5637" s="1" t="n">
        <v>44811</v>
      </c>
      <c r="C5637" s="1" t="n">
        <v>45344</v>
      </c>
      <c r="D5637" t="inlineStr">
        <is>
          <t>GÄVLEBORGS LÄN</t>
        </is>
      </c>
      <c r="E5637" t="inlineStr">
        <is>
          <t>NORDANSTIG</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37986-2022</t>
        </is>
      </c>
      <c r="B5638" s="1" t="n">
        <v>44811</v>
      </c>
      <c r="C5638" s="1" t="n">
        <v>45344</v>
      </c>
      <c r="D5638" t="inlineStr">
        <is>
          <t>GÄVLEBORGS LÄN</t>
        </is>
      </c>
      <c r="E5638" t="inlineStr">
        <is>
          <t>NORDANSTIG</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37995-2022</t>
        </is>
      </c>
      <c r="B5639" s="1" t="n">
        <v>44811</v>
      </c>
      <c r="C5639" s="1" t="n">
        <v>45344</v>
      </c>
      <c r="D5639" t="inlineStr">
        <is>
          <t>GÄVLEBORGS LÄN</t>
        </is>
      </c>
      <c r="E5639" t="inlineStr">
        <is>
          <t>LJUSDAL</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38185-2022</t>
        </is>
      </c>
      <c r="B5640" s="1" t="n">
        <v>44812</v>
      </c>
      <c r="C5640" s="1" t="n">
        <v>45344</v>
      </c>
      <c r="D5640" t="inlineStr">
        <is>
          <t>GÄVLEBORGS LÄN</t>
        </is>
      </c>
      <c r="E5640" t="inlineStr">
        <is>
          <t>HUDIKSVALL</t>
        </is>
      </c>
      <c r="F5640" t="inlineStr">
        <is>
          <t>Holmen skog AB</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38175-2022</t>
        </is>
      </c>
      <c r="B5641" s="1" t="n">
        <v>44812</v>
      </c>
      <c r="C5641" s="1" t="n">
        <v>45344</v>
      </c>
      <c r="D5641" t="inlineStr">
        <is>
          <t>GÄVLEBORGS LÄN</t>
        </is>
      </c>
      <c r="E5641" t="inlineStr">
        <is>
          <t>SANDVIKEN</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38251-2022</t>
        </is>
      </c>
      <c r="B5642" s="1" t="n">
        <v>44812</v>
      </c>
      <c r="C5642" s="1" t="n">
        <v>45344</v>
      </c>
      <c r="D5642" t="inlineStr">
        <is>
          <t>GÄVLEBORGS LÄN</t>
        </is>
      </c>
      <c r="E5642" t="inlineStr">
        <is>
          <t>HOFORS</t>
        </is>
      </c>
      <c r="G5642" t="n">
        <v>3.5</v>
      </c>
      <c r="H5642" t="n">
        <v>0</v>
      </c>
      <c r="I5642" t="n">
        <v>0</v>
      </c>
      <c r="J5642" t="n">
        <v>0</v>
      </c>
      <c r="K5642" t="n">
        <v>0</v>
      </c>
      <c r="L5642" t="n">
        <v>0</v>
      </c>
      <c r="M5642" t="n">
        <v>0</v>
      </c>
      <c r="N5642" t="n">
        <v>0</v>
      </c>
      <c r="O5642" t="n">
        <v>0</v>
      </c>
      <c r="P5642" t="n">
        <v>0</v>
      </c>
      <c r="Q5642" t="n">
        <v>0</v>
      </c>
      <c r="R5642" s="2" t="inlineStr"/>
    </row>
    <row r="5643" ht="15" customHeight="1">
      <c r="A5643" t="inlineStr">
        <is>
          <t>A 38296-2022</t>
        </is>
      </c>
      <c r="B5643" s="1" t="n">
        <v>44812</v>
      </c>
      <c r="C5643" s="1" t="n">
        <v>45344</v>
      </c>
      <c r="D5643" t="inlineStr">
        <is>
          <t>GÄVLEBORGS LÄN</t>
        </is>
      </c>
      <c r="E5643" t="inlineStr">
        <is>
          <t>HUDIKSVALL</t>
        </is>
      </c>
      <c r="F5643" t="inlineStr">
        <is>
          <t>Holmen skog AB</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38315-2022</t>
        </is>
      </c>
      <c r="B5644" s="1" t="n">
        <v>44812</v>
      </c>
      <c r="C5644" s="1" t="n">
        <v>45344</v>
      </c>
      <c r="D5644" t="inlineStr">
        <is>
          <t>GÄVLEBORGS LÄN</t>
        </is>
      </c>
      <c r="E5644" t="inlineStr">
        <is>
          <t>OCKELBO</t>
        </is>
      </c>
      <c r="F5644" t="inlineStr">
        <is>
          <t>Bergvik skog väst AB</t>
        </is>
      </c>
      <c r="G5644" t="n">
        <v>7.9</v>
      </c>
      <c r="H5644" t="n">
        <v>0</v>
      </c>
      <c r="I5644" t="n">
        <v>0</v>
      </c>
      <c r="J5644" t="n">
        <v>0</v>
      </c>
      <c r="K5644" t="n">
        <v>0</v>
      </c>
      <c r="L5644" t="n">
        <v>0</v>
      </c>
      <c r="M5644" t="n">
        <v>0</v>
      </c>
      <c r="N5644" t="n">
        <v>0</v>
      </c>
      <c r="O5644" t="n">
        <v>0</v>
      </c>
      <c r="P5644" t="n">
        <v>0</v>
      </c>
      <c r="Q5644" t="n">
        <v>0</v>
      </c>
      <c r="R5644" s="2" t="inlineStr"/>
    </row>
    <row r="5645" ht="15" customHeight="1">
      <c r="A5645" t="inlineStr">
        <is>
          <t>A 38355-2022</t>
        </is>
      </c>
      <c r="B5645" s="1" t="n">
        <v>44812</v>
      </c>
      <c r="C5645" s="1" t="n">
        <v>45344</v>
      </c>
      <c r="D5645" t="inlineStr">
        <is>
          <t>GÄVLEBORGS LÄN</t>
        </is>
      </c>
      <c r="E5645" t="inlineStr">
        <is>
          <t>SÖDERHAMN</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38332-2022</t>
        </is>
      </c>
      <c r="B5646" s="1" t="n">
        <v>44812</v>
      </c>
      <c r="C5646" s="1" t="n">
        <v>45344</v>
      </c>
      <c r="D5646" t="inlineStr">
        <is>
          <t>GÄVLEBORGS LÄN</t>
        </is>
      </c>
      <c r="E5646" t="inlineStr">
        <is>
          <t>LJUSDAL</t>
        </is>
      </c>
      <c r="F5646" t="inlineStr">
        <is>
          <t>Allmännings- och besparingsskogar</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38345-2022</t>
        </is>
      </c>
      <c r="B5647" s="1" t="n">
        <v>44812</v>
      </c>
      <c r="C5647" s="1" t="n">
        <v>45344</v>
      </c>
      <c r="D5647" t="inlineStr">
        <is>
          <t>GÄVLEBORGS LÄN</t>
        </is>
      </c>
      <c r="E5647" t="inlineStr">
        <is>
          <t>NORDANSTIG</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38252-2022</t>
        </is>
      </c>
      <c r="B5648" s="1" t="n">
        <v>44812</v>
      </c>
      <c r="C5648" s="1" t="n">
        <v>45344</v>
      </c>
      <c r="D5648" t="inlineStr">
        <is>
          <t>GÄVLEBORGS LÄN</t>
        </is>
      </c>
      <c r="E5648" t="inlineStr">
        <is>
          <t>NORDANSTIG</t>
        </is>
      </c>
      <c r="F5648" t="inlineStr">
        <is>
          <t>Holmen skog AB</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38324-2022</t>
        </is>
      </c>
      <c r="B5649" s="1" t="n">
        <v>44812</v>
      </c>
      <c r="C5649" s="1" t="n">
        <v>45344</v>
      </c>
      <c r="D5649" t="inlineStr">
        <is>
          <t>GÄVLEBORGS LÄN</t>
        </is>
      </c>
      <c r="E5649" t="inlineStr">
        <is>
          <t>OVANÅKER</t>
        </is>
      </c>
      <c r="G5649" t="n">
        <v>4.4</v>
      </c>
      <c r="H5649" t="n">
        <v>0</v>
      </c>
      <c r="I5649" t="n">
        <v>0</v>
      </c>
      <c r="J5649" t="n">
        <v>0</v>
      </c>
      <c r="K5649" t="n">
        <v>0</v>
      </c>
      <c r="L5649" t="n">
        <v>0</v>
      </c>
      <c r="M5649" t="n">
        <v>0</v>
      </c>
      <c r="N5649" t="n">
        <v>0</v>
      </c>
      <c r="O5649" t="n">
        <v>0</v>
      </c>
      <c r="P5649" t="n">
        <v>0</v>
      </c>
      <c r="Q5649" t="n">
        <v>0</v>
      </c>
      <c r="R5649" s="2" t="inlineStr"/>
    </row>
    <row r="5650" ht="15" customHeight="1">
      <c r="A5650" t="inlineStr">
        <is>
          <t>A 38328-2022</t>
        </is>
      </c>
      <c r="B5650" s="1" t="n">
        <v>44812</v>
      </c>
      <c r="C5650" s="1" t="n">
        <v>45344</v>
      </c>
      <c r="D5650" t="inlineStr">
        <is>
          <t>GÄVLEBORGS LÄN</t>
        </is>
      </c>
      <c r="E5650" t="inlineStr">
        <is>
          <t>OCKELBO</t>
        </is>
      </c>
      <c r="F5650" t="inlineStr">
        <is>
          <t>Bergvik skog väst AB</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38341-2022</t>
        </is>
      </c>
      <c r="B5651" s="1" t="n">
        <v>44812</v>
      </c>
      <c r="C5651" s="1" t="n">
        <v>45344</v>
      </c>
      <c r="D5651" t="inlineStr">
        <is>
          <t>GÄVLEBORGS LÄN</t>
        </is>
      </c>
      <c r="E5651" t="inlineStr">
        <is>
          <t>HUDIKSVALL</t>
        </is>
      </c>
      <c r="F5651" t="inlineStr">
        <is>
          <t>Holmen skog AB</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38348-2022</t>
        </is>
      </c>
      <c r="B5652" s="1" t="n">
        <v>44812</v>
      </c>
      <c r="C5652" s="1" t="n">
        <v>45344</v>
      </c>
      <c r="D5652" t="inlineStr">
        <is>
          <t>GÄVLEBORGS LÄN</t>
        </is>
      </c>
      <c r="E5652" t="inlineStr">
        <is>
          <t>NORDANSTIG</t>
        </is>
      </c>
      <c r="F5652" t="inlineStr">
        <is>
          <t>Holmen skog AB</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38480-2022</t>
        </is>
      </c>
      <c r="B5653" s="1" t="n">
        <v>44813</v>
      </c>
      <c r="C5653" s="1" t="n">
        <v>45344</v>
      </c>
      <c r="D5653" t="inlineStr">
        <is>
          <t>GÄVLEBORGS LÄN</t>
        </is>
      </c>
      <c r="E5653" t="inlineStr">
        <is>
          <t>HUDIKSVALL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38566-2022</t>
        </is>
      </c>
      <c r="B5654" s="1" t="n">
        <v>44813</v>
      </c>
      <c r="C5654" s="1" t="n">
        <v>45344</v>
      </c>
      <c r="D5654" t="inlineStr">
        <is>
          <t>GÄVLEBORGS LÄN</t>
        </is>
      </c>
      <c r="E5654" t="inlineStr">
        <is>
          <t>GÄVLE</t>
        </is>
      </c>
      <c r="F5654" t="inlineStr">
        <is>
          <t>Bergvik skog öst AB</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38479-2022</t>
        </is>
      </c>
      <c r="B5655" s="1" t="n">
        <v>44813</v>
      </c>
      <c r="C5655" s="1" t="n">
        <v>45344</v>
      </c>
      <c r="D5655" t="inlineStr">
        <is>
          <t>GÄVLEBORGS LÄN</t>
        </is>
      </c>
      <c r="E5655" t="inlineStr">
        <is>
          <t>LJUSDAL</t>
        </is>
      </c>
      <c r="F5655" t="inlineStr">
        <is>
          <t>Bergvik skog väst AB</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38540-2022</t>
        </is>
      </c>
      <c r="B5656" s="1" t="n">
        <v>44813</v>
      </c>
      <c r="C5656" s="1" t="n">
        <v>45344</v>
      </c>
      <c r="D5656" t="inlineStr">
        <is>
          <t>GÄVLEBORGS LÄN</t>
        </is>
      </c>
      <c r="E5656" t="inlineStr">
        <is>
          <t>LJUSDAL</t>
        </is>
      </c>
      <c r="F5656" t="inlineStr">
        <is>
          <t>Allmännings- och besparingsskogar</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38447-2022</t>
        </is>
      </c>
      <c r="B5657" s="1" t="n">
        <v>44813</v>
      </c>
      <c r="C5657" s="1" t="n">
        <v>45344</v>
      </c>
      <c r="D5657" t="inlineStr">
        <is>
          <t>GÄVLEBORGS LÄN</t>
        </is>
      </c>
      <c r="E5657" t="inlineStr">
        <is>
          <t>GÄVLE</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38499-2022</t>
        </is>
      </c>
      <c r="B5658" s="1" t="n">
        <v>44813</v>
      </c>
      <c r="C5658" s="1" t="n">
        <v>45344</v>
      </c>
      <c r="D5658" t="inlineStr">
        <is>
          <t>GÄVLEBORGS LÄN</t>
        </is>
      </c>
      <c r="E5658" t="inlineStr">
        <is>
          <t>LJUSDAL</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38548-2022</t>
        </is>
      </c>
      <c r="B5659" s="1" t="n">
        <v>44813</v>
      </c>
      <c r="C5659" s="1" t="n">
        <v>45344</v>
      </c>
      <c r="D5659" t="inlineStr">
        <is>
          <t>GÄVLEBORGS LÄN</t>
        </is>
      </c>
      <c r="E5659" t="inlineStr">
        <is>
          <t>SÖDERHAMN</t>
        </is>
      </c>
      <c r="F5659" t="inlineStr">
        <is>
          <t>Kyrkan</t>
        </is>
      </c>
      <c r="G5659" t="n">
        <v>24.4</v>
      </c>
      <c r="H5659" t="n">
        <v>0</v>
      </c>
      <c r="I5659" t="n">
        <v>0</v>
      </c>
      <c r="J5659" t="n">
        <v>0</v>
      </c>
      <c r="K5659" t="n">
        <v>0</v>
      </c>
      <c r="L5659" t="n">
        <v>0</v>
      </c>
      <c r="M5659" t="n">
        <v>0</v>
      </c>
      <c r="N5659" t="n">
        <v>0</v>
      </c>
      <c r="O5659" t="n">
        <v>0</v>
      </c>
      <c r="P5659" t="n">
        <v>0</v>
      </c>
      <c r="Q5659" t="n">
        <v>0</v>
      </c>
      <c r="R5659" s="2" t="inlineStr"/>
    </row>
    <row r="5660" ht="15" customHeight="1">
      <c r="A5660" t="inlineStr">
        <is>
          <t>A 38575-2022</t>
        </is>
      </c>
      <c r="B5660" s="1" t="n">
        <v>44813</v>
      </c>
      <c r="C5660" s="1" t="n">
        <v>45344</v>
      </c>
      <c r="D5660" t="inlineStr">
        <is>
          <t>GÄVLEBORGS LÄN</t>
        </is>
      </c>
      <c r="E5660" t="inlineStr">
        <is>
          <t>LJUSDAL</t>
        </is>
      </c>
      <c r="F5660" t="inlineStr">
        <is>
          <t>Allmännings- och besparingsskogar</t>
        </is>
      </c>
      <c r="G5660" t="n">
        <v>4.4</v>
      </c>
      <c r="H5660" t="n">
        <v>0</v>
      </c>
      <c r="I5660" t="n">
        <v>0</v>
      </c>
      <c r="J5660" t="n">
        <v>0</v>
      </c>
      <c r="K5660" t="n">
        <v>0</v>
      </c>
      <c r="L5660" t="n">
        <v>0</v>
      </c>
      <c r="M5660" t="n">
        <v>0</v>
      </c>
      <c r="N5660" t="n">
        <v>0</v>
      </c>
      <c r="O5660" t="n">
        <v>0</v>
      </c>
      <c r="P5660" t="n">
        <v>0</v>
      </c>
      <c r="Q5660" t="n">
        <v>0</v>
      </c>
      <c r="R5660" s="2" t="inlineStr"/>
    </row>
    <row r="5661" ht="15" customHeight="1">
      <c r="A5661" t="inlineStr">
        <is>
          <t>A 38594-2022</t>
        </is>
      </c>
      <c r="B5661" s="1" t="n">
        <v>44813</v>
      </c>
      <c r="C5661" s="1" t="n">
        <v>45344</v>
      </c>
      <c r="D5661" t="inlineStr">
        <is>
          <t>GÄVLEBORGS LÄN</t>
        </is>
      </c>
      <c r="E5661" t="inlineStr">
        <is>
          <t>LJUSDAL</t>
        </is>
      </c>
      <c r="F5661" t="inlineStr">
        <is>
          <t>Bergvik skog väst AB</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38598-2022</t>
        </is>
      </c>
      <c r="B5662" s="1" t="n">
        <v>44813</v>
      </c>
      <c r="C5662" s="1" t="n">
        <v>45344</v>
      </c>
      <c r="D5662" t="inlineStr">
        <is>
          <t>GÄVLEBORGS LÄN</t>
        </is>
      </c>
      <c r="E5662" t="inlineStr">
        <is>
          <t>LJUSDAL</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38603-2022</t>
        </is>
      </c>
      <c r="B5663" s="1" t="n">
        <v>44813</v>
      </c>
      <c r="C5663" s="1" t="n">
        <v>45344</v>
      </c>
      <c r="D5663" t="inlineStr">
        <is>
          <t>GÄVLEBORGS LÄN</t>
        </is>
      </c>
      <c r="E5663" t="inlineStr">
        <is>
          <t>NORDANSTIG</t>
        </is>
      </c>
      <c r="G5663" t="n">
        <v>7.5</v>
      </c>
      <c r="H5663" t="n">
        <v>0</v>
      </c>
      <c r="I5663" t="n">
        <v>0</v>
      </c>
      <c r="J5663" t="n">
        <v>0</v>
      </c>
      <c r="K5663" t="n">
        <v>0</v>
      </c>
      <c r="L5663" t="n">
        <v>0</v>
      </c>
      <c r="M5663" t="n">
        <v>0</v>
      </c>
      <c r="N5663" t="n">
        <v>0</v>
      </c>
      <c r="O5663" t="n">
        <v>0</v>
      </c>
      <c r="P5663" t="n">
        <v>0</v>
      </c>
      <c r="Q5663" t="n">
        <v>0</v>
      </c>
      <c r="R5663" s="2" t="inlineStr"/>
    </row>
    <row r="5664" ht="15" customHeight="1">
      <c r="A5664" t="inlineStr">
        <is>
          <t>A 38609-2022</t>
        </is>
      </c>
      <c r="B5664" s="1" t="n">
        <v>44813</v>
      </c>
      <c r="C5664" s="1" t="n">
        <v>45344</v>
      </c>
      <c r="D5664" t="inlineStr">
        <is>
          <t>GÄVLEBORGS LÄN</t>
        </is>
      </c>
      <c r="E5664" t="inlineStr">
        <is>
          <t>SANDVIKEN</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38596-2022</t>
        </is>
      </c>
      <c r="B5665" s="1" t="n">
        <v>44813</v>
      </c>
      <c r="C5665" s="1" t="n">
        <v>45344</v>
      </c>
      <c r="D5665" t="inlineStr">
        <is>
          <t>GÄVLEBORGS LÄN</t>
        </is>
      </c>
      <c r="E5665" t="inlineStr">
        <is>
          <t>LJUSDAL</t>
        </is>
      </c>
      <c r="G5665" t="n">
        <v>3.1</v>
      </c>
      <c r="H5665" t="n">
        <v>0</v>
      </c>
      <c r="I5665" t="n">
        <v>0</v>
      </c>
      <c r="J5665" t="n">
        <v>0</v>
      </c>
      <c r="K5665" t="n">
        <v>0</v>
      </c>
      <c r="L5665" t="n">
        <v>0</v>
      </c>
      <c r="M5665" t="n">
        <v>0</v>
      </c>
      <c r="N5665" t="n">
        <v>0</v>
      </c>
      <c r="O5665" t="n">
        <v>0</v>
      </c>
      <c r="P5665" t="n">
        <v>0</v>
      </c>
      <c r="Q5665" t="n">
        <v>0</v>
      </c>
      <c r="R5665" s="2" t="inlineStr"/>
    </row>
    <row r="5666" ht="15" customHeight="1">
      <c r="A5666" t="inlineStr">
        <is>
          <t>A 38601-2022</t>
        </is>
      </c>
      <c r="B5666" s="1" t="n">
        <v>44813</v>
      </c>
      <c r="C5666" s="1" t="n">
        <v>45344</v>
      </c>
      <c r="D5666" t="inlineStr">
        <is>
          <t>GÄVLEBORGS LÄN</t>
        </is>
      </c>
      <c r="E5666" t="inlineStr">
        <is>
          <t>NORDANSTIG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38806-2022</t>
        </is>
      </c>
      <c r="B5667" s="1" t="n">
        <v>44816</v>
      </c>
      <c r="C5667" s="1" t="n">
        <v>45344</v>
      </c>
      <c r="D5667" t="inlineStr">
        <is>
          <t>GÄVLEBORGS LÄN</t>
        </is>
      </c>
      <c r="E5667" t="inlineStr">
        <is>
          <t>NORDANSTIG</t>
        </is>
      </c>
      <c r="F5667" t="inlineStr">
        <is>
          <t>Holmen skog AB</t>
        </is>
      </c>
      <c r="G5667" t="n">
        <v>2.4</v>
      </c>
      <c r="H5667" t="n">
        <v>0</v>
      </c>
      <c r="I5667" t="n">
        <v>0</v>
      </c>
      <c r="J5667" t="n">
        <v>0</v>
      </c>
      <c r="K5667" t="n">
        <v>0</v>
      </c>
      <c r="L5667" t="n">
        <v>0</v>
      </c>
      <c r="M5667" t="n">
        <v>0</v>
      </c>
      <c r="N5667" t="n">
        <v>0</v>
      </c>
      <c r="O5667" t="n">
        <v>0</v>
      </c>
      <c r="P5667" t="n">
        <v>0</v>
      </c>
      <c r="Q5667" t="n">
        <v>0</v>
      </c>
      <c r="R5667" s="2" t="inlineStr"/>
    </row>
    <row r="5668" ht="15" customHeight="1">
      <c r="A5668" t="inlineStr">
        <is>
          <t>A 38815-2022</t>
        </is>
      </c>
      <c r="B5668" s="1" t="n">
        <v>44816</v>
      </c>
      <c r="C5668" s="1" t="n">
        <v>45344</v>
      </c>
      <c r="D5668" t="inlineStr">
        <is>
          <t>GÄVLEBORGS LÄN</t>
        </is>
      </c>
      <c r="E5668" t="inlineStr">
        <is>
          <t>HOFORS</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38867-2022</t>
        </is>
      </c>
      <c r="B5669" s="1" t="n">
        <v>44816</v>
      </c>
      <c r="C5669" s="1" t="n">
        <v>45344</v>
      </c>
      <c r="D5669" t="inlineStr">
        <is>
          <t>GÄVLEBORGS LÄN</t>
        </is>
      </c>
      <c r="E5669" t="inlineStr">
        <is>
          <t>BOLLNÄS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38883-2022</t>
        </is>
      </c>
      <c r="B5670" s="1" t="n">
        <v>44816</v>
      </c>
      <c r="C5670" s="1" t="n">
        <v>45344</v>
      </c>
      <c r="D5670" t="inlineStr">
        <is>
          <t>GÄVLEBORGS LÄN</t>
        </is>
      </c>
      <c r="E5670" t="inlineStr">
        <is>
          <t>BOLLNÄS</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38895-2022</t>
        </is>
      </c>
      <c r="B5671" s="1" t="n">
        <v>44816</v>
      </c>
      <c r="C5671" s="1" t="n">
        <v>45344</v>
      </c>
      <c r="D5671" t="inlineStr">
        <is>
          <t>GÄVLEBORGS LÄN</t>
        </is>
      </c>
      <c r="E5671" t="inlineStr">
        <is>
          <t>NORDANSTIG</t>
        </is>
      </c>
      <c r="F5671" t="inlineStr">
        <is>
          <t>Holmen skog AB</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38910-2022</t>
        </is>
      </c>
      <c r="B5672" s="1" t="n">
        <v>44816</v>
      </c>
      <c r="C5672" s="1" t="n">
        <v>45344</v>
      </c>
      <c r="D5672" t="inlineStr">
        <is>
          <t>GÄVLEBORGS LÄN</t>
        </is>
      </c>
      <c r="E5672" t="inlineStr">
        <is>
          <t>OCKELBO</t>
        </is>
      </c>
      <c r="F5672" t="inlineStr">
        <is>
          <t>Bergvik skog väst AB</t>
        </is>
      </c>
      <c r="G5672" t="n">
        <v>2.2</v>
      </c>
      <c r="H5672" t="n">
        <v>0</v>
      </c>
      <c r="I5672" t="n">
        <v>0</v>
      </c>
      <c r="J5672" t="n">
        <v>0</v>
      </c>
      <c r="K5672" t="n">
        <v>0</v>
      </c>
      <c r="L5672" t="n">
        <v>0</v>
      </c>
      <c r="M5672" t="n">
        <v>0</v>
      </c>
      <c r="N5672" t="n">
        <v>0</v>
      </c>
      <c r="O5672" t="n">
        <v>0</v>
      </c>
      <c r="P5672" t="n">
        <v>0</v>
      </c>
      <c r="Q5672" t="n">
        <v>0</v>
      </c>
      <c r="R5672" s="2" t="inlineStr"/>
    </row>
    <row r="5673" ht="15" customHeight="1">
      <c r="A5673" t="inlineStr">
        <is>
          <t>A 38800-2022</t>
        </is>
      </c>
      <c r="B5673" s="1" t="n">
        <v>44816</v>
      </c>
      <c r="C5673" s="1" t="n">
        <v>45344</v>
      </c>
      <c r="D5673" t="inlineStr">
        <is>
          <t>GÄVLEBORGS LÄN</t>
        </is>
      </c>
      <c r="E5673" t="inlineStr">
        <is>
          <t>NORDANSTIG</t>
        </is>
      </c>
      <c r="F5673" t="inlineStr">
        <is>
          <t>Holmen skog AB</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38744-2022</t>
        </is>
      </c>
      <c r="B5674" s="1" t="n">
        <v>44816</v>
      </c>
      <c r="C5674" s="1" t="n">
        <v>45344</v>
      </c>
      <c r="D5674" t="inlineStr">
        <is>
          <t>GÄVLEBORGS LÄN</t>
        </is>
      </c>
      <c r="E5674" t="inlineStr">
        <is>
          <t>HUDIKSVALL</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38859-2022</t>
        </is>
      </c>
      <c r="B5675" s="1" t="n">
        <v>44816</v>
      </c>
      <c r="C5675" s="1" t="n">
        <v>45344</v>
      </c>
      <c r="D5675" t="inlineStr">
        <is>
          <t>GÄVLEBORGS LÄN</t>
        </is>
      </c>
      <c r="E5675" t="inlineStr">
        <is>
          <t>NORDANSTIG</t>
        </is>
      </c>
      <c r="F5675" t="inlineStr">
        <is>
          <t>Holmen skog AB</t>
        </is>
      </c>
      <c r="G5675" t="n">
        <v>4.2</v>
      </c>
      <c r="H5675" t="n">
        <v>0</v>
      </c>
      <c r="I5675" t="n">
        <v>0</v>
      </c>
      <c r="J5675" t="n">
        <v>0</v>
      </c>
      <c r="K5675" t="n">
        <v>0</v>
      </c>
      <c r="L5675" t="n">
        <v>0</v>
      </c>
      <c r="M5675" t="n">
        <v>0</v>
      </c>
      <c r="N5675" t="n">
        <v>0</v>
      </c>
      <c r="O5675" t="n">
        <v>0</v>
      </c>
      <c r="P5675" t="n">
        <v>0</v>
      </c>
      <c r="Q5675" t="n">
        <v>0</v>
      </c>
      <c r="R5675" s="2" t="inlineStr"/>
    </row>
    <row r="5676" ht="15" customHeight="1">
      <c r="A5676" t="inlineStr">
        <is>
          <t>A 38824-2022</t>
        </is>
      </c>
      <c r="B5676" s="1" t="n">
        <v>44816</v>
      </c>
      <c r="C5676" s="1" t="n">
        <v>45344</v>
      </c>
      <c r="D5676" t="inlineStr">
        <is>
          <t>GÄVLEBORGS LÄN</t>
        </is>
      </c>
      <c r="E5676" t="inlineStr">
        <is>
          <t>LJUSDAL</t>
        </is>
      </c>
      <c r="F5676" t="inlineStr">
        <is>
          <t>Holmen skog AB</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38868-2022</t>
        </is>
      </c>
      <c r="B5677" s="1" t="n">
        <v>44816</v>
      </c>
      <c r="C5677" s="1" t="n">
        <v>45344</v>
      </c>
      <c r="D5677" t="inlineStr">
        <is>
          <t>GÄVLEBORGS LÄN</t>
        </is>
      </c>
      <c r="E5677" t="inlineStr">
        <is>
          <t>NORDANSTIG</t>
        </is>
      </c>
      <c r="F5677" t="inlineStr">
        <is>
          <t>Holmen skog AB</t>
        </is>
      </c>
      <c r="G5677" t="n">
        <v>6</v>
      </c>
      <c r="H5677" t="n">
        <v>0</v>
      </c>
      <c r="I5677" t="n">
        <v>0</v>
      </c>
      <c r="J5677" t="n">
        <v>0</v>
      </c>
      <c r="K5677" t="n">
        <v>0</v>
      </c>
      <c r="L5677" t="n">
        <v>0</v>
      </c>
      <c r="M5677" t="n">
        <v>0</v>
      </c>
      <c r="N5677" t="n">
        <v>0</v>
      </c>
      <c r="O5677" t="n">
        <v>0</v>
      </c>
      <c r="P5677" t="n">
        <v>0</v>
      </c>
      <c r="Q5677" t="n">
        <v>0</v>
      </c>
      <c r="R5677" s="2" t="inlineStr"/>
    </row>
    <row r="5678" ht="15" customHeight="1">
      <c r="A5678" t="inlineStr">
        <is>
          <t>A 38878-2022</t>
        </is>
      </c>
      <c r="B5678" s="1" t="n">
        <v>44816</v>
      </c>
      <c r="C5678" s="1" t="n">
        <v>45344</v>
      </c>
      <c r="D5678" t="inlineStr">
        <is>
          <t>GÄVLEBORGS LÄN</t>
        </is>
      </c>
      <c r="E5678" t="inlineStr">
        <is>
          <t>OCKELBO</t>
        </is>
      </c>
      <c r="F5678" t="inlineStr">
        <is>
          <t>Bergvik skog väst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38893-2022</t>
        </is>
      </c>
      <c r="B5679" s="1" t="n">
        <v>44816</v>
      </c>
      <c r="C5679" s="1" t="n">
        <v>45344</v>
      </c>
      <c r="D5679" t="inlineStr">
        <is>
          <t>GÄVLEBORGS LÄN</t>
        </is>
      </c>
      <c r="E5679" t="inlineStr">
        <is>
          <t>OCKELBO</t>
        </is>
      </c>
      <c r="F5679" t="inlineStr">
        <is>
          <t>Bergvik skog väst AB</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38972-2022</t>
        </is>
      </c>
      <c r="B5680" s="1" t="n">
        <v>44816</v>
      </c>
      <c r="C5680" s="1" t="n">
        <v>45344</v>
      </c>
      <c r="D5680" t="inlineStr">
        <is>
          <t>GÄVLEBORGS LÄN</t>
        </is>
      </c>
      <c r="E5680" t="inlineStr">
        <is>
          <t>OCKELBO</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39037-2022</t>
        </is>
      </c>
      <c r="B5681" s="1" t="n">
        <v>44817</v>
      </c>
      <c r="C5681" s="1" t="n">
        <v>45344</v>
      </c>
      <c r="D5681" t="inlineStr">
        <is>
          <t>GÄVLEBORGS LÄN</t>
        </is>
      </c>
      <c r="E5681" t="inlineStr">
        <is>
          <t>SÖDERHAMN</t>
        </is>
      </c>
      <c r="F5681" t="inlineStr">
        <is>
          <t>Bergvik skog väst AB</t>
        </is>
      </c>
      <c r="G5681" t="n">
        <v>7.9</v>
      </c>
      <c r="H5681" t="n">
        <v>0</v>
      </c>
      <c r="I5681" t="n">
        <v>0</v>
      </c>
      <c r="J5681" t="n">
        <v>0</v>
      </c>
      <c r="K5681" t="n">
        <v>0</v>
      </c>
      <c r="L5681" t="n">
        <v>0</v>
      </c>
      <c r="M5681" t="n">
        <v>0</v>
      </c>
      <c r="N5681" t="n">
        <v>0</v>
      </c>
      <c r="O5681" t="n">
        <v>0</v>
      </c>
      <c r="P5681" t="n">
        <v>0</v>
      </c>
      <c r="Q5681" t="n">
        <v>0</v>
      </c>
      <c r="R5681" s="2" t="inlineStr"/>
    </row>
    <row r="5682" ht="15" customHeight="1">
      <c r="A5682" t="inlineStr">
        <is>
          <t>A 39114-2022</t>
        </is>
      </c>
      <c r="B5682" s="1" t="n">
        <v>44817</v>
      </c>
      <c r="C5682" s="1" t="n">
        <v>45344</v>
      </c>
      <c r="D5682" t="inlineStr">
        <is>
          <t>GÄVLEBORGS LÄN</t>
        </is>
      </c>
      <c r="E5682" t="inlineStr">
        <is>
          <t>HUDIKSVALL</t>
        </is>
      </c>
      <c r="F5682" t="inlineStr">
        <is>
          <t>Holmen skog AB</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39126-2022</t>
        </is>
      </c>
      <c r="B5683" s="1" t="n">
        <v>44817</v>
      </c>
      <c r="C5683" s="1" t="n">
        <v>45344</v>
      </c>
      <c r="D5683" t="inlineStr">
        <is>
          <t>GÄVLEBORGS LÄN</t>
        </is>
      </c>
      <c r="E5683" t="inlineStr">
        <is>
          <t>LJUSDAL</t>
        </is>
      </c>
      <c r="F5683" t="inlineStr">
        <is>
          <t>Holmen skog AB</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39208-2022</t>
        </is>
      </c>
      <c r="B5684" s="1" t="n">
        <v>44817</v>
      </c>
      <c r="C5684" s="1" t="n">
        <v>45344</v>
      </c>
      <c r="D5684" t="inlineStr">
        <is>
          <t>GÄVLEBORGS LÄN</t>
        </is>
      </c>
      <c r="E5684" t="inlineStr">
        <is>
          <t>NORDANSTIG</t>
        </is>
      </c>
      <c r="F5684" t="inlineStr">
        <is>
          <t>Holmen skog AB</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39241-2022</t>
        </is>
      </c>
      <c r="B5685" s="1" t="n">
        <v>44817</v>
      </c>
      <c r="C5685" s="1" t="n">
        <v>45344</v>
      </c>
      <c r="D5685" t="inlineStr">
        <is>
          <t>GÄVLEBORGS LÄN</t>
        </is>
      </c>
      <c r="E5685" t="inlineStr">
        <is>
          <t>SANDVIKEN</t>
        </is>
      </c>
      <c r="F5685" t="inlineStr">
        <is>
          <t>Bergvik skog öst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39301-2022</t>
        </is>
      </c>
      <c r="B5686" s="1" t="n">
        <v>44817</v>
      </c>
      <c r="C5686" s="1" t="n">
        <v>45344</v>
      </c>
      <c r="D5686" t="inlineStr">
        <is>
          <t>GÄVLEBORGS LÄN</t>
        </is>
      </c>
      <c r="E5686" t="inlineStr">
        <is>
          <t>LJUSDAL</t>
        </is>
      </c>
      <c r="F5686" t="inlineStr">
        <is>
          <t>Holmen skog AB</t>
        </is>
      </c>
      <c r="G5686" t="n">
        <v>3.5</v>
      </c>
      <c r="H5686" t="n">
        <v>0</v>
      </c>
      <c r="I5686" t="n">
        <v>0</v>
      </c>
      <c r="J5686" t="n">
        <v>0</v>
      </c>
      <c r="K5686" t="n">
        <v>0</v>
      </c>
      <c r="L5686" t="n">
        <v>0</v>
      </c>
      <c r="M5686" t="n">
        <v>0</v>
      </c>
      <c r="N5686" t="n">
        <v>0</v>
      </c>
      <c r="O5686" t="n">
        <v>0</v>
      </c>
      <c r="P5686" t="n">
        <v>0</v>
      </c>
      <c r="Q5686" t="n">
        <v>0</v>
      </c>
      <c r="R5686" s="2" t="inlineStr"/>
    </row>
    <row r="5687" ht="15" customHeight="1">
      <c r="A5687" t="inlineStr">
        <is>
          <t>A 39041-2022</t>
        </is>
      </c>
      <c r="B5687" s="1" t="n">
        <v>44817</v>
      </c>
      <c r="C5687" s="1" t="n">
        <v>45344</v>
      </c>
      <c r="D5687" t="inlineStr">
        <is>
          <t>GÄVLEBORGS LÄN</t>
        </is>
      </c>
      <c r="E5687" t="inlineStr">
        <is>
          <t>HUDIKSVALL</t>
        </is>
      </c>
      <c r="F5687" t="inlineStr">
        <is>
          <t>Holmen skog AB</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39062-2022</t>
        </is>
      </c>
      <c r="B5688" s="1" t="n">
        <v>44817</v>
      </c>
      <c r="C5688" s="1" t="n">
        <v>45344</v>
      </c>
      <c r="D5688" t="inlineStr">
        <is>
          <t>GÄVLEBORGS LÄN</t>
        </is>
      </c>
      <c r="E5688" t="inlineStr">
        <is>
          <t>LJUSDAL</t>
        </is>
      </c>
      <c r="F5688" t="inlineStr">
        <is>
          <t>Bergvik skog väst AB</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39170-2022</t>
        </is>
      </c>
      <c r="B5689" s="1" t="n">
        <v>44817</v>
      </c>
      <c r="C5689" s="1" t="n">
        <v>45344</v>
      </c>
      <c r="D5689" t="inlineStr">
        <is>
          <t>GÄVLEBORGS LÄN</t>
        </is>
      </c>
      <c r="E5689" t="inlineStr">
        <is>
          <t>SANDVIKEN</t>
        </is>
      </c>
      <c r="G5689" t="n">
        <v>0.6</v>
      </c>
      <c r="H5689" t="n">
        <v>0</v>
      </c>
      <c r="I5689" t="n">
        <v>0</v>
      </c>
      <c r="J5689" t="n">
        <v>0</v>
      </c>
      <c r="K5689" t="n">
        <v>0</v>
      </c>
      <c r="L5689" t="n">
        <v>0</v>
      </c>
      <c r="M5689" t="n">
        <v>0</v>
      </c>
      <c r="N5689" t="n">
        <v>0</v>
      </c>
      <c r="O5689" t="n">
        <v>0</v>
      </c>
      <c r="P5689" t="n">
        <v>0</v>
      </c>
      <c r="Q5689" t="n">
        <v>0</v>
      </c>
      <c r="R5689" s="2" t="inlineStr"/>
    </row>
    <row r="5690" ht="15" customHeight="1">
      <c r="A5690" t="inlineStr">
        <is>
          <t>A 39325-2022</t>
        </is>
      </c>
      <c r="B5690" s="1" t="n">
        <v>44817</v>
      </c>
      <c r="C5690" s="1" t="n">
        <v>45344</v>
      </c>
      <c r="D5690" t="inlineStr">
        <is>
          <t>GÄVLEBORGS LÄN</t>
        </is>
      </c>
      <c r="E5690" t="inlineStr">
        <is>
          <t>OCKELBO</t>
        </is>
      </c>
      <c r="F5690" t="inlineStr">
        <is>
          <t>Bergvik skog väst AB</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39064-2022</t>
        </is>
      </c>
      <c r="B5691" s="1" t="n">
        <v>44817</v>
      </c>
      <c r="C5691" s="1" t="n">
        <v>45344</v>
      </c>
      <c r="D5691" t="inlineStr">
        <is>
          <t>GÄVLEBORGS LÄN</t>
        </is>
      </c>
      <c r="E5691" t="inlineStr">
        <is>
          <t>LJUSDAL</t>
        </is>
      </c>
      <c r="F5691" t="inlineStr">
        <is>
          <t>Bergvik skog väst AB</t>
        </is>
      </c>
      <c r="G5691" t="n">
        <v>2.7</v>
      </c>
      <c r="H5691" t="n">
        <v>0</v>
      </c>
      <c r="I5691" t="n">
        <v>0</v>
      </c>
      <c r="J5691" t="n">
        <v>0</v>
      </c>
      <c r="K5691" t="n">
        <v>0</v>
      </c>
      <c r="L5691" t="n">
        <v>0</v>
      </c>
      <c r="M5691" t="n">
        <v>0</v>
      </c>
      <c r="N5691" t="n">
        <v>0</v>
      </c>
      <c r="O5691" t="n">
        <v>0</v>
      </c>
      <c r="P5691" t="n">
        <v>0</v>
      </c>
      <c r="Q5691" t="n">
        <v>0</v>
      </c>
      <c r="R5691" s="2" t="inlineStr"/>
    </row>
    <row r="5692" ht="15" customHeight="1">
      <c r="A5692" t="inlineStr">
        <is>
          <t>A 39093-2022</t>
        </is>
      </c>
      <c r="B5692" s="1" t="n">
        <v>44817</v>
      </c>
      <c r="C5692" s="1" t="n">
        <v>45344</v>
      </c>
      <c r="D5692" t="inlineStr">
        <is>
          <t>GÄVLEBORGS LÄN</t>
        </is>
      </c>
      <c r="E5692" t="inlineStr">
        <is>
          <t>SÖDERHAMN</t>
        </is>
      </c>
      <c r="F5692" t="inlineStr">
        <is>
          <t>Bergvik skog väst AB</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39107-2022</t>
        </is>
      </c>
      <c r="B5693" s="1" t="n">
        <v>44817</v>
      </c>
      <c r="C5693" s="1" t="n">
        <v>45344</v>
      </c>
      <c r="D5693" t="inlineStr">
        <is>
          <t>GÄVLEBORGS LÄN</t>
        </is>
      </c>
      <c r="E5693" t="inlineStr">
        <is>
          <t>GÄVLE</t>
        </is>
      </c>
      <c r="F5693" t="inlineStr">
        <is>
          <t>Bergvik skog väst AB</t>
        </is>
      </c>
      <c r="G5693" t="n">
        <v>4.2</v>
      </c>
      <c r="H5693" t="n">
        <v>0</v>
      </c>
      <c r="I5693" t="n">
        <v>0</v>
      </c>
      <c r="J5693" t="n">
        <v>0</v>
      </c>
      <c r="K5693" t="n">
        <v>0</v>
      </c>
      <c r="L5693" t="n">
        <v>0</v>
      </c>
      <c r="M5693" t="n">
        <v>0</v>
      </c>
      <c r="N5693" t="n">
        <v>0</v>
      </c>
      <c r="O5693" t="n">
        <v>0</v>
      </c>
      <c r="P5693" t="n">
        <v>0</v>
      </c>
      <c r="Q5693" t="n">
        <v>0</v>
      </c>
      <c r="R5693" s="2" t="inlineStr"/>
    </row>
    <row r="5694" ht="15" customHeight="1">
      <c r="A5694" t="inlineStr">
        <is>
          <t>A 39258-2022</t>
        </is>
      </c>
      <c r="B5694" s="1" t="n">
        <v>44817</v>
      </c>
      <c r="C5694" s="1" t="n">
        <v>45344</v>
      </c>
      <c r="D5694" t="inlineStr">
        <is>
          <t>GÄVLEBORGS LÄN</t>
        </is>
      </c>
      <c r="E5694" t="inlineStr">
        <is>
          <t>HUDIKSVALL</t>
        </is>
      </c>
      <c r="F5694" t="inlineStr">
        <is>
          <t>Holmen skog AB</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39267-2022</t>
        </is>
      </c>
      <c r="B5695" s="1" t="n">
        <v>44817</v>
      </c>
      <c r="C5695" s="1" t="n">
        <v>45344</v>
      </c>
      <c r="D5695" t="inlineStr">
        <is>
          <t>GÄVLEBORGS LÄN</t>
        </is>
      </c>
      <c r="E5695" t="inlineStr">
        <is>
          <t>HUDIKSVALL</t>
        </is>
      </c>
      <c r="F5695" t="inlineStr">
        <is>
          <t>Holmen skog AB</t>
        </is>
      </c>
      <c r="G5695" t="n">
        <v>11.2</v>
      </c>
      <c r="H5695" t="n">
        <v>0</v>
      </c>
      <c r="I5695" t="n">
        <v>0</v>
      </c>
      <c r="J5695" t="n">
        <v>0</v>
      </c>
      <c r="K5695" t="n">
        <v>0</v>
      </c>
      <c r="L5695" t="n">
        <v>0</v>
      </c>
      <c r="M5695" t="n">
        <v>0</v>
      </c>
      <c r="N5695" t="n">
        <v>0</v>
      </c>
      <c r="O5695" t="n">
        <v>0</v>
      </c>
      <c r="P5695" t="n">
        <v>0</v>
      </c>
      <c r="Q5695" t="n">
        <v>0</v>
      </c>
      <c r="R5695" s="2" t="inlineStr"/>
    </row>
    <row r="5696" ht="15" customHeight="1">
      <c r="A5696" t="inlineStr">
        <is>
          <t>A 39141-2022</t>
        </is>
      </c>
      <c r="B5696" s="1" t="n">
        <v>44817</v>
      </c>
      <c r="C5696" s="1" t="n">
        <v>45344</v>
      </c>
      <c r="D5696" t="inlineStr">
        <is>
          <t>GÄVLEBORGS LÄN</t>
        </is>
      </c>
      <c r="E5696" t="inlineStr">
        <is>
          <t>LJUSDAL</t>
        </is>
      </c>
      <c r="F5696" t="inlineStr">
        <is>
          <t>Holmen skog AB</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39228-2022</t>
        </is>
      </c>
      <c r="B5697" s="1" t="n">
        <v>44817</v>
      </c>
      <c r="C5697" s="1" t="n">
        <v>45344</v>
      </c>
      <c r="D5697" t="inlineStr">
        <is>
          <t>GÄVLEBORGS LÄN</t>
        </is>
      </c>
      <c r="E5697" t="inlineStr">
        <is>
          <t>LJUSDAL</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39443-2022</t>
        </is>
      </c>
      <c r="B5698" s="1" t="n">
        <v>44818</v>
      </c>
      <c r="C5698" s="1" t="n">
        <v>45344</v>
      </c>
      <c r="D5698" t="inlineStr">
        <is>
          <t>GÄVLEBORGS LÄN</t>
        </is>
      </c>
      <c r="E5698" t="inlineStr">
        <is>
          <t>HUDIKSVALL</t>
        </is>
      </c>
      <c r="F5698" t="inlineStr">
        <is>
          <t>Holmen skog AB</t>
        </is>
      </c>
      <c r="G5698" t="n">
        <v>2.2</v>
      </c>
      <c r="H5698" t="n">
        <v>0</v>
      </c>
      <c r="I5698" t="n">
        <v>0</v>
      </c>
      <c r="J5698" t="n">
        <v>0</v>
      </c>
      <c r="K5698" t="n">
        <v>0</v>
      </c>
      <c r="L5698" t="n">
        <v>0</v>
      </c>
      <c r="M5698" t="n">
        <v>0</v>
      </c>
      <c r="N5698" t="n">
        <v>0</v>
      </c>
      <c r="O5698" t="n">
        <v>0</v>
      </c>
      <c r="P5698" t="n">
        <v>0</v>
      </c>
      <c r="Q5698" t="n">
        <v>0</v>
      </c>
      <c r="R5698" s="2" t="inlineStr"/>
    </row>
    <row r="5699" ht="15" customHeight="1">
      <c r="A5699" t="inlineStr">
        <is>
          <t>A 39509-2022</t>
        </is>
      </c>
      <c r="B5699" s="1" t="n">
        <v>44818</v>
      </c>
      <c r="C5699" s="1" t="n">
        <v>45344</v>
      </c>
      <c r="D5699" t="inlineStr">
        <is>
          <t>GÄVLEBORGS LÄN</t>
        </is>
      </c>
      <c r="E5699" t="inlineStr">
        <is>
          <t>GÄVLE</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39517-2022</t>
        </is>
      </c>
      <c r="B5700" s="1" t="n">
        <v>44818</v>
      </c>
      <c r="C5700" s="1" t="n">
        <v>45344</v>
      </c>
      <c r="D5700" t="inlineStr">
        <is>
          <t>GÄVLEBORGS LÄN</t>
        </is>
      </c>
      <c r="E5700" t="inlineStr">
        <is>
          <t>NORDANSTIG</t>
        </is>
      </c>
      <c r="F5700" t="inlineStr">
        <is>
          <t>Holmen skog AB</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39528-2022</t>
        </is>
      </c>
      <c r="B5701" s="1" t="n">
        <v>44818</v>
      </c>
      <c r="C5701" s="1" t="n">
        <v>45344</v>
      </c>
      <c r="D5701" t="inlineStr">
        <is>
          <t>GÄVLEBORGS LÄN</t>
        </is>
      </c>
      <c r="E5701" t="inlineStr">
        <is>
          <t>BOLLNÄS</t>
        </is>
      </c>
      <c r="G5701" t="n">
        <v>7.5</v>
      </c>
      <c r="H5701" t="n">
        <v>0</v>
      </c>
      <c r="I5701" t="n">
        <v>0</v>
      </c>
      <c r="J5701" t="n">
        <v>0</v>
      </c>
      <c r="K5701" t="n">
        <v>0</v>
      </c>
      <c r="L5701" t="n">
        <v>0</v>
      </c>
      <c r="M5701" t="n">
        <v>0</v>
      </c>
      <c r="N5701" t="n">
        <v>0</v>
      </c>
      <c r="O5701" t="n">
        <v>0</v>
      </c>
      <c r="P5701" t="n">
        <v>0</v>
      </c>
      <c r="Q5701" t="n">
        <v>0</v>
      </c>
      <c r="R5701" s="2" t="inlineStr"/>
    </row>
    <row r="5702" ht="15" customHeight="1">
      <c r="A5702" t="inlineStr">
        <is>
          <t>A 39557-2022</t>
        </is>
      </c>
      <c r="B5702" s="1" t="n">
        <v>44818</v>
      </c>
      <c r="C5702" s="1" t="n">
        <v>45344</v>
      </c>
      <c r="D5702" t="inlineStr">
        <is>
          <t>GÄVLEBORGS LÄN</t>
        </is>
      </c>
      <c r="E5702" t="inlineStr">
        <is>
          <t>HUDIKSVALL</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39450-2022</t>
        </is>
      </c>
      <c r="B5703" s="1" t="n">
        <v>44818</v>
      </c>
      <c r="C5703" s="1" t="n">
        <v>45344</v>
      </c>
      <c r="D5703" t="inlineStr">
        <is>
          <t>GÄVLEBORGS LÄN</t>
        </is>
      </c>
      <c r="E5703" t="inlineStr">
        <is>
          <t>OVANÅKER</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39566-2022</t>
        </is>
      </c>
      <c r="B5704" s="1" t="n">
        <v>44818</v>
      </c>
      <c r="C5704" s="1" t="n">
        <v>45344</v>
      </c>
      <c r="D5704" t="inlineStr">
        <is>
          <t>GÄVLEBORGS LÄN</t>
        </is>
      </c>
      <c r="E5704" t="inlineStr">
        <is>
          <t>SANDVIKEN</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39424-2022</t>
        </is>
      </c>
      <c r="B5705" s="1" t="n">
        <v>44818</v>
      </c>
      <c r="C5705" s="1" t="n">
        <v>45344</v>
      </c>
      <c r="D5705" t="inlineStr">
        <is>
          <t>GÄVLEBORGS LÄN</t>
        </is>
      </c>
      <c r="E5705" t="inlineStr">
        <is>
          <t>LJUSDAL</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39510-2022</t>
        </is>
      </c>
      <c r="B5706" s="1" t="n">
        <v>44818</v>
      </c>
      <c r="C5706" s="1" t="n">
        <v>45344</v>
      </c>
      <c r="D5706" t="inlineStr">
        <is>
          <t>GÄVLEBORGS LÄN</t>
        </is>
      </c>
      <c r="E5706" t="inlineStr">
        <is>
          <t>HUDIKSVALL</t>
        </is>
      </c>
      <c r="F5706" t="inlineStr">
        <is>
          <t>Holmen skog AB</t>
        </is>
      </c>
      <c r="G5706" t="n">
        <v>23.9</v>
      </c>
      <c r="H5706" t="n">
        <v>0</v>
      </c>
      <c r="I5706" t="n">
        <v>0</v>
      </c>
      <c r="J5706" t="n">
        <v>0</v>
      </c>
      <c r="K5706" t="n">
        <v>0</v>
      </c>
      <c r="L5706" t="n">
        <v>0</v>
      </c>
      <c r="M5706" t="n">
        <v>0</v>
      </c>
      <c r="N5706" t="n">
        <v>0</v>
      </c>
      <c r="O5706" t="n">
        <v>0</v>
      </c>
      <c r="P5706" t="n">
        <v>0</v>
      </c>
      <c r="Q5706" t="n">
        <v>0</v>
      </c>
      <c r="R5706" s="2" t="inlineStr"/>
    </row>
    <row r="5707" ht="15" customHeight="1">
      <c r="A5707" t="inlineStr">
        <is>
          <t>A 39532-2022</t>
        </is>
      </c>
      <c r="B5707" s="1" t="n">
        <v>44818</v>
      </c>
      <c r="C5707" s="1" t="n">
        <v>45344</v>
      </c>
      <c r="D5707" t="inlineStr">
        <is>
          <t>GÄVLEBORGS LÄN</t>
        </is>
      </c>
      <c r="E5707" t="inlineStr">
        <is>
          <t>OVANÅKER</t>
        </is>
      </c>
      <c r="F5707" t="inlineStr">
        <is>
          <t>Bergvik skog väst AB</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39669-2022</t>
        </is>
      </c>
      <c r="B5708" s="1" t="n">
        <v>44818</v>
      </c>
      <c r="C5708" s="1" t="n">
        <v>45344</v>
      </c>
      <c r="D5708" t="inlineStr">
        <is>
          <t>GÄVLEBORGS LÄN</t>
        </is>
      </c>
      <c r="E5708" t="inlineStr">
        <is>
          <t>HUDIKSVALL</t>
        </is>
      </c>
      <c r="F5708" t="inlineStr">
        <is>
          <t>Holmen skog AB</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39644-2022</t>
        </is>
      </c>
      <c r="B5709" s="1" t="n">
        <v>44818</v>
      </c>
      <c r="C5709" s="1" t="n">
        <v>45344</v>
      </c>
      <c r="D5709" t="inlineStr">
        <is>
          <t>GÄVLEBORGS LÄN</t>
        </is>
      </c>
      <c r="E5709" t="inlineStr">
        <is>
          <t>LJUSDAL</t>
        </is>
      </c>
      <c r="G5709" t="n">
        <v>3.3</v>
      </c>
      <c r="H5709" t="n">
        <v>0</v>
      </c>
      <c r="I5709" t="n">
        <v>0</v>
      </c>
      <c r="J5709" t="n">
        <v>0</v>
      </c>
      <c r="K5709" t="n">
        <v>0</v>
      </c>
      <c r="L5709" t="n">
        <v>0</v>
      </c>
      <c r="M5709" t="n">
        <v>0</v>
      </c>
      <c r="N5709" t="n">
        <v>0</v>
      </c>
      <c r="O5709" t="n">
        <v>0</v>
      </c>
      <c r="P5709" t="n">
        <v>0</v>
      </c>
      <c r="Q5709" t="n">
        <v>0</v>
      </c>
      <c r="R5709" s="2" t="inlineStr"/>
    </row>
    <row r="5710" ht="15" customHeight="1">
      <c r="A5710" t="inlineStr">
        <is>
          <t>A 39777-2022</t>
        </is>
      </c>
      <c r="B5710" s="1" t="n">
        <v>44819</v>
      </c>
      <c r="C5710" s="1" t="n">
        <v>45344</v>
      </c>
      <c r="D5710" t="inlineStr">
        <is>
          <t>GÄVLEBORGS LÄN</t>
        </is>
      </c>
      <c r="E5710" t="inlineStr">
        <is>
          <t>OVANÅKER</t>
        </is>
      </c>
      <c r="F5710" t="inlineStr">
        <is>
          <t>Bergvik skog väst AB</t>
        </is>
      </c>
      <c r="G5710" t="n">
        <v>15.8</v>
      </c>
      <c r="H5710" t="n">
        <v>0</v>
      </c>
      <c r="I5710" t="n">
        <v>0</v>
      </c>
      <c r="J5710" t="n">
        <v>0</v>
      </c>
      <c r="K5710" t="n">
        <v>0</v>
      </c>
      <c r="L5710" t="n">
        <v>0</v>
      </c>
      <c r="M5710" t="n">
        <v>0</v>
      </c>
      <c r="N5710" t="n">
        <v>0</v>
      </c>
      <c r="O5710" t="n">
        <v>0</v>
      </c>
      <c r="P5710" t="n">
        <v>0</v>
      </c>
      <c r="Q5710" t="n">
        <v>0</v>
      </c>
      <c r="R5710" s="2" t="inlineStr"/>
    </row>
    <row r="5711" ht="15" customHeight="1">
      <c r="A5711" t="inlineStr">
        <is>
          <t>A 39832-2022</t>
        </is>
      </c>
      <c r="B5711" s="1" t="n">
        <v>44819</v>
      </c>
      <c r="C5711" s="1" t="n">
        <v>45344</v>
      </c>
      <c r="D5711" t="inlineStr">
        <is>
          <t>GÄVLEBORGS LÄN</t>
        </is>
      </c>
      <c r="E5711" t="inlineStr">
        <is>
          <t>LJUSDAL</t>
        </is>
      </c>
      <c r="F5711" t="inlineStr">
        <is>
          <t>Holmen skog AB</t>
        </is>
      </c>
      <c r="G5711" t="n">
        <v>2.7</v>
      </c>
      <c r="H5711" t="n">
        <v>0</v>
      </c>
      <c r="I5711" t="n">
        <v>0</v>
      </c>
      <c r="J5711" t="n">
        <v>0</v>
      </c>
      <c r="K5711" t="n">
        <v>0</v>
      </c>
      <c r="L5711" t="n">
        <v>0</v>
      </c>
      <c r="M5711" t="n">
        <v>0</v>
      </c>
      <c r="N5711" t="n">
        <v>0</v>
      </c>
      <c r="O5711" t="n">
        <v>0</v>
      </c>
      <c r="P5711" t="n">
        <v>0</v>
      </c>
      <c r="Q5711" t="n">
        <v>0</v>
      </c>
      <c r="R5711" s="2" t="inlineStr"/>
    </row>
    <row r="5712" ht="15" customHeight="1">
      <c r="A5712" t="inlineStr">
        <is>
          <t>A 39723-2022</t>
        </is>
      </c>
      <c r="B5712" s="1" t="n">
        <v>44819</v>
      </c>
      <c r="C5712" s="1" t="n">
        <v>45344</v>
      </c>
      <c r="D5712" t="inlineStr">
        <is>
          <t>GÄVLEBORGS LÄN</t>
        </is>
      </c>
      <c r="E5712" t="inlineStr">
        <is>
          <t>BOLLNÄS</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39848-2022</t>
        </is>
      </c>
      <c r="B5713" s="1" t="n">
        <v>44819</v>
      </c>
      <c r="C5713" s="1" t="n">
        <v>45344</v>
      </c>
      <c r="D5713" t="inlineStr">
        <is>
          <t>GÄVLEBORGS LÄN</t>
        </is>
      </c>
      <c r="E5713" t="inlineStr">
        <is>
          <t>LJUSDAL</t>
        </is>
      </c>
      <c r="F5713" t="inlineStr">
        <is>
          <t>Allmännings- och besparingsskogar</t>
        </is>
      </c>
      <c r="G5713" t="n">
        <v>33.9</v>
      </c>
      <c r="H5713" t="n">
        <v>0</v>
      </c>
      <c r="I5713" t="n">
        <v>0</v>
      </c>
      <c r="J5713" t="n">
        <v>0</v>
      </c>
      <c r="K5713" t="n">
        <v>0</v>
      </c>
      <c r="L5713" t="n">
        <v>0</v>
      </c>
      <c r="M5713" t="n">
        <v>0</v>
      </c>
      <c r="N5713" t="n">
        <v>0</v>
      </c>
      <c r="O5713" t="n">
        <v>0</v>
      </c>
      <c r="P5713" t="n">
        <v>0</v>
      </c>
      <c r="Q5713" t="n">
        <v>0</v>
      </c>
      <c r="R5713" s="2" t="inlineStr"/>
    </row>
    <row r="5714" ht="15" customHeight="1">
      <c r="A5714" t="inlineStr">
        <is>
          <t>A 40131-2022</t>
        </is>
      </c>
      <c r="B5714" s="1" t="n">
        <v>44820</v>
      </c>
      <c r="C5714" s="1" t="n">
        <v>45344</v>
      </c>
      <c r="D5714" t="inlineStr">
        <is>
          <t>GÄVLEBORGS LÄN</t>
        </is>
      </c>
      <c r="E5714" t="inlineStr">
        <is>
          <t>OCKELBO</t>
        </is>
      </c>
      <c r="F5714" t="inlineStr">
        <is>
          <t>Bergvik skog väst AB</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40053-2022</t>
        </is>
      </c>
      <c r="B5715" s="1" t="n">
        <v>44820</v>
      </c>
      <c r="C5715" s="1" t="n">
        <v>45344</v>
      </c>
      <c r="D5715" t="inlineStr">
        <is>
          <t>GÄVLEBORGS LÄN</t>
        </is>
      </c>
      <c r="E5715" t="inlineStr">
        <is>
          <t>OCKELBO</t>
        </is>
      </c>
      <c r="G5715" t="n">
        <v>7.6</v>
      </c>
      <c r="H5715" t="n">
        <v>0</v>
      </c>
      <c r="I5715" t="n">
        <v>0</v>
      </c>
      <c r="J5715" t="n">
        <v>0</v>
      </c>
      <c r="K5715" t="n">
        <v>0</v>
      </c>
      <c r="L5715" t="n">
        <v>0</v>
      </c>
      <c r="M5715" t="n">
        <v>0</v>
      </c>
      <c r="N5715" t="n">
        <v>0</v>
      </c>
      <c r="O5715" t="n">
        <v>0</v>
      </c>
      <c r="P5715" t="n">
        <v>0</v>
      </c>
      <c r="Q5715" t="n">
        <v>0</v>
      </c>
      <c r="R5715" s="2" t="inlineStr"/>
    </row>
    <row r="5716" ht="15" customHeight="1">
      <c r="A5716" t="inlineStr">
        <is>
          <t>A 40134-2022</t>
        </is>
      </c>
      <c r="B5716" s="1" t="n">
        <v>44820</v>
      </c>
      <c r="C5716" s="1" t="n">
        <v>45344</v>
      </c>
      <c r="D5716" t="inlineStr">
        <is>
          <t>GÄVLEBORGS LÄN</t>
        </is>
      </c>
      <c r="E5716" t="inlineStr">
        <is>
          <t>OCKELBO</t>
        </is>
      </c>
      <c r="F5716" t="inlineStr">
        <is>
          <t>Bergvik skog väst AB</t>
        </is>
      </c>
      <c r="G5716" t="n">
        <v>3.6</v>
      </c>
      <c r="H5716" t="n">
        <v>0</v>
      </c>
      <c r="I5716" t="n">
        <v>0</v>
      </c>
      <c r="J5716" t="n">
        <v>0</v>
      </c>
      <c r="K5716" t="n">
        <v>0</v>
      </c>
      <c r="L5716" t="n">
        <v>0</v>
      </c>
      <c r="M5716" t="n">
        <v>0</v>
      </c>
      <c r="N5716" t="n">
        <v>0</v>
      </c>
      <c r="O5716" t="n">
        <v>0</v>
      </c>
      <c r="P5716" t="n">
        <v>0</v>
      </c>
      <c r="Q5716" t="n">
        <v>0</v>
      </c>
      <c r="R5716" s="2" t="inlineStr"/>
    </row>
    <row r="5717" ht="15" customHeight="1">
      <c r="A5717" t="inlineStr">
        <is>
          <t>A 40138-2022</t>
        </is>
      </c>
      <c r="B5717" s="1" t="n">
        <v>44820</v>
      </c>
      <c r="C5717" s="1" t="n">
        <v>45344</v>
      </c>
      <c r="D5717" t="inlineStr">
        <is>
          <t>GÄVLEBORGS LÄN</t>
        </is>
      </c>
      <c r="E5717" t="inlineStr">
        <is>
          <t>OCKELBO</t>
        </is>
      </c>
      <c r="F5717" t="inlineStr">
        <is>
          <t>Bergvik skog väst AB</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40143-2022</t>
        </is>
      </c>
      <c r="B5718" s="1" t="n">
        <v>44820</v>
      </c>
      <c r="C5718" s="1" t="n">
        <v>45344</v>
      </c>
      <c r="D5718" t="inlineStr">
        <is>
          <t>GÄVLEBORGS LÄN</t>
        </is>
      </c>
      <c r="E5718" t="inlineStr">
        <is>
          <t>OCKELBO</t>
        </is>
      </c>
      <c r="F5718" t="inlineStr">
        <is>
          <t>Bergvik skog väst AB</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40140-2022</t>
        </is>
      </c>
      <c r="B5719" s="1" t="n">
        <v>44820</v>
      </c>
      <c r="C5719" s="1" t="n">
        <v>45344</v>
      </c>
      <c r="D5719" t="inlineStr">
        <is>
          <t>GÄVLEBORGS LÄN</t>
        </is>
      </c>
      <c r="E5719" t="inlineStr">
        <is>
          <t>OCKELBO</t>
        </is>
      </c>
      <c r="F5719" t="inlineStr">
        <is>
          <t>Bergvik skog väst AB</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40060-2022</t>
        </is>
      </c>
      <c r="B5720" s="1" t="n">
        <v>44820</v>
      </c>
      <c r="C5720" s="1" t="n">
        <v>45344</v>
      </c>
      <c r="D5720" t="inlineStr">
        <is>
          <t>GÄVLEBORGS LÄN</t>
        </is>
      </c>
      <c r="E5720" t="inlineStr">
        <is>
          <t>OCKELBO</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40130-2022</t>
        </is>
      </c>
      <c r="B5721" s="1" t="n">
        <v>44820</v>
      </c>
      <c r="C5721" s="1" t="n">
        <v>45344</v>
      </c>
      <c r="D5721" t="inlineStr">
        <is>
          <t>GÄVLEBORGS LÄN</t>
        </is>
      </c>
      <c r="E5721" t="inlineStr">
        <is>
          <t>OCKELBO</t>
        </is>
      </c>
      <c r="F5721" t="inlineStr">
        <is>
          <t>Bergvik skog väst AB</t>
        </is>
      </c>
      <c r="G5721" t="n">
        <v>4.5</v>
      </c>
      <c r="H5721" t="n">
        <v>0</v>
      </c>
      <c r="I5721" t="n">
        <v>0</v>
      </c>
      <c r="J5721" t="n">
        <v>0</v>
      </c>
      <c r="K5721" t="n">
        <v>0</v>
      </c>
      <c r="L5721" t="n">
        <v>0</v>
      </c>
      <c r="M5721" t="n">
        <v>0</v>
      </c>
      <c r="N5721" t="n">
        <v>0</v>
      </c>
      <c r="O5721" t="n">
        <v>0</v>
      </c>
      <c r="P5721" t="n">
        <v>0</v>
      </c>
      <c r="Q5721" t="n">
        <v>0</v>
      </c>
      <c r="R5721" s="2" t="inlineStr"/>
    </row>
    <row r="5722" ht="15" customHeight="1">
      <c r="A5722" t="inlineStr">
        <is>
          <t>A 40148-2022</t>
        </is>
      </c>
      <c r="B5722" s="1" t="n">
        <v>44820</v>
      </c>
      <c r="C5722" s="1" t="n">
        <v>45344</v>
      </c>
      <c r="D5722" t="inlineStr">
        <is>
          <t>GÄVLEBORGS LÄN</t>
        </is>
      </c>
      <c r="E5722" t="inlineStr">
        <is>
          <t>SÖDERHAMN</t>
        </is>
      </c>
      <c r="G5722" t="n">
        <v>0.4</v>
      </c>
      <c r="H5722" t="n">
        <v>0</v>
      </c>
      <c r="I5722" t="n">
        <v>0</v>
      </c>
      <c r="J5722" t="n">
        <v>0</v>
      </c>
      <c r="K5722" t="n">
        <v>0</v>
      </c>
      <c r="L5722" t="n">
        <v>0</v>
      </c>
      <c r="M5722" t="n">
        <v>0</v>
      </c>
      <c r="N5722" t="n">
        <v>0</v>
      </c>
      <c r="O5722" t="n">
        <v>0</v>
      </c>
      <c r="P5722" t="n">
        <v>0</v>
      </c>
      <c r="Q5722" t="n">
        <v>0</v>
      </c>
      <c r="R5722" s="2" t="inlineStr"/>
    </row>
    <row r="5723" ht="15" customHeight="1">
      <c r="A5723" t="inlineStr">
        <is>
          <t>A 40110-2022</t>
        </is>
      </c>
      <c r="B5723" s="1" t="n">
        <v>44820</v>
      </c>
      <c r="C5723" s="1" t="n">
        <v>45344</v>
      </c>
      <c r="D5723" t="inlineStr">
        <is>
          <t>GÄVLEBORGS LÄN</t>
        </is>
      </c>
      <c r="E5723" t="inlineStr">
        <is>
          <t>NORDANSTIG</t>
        </is>
      </c>
      <c r="G5723" t="n">
        <v>1.3</v>
      </c>
      <c r="H5723" t="n">
        <v>0</v>
      </c>
      <c r="I5723" t="n">
        <v>0</v>
      </c>
      <c r="J5723" t="n">
        <v>0</v>
      </c>
      <c r="K5723" t="n">
        <v>0</v>
      </c>
      <c r="L5723" t="n">
        <v>0</v>
      </c>
      <c r="M5723" t="n">
        <v>0</v>
      </c>
      <c r="N5723" t="n">
        <v>0</v>
      </c>
      <c r="O5723" t="n">
        <v>0</v>
      </c>
      <c r="P5723" t="n">
        <v>0</v>
      </c>
      <c r="Q5723" t="n">
        <v>0</v>
      </c>
      <c r="R5723" s="2" t="inlineStr"/>
    </row>
    <row r="5724" ht="15" customHeight="1">
      <c r="A5724" t="inlineStr">
        <is>
          <t>A 40127-2022</t>
        </is>
      </c>
      <c r="B5724" s="1" t="n">
        <v>44820</v>
      </c>
      <c r="C5724" s="1" t="n">
        <v>45344</v>
      </c>
      <c r="D5724" t="inlineStr">
        <is>
          <t>GÄVLEBORGS LÄN</t>
        </is>
      </c>
      <c r="E5724" t="inlineStr">
        <is>
          <t>GÄVLE</t>
        </is>
      </c>
      <c r="F5724" t="inlineStr">
        <is>
          <t>Övriga statliga verk och myndigheter</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40162-2022</t>
        </is>
      </c>
      <c r="B5725" s="1" t="n">
        <v>44820</v>
      </c>
      <c r="C5725" s="1" t="n">
        <v>45344</v>
      </c>
      <c r="D5725" t="inlineStr">
        <is>
          <t>GÄVLEBORGS LÄN</t>
        </is>
      </c>
      <c r="E5725" t="inlineStr">
        <is>
          <t>BOLLNÄS</t>
        </is>
      </c>
      <c r="G5725" t="n">
        <v>3</v>
      </c>
      <c r="H5725" t="n">
        <v>0</v>
      </c>
      <c r="I5725" t="n">
        <v>0</v>
      </c>
      <c r="J5725" t="n">
        <v>0</v>
      </c>
      <c r="K5725" t="n">
        <v>0</v>
      </c>
      <c r="L5725" t="n">
        <v>0</v>
      </c>
      <c r="M5725" t="n">
        <v>0</v>
      </c>
      <c r="N5725" t="n">
        <v>0</v>
      </c>
      <c r="O5725" t="n">
        <v>0</v>
      </c>
      <c r="P5725" t="n">
        <v>0</v>
      </c>
      <c r="Q5725" t="n">
        <v>0</v>
      </c>
      <c r="R5725" s="2" t="inlineStr"/>
    </row>
    <row r="5726" ht="15" customHeight="1">
      <c r="A5726" t="inlineStr">
        <is>
          <t>A 40937-2022</t>
        </is>
      </c>
      <c r="B5726" s="1" t="n">
        <v>44820</v>
      </c>
      <c r="C5726" s="1" t="n">
        <v>45344</v>
      </c>
      <c r="D5726" t="inlineStr">
        <is>
          <t>GÄVLEBORGS LÄN</t>
        </is>
      </c>
      <c r="E5726" t="inlineStr">
        <is>
          <t>HUDIKSVALL</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40343-2022</t>
        </is>
      </c>
      <c r="B5727" s="1" t="n">
        <v>44823</v>
      </c>
      <c r="C5727" s="1" t="n">
        <v>45344</v>
      </c>
      <c r="D5727" t="inlineStr">
        <is>
          <t>GÄVLEBORGS LÄN</t>
        </is>
      </c>
      <c r="E5727" t="inlineStr">
        <is>
          <t>NORDANSTIG</t>
        </is>
      </c>
      <c r="F5727" t="inlineStr">
        <is>
          <t>Holmen skog AB</t>
        </is>
      </c>
      <c r="G5727" t="n">
        <v>5.7</v>
      </c>
      <c r="H5727" t="n">
        <v>0</v>
      </c>
      <c r="I5727" t="n">
        <v>0</v>
      </c>
      <c r="J5727" t="n">
        <v>0</v>
      </c>
      <c r="K5727" t="n">
        <v>0</v>
      </c>
      <c r="L5727" t="n">
        <v>0</v>
      </c>
      <c r="M5727" t="n">
        <v>0</v>
      </c>
      <c r="N5727" t="n">
        <v>0</v>
      </c>
      <c r="O5727" t="n">
        <v>0</v>
      </c>
      <c r="P5727" t="n">
        <v>0</v>
      </c>
      <c r="Q5727" t="n">
        <v>0</v>
      </c>
      <c r="R5727" s="2" t="inlineStr"/>
    </row>
    <row r="5728" ht="15" customHeight="1">
      <c r="A5728" t="inlineStr">
        <is>
          <t>A 40403-2022</t>
        </is>
      </c>
      <c r="B5728" s="1" t="n">
        <v>44823</v>
      </c>
      <c r="C5728" s="1" t="n">
        <v>45344</v>
      </c>
      <c r="D5728" t="inlineStr">
        <is>
          <t>GÄVLEBORGS LÄN</t>
        </is>
      </c>
      <c r="E5728" t="inlineStr">
        <is>
          <t>OVANÅKER</t>
        </is>
      </c>
      <c r="F5728" t="inlineStr">
        <is>
          <t>Bergvik skog väst AB</t>
        </is>
      </c>
      <c r="G5728" t="n">
        <v>3.7</v>
      </c>
      <c r="H5728" t="n">
        <v>0</v>
      </c>
      <c r="I5728" t="n">
        <v>0</v>
      </c>
      <c r="J5728" t="n">
        <v>0</v>
      </c>
      <c r="K5728" t="n">
        <v>0</v>
      </c>
      <c r="L5728" t="n">
        <v>0</v>
      </c>
      <c r="M5728" t="n">
        <v>0</v>
      </c>
      <c r="N5728" t="n">
        <v>0</v>
      </c>
      <c r="O5728" t="n">
        <v>0</v>
      </c>
      <c r="P5728" t="n">
        <v>0</v>
      </c>
      <c r="Q5728" t="n">
        <v>0</v>
      </c>
      <c r="R5728" s="2" t="inlineStr"/>
    </row>
    <row r="5729" ht="15" customHeight="1">
      <c r="A5729" t="inlineStr">
        <is>
          <t>A 40376-2022</t>
        </is>
      </c>
      <c r="B5729" s="1" t="n">
        <v>44823</v>
      </c>
      <c r="C5729" s="1" t="n">
        <v>45344</v>
      </c>
      <c r="D5729" t="inlineStr">
        <is>
          <t>GÄVLEBORGS LÄN</t>
        </is>
      </c>
      <c r="E5729" t="inlineStr">
        <is>
          <t>BOLLNÄS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40400-2022</t>
        </is>
      </c>
      <c r="B5730" s="1" t="n">
        <v>44823</v>
      </c>
      <c r="C5730" s="1" t="n">
        <v>45344</v>
      </c>
      <c r="D5730" t="inlineStr">
        <is>
          <t>GÄVLEBORGS LÄN</t>
        </is>
      </c>
      <c r="E5730" t="inlineStr">
        <is>
          <t>OVANÅKER</t>
        </is>
      </c>
      <c r="F5730" t="inlineStr">
        <is>
          <t>Bergvik skog väst AB</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40438-2022</t>
        </is>
      </c>
      <c r="B5731" s="1" t="n">
        <v>44823</v>
      </c>
      <c r="C5731" s="1" t="n">
        <v>45344</v>
      </c>
      <c r="D5731" t="inlineStr">
        <is>
          <t>GÄVLEBORGS LÄN</t>
        </is>
      </c>
      <c r="E5731" t="inlineStr">
        <is>
          <t>NORDANSTIG</t>
        </is>
      </c>
      <c r="F5731" t="inlineStr">
        <is>
          <t>Holmen skog AB</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40462-2022</t>
        </is>
      </c>
      <c r="B5732" s="1" t="n">
        <v>44823</v>
      </c>
      <c r="C5732" s="1" t="n">
        <v>45344</v>
      </c>
      <c r="D5732" t="inlineStr">
        <is>
          <t>GÄVLEBORGS LÄN</t>
        </is>
      </c>
      <c r="E5732" t="inlineStr">
        <is>
          <t>SÖDERHAMN</t>
        </is>
      </c>
      <c r="G5732" t="n">
        <v>3.1</v>
      </c>
      <c r="H5732" t="n">
        <v>0</v>
      </c>
      <c r="I5732" t="n">
        <v>0</v>
      </c>
      <c r="J5732" t="n">
        <v>0</v>
      </c>
      <c r="K5732" t="n">
        <v>0</v>
      </c>
      <c r="L5732" t="n">
        <v>0</v>
      </c>
      <c r="M5732" t="n">
        <v>0</v>
      </c>
      <c r="N5732" t="n">
        <v>0</v>
      </c>
      <c r="O5732" t="n">
        <v>0</v>
      </c>
      <c r="P5732" t="n">
        <v>0</v>
      </c>
      <c r="Q5732" t="n">
        <v>0</v>
      </c>
      <c r="R5732" s="2" t="inlineStr"/>
    </row>
    <row r="5733" ht="15" customHeight="1">
      <c r="A5733" t="inlineStr">
        <is>
          <t>A 40494-2022</t>
        </is>
      </c>
      <c r="B5733" s="1" t="n">
        <v>44823</v>
      </c>
      <c r="C5733" s="1" t="n">
        <v>45344</v>
      </c>
      <c r="D5733" t="inlineStr">
        <is>
          <t>GÄVLEBORGS LÄN</t>
        </is>
      </c>
      <c r="E5733" t="inlineStr">
        <is>
          <t>GÄVLE</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40559-2022</t>
        </is>
      </c>
      <c r="B5734" s="1" t="n">
        <v>44823</v>
      </c>
      <c r="C5734" s="1" t="n">
        <v>45344</v>
      </c>
      <c r="D5734" t="inlineStr">
        <is>
          <t>GÄVLEBORGS LÄN</t>
        </is>
      </c>
      <c r="E5734" t="inlineStr">
        <is>
          <t>NORDANSTIG</t>
        </is>
      </c>
      <c r="F5734" t="inlineStr">
        <is>
          <t>Holmen skog AB</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40593-2022</t>
        </is>
      </c>
      <c r="B5735" s="1" t="n">
        <v>44823</v>
      </c>
      <c r="C5735" s="1" t="n">
        <v>45344</v>
      </c>
      <c r="D5735" t="inlineStr">
        <is>
          <t>GÄVLEBORGS LÄN</t>
        </is>
      </c>
      <c r="E5735" t="inlineStr">
        <is>
          <t>HUDIKSVALL</t>
        </is>
      </c>
      <c r="F5735" t="inlineStr">
        <is>
          <t>Holmen skog AB</t>
        </is>
      </c>
      <c r="G5735" t="n">
        <v>15.3</v>
      </c>
      <c r="H5735" t="n">
        <v>0</v>
      </c>
      <c r="I5735" t="n">
        <v>0</v>
      </c>
      <c r="J5735" t="n">
        <v>0</v>
      </c>
      <c r="K5735" t="n">
        <v>0</v>
      </c>
      <c r="L5735" t="n">
        <v>0</v>
      </c>
      <c r="M5735" t="n">
        <v>0</v>
      </c>
      <c r="N5735" t="n">
        <v>0</v>
      </c>
      <c r="O5735" t="n">
        <v>0</v>
      </c>
      <c r="P5735" t="n">
        <v>0</v>
      </c>
      <c r="Q5735" t="n">
        <v>0</v>
      </c>
      <c r="R5735" s="2" t="inlineStr"/>
    </row>
    <row r="5736" ht="15" customHeight="1">
      <c r="A5736" t="inlineStr">
        <is>
          <t>A 40342-2022</t>
        </is>
      </c>
      <c r="B5736" s="1" t="n">
        <v>44823</v>
      </c>
      <c r="C5736" s="1" t="n">
        <v>45344</v>
      </c>
      <c r="D5736" t="inlineStr">
        <is>
          <t>GÄVLEBORGS LÄN</t>
        </is>
      </c>
      <c r="E5736" t="inlineStr">
        <is>
          <t>NORDANSTIG</t>
        </is>
      </c>
      <c r="F5736" t="inlineStr">
        <is>
          <t>Holmen skog AB</t>
        </is>
      </c>
      <c r="G5736" t="n">
        <v>1.6</v>
      </c>
      <c r="H5736" t="n">
        <v>0</v>
      </c>
      <c r="I5736" t="n">
        <v>0</v>
      </c>
      <c r="J5736" t="n">
        <v>0</v>
      </c>
      <c r="K5736" t="n">
        <v>0</v>
      </c>
      <c r="L5736" t="n">
        <v>0</v>
      </c>
      <c r="M5736" t="n">
        <v>0</v>
      </c>
      <c r="N5736" t="n">
        <v>0</v>
      </c>
      <c r="O5736" t="n">
        <v>0</v>
      </c>
      <c r="P5736" t="n">
        <v>0</v>
      </c>
      <c r="Q5736" t="n">
        <v>0</v>
      </c>
      <c r="R5736" s="2" t="inlineStr"/>
    </row>
    <row r="5737" ht="15" customHeight="1">
      <c r="A5737" t="inlineStr">
        <is>
          <t>A 40388-2022</t>
        </is>
      </c>
      <c r="B5737" s="1" t="n">
        <v>44823</v>
      </c>
      <c r="C5737" s="1" t="n">
        <v>45344</v>
      </c>
      <c r="D5737" t="inlineStr">
        <is>
          <t>GÄVLEBORGS LÄN</t>
        </is>
      </c>
      <c r="E5737" t="inlineStr">
        <is>
          <t>NORDANSTIG</t>
        </is>
      </c>
      <c r="F5737" t="inlineStr">
        <is>
          <t>Holmen skog AB</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40498-2022</t>
        </is>
      </c>
      <c r="B5738" s="1" t="n">
        <v>44823</v>
      </c>
      <c r="C5738" s="1" t="n">
        <v>45344</v>
      </c>
      <c r="D5738" t="inlineStr">
        <is>
          <t>GÄVLEBORGS LÄN</t>
        </is>
      </c>
      <c r="E5738" t="inlineStr">
        <is>
          <t>GÄVLE</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40515-2022</t>
        </is>
      </c>
      <c r="B5739" s="1" t="n">
        <v>44823</v>
      </c>
      <c r="C5739" s="1" t="n">
        <v>45344</v>
      </c>
      <c r="D5739" t="inlineStr">
        <is>
          <t>GÄVLEBORGS LÄN</t>
        </is>
      </c>
      <c r="E5739" t="inlineStr">
        <is>
          <t>HOFORS</t>
        </is>
      </c>
      <c r="F5739" t="inlineStr">
        <is>
          <t>Sveaskog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40575-2022</t>
        </is>
      </c>
      <c r="B5740" s="1" t="n">
        <v>44823</v>
      </c>
      <c r="C5740" s="1" t="n">
        <v>45344</v>
      </c>
      <c r="D5740" t="inlineStr">
        <is>
          <t>GÄVLEBORGS LÄN</t>
        </is>
      </c>
      <c r="E5740" t="inlineStr">
        <is>
          <t>SÖDERHAMN</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40468-2022</t>
        </is>
      </c>
      <c r="B5741" s="1" t="n">
        <v>44823</v>
      </c>
      <c r="C5741" s="1" t="n">
        <v>45344</v>
      </c>
      <c r="D5741" t="inlineStr">
        <is>
          <t>GÄVLEBORGS LÄN</t>
        </is>
      </c>
      <c r="E5741" t="inlineStr">
        <is>
          <t>SÖDERHAMN</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40507-2022</t>
        </is>
      </c>
      <c r="B5742" s="1" t="n">
        <v>44823</v>
      </c>
      <c r="C5742" s="1" t="n">
        <v>45344</v>
      </c>
      <c r="D5742" t="inlineStr">
        <is>
          <t>GÄVLEBORGS LÄN</t>
        </is>
      </c>
      <c r="E5742" t="inlineStr">
        <is>
          <t>OVANÅKER</t>
        </is>
      </c>
      <c r="F5742" t="inlineStr">
        <is>
          <t>Bergvik skog väst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40517-2022</t>
        </is>
      </c>
      <c r="B5743" s="1" t="n">
        <v>44823</v>
      </c>
      <c r="C5743" s="1" t="n">
        <v>45344</v>
      </c>
      <c r="D5743" t="inlineStr">
        <is>
          <t>GÄVLEBORGS LÄN</t>
        </is>
      </c>
      <c r="E5743" t="inlineStr">
        <is>
          <t>HOFORS</t>
        </is>
      </c>
      <c r="F5743" t="inlineStr">
        <is>
          <t>Sveaskog</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40577-2022</t>
        </is>
      </c>
      <c r="B5744" s="1" t="n">
        <v>44823</v>
      </c>
      <c r="C5744" s="1" t="n">
        <v>45344</v>
      </c>
      <c r="D5744" t="inlineStr">
        <is>
          <t>GÄVLEBORGS LÄN</t>
        </is>
      </c>
      <c r="E5744" t="inlineStr">
        <is>
          <t>SÖDERHAMN</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40554-2022</t>
        </is>
      </c>
      <c r="B5745" s="1" t="n">
        <v>44823</v>
      </c>
      <c r="C5745" s="1" t="n">
        <v>45344</v>
      </c>
      <c r="D5745" t="inlineStr">
        <is>
          <t>GÄVLEBORGS LÄN</t>
        </is>
      </c>
      <c r="E5745" t="inlineStr">
        <is>
          <t>LJUSDAL</t>
        </is>
      </c>
      <c r="F5745" t="inlineStr">
        <is>
          <t>Bergvik skog väst AB</t>
        </is>
      </c>
      <c r="G5745" t="n">
        <v>4</v>
      </c>
      <c r="H5745" t="n">
        <v>0</v>
      </c>
      <c r="I5745" t="n">
        <v>0</v>
      </c>
      <c r="J5745" t="n">
        <v>0</v>
      </c>
      <c r="K5745" t="n">
        <v>0</v>
      </c>
      <c r="L5745" t="n">
        <v>0</v>
      </c>
      <c r="M5745" t="n">
        <v>0</v>
      </c>
      <c r="N5745" t="n">
        <v>0</v>
      </c>
      <c r="O5745" t="n">
        <v>0</v>
      </c>
      <c r="P5745" t="n">
        <v>0</v>
      </c>
      <c r="Q5745" t="n">
        <v>0</v>
      </c>
      <c r="R5745" s="2" t="inlineStr"/>
    </row>
    <row r="5746" ht="15" customHeight="1">
      <c r="A5746" t="inlineStr">
        <is>
          <t>A 40766-2022</t>
        </is>
      </c>
      <c r="B5746" s="1" t="n">
        <v>44824</v>
      </c>
      <c r="C5746" s="1" t="n">
        <v>45344</v>
      </c>
      <c r="D5746" t="inlineStr">
        <is>
          <t>GÄVLEBORGS LÄN</t>
        </is>
      </c>
      <c r="E5746" t="inlineStr">
        <is>
          <t>LJUSDAL</t>
        </is>
      </c>
      <c r="F5746" t="inlineStr">
        <is>
          <t>Holmen skog AB</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40729-2022</t>
        </is>
      </c>
      <c r="B5747" s="1" t="n">
        <v>44824</v>
      </c>
      <c r="C5747" s="1" t="n">
        <v>45344</v>
      </c>
      <c r="D5747" t="inlineStr">
        <is>
          <t>GÄVLEBORGS LÄN</t>
        </is>
      </c>
      <c r="E5747" t="inlineStr">
        <is>
          <t>LJUSDAL</t>
        </is>
      </c>
      <c r="F5747" t="inlineStr">
        <is>
          <t>Holmen skog AB</t>
        </is>
      </c>
      <c r="G5747" t="n">
        <v>1.5</v>
      </c>
      <c r="H5747" t="n">
        <v>0</v>
      </c>
      <c r="I5747" t="n">
        <v>0</v>
      </c>
      <c r="J5747" t="n">
        <v>0</v>
      </c>
      <c r="K5747" t="n">
        <v>0</v>
      </c>
      <c r="L5747" t="n">
        <v>0</v>
      </c>
      <c r="M5747" t="n">
        <v>0</v>
      </c>
      <c r="N5747" t="n">
        <v>0</v>
      </c>
      <c r="O5747" t="n">
        <v>0</v>
      </c>
      <c r="P5747" t="n">
        <v>0</v>
      </c>
      <c r="Q5747" t="n">
        <v>0</v>
      </c>
      <c r="R5747" s="2" t="inlineStr"/>
    </row>
    <row r="5748" ht="15" customHeight="1">
      <c r="A5748" t="inlineStr">
        <is>
          <t>A 40743-2022</t>
        </is>
      </c>
      <c r="B5748" s="1" t="n">
        <v>44824</v>
      </c>
      <c r="C5748" s="1" t="n">
        <v>45344</v>
      </c>
      <c r="D5748" t="inlineStr">
        <is>
          <t>GÄVLEBORGS LÄN</t>
        </is>
      </c>
      <c r="E5748" t="inlineStr">
        <is>
          <t>OVANÅKER</t>
        </is>
      </c>
      <c r="F5748" t="inlineStr">
        <is>
          <t>Bergvik skog väst AB</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40798-2022</t>
        </is>
      </c>
      <c r="B5749" s="1" t="n">
        <v>44824</v>
      </c>
      <c r="C5749" s="1" t="n">
        <v>45344</v>
      </c>
      <c r="D5749" t="inlineStr">
        <is>
          <t>GÄVLEBORGS LÄN</t>
        </is>
      </c>
      <c r="E5749" t="inlineStr">
        <is>
          <t>NORDANSTIG</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40811-2022</t>
        </is>
      </c>
      <c r="B5750" s="1" t="n">
        <v>44824</v>
      </c>
      <c r="C5750" s="1" t="n">
        <v>45344</v>
      </c>
      <c r="D5750" t="inlineStr">
        <is>
          <t>GÄVLEBORGS LÄN</t>
        </is>
      </c>
      <c r="E5750" t="inlineStr">
        <is>
          <t>SÖDERHAMN</t>
        </is>
      </c>
      <c r="G5750" t="n">
        <v>2.8</v>
      </c>
      <c r="H5750" t="n">
        <v>0</v>
      </c>
      <c r="I5750" t="n">
        <v>0</v>
      </c>
      <c r="J5750" t="n">
        <v>0</v>
      </c>
      <c r="K5750" t="n">
        <v>0</v>
      </c>
      <c r="L5750" t="n">
        <v>0</v>
      </c>
      <c r="M5750" t="n">
        <v>0</v>
      </c>
      <c r="N5750" t="n">
        <v>0</v>
      </c>
      <c r="O5750" t="n">
        <v>0</v>
      </c>
      <c r="P5750" t="n">
        <v>0</v>
      </c>
      <c r="Q5750" t="n">
        <v>0</v>
      </c>
      <c r="R5750" s="2" t="inlineStr"/>
    </row>
    <row r="5751" ht="15" customHeight="1">
      <c r="A5751" t="inlineStr">
        <is>
          <t>A 41041-2022</t>
        </is>
      </c>
      <c r="B5751" s="1" t="n">
        <v>44824</v>
      </c>
      <c r="C5751" s="1" t="n">
        <v>45344</v>
      </c>
      <c r="D5751" t="inlineStr">
        <is>
          <t>GÄVLEBORGS LÄN</t>
        </is>
      </c>
      <c r="E5751" t="inlineStr">
        <is>
          <t>GÄVLE</t>
        </is>
      </c>
      <c r="F5751" t="inlineStr">
        <is>
          <t>Bergvik skog väst AB</t>
        </is>
      </c>
      <c r="G5751" t="n">
        <v>10.1</v>
      </c>
      <c r="H5751" t="n">
        <v>0</v>
      </c>
      <c r="I5751" t="n">
        <v>0</v>
      </c>
      <c r="J5751" t="n">
        <v>0</v>
      </c>
      <c r="K5751" t="n">
        <v>0</v>
      </c>
      <c r="L5751" t="n">
        <v>0</v>
      </c>
      <c r="M5751" t="n">
        <v>0</v>
      </c>
      <c r="N5751" t="n">
        <v>0</v>
      </c>
      <c r="O5751" t="n">
        <v>0</v>
      </c>
      <c r="P5751" t="n">
        <v>0</v>
      </c>
      <c r="Q5751" t="n">
        <v>0</v>
      </c>
      <c r="R5751" s="2" t="inlineStr"/>
    </row>
    <row r="5752" ht="15" customHeight="1">
      <c r="A5752" t="inlineStr">
        <is>
          <t>A 40787-2022</t>
        </is>
      </c>
      <c r="B5752" s="1" t="n">
        <v>44824</v>
      </c>
      <c r="C5752" s="1" t="n">
        <v>45344</v>
      </c>
      <c r="D5752" t="inlineStr">
        <is>
          <t>GÄVLEBORGS LÄN</t>
        </is>
      </c>
      <c r="E5752" t="inlineStr">
        <is>
          <t>LJUSDAL</t>
        </is>
      </c>
      <c r="F5752" t="inlineStr">
        <is>
          <t>Holmen skog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41037-2022</t>
        </is>
      </c>
      <c r="B5753" s="1" t="n">
        <v>44824</v>
      </c>
      <c r="C5753" s="1" t="n">
        <v>45344</v>
      </c>
      <c r="D5753" t="inlineStr">
        <is>
          <t>GÄVLEBORGS LÄN</t>
        </is>
      </c>
      <c r="E5753" t="inlineStr">
        <is>
          <t>SÖDERHAMN</t>
        </is>
      </c>
      <c r="F5753" t="inlineStr">
        <is>
          <t>Kommuner</t>
        </is>
      </c>
      <c r="G5753" t="n">
        <v>21.6</v>
      </c>
      <c r="H5753" t="n">
        <v>0</v>
      </c>
      <c r="I5753" t="n">
        <v>0</v>
      </c>
      <c r="J5753" t="n">
        <v>0</v>
      </c>
      <c r="K5753" t="n">
        <v>0</v>
      </c>
      <c r="L5753" t="n">
        <v>0</v>
      </c>
      <c r="M5753" t="n">
        <v>0</v>
      </c>
      <c r="N5753" t="n">
        <v>0</v>
      </c>
      <c r="O5753" t="n">
        <v>0</v>
      </c>
      <c r="P5753" t="n">
        <v>0</v>
      </c>
      <c r="Q5753" t="n">
        <v>0</v>
      </c>
      <c r="R5753" s="2" t="inlineStr"/>
    </row>
    <row r="5754" ht="15" customHeight="1">
      <c r="A5754" t="inlineStr">
        <is>
          <t>A 40868-2022</t>
        </is>
      </c>
      <c r="B5754" s="1" t="n">
        <v>44825</v>
      </c>
      <c r="C5754" s="1" t="n">
        <v>45344</v>
      </c>
      <c r="D5754" t="inlineStr">
        <is>
          <t>GÄVLEBORGS LÄN</t>
        </is>
      </c>
      <c r="E5754" t="inlineStr">
        <is>
          <t>NORDANSTIG</t>
        </is>
      </c>
      <c r="F5754" t="inlineStr">
        <is>
          <t>Holmen skog AB</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40876-2022</t>
        </is>
      </c>
      <c r="B5755" s="1" t="n">
        <v>44825</v>
      </c>
      <c r="C5755" s="1" t="n">
        <v>45344</v>
      </c>
      <c r="D5755" t="inlineStr">
        <is>
          <t>GÄVLEBORGS LÄN</t>
        </is>
      </c>
      <c r="E5755" t="inlineStr">
        <is>
          <t>HUDIKSVALL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40913-2022</t>
        </is>
      </c>
      <c r="B5756" s="1" t="n">
        <v>44825</v>
      </c>
      <c r="C5756" s="1" t="n">
        <v>45344</v>
      </c>
      <c r="D5756" t="inlineStr">
        <is>
          <t>GÄVLEBORGS LÄN</t>
        </is>
      </c>
      <c r="E5756" t="inlineStr">
        <is>
          <t>NORDANSTIG</t>
        </is>
      </c>
      <c r="G5756" t="n">
        <v>3.6</v>
      </c>
      <c r="H5756" t="n">
        <v>0</v>
      </c>
      <c r="I5756" t="n">
        <v>0</v>
      </c>
      <c r="J5756" t="n">
        <v>0</v>
      </c>
      <c r="K5756" t="n">
        <v>0</v>
      </c>
      <c r="L5756" t="n">
        <v>0</v>
      </c>
      <c r="M5756" t="n">
        <v>0</v>
      </c>
      <c r="N5756" t="n">
        <v>0</v>
      </c>
      <c r="O5756" t="n">
        <v>0</v>
      </c>
      <c r="P5756" t="n">
        <v>0</v>
      </c>
      <c r="Q5756" t="n">
        <v>0</v>
      </c>
      <c r="R5756" s="2" t="inlineStr"/>
    </row>
    <row r="5757" ht="15" customHeight="1">
      <c r="A5757" t="inlineStr">
        <is>
          <t>A 40909-2022</t>
        </is>
      </c>
      <c r="B5757" s="1" t="n">
        <v>44825</v>
      </c>
      <c r="C5757" s="1" t="n">
        <v>45344</v>
      </c>
      <c r="D5757" t="inlineStr">
        <is>
          <t>GÄVLEBORGS LÄN</t>
        </is>
      </c>
      <c r="E5757" t="inlineStr">
        <is>
          <t>HUDIKSVALL</t>
        </is>
      </c>
      <c r="F5757" t="inlineStr">
        <is>
          <t>Holmen skog AB</t>
        </is>
      </c>
      <c r="G5757" t="n">
        <v>15.2</v>
      </c>
      <c r="H5757" t="n">
        <v>0</v>
      </c>
      <c r="I5757" t="n">
        <v>0</v>
      </c>
      <c r="J5757" t="n">
        <v>0</v>
      </c>
      <c r="K5757" t="n">
        <v>0</v>
      </c>
      <c r="L5757" t="n">
        <v>0</v>
      </c>
      <c r="M5757" t="n">
        <v>0</v>
      </c>
      <c r="N5757" t="n">
        <v>0</v>
      </c>
      <c r="O5757" t="n">
        <v>0</v>
      </c>
      <c r="P5757" t="n">
        <v>0</v>
      </c>
      <c r="Q5757" t="n">
        <v>0</v>
      </c>
      <c r="R5757" s="2" t="inlineStr"/>
    </row>
    <row r="5758" ht="15" customHeight="1">
      <c r="A5758" t="inlineStr">
        <is>
          <t>A 40861-2022</t>
        </is>
      </c>
      <c r="B5758" s="1" t="n">
        <v>44825</v>
      </c>
      <c r="C5758" s="1" t="n">
        <v>45344</v>
      </c>
      <c r="D5758" t="inlineStr">
        <is>
          <t>GÄVLEBORGS LÄN</t>
        </is>
      </c>
      <c r="E5758" t="inlineStr">
        <is>
          <t>HUDIKSVALL</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41115-2022</t>
        </is>
      </c>
      <c r="B5759" s="1" t="n">
        <v>44825</v>
      </c>
      <c r="C5759" s="1" t="n">
        <v>45344</v>
      </c>
      <c r="D5759" t="inlineStr">
        <is>
          <t>GÄVLEBORGS LÄN</t>
        </is>
      </c>
      <c r="E5759" t="inlineStr">
        <is>
          <t>HUDIKSVALL</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41161-2022</t>
        </is>
      </c>
      <c r="B5760" s="1" t="n">
        <v>44825</v>
      </c>
      <c r="C5760" s="1" t="n">
        <v>45344</v>
      </c>
      <c r="D5760" t="inlineStr">
        <is>
          <t>GÄVLEBORGS LÄN</t>
        </is>
      </c>
      <c r="E5760" t="inlineStr">
        <is>
          <t>NORDANSTIG</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41231-2022</t>
        </is>
      </c>
      <c r="B5761" s="1" t="n">
        <v>44825</v>
      </c>
      <c r="C5761" s="1" t="n">
        <v>45344</v>
      </c>
      <c r="D5761" t="inlineStr">
        <is>
          <t>GÄVLEBORGS LÄN</t>
        </is>
      </c>
      <c r="E5761" t="inlineStr">
        <is>
          <t>HUDIKSVALL</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41221-2022</t>
        </is>
      </c>
      <c r="B5762" s="1" t="n">
        <v>44826</v>
      </c>
      <c r="C5762" s="1" t="n">
        <v>45344</v>
      </c>
      <c r="D5762" t="inlineStr">
        <is>
          <t>GÄVLEBORGS LÄN</t>
        </is>
      </c>
      <c r="E5762" t="inlineStr">
        <is>
          <t>SÖDERHAMN</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41246-2022</t>
        </is>
      </c>
      <c r="B5763" s="1" t="n">
        <v>44826</v>
      </c>
      <c r="C5763" s="1" t="n">
        <v>45344</v>
      </c>
      <c r="D5763" t="inlineStr">
        <is>
          <t>GÄVLEBORGS LÄN</t>
        </is>
      </c>
      <c r="E5763" t="inlineStr">
        <is>
          <t>SÖDERHAMN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41285-2022</t>
        </is>
      </c>
      <c r="B5764" s="1" t="n">
        <v>44826</v>
      </c>
      <c r="C5764" s="1" t="n">
        <v>45344</v>
      </c>
      <c r="D5764" t="inlineStr">
        <is>
          <t>GÄVLEBORGS LÄN</t>
        </is>
      </c>
      <c r="E5764" t="inlineStr">
        <is>
          <t>LJUSDAL</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41345-2022</t>
        </is>
      </c>
      <c r="B5765" s="1" t="n">
        <v>44826</v>
      </c>
      <c r="C5765" s="1" t="n">
        <v>45344</v>
      </c>
      <c r="D5765" t="inlineStr">
        <is>
          <t>GÄVLEBORGS LÄN</t>
        </is>
      </c>
      <c r="E5765" t="inlineStr">
        <is>
          <t>NORDANSTIG</t>
        </is>
      </c>
      <c r="F5765" t="inlineStr">
        <is>
          <t>Holmen skog AB</t>
        </is>
      </c>
      <c r="G5765" t="n">
        <v>1.3</v>
      </c>
      <c r="H5765" t="n">
        <v>0</v>
      </c>
      <c r="I5765" t="n">
        <v>0</v>
      </c>
      <c r="J5765" t="n">
        <v>0</v>
      </c>
      <c r="K5765" t="n">
        <v>0</v>
      </c>
      <c r="L5765" t="n">
        <v>0</v>
      </c>
      <c r="M5765" t="n">
        <v>0</v>
      </c>
      <c r="N5765" t="n">
        <v>0</v>
      </c>
      <c r="O5765" t="n">
        <v>0</v>
      </c>
      <c r="P5765" t="n">
        <v>0</v>
      </c>
      <c r="Q5765" t="n">
        <v>0</v>
      </c>
      <c r="R5765" s="2" t="inlineStr"/>
    </row>
    <row r="5766" ht="15" customHeight="1">
      <c r="A5766" t="inlineStr">
        <is>
          <t>A 41454-2022</t>
        </is>
      </c>
      <c r="B5766" s="1" t="n">
        <v>44826</v>
      </c>
      <c r="C5766" s="1" t="n">
        <v>45344</v>
      </c>
      <c r="D5766" t="inlineStr">
        <is>
          <t>GÄVLEBORGS LÄN</t>
        </is>
      </c>
      <c r="E5766" t="inlineStr">
        <is>
          <t>BOLLNÄS</t>
        </is>
      </c>
      <c r="F5766" t="inlineStr">
        <is>
          <t>Bergvik skog väst AB</t>
        </is>
      </c>
      <c r="G5766" t="n">
        <v>3.3</v>
      </c>
      <c r="H5766" t="n">
        <v>0</v>
      </c>
      <c r="I5766" t="n">
        <v>0</v>
      </c>
      <c r="J5766" t="n">
        <v>0</v>
      </c>
      <c r="K5766" t="n">
        <v>0</v>
      </c>
      <c r="L5766" t="n">
        <v>0</v>
      </c>
      <c r="M5766" t="n">
        <v>0</v>
      </c>
      <c r="N5766" t="n">
        <v>0</v>
      </c>
      <c r="O5766" t="n">
        <v>0</v>
      </c>
      <c r="P5766" t="n">
        <v>0</v>
      </c>
      <c r="Q5766" t="n">
        <v>0</v>
      </c>
      <c r="R5766" s="2" t="inlineStr"/>
    </row>
    <row r="5767" ht="15" customHeight="1">
      <c r="A5767" t="inlineStr">
        <is>
          <t>A 41356-2022</t>
        </is>
      </c>
      <c r="B5767" s="1" t="n">
        <v>44826</v>
      </c>
      <c r="C5767" s="1" t="n">
        <v>45344</v>
      </c>
      <c r="D5767" t="inlineStr">
        <is>
          <t>GÄVLEBORGS LÄN</t>
        </is>
      </c>
      <c r="E5767" t="inlineStr">
        <is>
          <t>NORDANSTIG</t>
        </is>
      </c>
      <c r="F5767" t="inlineStr">
        <is>
          <t>Holmen skog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41453-2022</t>
        </is>
      </c>
      <c r="B5768" s="1" t="n">
        <v>44826</v>
      </c>
      <c r="C5768" s="1" t="n">
        <v>45344</v>
      </c>
      <c r="D5768" t="inlineStr">
        <is>
          <t>GÄVLEBORGS LÄN</t>
        </is>
      </c>
      <c r="E5768" t="inlineStr">
        <is>
          <t>BOLLNÄS</t>
        </is>
      </c>
      <c r="F5768" t="inlineStr">
        <is>
          <t>Bergvik skog väst AB</t>
        </is>
      </c>
      <c r="G5768" t="n">
        <v>6.7</v>
      </c>
      <c r="H5768" t="n">
        <v>0</v>
      </c>
      <c r="I5768" t="n">
        <v>0</v>
      </c>
      <c r="J5768" t="n">
        <v>0</v>
      </c>
      <c r="K5768" t="n">
        <v>0</v>
      </c>
      <c r="L5768" t="n">
        <v>0</v>
      </c>
      <c r="M5768" t="n">
        <v>0</v>
      </c>
      <c r="N5768" t="n">
        <v>0</v>
      </c>
      <c r="O5768" t="n">
        <v>0</v>
      </c>
      <c r="P5768" t="n">
        <v>0</v>
      </c>
      <c r="Q5768" t="n">
        <v>0</v>
      </c>
      <c r="R5768" s="2" t="inlineStr"/>
    </row>
    <row r="5769" ht="15" customHeight="1">
      <c r="A5769" t="inlineStr">
        <is>
          <t>A 41461-2022</t>
        </is>
      </c>
      <c r="B5769" s="1" t="n">
        <v>44827</v>
      </c>
      <c r="C5769" s="1" t="n">
        <v>45344</v>
      </c>
      <c r="D5769" t="inlineStr">
        <is>
          <t>GÄVLEBORGS LÄN</t>
        </is>
      </c>
      <c r="E5769" t="inlineStr">
        <is>
          <t>LJUSDAL</t>
        </is>
      </c>
      <c r="F5769" t="inlineStr">
        <is>
          <t>SCA</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41658-2022</t>
        </is>
      </c>
      <c r="B5770" s="1" t="n">
        <v>44827</v>
      </c>
      <c r="C5770" s="1" t="n">
        <v>45344</v>
      </c>
      <c r="D5770" t="inlineStr">
        <is>
          <t>GÄVLEBORGS LÄN</t>
        </is>
      </c>
      <c r="E5770" t="inlineStr">
        <is>
          <t>OVANÅKER</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41698-2022</t>
        </is>
      </c>
      <c r="B5771" s="1" t="n">
        <v>44827</v>
      </c>
      <c r="C5771" s="1" t="n">
        <v>45344</v>
      </c>
      <c r="D5771" t="inlineStr">
        <is>
          <t>GÄVLEBORGS LÄN</t>
        </is>
      </c>
      <c r="E5771" t="inlineStr">
        <is>
          <t>LJUSDAL</t>
        </is>
      </c>
      <c r="F5771" t="inlineStr">
        <is>
          <t>Bergvik skog väst AB</t>
        </is>
      </c>
      <c r="G5771" t="n">
        <v>7.4</v>
      </c>
      <c r="H5771" t="n">
        <v>0</v>
      </c>
      <c r="I5771" t="n">
        <v>0</v>
      </c>
      <c r="J5771" t="n">
        <v>0</v>
      </c>
      <c r="K5771" t="n">
        <v>0</v>
      </c>
      <c r="L5771" t="n">
        <v>0</v>
      </c>
      <c r="M5771" t="n">
        <v>0</v>
      </c>
      <c r="N5771" t="n">
        <v>0</v>
      </c>
      <c r="O5771" t="n">
        <v>0</v>
      </c>
      <c r="P5771" t="n">
        <v>0</v>
      </c>
      <c r="Q5771" t="n">
        <v>0</v>
      </c>
      <c r="R5771" s="2" t="inlineStr"/>
    </row>
    <row r="5772" ht="15" customHeight="1">
      <c r="A5772" t="inlineStr">
        <is>
          <t>A 41718-2022</t>
        </is>
      </c>
      <c r="B5772" s="1" t="n">
        <v>44827</v>
      </c>
      <c r="C5772" s="1" t="n">
        <v>45344</v>
      </c>
      <c r="D5772" t="inlineStr">
        <is>
          <t>GÄVLEBORGS LÄN</t>
        </is>
      </c>
      <c r="E5772" t="inlineStr">
        <is>
          <t>LJUSDAL</t>
        </is>
      </c>
      <c r="F5772" t="inlineStr">
        <is>
          <t>Bergvik skog väst AB</t>
        </is>
      </c>
      <c r="G5772" t="n">
        <v>17.3</v>
      </c>
      <c r="H5772" t="n">
        <v>0</v>
      </c>
      <c r="I5772" t="n">
        <v>0</v>
      </c>
      <c r="J5772" t="n">
        <v>0</v>
      </c>
      <c r="K5772" t="n">
        <v>0</v>
      </c>
      <c r="L5772" t="n">
        <v>0</v>
      </c>
      <c r="M5772" t="n">
        <v>0</v>
      </c>
      <c r="N5772" t="n">
        <v>0</v>
      </c>
      <c r="O5772" t="n">
        <v>0</v>
      </c>
      <c r="P5772" t="n">
        <v>0</v>
      </c>
      <c r="Q5772" t="n">
        <v>0</v>
      </c>
      <c r="R5772" s="2" t="inlineStr"/>
    </row>
    <row r="5773" ht="15" customHeight="1">
      <c r="A5773" t="inlineStr">
        <is>
          <t>A 41559-2022</t>
        </is>
      </c>
      <c r="B5773" s="1" t="n">
        <v>44827</v>
      </c>
      <c r="C5773" s="1" t="n">
        <v>45344</v>
      </c>
      <c r="D5773" t="inlineStr">
        <is>
          <t>GÄVLEBORGS LÄN</t>
        </is>
      </c>
      <c r="E5773" t="inlineStr">
        <is>
          <t>GÄVLE</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41831-2022</t>
        </is>
      </c>
      <c r="B5774" s="1" t="n">
        <v>44827</v>
      </c>
      <c r="C5774" s="1" t="n">
        <v>45344</v>
      </c>
      <c r="D5774" t="inlineStr">
        <is>
          <t>GÄVLEBORGS LÄN</t>
        </is>
      </c>
      <c r="E5774" t="inlineStr">
        <is>
          <t>BOLLNÄS</t>
        </is>
      </c>
      <c r="F5774" t="inlineStr">
        <is>
          <t>Bergvik skog väst AB</t>
        </is>
      </c>
      <c r="G5774" t="n">
        <v>5.1</v>
      </c>
      <c r="H5774" t="n">
        <v>0</v>
      </c>
      <c r="I5774" t="n">
        <v>0</v>
      </c>
      <c r="J5774" t="n">
        <v>0</v>
      </c>
      <c r="K5774" t="n">
        <v>0</v>
      </c>
      <c r="L5774" t="n">
        <v>0</v>
      </c>
      <c r="M5774" t="n">
        <v>0</v>
      </c>
      <c r="N5774" t="n">
        <v>0</v>
      </c>
      <c r="O5774" t="n">
        <v>0</v>
      </c>
      <c r="P5774" t="n">
        <v>0</v>
      </c>
      <c r="Q5774" t="n">
        <v>0</v>
      </c>
      <c r="R5774" s="2" t="inlineStr"/>
    </row>
    <row r="5775" ht="15" customHeight="1">
      <c r="A5775" t="inlineStr">
        <is>
          <t>A 41525-2022</t>
        </is>
      </c>
      <c r="B5775" s="1" t="n">
        <v>44827</v>
      </c>
      <c r="C5775" s="1" t="n">
        <v>45344</v>
      </c>
      <c r="D5775" t="inlineStr">
        <is>
          <t>GÄVLEBORGS LÄN</t>
        </is>
      </c>
      <c r="E5775" t="inlineStr">
        <is>
          <t>LJUSDAL</t>
        </is>
      </c>
      <c r="F5775" t="inlineStr">
        <is>
          <t>Holmen skog AB</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41848-2022</t>
        </is>
      </c>
      <c r="B5776" s="1" t="n">
        <v>44828</v>
      </c>
      <c r="C5776" s="1" t="n">
        <v>45344</v>
      </c>
      <c r="D5776" t="inlineStr">
        <is>
          <t>GÄVLEBORGS LÄN</t>
        </is>
      </c>
      <c r="E5776" t="inlineStr">
        <is>
          <t>LJUSDAL</t>
        </is>
      </c>
      <c r="G5776" t="n">
        <v>4.8</v>
      </c>
      <c r="H5776" t="n">
        <v>0</v>
      </c>
      <c r="I5776" t="n">
        <v>0</v>
      </c>
      <c r="J5776" t="n">
        <v>0</v>
      </c>
      <c r="K5776" t="n">
        <v>0</v>
      </c>
      <c r="L5776" t="n">
        <v>0</v>
      </c>
      <c r="M5776" t="n">
        <v>0</v>
      </c>
      <c r="N5776" t="n">
        <v>0</v>
      </c>
      <c r="O5776" t="n">
        <v>0</v>
      </c>
      <c r="P5776" t="n">
        <v>0</v>
      </c>
      <c r="Q5776" t="n">
        <v>0</v>
      </c>
      <c r="R5776" s="2" t="inlineStr"/>
    </row>
    <row r="5777" ht="15" customHeight="1">
      <c r="A5777" t="inlineStr">
        <is>
          <t>A 41861-2022</t>
        </is>
      </c>
      <c r="B5777" s="1" t="n">
        <v>44829</v>
      </c>
      <c r="C5777" s="1" t="n">
        <v>45344</v>
      </c>
      <c r="D5777" t="inlineStr">
        <is>
          <t>GÄVLEBORGS LÄN</t>
        </is>
      </c>
      <c r="E5777" t="inlineStr">
        <is>
          <t>SANDVIKEN</t>
        </is>
      </c>
      <c r="F5777" t="inlineStr">
        <is>
          <t>Sveaskog</t>
        </is>
      </c>
      <c r="G5777" t="n">
        <v>18.2</v>
      </c>
      <c r="H5777" t="n">
        <v>0</v>
      </c>
      <c r="I5777" t="n">
        <v>0</v>
      </c>
      <c r="J5777" t="n">
        <v>0</v>
      </c>
      <c r="K5777" t="n">
        <v>0</v>
      </c>
      <c r="L5777" t="n">
        <v>0</v>
      </c>
      <c r="M5777" t="n">
        <v>0</v>
      </c>
      <c r="N5777" t="n">
        <v>0</v>
      </c>
      <c r="O5777" t="n">
        <v>0</v>
      </c>
      <c r="P5777" t="n">
        <v>0</v>
      </c>
      <c r="Q5777" t="n">
        <v>0</v>
      </c>
      <c r="R5777" s="2" t="inlineStr"/>
    </row>
    <row r="5778" ht="15" customHeight="1">
      <c r="A5778" t="inlineStr">
        <is>
          <t>A 41862-2022</t>
        </is>
      </c>
      <c r="B5778" s="1" t="n">
        <v>44829</v>
      </c>
      <c r="C5778" s="1" t="n">
        <v>45344</v>
      </c>
      <c r="D5778" t="inlineStr">
        <is>
          <t>GÄVLEBORGS LÄN</t>
        </is>
      </c>
      <c r="E5778" t="inlineStr">
        <is>
          <t>SANDVIKEN</t>
        </is>
      </c>
      <c r="F5778" t="inlineStr">
        <is>
          <t>Sveaskog</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41863-2022</t>
        </is>
      </c>
      <c r="B5779" s="1" t="n">
        <v>44829</v>
      </c>
      <c r="C5779" s="1" t="n">
        <v>45344</v>
      </c>
      <c r="D5779" t="inlineStr">
        <is>
          <t>GÄVLEBORGS LÄN</t>
        </is>
      </c>
      <c r="E5779" t="inlineStr">
        <is>
          <t>SANDVIKEN</t>
        </is>
      </c>
      <c r="F5779" t="inlineStr">
        <is>
          <t>Sveaskog</t>
        </is>
      </c>
      <c r="G5779" t="n">
        <v>4.7</v>
      </c>
      <c r="H5779" t="n">
        <v>0</v>
      </c>
      <c r="I5779" t="n">
        <v>0</v>
      </c>
      <c r="J5779" t="n">
        <v>0</v>
      </c>
      <c r="K5779" t="n">
        <v>0</v>
      </c>
      <c r="L5779" t="n">
        <v>0</v>
      </c>
      <c r="M5779" t="n">
        <v>0</v>
      </c>
      <c r="N5779" t="n">
        <v>0</v>
      </c>
      <c r="O5779" t="n">
        <v>0</v>
      </c>
      <c r="P5779" t="n">
        <v>0</v>
      </c>
      <c r="Q5779" t="n">
        <v>0</v>
      </c>
      <c r="R5779" s="2" t="inlineStr"/>
    </row>
    <row r="5780" ht="15" customHeight="1">
      <c r="A5780" t="inlineStr">
        <is>
          <t>A 41962-2022</t>
        </is>
      </c>
      <c r="B5780" s="1" t="n">
        <v>44830</v>
      </c>
      <c r="C5780" s="1" t="n">
        <v>45344</v>
      </c>
      <c r="D5780" t="inlineStr">
        <is>
          <t>GÄVLEBORGS LÄN</t>
        </is>
      </c>
      <c r="E5780" t="inlineStr">
        <is>
          <t>BOLLNÄS</t>
        </is>
      </c>
      <c r="G5780" t="n">
        <v>2</v>
      </c>
      <c r="H5780" t="n">
        <v>0</v>
      </c>
      <c r="I5780" t="n">
        <v>0</v>
      </c>
      <c r="J5780" t="n">
        <v>0</v>
      </c>
      <c r="K5780" t="n">
        <v>0</v>
      </c>
      <c r="L5780" t="n">
        <v>0</v>
      </c>
      <c r="M5780" t="n">
        <v>0</v>
      </c>
      <c r="N5780" t="n">
        <v>0</v>
      </c>
      <c r="O5780" t="n">
        <v>0</v>
      </c>
      <c r="P5780" t="n">
        <v>0</v>
      </c>
      <c r="Q5780" t="n">
        <v>0</v>
      </c>
      <c r="R5780" s="2" t="inlineStr"/>
    </row>
    <row r="5781" ht="15" customHeight="1">
      <c r="A5781" t="inlineStr">
        <is>
          <t>A 42118-2022</t>
        </is>
      </c>
      <c r="B5781" s="1" t="n">
        <v>44830</v>
      </c>
      <c r="C5781" s="1" t="n">
        <v>45344</v>
      </c>
      <c r="D5781" t="inlineStr">
        <is>
          <t>GÄVLEBORGS LÄN</t>
        </is>
      </c>
      <c r="E5781" t="inlineStr">
        <is>
          <t>NORDANSTIG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41960-2022</t>
        </is>
      </c>
      <c r="B5782" s="1" t="n">
        <v>44830</v>
      </c>
      <c r="C5782" s="1" t="n">
        <v>45344</v>
      </c>
      <c r="D5782" t="inlineStr">
        <is>
          <t>GÄVLEBORGS LÄN</t>
        </is>
      </c>
      <c r="E5782" t="inlineStr">
        <is>
          <t>BOLLNÄS</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42129-2022</t>
        </is>
      </c>
      <c r="B5783" s="1" t="n">
        <v>44830</v>
      </c>
      <c r="C5783" s="1" t="n">
        <v>45344</v>
      </c>
      <c r="D5783" t="inlineStr">
        <is>
          <t>GÄVLEBORGS LÄN</t>
        </is>
      </c>
      <c r="E5783" t="inlineStr">
        <is>
          <t>NORDANSTIG</t>
        </is>
      </c>
      <c r="F5783" t="inlineStr">
        <is>
          <t>Holmen skog AB</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42154-2022</t>
        </is>
      </c>
      <c r="B5784" s="1" t="n">
        <v>44830</v>
      </c>
      <c r="C5784" s="1" t="n">
        <v>45344</v>
      </c>
      <c r="D5784" t="inlineStr">
        <is>
          <t>GÄVLEBORGS LÄN</t>
        </is>
      </c>
      <c r="E5784" t="inlineStr">
        <is>
          <t>NORDANSTIG</t>
        </is>
      </c>
      <c r="F5784" t="inlineStr">
        <is>
          <t>Holmen skog AB</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42211-2022</t>
        </is>
      </c>
      <c r="B5785" s="1" t="n">
        <v>44830</v>
      </c>
      <c r="C5785" s="1" t="n">
        <v>45344</v>
      </c>
      <c r="D5785" t="inlineStr">
        <is>
          <t>GÄVLEBORGS LÄN</t>
        </is>
      </c>
      <c r="E5785" t="inlineStr">
        <is>
          <t>OVANÅKER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42192-2022</t>
        </is>
      </c>
      <c r="B5786" s="1" t="n">
        <v>44830</v>
      </c>
      <c r="C5786" s="1" t="n">
        <v>45344</v>
      </c>
      <c r="D5786" t="inlineStr">
        <is>
          <t>GÄVLEBORGS LÄN</t>
        </is>
      </c>
      <c r="E5786" t="inlineStr">
        <is>
          <t>GÄVLE</t>
        </is>
      </c>
      <c r="F5786" t="inlineStr">
        <is>
          <t>Bergvik skog väst AB</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42330-2022</t>
        </is>
      </c>
      <c r="B5787" s="1" t="n">
        <v>44831</v>
      </c>
      <c r="C5787" s="1" t="n">
        <v>45344</v>
      </c>
      <c r="D5787" t="inlineStr">
        <is>
          <t>GÄVLEBORGS LÄN</t>
        </is>
      </c>
      <c r="E5787" t="inlineStr">
        <is>
          <t>LJUSDAL</t>
        </is>
      </c>
      <c r="F5787" t="inlineStr">
        <is>
          <t>Bergvik skog väst AB</t>
        </is>
      </c>
      <c r="G5787" t="n">
        <v>2.8</v>
      </c>
      <c r="H5787" t="n">
        <v>0</v>
      </c>
      <c r="I5787" t="n">
        <v>0</v>
      </c>
      <c r="J5787" t="n">
        <v>0</v>
      </c>
      <c r="K5787" t="n">
        <v>0</v>
      </c>
      <c r="L5787" t="n">
        <v>0</v>
      </c>
      <c r="M5787" t="n">
        <v>0</v>
      </c>
      <c r="N5787" t="n">
        <v>0</v>
      </c>
      <c r="O5787" t="n">
        <v>0</v>
      </c>
      <c r="P5787" t="n">
        <v>0</v>
      </c>
      <c r="Q5787" t="n">
        <v>0</v>
      </c>
      <c r="R5787" s="2" t="inlineStr"/>
      <c r="U5787">
        <f>HYPERLINK("https://klasma.github.io/Logging_2161/knärot/A 42330-2022 karta knärot.png", "A 42330-2022")</f>
        <v/>
      </c>
      <c r="V5787">
        <f>HYPERLINK("https://klasma.github.io/Logging_2161/klagomål/A 42330-2022 FSC-klagomål.docx", "A 42330-2022")</f>
        <v/>
      </c>
      <c r="W5787">
        <f>HYPERLINK("https://klasma.github.io/Logging_2161/klagomålsmail/A 42330-2022 FSC-klagomål mail.docx", "A 42330-2022")</f>
        <v/>
      </c>
      <c r="X5787">
        <f>HYPERLINK("https://klasma.github.io/Logging_2161/tillsyn/A 42330-2022 tillsynsbegäran.docx", "A 42330-2022")</f>
        <v/>
      </c>
      <c r="Y5787">
        <f>HYPERLINK("https://klasma.github.io/Logging_2161/tillsynsmail/A 42330-2022 tillsynsbegäran mail.docx", "A 42330-2022")</f>
        <v/>
      </c>
    </row>
    <row r="5788" ht="15" customHeight="1">
      <c r="A5788" t="inlineStr">
        <is>
          <t>A 42353-2022</t>
        </is>
      </c>
      <c r="B5788" s="1" t="n">
        <v>44831</v>
      </c>
      <c r="C5788" s="1" t="n">
        <v>45344</v>
      </c>
      <c r="D5788" t="inlineStr">
        <is>
          <t>GÄVLEBORGS LÄN</t>
        </is>
      </c>
      <c r="E5788" t="inlineStr">
        <is>
          <t>HUDIKSVALL</t>
        </is>
      </c>
      <c r="F5788" t="inlineStr">
        <is>
          <t>Holmen skog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42404-2022</t>
        </is>
      </c>
      <c r="B5789" s="1" t="n">
        <v>44831</v>
      </c>
      <c r="C5789" s="1" t="n">
        <v>45344</v>
      </c>
      <c r="D5789" t="inlineStr">
        <is>
          <t>GÄVLEBORGS LÄN</t>
        </is>
      </c>
      <c r="E5789" t="inlineStr">
        <is>
          <t>NORDANSTIG</t>
        </is>
      </c>
      <c r="F5789" t="inlineStr">
        <is>
          <t>Holmen skog AB</t>
        </is>
      </c>
      <c r="G5789" t="n">
        <v>4.6</v>
      </c>
      <c r="H5789" t="n">
        <v>0</v>
      </c>
      <c r="I5789" t="n">
        <v>0</v>
      </c>
      <c r="J5789" t="n">
        <v>0</v>
      </c>
      <c r="K5789" t="n">
        <v>0</v>
      </c>
      <c r="L5789" t="n">
        <v>0</v>
      </c>
      <c r="M5789" t="n">
        <v>0</v>
      </c>
      <c r="N5789" t="n">
        <v>0</v>
      </c>
      <c r="O5789" t="n">
        <v>0</v>
      </c>
      <c r="P5789" t="n">
        <v>0</v>
      </c>
      <c r="Q5789" t="n">
        <v>0</v>
      </c>
      <c r="R5789" s="2" t="inlineStr"/>
    </row>
    <row r="5790" ht="15" customHeight="1">
      <c r="A5790" t="inlineStr">
        <is>
          <t>A 42469-2022</t>
        </is>
      </c>
      <c r="B5790" s="1" t="n">
        <v>44831</v>
      </c>
      <c r="C5790" s="1" t="n">
        <v>45344</v>
      </c>
      <c r="D5790" t="inlineStr">
        <is>
          <t>GÄVLEBORGS LÄN</t>
        </is>
      </c>
      <c r="E5790" t="inlineStr">
        <is>
          <t>NORDANSTIG</t>
        </is>
      </c>
      <c r="F5790" t="inlineStr">
        <is>
          <t>Holmen skog AB</t>
        </is>
      </c>
      <c r="G5790" t="n">
        <v>13.2</v>
      </c>
      <c r="H5790" t="n">
        <v>0</v>
      </c>
      <c r="I5790" t="n">
        <v>0</v>
      </c>
      <c r="J5790" t="n">
        <v>0</v>
      </c>
      <c r="K5790" t="n">
        <v>0</v>
      </c>
      <c r="L5790" t="n">
        <v>0</v>
      </c>
      <c r="M5790" t="n">
        <v>0</v>
      </c>
      <c r="N5790" t="n">
        <v>0</v>
      </c>
      <c r="O5790" t="n">
        <v>0</v>
      </c>
      <c r="P5790" t="n">
        <v>0</v>
      </c>
      <c r="Q5790" t="n">
        <v>0</v>
      </c>
      <c r="R5790" s="2" t="inlineStr"/>
    </row>
    <row r="5791" ht="15" customHeight="1">
      <c r="A5791" t="inlineStr">
        <is>
          <t>A 42507-2022</t>
        </is>
      </c>
      <c r="B5791" s="1" t="n">
        <v>44831</v>
      </c>
      <c r="C5791" s="1" t="n">
        <v>45344</v>
      </c>
      <c r="D5791" t="inlineStr">
        <is>
          <t>GÄVLEBORGS LÄN</t>
        </is>
      </c>
      <c r="E5791" t="inlineStr">
        <is>
          <t>HUDIKSVALL</t>
        </is>
      </c>
      <c r="F5791" t="inlineStr">
        <is>
          <t>Holmen skog AB</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42326-2022</t>
        </is>
      </c>
      <c r="B5792" s="1" t="n">
        <v>44831</v>
      </c>
      <c r="C5792" s="1" t="n">
        <v>45344</v>
      </c>
      <c r="D5792" t="inlineStr">
        <is>
          <t>GÄVLEBORGS LÄN</t>
        </is>
      </c>
      <c r="E5792" t="inlineStr">
        <is>
          <t>LJUSDAL</t>
        </is>
      </c>
      <c r="G5792" t="n">
        <v>4.7</v>
      </c>
      <c r="H5792" t="n">
        <v>0</v>
      </c>
      <c r="I5792" t="n">
        <v>0</v>
      </c>
      <c r="J5792" t="n">
        <v>0</v>
      </c>
      <c r="K5792" t="n">
        <v>0</v>
      </c>
      <c r="L5792" t="n">
        <v>0</v>
      </c>
      <c r="M5792" t="n">
        <v>0</v>
      </c>
      <c r="N5792" t="n">
        <v>0</v>
      </c>
      <c r="O5792" t="n">
        <v>0</v>
      </c>
      <c r="P5792" t="n">
        <v>0</v>
      </c>
      <c r="Q5792" t="n">
        <v>0</v>
      </c>
      <c r="R5792" s="2" t="inlineStr"/>
    </row>
    <row r="5793" ht="15" customHeight="1">
      <c r="A5793" t="inlineStr">
        <is>
          <t>A 42347-2022</t>
        </is>
      </c>
      <c r="B5793" s="1" t="n">
        <v>44831</v>
      </c>
      <c r="C5793" s="1" t="n">
        <v>45344</v>
      </c>
      <c r="D5793" t="inlineStr">
        <is>
          <t>GÄVLEBORGS LÄN</t>
        </is>
      </c>
      <c r="E5793" t="inlineStr">
        <is>
          <t>LJUSDAL</t>
        </is>
      </c>
      <c r="F5793" t="inlineStr">
        <is>
          <t>Bergvik skog väst AB</t>
        </is>
      </c>
      <c r="G5793" t="n">
        <v>14.1</v>
      </c>
      <c r="H5793" t="n">
        <v>0</v>
      </c>
      <c r="I5793" t="n">
        <v>0</v>
      </c>
      <c r="J5793" t="n">
        <v>0</v>
      </c>
      <c r="K5793" t="n">
        <v>0</v>
      </c>
      <c r="L5793" t="n">
        <v>0</v>
      </c>
      <c r="M5793" t="n">
        <v>0</v>
      </c>
      <c r="N5793" t="n">
        <v>0</v>
      </c>
      <c r="O5793" t="n">
        <v>0</v>
      </c>
      <c r="P5793" t="n">
        <v>0</v>
      </c>
      <c r="Q5793" t="n">
        <v>0</v>
      </c>
      <c r="R5793" s="2" t="inlineStr"/>
      <c r="U5793">
        <f>HYPERLINK("https://klasma.github.io/Logging_2161/knärot/A 42347-2022 karta knärot.png", "A 42347-2022")</f>
        <v/>
      </c>
      <c r="V5793">
        <f>HYPERLINK("https://klasma.github.io/Logging_2161/klagomål/A 42347-2022 FSC-klagomål.docx", "A 42347-2022")</f>
        <v/>
      </c>
      <c r="W5793">
        <f>HYPERLINK("https://klasma.github.io/Logging_2161/klagomålsmail/A 42347-2022 FSC-klagomål mail.docx", "A 42347-2022")</f>
        <v/>
      </c>
      <c r="X5793">
        <f>HYPERLINK("https://klasma.github.io/Logging_2161/tillsyn/A 42347-2022 tillsynsbegäran.docx", "A 42347-2022")</f>
        <v/>
      </c>
      <c r="Y5793">
        <f>HYPERLINK("https://klasma.github.io/Logging_2161/tillsynsmail/A 42347-2022 tillsynsbegäran mail.docx", "A 42347-2022")</f>
        <v/>
      </c>
    </row>
    <row r="5794" ht="15" customHeight="1">
      <c r="A5794" t="inlineStr">
        <is>
          <t>A 42392-2022</t>
        </is>
      </c>
      <c r="B5794" s="1" t="n">
        <v>44831</v>
      </c>
      <c r="C5794" s="1" t="n">
        <v>45344</v>
      </c>
      <c r="D5794" t="inlineStr">
        <is>
          <t>GÄVLEBORGS LÄN</t>
        </is>
      </c>
      <c r="E5794" t="inlineStr">
        <is>
          <t>BOLLNÄS</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42350-2022</t>
        </is>
      </c>
      <c r="B5795" s="1" t="n">
        <v>44831</v>
      </c>
      <c r="C5795" s="1" t="n">
        <v>45344</v>
      </c>
      <c r="D5795" t="inlineStr">
        <is>
          <t>GÄVLEBORGS LÄN</t>
        </is>
      </c>
      <c r="E5795" t="inlineStr">
        <is>
          <t>BOLLNÄS</t>
        </is>
      </c>
      <c r="G5795" t="n">
        <v>2.6</v>
      </c>
      <c r="H5795" t="n">
        <v>0</v>
      </c>
      <c r="I5795" t="n">
        <v>0</v>
      </c>
      <c r="J5795" t="n">
        <v>0</v>
      </c>
      <c r="K5795" t="n">
        <v>0</v>
      </c>
      <c r="L5795" t="n">
        <v>0</v>
      </c>
      <c r="M5795" t="n">
        <v>0</v>
      </c>
      <c r="N5795" t="n">
        <v>0</v>
      </c>
      <c r="O5795" t="n">
        <v>0</v>
      </c>
      <c r="P5795" t="n">
        <v>0</v>
      </c>
      <c r="Q5795" t="n">
        <v>0</v>
      </c>
      <c r="R5795" s="2" t="inlineStr"/>
    </row>
    <row r="5796" ht="15" customHeight="1">
      <c r="A5796" t="inlineStr">
        <is>
          <t>A 42325-2022</t>
        </is>
      </c>
      <c r="B5796" s="1" t="n">
        <v>44831</v>
      </c>
      <c r="C5796" s="1" t="n">
        <v>45344</v>
      </c>
      <c r="D5796" t="inlineStr">
        <is>
          <t>GÄVLEBORGS LÄN</t>
        </is>
      </c>
      <c r="E5796" t="inlineStr">
        <is>
          <t>BOLLNÄS</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42406-2022</t>
        </is>
      </c>
      <c r="B5797" s="1" t="n">
        <v>44831</v>
      </c>
      <c r="C5797" s="1" t="n">
        <v>45344</v>
      </c>
      <c r="D5797" t="inlineStr">
        <is>
          <t>GÄVLEBORGS LÄN</t>
        </is>
      </c>
      <c r="E5797" t="inlineStr">
        <is>
          <t>BOLLNÄS</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42629-2022</t>
        </is>
      </c>
      <c r="B5798" s="1" t="n">
        <v>44832</v>
      </c>
      <c r="C5798" s="1" t="n">
        <v>45344</v>
      </c>
      <c r="D5798" t="inlineStr">
        <is>
          <t>GÄVLEBORGS LÄN</t>
        </is>
      </c>
      <c r="E5798" t="inlineStr">
        <is>
          <t>NORDANSTIG</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42513-2022</t>
        </is>
      </c>
      <c r="B5799" s="1" t="n">
        <v>44831</v>
      </c>
      <c r="C5799" s="1" t="n">
        <v>45344</v>
      </c>
      <c r="D5799" t="inlineStr">
        <is>
          <t>GÄVLEBORGS LÄN</t>
        </is>
      </c>
      <c r="E5799" t="inlineStr">
        <is>
          <t>BOLLNÄS</t>
        </is>
      </c>
      <c r="G5799" t="n">
        <v>6.3</v>
      </c>
      <c r="H5799" t="n">
        <v>0</v>
      </c>
      <c r="I5799" t="n">
        <v>0</v>
      </c>
      <c r="J5799" t="n">
        <v>0</v>
      </c>
      <c r="K5799" t="n">
        <v>0</v>
      </c>
      <c r="L5799" t="n">
        <v>0</v>
      </c>
      <c r="M5799" t="n">
        <v>0</v>
      </c>
      <c r="N5799" t="n">
        <v>0</v>
      </c>
      <c r="O5799" t="n">
        <v>0</v>
      </c>
      <c r="P5799" t="n">
        <v>0</v>
      </c>
      <c r="Q5799" t="n">
        <v>0</v>
      </c>
      <c r="R5799" s="2" t="inlineStr"/>
    </row>
    <row r="5800" ht="15" customHeight="1">
      <c r="A5800" t="inlineStr">
        <is>
          <t>A 42519-2022</t>
        </is>
      </c>
      <c r="B5800" s="1" t="n">
        <v>44831</v>
      </c>
      <c r="C5800" s="1" t="n">
        <v>45344</v>
      </c>
      <c r="D5800" t="inlineStr">
        <is>
          <t>GÄVLEBORGS LÄN</t>
        </is>
      </c>
      <c r="E5800" t="inlineStr">
        <is>
          <t>BOLLNÄS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42630-2022</t>
        </is>
      </c>
      <c r="B5801" s="1" t="n">
        <v>44832</v>
      </c>
      <c r="C5801" s="1" t="n">
        <v>45344</v>
      </c>
      <c r="D5801" t="inlineStr">
        <is>
          <t>GÄVLEBORGS LÄN</t>
        </is>
      </c>
      <c r="E5801" t="inlineStr">
        <is>
          <t>NORDANSTIG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42683-2022</t>
        </is>
      </c>
      <c r="B5802" s="1" t="n">
        <v>44832</v>
      </c>
      <c r="C5802" s="1" t="n">
        <v>45344</v>
      </c>
      <c r="D5802" t="inlineStr">
        <is>
          <t>GÄVLEBORGS LÄN</t>
        </is>
      </c>
      <c r="E5802" t="inlineStr">
        <is>
          <t>HUDIKSVALL</t>
        </is>
      </c>
      <c r="F5802" t="inlineStr">
        <is>
          <t>Holmen skog AB</t>
        </is>
      </c>
      <c r="G5802" t="n">
        <v>23.4</v>
      </c>
      <c r="H5802" t="n">
        <v>0</v>
      </c>
      <c r="I5802" t="n">
        <v>0</v>
      </c>
      <c r="J5802" t="n">
        <v>0</v>
      </c>
      <c r="K5802" t="n">
        <v>0</v>
      </c>
      <c r="L5802" t="n">
        <v>0</v>
      </c>
      <c r="M5802" t="n">
        <v>0</v>
      </c>
      <c r="N5802" t="n">
        <v>0</v>
      </c>
      <c r="O5802" t="n">
        <v>0</v>
      </c>
      <c r="P5802" t="n">
        <v>0</v>
      </c>
      <c r="Q5802" t="n">
        <v>0</v>
      </c>
      <c r="R5802" s="2" t="inlineStr"/>
    </row>
    <row r="5803" ht="15" customHeight="1">
      <c r="A5803" t="inlineStr">
        <is>
          <t>A 42826-2022</t>
        </is>
      </c>
      <c r="B5803" s="1" t="n">
        <v>44832</v>
      </c>
      <c r="C5803" s="1" t="n">
        <v>45344</v>
      </c>
      <c r="D5803" t="inlineStr">
        <is>
          <t>GÄVLEBORGS LÄN</t>
        </is>
      </c>
      <c r="E5803" t="inlineStr">
        <is>
          <t>LJUSDAL</t>
        </is>
      </c>
      <c r="F5803" t="inlineStr">
        <is>
          <t>Bergvik skog väst AB</t>
        </is>
      </c>
      <c r="G5803" t="n">
        <v>5.4</v>
      </c>
      <c r="H5803" t="n">
        <v>0</v>
      </c>
      <c r="I5803" t="n">
        <v>0</v>
      </c>
      <c r="J5803" t="n">
        <v>0</v>
      </c>
      <c r="K5803" t="n">
        <v>0</v>
      </c>
      <c r="L5803" t="n">
        <v>0</v>
      </c>
      <c r="M5803" t="n">
        <v>0</v>
      </c>
      <c r="N5803" t="n">
        <v>0</v>
      </c>
      <c r="O5803" t="n">
        <v>0</v>
      </c>
      <c r="P5803" t="n">
        <v>0</v>
      </c>
      <c r="Q5803" t="n">
        <v>0</v>
      </c>
      <c r="R5803" s="2" t="inlineStr"/>
    </row>
    <row r="5804" ht="15" customHeight="1">
      <c r="A5804" t="inlineStr">
        <is>
          <t>A 42685-2022</t>
        </is>
      </c>
      <c r="B5804" s="1" t="n">
        <v>44832</v>
      </c>
      <c r="C5804" s="1" t="n">
        <v>45344</v>
      </c>
      <c r="D5804" t="inlineStr">
        <is>
          <t>GÄVLEBORGS LÄN</t>
        </is>
      </c>
      <c r="E5804" t="inlineStr">
        <is>
          <t>OVANÅKER</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42780-2022</t>
        </is>
      </c>
      <c r="B5805" s="1" t="n">
        <v>44832</v>
      </c>
      <c r="C5805" s="1" t="n">
        <v>45344</v>
      </c>
      <c r="D5805" t="inlineStr">
        <is>
          <t>GÄVLEBORGS LÄN</t>
        </is>
      </c>
      <c r="E5805" t="inlineStr">
        <is>
          <t>NORDANSTIG</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42839-2022</t>
        </is>
      </c>
      <c r="B5806" s="1" t="n">
        <v>44832</v>
      </c>
      <c r="C5806" s="1" t="n">
        <v>45344</v>
      </c>
      <c r="D5806" t="inlineStr">
        <is>
          <t>GÄVLEBORGS LÄN</t>
        </is>
      </c>
      <c r="E5806" t="inlineStr">
        <is>
          <t>LJUSDAL</t>
        </is>
      </c>
      <c r="F5806" t="inlineStr">
        <is>
          <t>Bergvik skog väst AB</t>
        </is>
      </c>
      <c r="G5806" t="n">
        <v>3.3</v>
      </c>
      <c r="H5806" t="n">
        <v>0</v>
      </c>
      <c r="I5806" t="n">
        <v>0</v>
      </c>
      <c r="J5806" t="n">
        <v>0</v>
      </c>
      <c r="K5806" t="n">
        <v>0</v>
      </c>
      <c r="L5806" t="n">
        <v>0</v>
      </c>
      <c r="M5806" t="n">
        <v>0</v>
      </c>
      <c r="N5806" t="n">
        <v>0</v>
      </c>
      <c r="O5806" t="n">
        <v>0</v>
      </c>
      <c r="P5806" t="n">
        <v>0</v>
      </c>
      <c r="Q5806" t="n">
        <v>0</v>
      </c>
      <c r="R5806" s="2" t="inlineStr"/>
    </row>
    <row r="5807" ht="15" customHeight="1">
      <c r="A5807" t="inlineStr">
        <is>
          <t>A 42915-2022</t>
        </is>
      </c>
      <c r="B5807" s="1" t="n">
        <v>44833</v>
      </c>
      <c r="C5807" s="1" t="n">
        <v>45344</v>
      </c>
      <c r="D5807" t="inlineStr">
        <is>
          <t>GÄVLEBORGS LÄN</t>
        </is>
      </c>
      <c r="E5807" t="inlineStr">
        <is>
          <t>LJUSDAL</t>
        </is>
      </c>
      <c r="F5807" t="inlineStr">
        <is>
          <t>Bergvik skog väst AB</t>
        </is>
      </c>
      <c r="G5807" t="n">
        <v>11.8</v>
      </c>
      <c r="H5807" t="n">
        <v>0</v>
      </c>
      <c r="I5807" t="n">
        <v>0</v>
      </c>
      <c r="J5807" t="n">
        <v>0</v>
      </c>
      <c r="K5807" t="n">
        <v>0</v>
      </c>
      <c r="L5807" t="n">
        <v>0</v>
      </c>
      <c r="M5807" t="n">
        <v>0</v>
      </c>
      <c r="N5807" t="n">
        <v>0</v>
      </c>
      <c r="O5807" t="n">
        <v>0</v>
      </c>
      <c r="P5807" t="n">
        <v>0</v>
      </c>
      <c r="Q5807" t="n">
        <v>0</v>
      </c>
      <c r="R5807" s="2" t="inlineStr"/>
    </row>
    <row r="5808" ht="15" customHeight="1">
      <c r="A5808" t="inlineStr">
        <is>
          <t>A 42961-2022</t>
        </is>
      </c>
      <c r="B5808" s="1" t="n">
        <v>44833</v>
      </c>
      <c r="C5808" s="1" t="n">
        <v>45344</v>
      </c>
      <c r="D5808" t="inlineStr">
        <is>
          <t>GÄVLEBORGS LÄN</t>
        </is>
      </c>
      <c r="E5808" t="inlineStr">
        <is>
          <t>LJUSDAL</t>
        </is>
      </c>
      <c r="F5808" t="inlineStr">
        <is>
          <t>Bergvik skog väst AB</t>
        </is>
      </c>
      <c r="G5808" t="n">
        <v>7.5</v>
      </c>
      <c r="H5808" t="n">
        <v>0</v>
      </c>
      <c r="I5808" t="n">
        <v>0</v>
      </c>
      <c r="J5808" t="n">
        <v>0</v>
      </c>
      <c r="K5808" t="n">
        <v>0</v>
      </c>
      <c r="L5808" t="n">
        <v>0</v>
      </c>
      <c r="M5808" t="n">
        <v>0</v>
      </c>
      <c r="N5808" t="n">
        <v>0</v>
      </c>
      <c r="O5808" t="n">
        <v>0</v>
      </c>
      <c r="P5808" t="n">
        <v>0</v>
      </c>
      <c r="Q5808" t="n">
        <v>0</v>
      </c>
      <c r="R5808" s="2" t="inlineStr"/>
    </row>
    <row r="5809" ht="15" customHeight="1">
      <c r="A5809" t="inlineStr">
        <is>
          <t>A 42972-2022</t>
        </is>
      </c>
      <c r="B5809" s="1" t="n">
        <v>44833</v>
      </c>
      <c r="C5809" s="1" t="n">
        <v>45344</v>
      </c>
      <c r="D5809" t="inlineStr">
        <is>
          <t>GÄVLEBORGS LÄN</t>
        </is>
      </c>
      <c r="E5809" t="inlineStr">
        <is>
          <t>LJUSDAL</t>
        </is>
      </c>
      <c r="F5809" t="inlineStr">
        <is>
          <t>Bergvik skog väst AB</t>
        </is>
      </c>
      <c r="G5809" t="n">
        <v>3.7</v>
      </c>
      <c r="H5809" t="n">
        <v>0</v>
      </c>
      <c r="I5809" t="n">
        <v>0</v>
      </c>
      <c r="J5809" t="n">
        <v>0</v>
      </c>
      <c r="K5809" t="n">
        <v>0</v>
      </c>
      <c r="L5809" t="n">
        <v>0</v>
      </c>
      <c r="M5809" t="n">
        <v>0</v>
      </c>
      <c r="N5809" t="n">
        <v>0</v>
      </c>
      <c r="O5809" t="n">
        <v>0</v>
      </c>
      <c r="P5809" t="n">
        <v>0</v>
      </c>
      <c r="Q5809" t="n">
        <v>0</v>
      </c>
      <c r="R5809" s="2" t="inlineStr"/>
    </row>
    <row r="5810" ht="15" customHeight="1">
      <c r="A5810" t="inlineStr">
        <is>
          <t>A 43016-2022</t>
        </is>
      </c>
      <c r="B5810" s="1" t="n">
        <v>44833</v>
      </c>
      <c r="C5810" s="1" t="n">
        <v>45344</v>
      </c>
      <c r="D5810" t="inlineStr">
        <is>
          <t>GÄVLEBORGS LÄN</t>
        </is>
      </c>
      <c r="E5810" t="inlineStr">
        <is>
          <t>LJUSDAL</t>
        </is>
      </c>
      <c r="F5810" t="inlineStr">
        <is>
          <t>Naturvårdsverket</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43024-2022</t>
        </is>
      </c>
      <c r="B5811" s="1" t="n">
        <v>44833</v>
      </c>
      <c r="C5811" s="1" t="n">
        <v>45344</v>
      </c>
      <c r="D5811" t="inlineStr">
        <is>
          <t>GÄVLEBORGS LÄN</t>
        </is>
      </c>
      <c r="E5811" t="inlineStr">
        <is>
          <t>LJUSDAL</t>
        </is>
      </c>
      <c r="G5811" t="n">
        <v>7.7</v>
      </c>
      <c r="H5811" t="n">
        <v>0</v>
      </c>
      <c r="I5811" t="n">
        <v>0</v>
      </c>
      <c r="J5811" t="n">
        <v>0</v>
      </c>
      <c r="K5811" t="n">
        <v>0</v>
      </c>
      <c r="L5811" t="n">
        <v>0</v>
      </c>
      <c r="M5811" t="n">
        <v>0</v>
      </c>
      <c r="N5811" t="n">
        <v>0</v>
      </c>
      <c r="O5811" t="n">
        <v>0</v>
      </c>
      <c r="P5811" t="n">
        <v>0</v>
      </c>
      <c r="Q5811" t="n">
        <v>0</v>
      </c>
      <c r="R5811" s="2" t="inlineStr"/>
    </row>
    <row r="5812" ht="15" customHeight="1">
      <c r="A5812" t="inlineStr">
        <is>
          <t>A 42947-2022</t>
        </is>
      </c>
      <c r="B5812" s="1" t="n">
        <v>44833</v>
      </c>
      <c r="C5812" s="1" t="n">
        <v>45344</v>
      </c>
      <c r="D5812" t="inlineStr">
        <is>
          <t>GÄVLEBORGS LÄN</t>
        </is>
      </c>
      <c r="E5812" t="inlineStr">
        <is>
          <t>NORDANSTIG</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42956-2022</t>
        </is>
      </c>
      <c r="B5813" s="1" t="n">
        <v>44833</v>
      </c>
      <c r="C5813" s="1" t="n">
        <v>45344</v>
      </c>
      <c r="D5813" t="inlineStr">
        <is>
          <t>GÄVLEBORGS LÄN</t>
        </is>
      </c>
      <c r="E5813" t="inlineStr">
        <is>
          <t>LJUSDAL</t>
        </is>
      </c>
      <c r="F5813" t="inlineStr">
        <is>
          <t>Bergvik skog väst AB</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43010-2022</t>
        </is>
      </c>
      <c r="B5814" s="1" t="n">
        <v>44833</v>
      </c>
      <c r="C5814" s="1" t="n">
        <v>45344</v>
      </c>
      <c r="D5814" t="inlineStr">
        <is>
          <t>GÄVLEBORGS LÄN</t>
        </is>
      </c>
      <c r="E5814" t="inlineStr">
        <is>
          <t>HUDIKSVALL</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42918-2022</t>
        </is>
      </c>
      <c r="B5815" s="1" t="n">
        <v>44833</v>
      </c>
      <c r="C5815" s="1" t="n">
        <v>45344</v>
      </c>
      <c r="D5815" t="inlineStr">
        <is>
          <t>GÄVLEBORGS LÄN</t>
        </is>
      </c>
      <c r="E5815" t="inlineStr">
        <is>
          <t>LJUSDAL</t>
        </is>
      </c>
      <c r="F5815" t="inlineStr">
        <is>
          <t>Bergvik skog väst AB</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42964-2022</t>
        </is>
      </c>
      <c r="B5816" s="1" t="n">
        <v>44833</v>
      </c>
      <c r="C5816" s="1" t="n">
        <v>45344</v>
      </c>
      <c r="D5816" t="inlineStr">
        <is>
          <t>GÄVLEBORGS LÄN</t>
        </is>
      </c>
      <c r="E5816" t="inlineStr">
        <is>
          <t>LJUSDAL</t>
        </is>
      </c>
      <c r="F5816" t="inlineStr">
        <is>
          <t>Bergvik skog väst AB</t>
        </is>
      </c>
      <c r="G5816" t="n">
        <v>3</v>
      </c>
      <c r="H5816" t="n">
        <v>0</v>
      </c>
      <c r="I5816" t="n">
        <v>0</v>
      </c>
      <c r="J5816" t="n">
        <v>0</v>
      </c>
      <c r="K5816" t="n">
        <v>0</v>
      </c>
      <c r="L5816" t="n">
        <v>0</v>
      </c>
      <c r="M5816" t="n">
        <v>0</v>
      </c>
      <c r="N5816" t="n">
        <v>0</v>
      </c>
      <c r="O5816" t="n">
        <v>0</v>
      </c>
      <c r="P5816" t="n">
        <v>0</v>
      </c>
      <c r="Q5816" t="n">
        <v>0</v>
      </c>
      <c r="R5816" s="2" t="inlineStr"/>
    </row>
    <row r="5817" ht="15" customHeight="1">
      <c r="A5817" t="inlineStr">
        <is>
          <t>A 42959-2022</t>
        </is>
      </c>
      <c r="B5817" s="1" t="n">
        <v>44833</v>
      </c>
      <c r="C5817" s="1" t="n">
        <v>45344</v>
      </c>
      <c r="D5817" t="inlineStr">
        <is>
          <t>GÄVLEBORGS LÄN</t>
        </is>
      </c>
      <c r="E5817" t="inlineStr">
        <is>
          <t>LJUSDAL</t>
        </is>
      </c>
      <c r="F5817" t="inlineStr">
        <is>
          <t>Bergvik skog väst AB</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42981-2022</t>
        </is>
      </c>
      <c r="B5818" s="1" t="n">
        <v>44833</v>
      </c>
      <c r="C5818" s="1" t="n">
        <v>45344</v>
      </c>
      <c r="D5818" t="inlineStr">
        <is>
          <t>GÄVLEBORGS LÄN</t>
        </is>
      </c>
      <c r="E5818" t="inlineStr">
        <is>
          <t>HUDIKSVALL</t>
        </is>
      </c>
      <c r="F5818" t="inlineStr">
        <is>
          <t>Holmen skog AB</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43023-2022</t>
        </is>
      </c>
      <c r="B5819" s="1" t="n">
        <v>44833</v>
      </c>
      <c r="C5819" s="1" t="n">
        <v>45344</v>
      </c>
      <c r="D5819" t="inlineStr">
        <is>
          <t>GÄVLEBORGS LÄN</t>
        </is>
      </c>
      <c r="E5819" t="inlineStr">
        <is>
          <t>LJUSDAL</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43077-2022</t>
        </is>
      </c>
      <c r="B5820" s="1" t="n">
        <v>44833</v>
      </c>
      <c r="C5820" s="1" t="n">
        <v>45344</v>
      </c>
      <c r="D5820" t="inlineStr">
        <is>
          <t>GÄVLEBORGS LÄN</t>
        </is>
      </c>
      <c r="E5820" t="inlineStr">
        <is>
          <t>LJUSDAL</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43060-2022</t>
        </is>
      </c>
      <c r="B5821" s="1" t="n">
        <v>44833</v>
      </c>
      <c r="C5821" s="1" t="n">
        <v>45344</v>
      </c>
      <c r="D5821" t="inlineStr">
        <is>
          <t>GÄVLEBORGS LÄN</t>
        </is>
      </c>
      <c r="E5821" t="inlineStr">
        <is>
          <t>LJUSDAL</t>
        </is>
      </c>
      <c r="G5821" t="n">
        <v>8.9</v>
      </c>
      <c r="H5821" t="n">
        <v>0</v>
      </c>
      <c r="I5821" t="n">
        <v>0</v>
      </c>
      <c r="J5821" t="n">
        <v>0</v>
      </c>
      <c r="K5821" t="n">
        <v>0</v>
      </c>
      <c r="L5821" t="n">
        <v>0</v>
      </c>
      <c r="M5821" t="n">
        <v>0</v>
      </c>
      <c r="N5821" t="n">
        <v>0</v>
      </c>
      <c r="O5821" t="n">
        <v>0</v>
      </c>
      <c r="P5821" t="n">
        <v>0</v>
      </c>
      <c r="Q5821" t="n">
        <v>0</v>
      </c>
      <c r="R5821" s="2" t="inlineStr"/>
    </row>
    <row r="5822" ht="15" customHeight="1">
      <c r="A5822" t="inlineStr">
        <is>
          <t>A 43090-2022</t>
        </is>
      </c>
      <c r="B5822" s="1" t="n">
        <v>44833</v>
      </c>
      <c r="C5822" s="1" t="n">
        <v>45344</v>
      </c>
      <c r="D5822" t="inlineStr">
        <is>
          <t>GÄVLEBORGS LÄN</t>
        </is>
      </c>
      <c r="E5822" t="inlineStr">
        <is>
          <t>LJUSDAL</t>
        </is>
      </c>
      <c r="F5822" t="inlineStr">
        <is>
          <t>Bergvik skog väst AB</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43423-2022</t>
        </is>
      </c>
      <c r="B5823" s="1" t="n">
        <v>44835</v>
      </c>
      <c r="C5823" s="1" t="n">
        <v>45344</v>
      </c>
      <c r="D5823" t="inlineStr">
        <is>
          <t>GÄVLEBORGS LÄN</t>
        </is>
      </c>
      <c r="E5823" t="inlineStr">
        <is>
          <t>LJUSDAL</t>
        </is>
      </c>
      <c r="F5823" t="inlineStr">
        <is>
          <t>SCA</t>
        </is>
      </c>
      <c r="G5823" t="n">
        <v>6.2</v>
      </c>
      <c r="H5823" t="n">
        <v>0</v>
      </c>
      <c r="I5823" t="n">
        <v>0</v>
      </c>
      <c r="J5823" t="n">
        <v>0</v>
      </c>
      <c r="K5823" t="n">
        <v>0</v>
      </c>
      <c r="L5823" t="n">
        <v>0</v>
      </c>
      <c r="M5823" t="n">
        <v>0</v>
      </c>
      <c r="N5823" t="n">
        <v>0</v>
      </c>
      <c r="O5823" t="n">
        <v>0</v>
      </c>
      <c r="P5823" t="n">
        <v>0</v>
      </c>
      <c r="Q5823" t="n">
        <v>0</v>
      </c>
      <c r="R5823" s="2" t="inlineStr"/>
    </row>
    <row r="5824" ht="15" customHeight="1">
      <c r="A5824" t="inlineStr">
        <is>
          <t>A 43425-2022</t>
        </is>
      </c>
      <c r="B5824" s="1" t="n">
        <v>44834</v>
      </c>
      <c r="C5824" s="1" t="n">
        <v>45344</v>
      </c>
      <c r="D5824" t="inlineStr">
        <is>
          <t>GÄVLEBORGS LÄN</t>
        </is>
      </c>
      <c r="E5824" t="inlineStr">
        <is>
          <t>LJUSDAL</t>
        </is>
      </c>
      <c r="F5824" t="inlineStr">
        <is>
          <t>SCA</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43505-2022</t>
        </is>
      </c>
      <c r="B5825" s="1" t="n">
        <v>44837</v>
      </c>
      <c r="C5825" s="1" t="n">
        <v>45344</v>
      </c>
      <c r="D5825" t="inlineStr">
        <is>
          <t>GÄVLEBORGS LÄN</t>
        </is>
      </c>
      <c r="E5825" t="inlineStr">
        <is>
          <t>LJUSDAL</t>
        </is>
      </c>
      <c r="F5825" t="inlineStr">
        <is>
          <t>Naturvårdsverket</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43490-2022</t>
        </is>
      </c>
      <c r="B5826" s="1" t="n">
        <v>44837</v>
      </c>
      <c r="C5826" s="1" t="n">
        <v>45344</v>
      </c>
      <c r="D5826" t="inlineStr">
        <is>
          <t>GÄVLEBORGS LÄN</t>
        </is>
      </c>
      <c r="E5826" t="inlineStr">
        <is>
          <t>SÖDERHAMN</t>
        </is>
      </c>
      <c r="G5826" t="n">
        <v>3.5</v>
      </c>
      <c r="H5826" t="n">
        <v>0</v>
      </c>
      <c r="I5826" t="n">
        <v>0</v>
      </c>
      <c r="J5826" t="n">
        <v>0</v>
      </c>
      <c r="K5826" t="n">
        <v>0</v>
      </c>
      <c r="L5826" t="n">
        <v>0</v>
      </c>
      <c r="M5826" t="n">
        <v>0</v>
      </c>
      <c r="N5826" t="n">
        <v>0</v>
      </c>
      <c r="O5826" t="n">
        <v>0</v>
      </c>
      <c r="P5826" t="n">
        <v>0</v>
      </c>
      <c r="Q5826" t="n">
        <v>0</v>
      </c>
      <c r="R5826" s="2" t="inlineStr"/>
    </row>
    <row r="5827" ht="15" customHeight="1">
      <c r="A5827" t="inlineStr">
        <is>
          <t>A 43523-2022</t>
        </is>
      </c>
      <c r="B5827" s="1" t="n">
        <v>44837</v>
      </c>
      <c r="C5827" s="1" t="n">
        <v>45344</v>
      </c>
      <c r="D5827" t="inlineStr">
        <is>
          <t>GÄVLEBORGS LÄN</t>
        </is>
      </c>
      <c r="E5827" t="inlineStr">
        <is>
          <t>LJUSDAL</t>
        </is>
      </c>
      <c r="G5827" t="n">
        <v>22.4</v>
      </c>
      <c r="H5827" t="n">
        <v>0</v>
      </c>
      <c r="I5827" t="n">
        <v>0</v>
      </c>
      <c r="J5827" t="n">
        <v>0</v>
      </c>
      <c r="K5827" t="n">
        <v>0</v>
      </c>
      <c r="L5827" t="n">
        <v>0</v>
      </c>
      <c r="M5827" t="n">
        <v>0</v>
      </c>
      <c r="N5827" t="n">
        <v>0</v>
      </c>
      <c r="O5827" t="n">
        <v>0</v>
      </c>
      <c r="P5827" t="n">
        <v>0</v>
      </c>
      <c r="Q5827" t="n">
        <v>0</v>
      </c>
      <c r="R5827" s="2" t="inlineStr"/>
    </row>
    <row r="5828" ht="15" customHeight="1">
      <c r="A5828" t="inlineStr">
        <is>
          <t>A 43537-2022</t>
        </is>
      </c>
      <c r="B5828" s="1" t="n">
        <v>44837</v>
      </c>
      <c r="C5828" s="1" t="n">
        <v>45344</v>
      </c>
      <c r="D5828" t="inlineStr">
        <is>
          <t>GÄVLEBORGS LÄN</t>
        </is>
      </c>
      <c r="E5828" t="inlineStr">
        <is>
          <t>LJUSDAL</t>
        </is>
      </c>
      <c r="F5828" t="inlineStr">
        <is>
          <t>Naturvårdsverket</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43610-2022</t>
        </is>
      </c>
      <c r="B5829" s="1" t="n">
        <v>44837</v>
      </c>
      <c r="C5829" s="1" t="n">
        <v>45344</v>
      </c>
      <c r="D5829" t="inlineStr">
        <is>
          <t>GÄVLEBORGS LÄN</t>
        </is>
      </c>
      <c r="E5829" t="inlineStr">
        <is>
          <t>HOFORS</t>
        </is>
      </c>
      <c r="F5829" t="inlineStr">
        <is>
          <t>Sveaskog</t>
        </is>
      </c>
      <c r="G5829" t="n">
        <v>17.6</v>
      </c>
      <c r="H5829" t="n">
        <v>0</v>
      </c>
      <c r="I5829" t="n">
        <v>0</v>
      </c>
      <c r="J5829" t="n">
        <v>0</v>
      </c>
      <c r="K5829" t="n">
        <v>0</v>
      </c>
      <c r="L5829" t="n">
        <v>0</v>
      </c>
      <c r="M5829" t="n">
        <v>0</v>
      </c>
      <c r="N5829" t="n">
        <v>0</v>
      </c>
      <c r="O5829" t="n">
        <v>0</v>
      </c>
      <c r="P5829" t="n">
        <v>0</v>
      </c>
      <c r="Q5829" t="n">
        <v>0</v>
      </c>
      <c r="R5829" s="2" t="inlineStr"/>
    </row>
    <row r="5830" ht="15" customHeight="1">
      <c r="A5830" t="inlineStr">
        <is>
          <t>A 43659-2022</t>
        </is>
      </c>
      <c r="B5830" s="1" t="n">
        <v>44837</v>
      </c>
      <c r="C5830" s="1" t="n">
        <v>45344</v>
      </c>
      <c r="D5830" t="inlineStr">
        <is>
          <t>GÄVLEBORGS LÄN</t>
        </is>
      </c>
      <c r="E5830" t="inlineStr">
        <is>
          <t>OCKELBO</t>
        </is>
      </c>
      <c r="F5830" t="inlineStr">
        <is>
          <t>Bergvik skog väst AB</t>
        </is>
      </c>
      <c r="G5830" t="n">
        <v>9.1</v>
      </c>
      <c r="H5830" t="n">
        <v>0</v>
      </c>
      <c r="I5830" t="n">
        <v>0</v>
      </c>
      <c r="J5830" t="n">
        <v>0</v>
      </c>
      <c r="K5830" t="n">
        <v>0</v>
      </c>
      <c r="L5830" t="n">
        <v>0</v>
      </c>
      <c r="M5830" t="n">
        <v>0</v>
      </c>
      <c r="N5830" t="n">
        <v>0</v>
      </c>
      <c r="O5830" t="n">
        <v>0</v>
      </c>
      <c r="P5830" t="n">
        <v>0</v>
      </c>
      <c r="Q5830" t="n">
        <v>0</v>
      </c>
      <c r="R5830" s="2" t="inlineStr"/>
    </row>
    <row r="5831" ht="15" customHeight="1">
      <c r="A5831" t="inlineStr">
        <is>
          <t>A 43698-2022</t>
        </is>
      </c>
      <c r="B5831" s="1" t="n">
        <v>44837</v>
      </c>
      <c r="C5831" s="1" t="n">
        <v>45344</v>
      </c>
      <c r="D5831" t="inlineStr">
        <is>
          <t>GÄVLEBORGS LÄN</t>
        </is>
      </c>
      <c r="E5831" t="inlineStr">
        <is>
          <t>SÖDERHAMN</t>
        </is>
      </c>
      <c r="G5831" t="n">
        <v>6.4</v>
      </c>
      <c r="H5831" t="n">
        <v>0</v>
      </c>
      <c r="I5831" t="n">
        <v>0</v>
      </c>
      <c r="J5831" t="n">
        <v>0</v>
      </c>
      <c r="K5831" t="n">
        <v>0</v>
      </c>
      <c r="L5831" t="n">
        <v>0</v>
      </c>
      <c r="M5831" t="n">
        <v>0</v>
      </c>
      <c r="N5831" t="n">
        <v>0</v>
      </c>
      <c r="O5831" t="n">
        <v>0</v>
      </c>
      <c r="P5831" t="n">
        <v>0</v>
      </c>
      <c r="Q5831" t="n">
        <v>0</v>
      </c>
      <c r="R5831" s="2" t="inlineStr"/>
    </row>
    <row r="5832" ht="15" customHeight="1">
      <c r="A5832" t="inlineStr">
        <is>
          <t>A 43631-2022</t>
        </is>
      </c>
      <c r="B5832" s="1" t="n">
        <v>44837</v>
      </c>
      <c r="C5832" s="1" t="n">
        <v>45344</v>
      </c>
      <c r="D5832" t="inlineStr">
        <is>
          <t>GÄVLEBORGS LÄN</t>
        </is>
      </c>
      <c r="E5832" t="inlineStr">
        <is>
          <t>HOFORS</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43603-2022</t>
        </is>
      </c>
      <c r="B5833" s="1" t="n">
        <v>44837</v>
      </c>
      <c r="C5833" s="1" t="n">
        <v>45344</v>
      </c>
      <c r="D5833" t="inlineStr">
        <is>
          <t>GÄVLEBORGS LÄN</t>
        </is>
      </c>
      <c r="E5833" t="inlineStr">
        <is>
          <t>HOFORS</t>
        </is>
      </c>
      <c r="F5833" t="inlineStr">
        <is>
          <t>Sveaskog</t>
        </is>
      </c>
      <c r="G5833" t="n">
        <v>11.9</v>
      </c>
      <c r="H5833" t="n">
        <v>0</v>
      </c>
      <c r="I5833" t="n">
        <v>0</v>
      </c>
      <c r="J5833" t="n">
        <v>0</v>
      </c>
      <c r="K5833" t="n">
        <v>0</v>
      </c>
      <c r="L5833" t="n">
        <v>0</v>
      </c>
      <c r="M5833" t="n">
        <v>0</v>
      </c>
      <c r="N5833" t="n">
        <v>0</v>
      </c>
      <c r="O5833" t="n">
        <v>0</v>
      </c>
      <c r="P5833" t="n">
        <v>0</v>
      </c>
      <c r="Q5833" t="n">
        <v>0</v>
      </c>
      <c r="R5833" s="2" t="inlineStr"/>
    </row>
    <row r="5834" ht="15" customHeight="1">
      <c r="A5834" t="inlineStr">
        <is>
          <t>A 43670-2022</t>
        </is>
      </c>
      <c r="B5834" s="1" t="n">
        <v>44837</v>
      </c>
      <c r="C5834" s="1" t="n">
        <v>45344</v>
      </c>
      <c r="D5834" t="inlineStr">
        <is>
          <t>GÄVLEBORGS LÄN</t>
        </is>
      </c>
      <c r="E5834" t="inlineStr">
        <is>
          <t>SÖDERHAMN</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43578-2022</t>
        </is>
      </c>
      <c r="B5835" s="1" t="n">
        <v>44837</v>
      </c>
      <c r="C5835" s="1" t="n">
        <v>45344</v>
      </c>
      <c r="D5835" t="inlineStr">
        <is>
          <t>GÄVLEBORGS LÄN</t>
        </is>
      </c>
      <c r="E5835" t="inlineStr">
        <is>
          <t>HUDIKSVALL</t>
        </is>
      </c>
      <c r="F5835" t="inlineStr">
        <is>
          <t>Holmen skog AB</t>
        </is>
      </c>
      <c r="G5835" t="n">
        <v>8.1</v>
      </c>
      <c r="H5835" t="n">
        <v>0</v>
      </c>
      <c r="I5835" t="n">
        <v>0</v>
      </c>
      <c r="J5835" t="n">
        <v>0</v>
      </c>
      <c r="K5835" t="n">
        <v>0</v>
      </c>
      <c r="L5835" t="n">
        <v>0</v>
      </c>
      <c r="M5835" t="n">
        <v>0</v>
      </c>
      <c r="N5835" t="n">
        <v>0</v>
      </c>
      <c r="O5835" t="n">
        <v>0</v>
      </c>
      <c r="P5835" t="n">
        <v>0</v>
      </c>
      <c r="Q5835" t="n">
        <v>0</v>
      </c>
      <c r="R5835" s="2" t="inlineStr"/>
    </row>
    <row r="5836" ht="15" customHeight="1">
      <c r="A5836" t="inlineStr">
        <is>
          <t>A 43723-2022</t>
        </is>
      </c>
      <c r="B5836" s="1" t="n">
        <v>44837</v>
      </c>
      <c r="C5836" s="1" t="n">
        <v>45344</v>
      </c>
      <c r="D5836" t="inlineStr">
        <is>
          <t>GÄVLEBORGS LÄN</t>
        </is>
      </c>
      <c r="E5836" t="inlineStr">
        <is>
          <t>SÖDERHAMN</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43875-2022</t>
        </is>
      </c>
      <c r="B5837" s="1" t="n">
        <v>44837</v>
      </c>
      <c r="C5837" s="1" t="n">
        <v>45344</v>
      </c>
      <c r="D5837" t="inlineStr">
        <is>
          <t>GÄVLEBORGS LÄN</t>
        </is>
      </c>
      <c r="E5837" t="inlineStr">
        <is>
          <t>SÖDERHAMN</t>
        </is>
      </c>
      <c r="G5837" t="n">
        <v>15.1</v>
      </c>
      <c r="H5837" t="n">
        <v>0</v>
      </c>
      <c r="I5837" t="n">
        <v>0</v>
      </c>
      <c r="J5837" t="n">
        <v>0</v>
      </c>
      <c r="K5837" t="n">
        <v>0</v>
      </c>
      <c r="L5837" t="n">
        <v>0</v>
      </c>
      <c r="M5837" t="n">
        <v>0</v>
      </c>
      <c r="N5837" t="n">
        <v>0</v>
      </c>
      <c r="O5837" t="n">
        <v>0</v>
      </c>
      <c r="P5837" t="n">
        <v>0</v>
      </c>
      <c r="Q5837" t="n">
        <v>0</v>
      </c>
      <c r="R5837" s="2" t="inlineStr"/>
    </row>
    <row r="5838" ht="15" customHeight="1">
      <c r="A5838" t="inlineStr">
        <is>
          <t>A 43799-2022</t>
        </is>
      </c>
      <c r="B5838" s="1" t="n">
        <v>44838</v>
      </c>
      <c r="C5838" s="1" t="n">
        <v>45344</v>
      </c>
      <c r="D5838" t="inlineStr">
        <is>
          <t>GÄVLEBORGS LÄN</t>
        </is>
      </c>
      <c r="E5838" t="inlineStr">
        <is>
          <t>OCKELBO</t>
        </is>
      </c>
      <c r="G5838" t="n">
        <v>3.7</v>
      </c>
      <c r="H5838" t="n">
        <v>0</v>
      </c>
      <c r="I5838" t="n">
        <v>0</v>
      </c>
      <c r="J5838" t="n">
        <v>0</v>
      </c>
      <c r="K5838" t="n">
        <v>0</v>
      </c>
      <c r="L5838" t="n">
        <v>0</v>
      </c>
      <c r="M5838" t="n">
        <v>0</v>
      </c>
      <c r="N5838" t="n">
        <v>0</v>
      </c>
      <c r="O5838" t="n">
        <v>0</v>
      </c>
      <c r="P5838" t="n">
        <v>0</v>
      </c>
      <c r="Q5838" t="n">
        <v>0</v>
      </c>
      <c r="R5838" s="2" t="inlineStr"/>
    </row>
    <row r="5839" ht="15" customHeight="1">
      <c r="A5839" t="inlineStr">
        <is>
          <t>A 43936-2022</t>
        </is>
      </c>
      <c r="B5839" s="1" t="n">
        <v>44838</v>
      </c>
      <c r="C5839" s="1" t="n">
        <v>45344</v>
      </c>
      <c r="D5839" t="inlineStr">
        <is>
          <t>GÄVLEBORGS LÄN</t>
        </is>
      </c>
      <c r="E5839" t="inlineStr">
        <is>
          <t>SÖDERHAMN</t>
        </is>
      </c>
      <c r="G5839" t="n">
        <v>0.4</v>
      </c>
      <c r="H5839" t="n">
        <v>0</v>
      </c>
      <c r="I5839" t="n">
        <v>0</v>
      </c>
      <c r="J5839" t="n">
        <v>0</v>
      </c>
      <c r="K5839" t="n">
        <v>0</v>
      </c>
      <c r="L5839" t="n">
        <v>0</v>
      </c>
      <c r="M5839" t="n">
        <v>0</v>
      </c>
      <c r="N5839" t="n">
        <v>0</v>
      </c>
      <c r="O5839" t="n">
        <v>0</v>
      </c>
      <c r="P5839" t="n">
        <v>0</v>
      </c>
      <c r="Q5839" t="n">
        <v>0</v>
      </c>
      <c r="R5839" s="2" t="inlineStr"/>
    </row>
    <row r="5840" ht="15" customHeight="1">
      <c r="A5840" t="inlineStr">
        <is>
          <t>A 43800-2022</t>
        </is>
      </c>
      <c r="B5840" s="1" t="n">
        <v>44838</v>
      </c>
      <c r="C5840" s="1" t="n">
        <v>45344</v>
      </c>
      <c r="D5840" t="inlineStr">
        <is>
          <t>GÄVLEBORGS LÄN</t>
        </is>
      </c>
      <c r="E5840" t="inlineStr">
        <is>
          <t>OCKELBO</t>
        </is>
      </c>
      <c r="G5840" t="n">
        <v>5.2</v>
      </c>
      <c r="H5840" t="n">
        <v>0</v>
      </c>
      <c r="I5840" t="n">
        <v>0</v>
      </c>
      <c r="J5840" t="n">
        <v>0</v>
      </c>
      <c r="K5840" t="n">
        <v>0</v>
      </c>
      <c r="L5840" t="n">
        <v>0</v>
      </c>
      <c r="M5840" t="n">
        <v>0</v>
      </c>
      <c r="N5840" t="n">
        <v>0</v>
      </c>
      <c r="O5840" t="n">
        <v>0</v>
      </c>
      <c r="P5840" t="n">
        <v>0</v>
      </c>
      <c r="Q5840" t="n">
        <v>0</v>
      </c>
      <c r="R5840" s="2" t="inlineStr"/>
    </row>
    <row r="5841" ht="15" customHeight="1">
      <c r="A5841" t="inlineStr">
        <is>
          <t>A 43853-2022</t>
        </is>
      </c>
      <c r="B5841" s="1" t="n">
        <v>44838</v>
      </c>
      <c r="C5841" s="1" t="n">
        <v>45344</v>
      </c>
      <c r="D5841" t="inlineStr">
        <is>
          <t>GÄVLEBORGS LÄN</t>
        </is>
      </c>
      <c r="E5841" t="inlineStr">
        <is>
          <t>NORDANSTIG</t>
        </is>
      </c>
      <c r="F5841" t="inlineStr">
        <is>
          <t>Holmen skog AB</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43803-2022</t>
        </is>
      </c>
      <c r="B5842" s="1" t="n">
        <v>44838</v>
      </c>
      <c r="C5842" s="1" t="n">
        <v>45344</v>
      </c>
      <c r="D5842" t="inlineStr">
        <is>
          <t>GÄVLEBORGS LÄN</t>
        </is>
      </c>
      <c r="E5842" t="inlineStr">
        <is>
          <t>HUDIKSVALL</t>
        </is>
      </c>
      <c r="F5842" t="inlineStr">
        <is>
          <t>Holmen skog AB</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43802-2022</t>
        </is>
      </c>
      <c r="B5843" s="1" t="n">
        <v>44838</v>
      </c>
      <c r="C5843" s="1" t="n">
        <v>45344</v>
      </c>
      <c r="D5843" t="inlineStr">
        <is>
          <t>GÄVLEBORGS LÄN</t>
        </is>
      </c>
      <c r="E5843" t="inlineStr">
        <is>
          <t>OCKELBO</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44027-2022</t>
        </is>
      </c>
      <c r="B5844" s="1" t="n">
        <v>44839</v>
      </c>
      <c r="C5844" s="1" t="n">
        <v>45344</v>
      </c>
      <c r="D5844" t="inlineStr">
        <is>
          <t>GÄVLEBORGS LÄN</t>
        </is>
      </c>
      <c r="E5844" t="inlineStr">
        <is>
          <t>LJUSDAL</t>
        </is>
      </c>
      <c r="G5844" t="n">
        <v>4.4</v>
      </c>
      <c r="H5844" t="n">
        <v>0</v>
      </c>
      <c r="I5844" t="n">
        <v>0</v>
      </c>
      <c r="J5844" t="n">
        <v>0</v>
      </c>
      <c r="K5844" t="n">
        <v>0</v>
      </c>
      <c r="L5844" t="n">
        <v>0</v>
      </c>
      <c r="M5844" t="n">
        <v>0</v>
      </c>
      <c r="N5844" t="n">
        <v>0</v>
      </c>
      <c r="O5844" t="n">
        <v>0</v>
      </c>
      <c r="P5844" t="n">
        <v>0</v>
      </c>
      <c r="Q5844" t="n">
        <v>0</v>
      </c>
      <c r="R5844" s="2" t="inlineStr"/>
    </row>
    <row r="5845" ht="15" customHeight="1">
      <c r="A5845" t="inlineStr">
        <is>
          <t>A 44032-2022</t>
        </is>
      </c>
      <c r="B5845" s="1" t="n">
        <v>44838</v>
      </c>
      <c r="C5845" s="1" t="n">
        <v>45344</v>
      </c>
      <c r="D5845" t="inlineStr">
        <is>
          <t>GÄVLEBORGS LÄN</t>
        </is>
      </c>
      <c r="E5845" t="inlineStr">
        <is>
          <t>LJUSDAL</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44048-2022</t>
        </is>
      </c>
      <c r="B5846" s="1" t="n">
        <v>44839</v>
      </c>
      <c r="C5846" s="1" t="n">
        <v>45344</v>
      </c>
      <c r="D5846" t="inlineStr">
        <is>
          <t>GÄVLEBORGS LÄN</t>
        </is>
      </c>
      <c r="E5846" t="inlineStr">
        <is>
          <t>LJUSDAL</t>
        </is>
      </c>
      <c r="F5846" t="inlineStr">
        <is>
          <t>SCA</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44028-2022</t>
        </is>
      </c>
      <c r="B5847" s="1" t="n">
        <v>44838</v>
      </c>
      <c r="C5847" s="1" t="n">
        <v>45344</v>
      </c>
      <c r="D5847" t="inlineStr">
        <is>
          <t>GÄVLEBORGS LÄN</t>
        </is>
      </c>
      <c r="E5847" t="inlineStr">
        <is>
          <t>LJUSDAL</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44041-2022</t>
        </is>
      </c>
      <c r="B5848" s="1" t="n">
        <v>44839</v>
      </c>
      <c r="C5848" s="1" t="n">
        <v>45344</v>
      </c>
      <c r="D5848" t="inlineStr">
        <is>
          <t>GÄVLEBORGS LÄN</t>
        </is>
      </c>
      <c r="E5848" t="inlineStr">
        <is>
          <t>LJUSDAL</t>
        </is>
      </c>
      <c r="F5848" t="inlineStr">
        <is>
          <t>Naturvårdsverket</t>
        </is>
      </c>
      <c r="G5848" t="n">
        <v>2.5</v>
      </c>
      <c r="H5848" t="n">
        <v>0</v>
      </c>
      <c r="I5848" t="n">
        <v>0</v>
      </c>
      <c r="J5848" t="n">
        <v>0</v>
      </c>
      <c r="K5848" t="n">
        <v>0</v>
      </c>
      <c r="L5848" t="n">
        <v>0</v>
      </c>
      <c r="M5848" t="n">
        <v>0</v>
      </c>
      <c r="N5848" t="n">
        <v>0</v>
      </c>
      <c r="O5848" t="n">
        <v>0</v>
      </c>
      <c r="P5848" t="n">
        <v>0</v>
      </c>
      <c r="Q5848" t="n">
        <v>0</v>
      </c>
      <c r="R5848" s="2" t="inlineStr"/>
    </row>
    <row r="5849" ht="15" customHeight="1">
      <c r="A5849" t="inlineStr">
        <is>
          <t>A 44058-2022</t>
        </is>
      </c>
      <c r="B5849" s="1" t="n">
        <v>44839</v>
      </c>
      <c r="C5849" s="1" t="n">
        <v>45344</v>
      </c>
      <c r="D5849" t="inlineStr">
        <is>
          <t>GÄVLEBORGS LÄN</t>
        </is>
      </c>
      <c r="E5849" t="inlineStr">
        <is>
          <t>HUDIKSVALL</t>
        </is>
      </c>
      <c r="F5849" t="inlineStr">
        <is>
          <t>Holmen skog AB</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44090-2022</t>
        </is>
      </c>
      <c r="B5850" s="1" t="n">
        <v>44839</v>
      </c>
      <c r="C5850" s="1" t="n">
        <v>45344</v>
      </c>
      <c r="D5850" t="inlineStr">
        <is>
          <t>GÄVLEBORGS LÄN</t>
        </is>
      </c>
      <c r="E5850" t="inlineStr">
        <is>
          <t>HUDIKSVALL</t>
        </is>
      </c>
      <c r="G5850" t="n">
        <v>6.9</v>
      </c>
      <c r="H5850" t="n">
        <v>0</v>
      </c>
      <c r="I5850" t="n">
        <v>0</v>
      </c>
      <c r="J5850" t="n">
        <v>0</v>
      </c>
      <c r="K5850" t="n">
        <v>0</v>
      </c>
      <c r="L5850" t="n">
        <v>0</v>
      </c>
      <c r="M5850" t="n">
        <v>0</v>
      </c>
      <c r="N5850" t="n">
        <v>0</v>
      </c>
      <c r="O5850" t="n">
        <v>0</v>
      </c>
      <c r="P5850" t="n">
        <v>0</v>
      </c>
      <c r="Q5850" t="n">
        <v>0</v>
      </c>
      <c r="R5850" s="2" t="inlineStr"/>
    </row>
    <row r="5851" ht="15" customHeight="1">
      <c r="A5851" t="inlineStr">
        <is>
          <t>A 44168-2022</t>
        </is>
      </c>
      <c r="B5851" s="1" t="n">
        <v>44839</v>
      </c>
      <c r="C5851" s="1" t="n">
        <v>45344</v>
      </c>
      <c r="D5851" t="inlineStr">
        <is>
          <t>GÄVLEBORGS LÄN</t>
        </is>
      </c>
      <c r="E5851" t="inlineStr">
        <is>
          <t>HUDIKSVALL</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44092-2022</t>
        </is>
      </c>
      <c r="B5852" s="1" t="n">
        <v>44839</v>
      </c>
      <c r="C5852" s="1" t="n">
        <v>45344</v>
      </c>
      <c r="D5852" t="inlineStr">
        <is>
          <t>GÄVLEBORGS LÄN</t>
        </is>
      </c>
      <c r="E5852" t="inlineStr">
        <is>
          <t>OVANÅKER</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44120-2022</t>
        </is>
      </c>
      <c r="B5853" s="1" t="n">
        <v>44839</v>
      </c>
      <c r="C5853" s="1" t="n">
        <v>45344</v>
      </c>
      <c r="D5853" t="inlineStr">
        <is>
          <t>GÄVLEBORGS LÄN</t>
        </is>
      </c>
      <c r="E5853" t="inlineStr">
        <is>
          <t>BOLLNÄS</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44151-2022</t>
        </is>
      </c>
      <c r="B5854" s="1" t="n">
        <v>44839</v>
      </c>
      <c r="C5854" s="1" t="n">
        <v>45344</v>
      </c>
      <c r="D5854" t="inlineStr">
        <is>
          <t>GÄVLEBORGS LÄN</t>
        </is>
      </c>
      <c r="E5854" t="inlineStr">
        <is>
          <t>BOLLNÄS</t>
        </is>
      </c>
      <c r="G5854" t="n">
        <v>1.4</v>
      </c>
      <c r="H5854" t="n">
        <v>0</v>
      </c>
      <c r="I5854" t="n">
        <v>0</v>
      </c>
      <c r="J5854" t="n">
        <v>0</v>
      </c>
      <c r="K5854" t="n">
        <v>0</v>
      </c>
      <c r="L5854" t="n">
        <v>0</v>
      </c>
      <c r="M5854" t="n">
        <v>0</v>
      </c>
      <c r="N5854" t="n">
        <v>0</v>
      </c>
      <c r="O5854" t="n">
        <v>0</v>
      </c>
      <c r="P5854" t="n">
        <v>0</v>
      </c>
      <c r="Q5854" t="n">
        <v>0</v>
      </c>
      <c r="R5854" s="2" t="inlineStr"/>
    </row>
    <row r="5855" ht="15" customHeight="1">
      <c r="A5855" t="inlineStr">
        <is>
          <t>A 44177-2022</t>
        </is>
      </c>
      <c r="B5855" s="1" t="n">
        <v>44839</v>
      </c>
      <c r="C5855" s="1" t="n">
        <v>45344</v>
      </c>
      <c r="D5855" t="inlineStr">
        <is>
          <t>GÄVLEBORGS LÄN</t>
        </is>
      </c>
      <c r="E5855" t="inlineStr">
        <is>
          <t>BOLLNÄS</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44181-2022</t>
        </is>
      </c>
      <c r="B5856" s="1" t="n">
        <v>44839</v>
      </c>
      <c r="C5856" s="1" t="n">
        <v>45344</v>
      </c>
      <c r="D5856" t="inlineStr">
        <is>
          <t>GÄVLEBORGS LÄN</t>
        </is>
      </c>
      <c r="E5856" t="inlineStr">
        <is>
          <t>HUDIKSVALL</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44426-2022</t>
        </is>
      </c>
      <c r="B5857" s="1" t="n">
        <v>44840</v>
      </c>
      <c r="C5857" s="1" t="n">
        <v>45344</v>
      </c>
      <c r="D5857" t="inlineStr">
        <is>
          <t>GÄVLEBORGS LÄN</t>
        </is>
      </c>
      <c r="E5857" t="inlineStr">
        <is>
          <t>HUDIKSVALL</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44310-2022</t>
        </is>
      </c>
      <c r="B5858" s="1" t="n">
        <v>44839</v>
      </c>
      <c r="C5858" s="1" t="n">
        <v>45344</v>
      </c>
      <c r="D5858" t="inlineStr">
        <is>
          <t>GÄVLEBORGS LÄN</t>
        </is>
      </c>
      <c r="E5858" t="inlineStr">
        <is>
          <t>OVANÅKER</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44425-2022</t>
        </is>
      </c>
      <c r="B5859" s="1" t="n">
        <v>44840</v>
      </c>
      <c r="C5859" s="1" t="n">
        <v>45344</v>
      </c>
      <c r="D5859" t="inlineStr">
        <is>
          <t>GÄVLEBORGS LÄN</t>
        </is>
      </c>
      <c r="E5859" t="inlineStr">
        <is>
          <t>HUDIKSVALL</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44178-2022</t>
        </is>
      </c>
      <c r="B5860" s="1" t="n">
        <v>44839</v>
      </c>
      <c r="C5860" s="1" t="n">
        <v>45344</v>
      </c>
      <c r="D5860" t="inlineStr">
        <is>
          <t>GÄVLEBORGS LÄN</t>
        </is>
      </c>
      <c r="E5860" t="inlineStr">
        <is>
          <t>HUDIKSVALL</t>
        </is>
      </c>
      <c r="G5860" t="n">
        <v>5.6</v>
      </c>
      <c r="H5860" t="n">
        <v>0</v>
      </c>
      <c r="I5860" t="n">
        <v>0</v>
      </c>
      <c r="J5860" t="n">
        <v>0</v>
      </c>
      <c r="K5860" t="n">
        <v>0</v>
      </c>
      <c r="L5860" t="n">
        <v>0</v>
      </c>
      <c r="M5860" t="n">
        <v>0</v>
      </c>
      <c r="N5860" t="n">
        <v>0</v>
      </c>
      <c r="O5860" t="n">
        <v>0</v>
      </c>
      <c r="P5860" t="n">
        <v>0</v>
      </c>
      <c r="Q5860" t="n">
        <v>0</v>
      </c>
      <c r="R5860" s="2" t="inlineStr"/>
    </row>
    <row r="5861" ht="15" customHeight="1">
      <c r="A5861" t="inlineStr">
        <is>
          <t>A 44281-2022</t>
        </is>
      </c>
      <c r="B5861" s="1" t="n">
        <v>44839</v>
      </c>
      <c r="C5861" s="1" t="n">
        <v>45344</v>
      </c>
      <c r="D5861" t="inlineStr">
        <is>
          <t>GÄVLEBORGS LÄN</t>
        </is>
      </c>
      <c r="E5861" t="inlineStr">
        <is>
          <t>OCKELBO</t>
        </is>
      </c>
      <c r="F5861" t="inlineStr">
        <is>
          <t>Bergvik skog väst AB</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44287-2022</t>
        </is>
      </c>
      <c r="B5862" s="1" t="n">
        <v>44839</v>
      </c>
      <c r="C5862" s="1" t="n">
        <v>45344</v>
      </c>
      <c r="D5862" t="inlineStr">
        <is>
          <t>GÄVLEBORGS LÄN</t>
        </is>
      </c>
      <c r="E5862" t="inlineStr">
        <is>
          <t>HUDIKSVALL</t>
        </is>
      </c>
      <c r="F5862" t="inlineStr">
        <is>
          <t>Holmen skog AB</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44427-2022</t>
        </is>
      </c>
      <c r="B5863" s="1" t="n">
        <v>44840</v>
      </c>
      <c r="C5863" s="1" t="n">
        <v>45344</v>
      </c>
      <c r="D5863" t="inlineStr">
        <is>
          <t>GÄVLEBORGS LÄN</t>
        </is>
      </c>
      <c r="E5863" t="inlineStr">
        <is>
          <t>HUDIKSVALL</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44655-2022</t>
        </is>
      </c>
      <c r="B5864" s="1" t="n">
        <v>44840</v>
      </c>
      <c r="C5864" s="1" t="n">
        <v>45344</v>
      </c>
      <c r="D5864" t="inlineStr">
        <is>
          <t>GÄVLEBORGS LÄN</t>
        </is>
      </c>
      <c r="E5864" t="inlineStr">
        <is>
          <t>BOLLNÄS</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44594-2022</t>
        </is>
      </c>
      <c r="B5865" s="1" t="n">
        <v>44840</v>
      </c>
      <c r="C5865" s="1" t="n">
        <v>45344</v>
      </c>
      <c r="D5865" t="inlineStr">
        <is>
          <t>GÄVLEBORGS LÄN</t>
        </is>
      </c>
      <c r="E5865" t="inlineStr">
        <is>
          <t>OVANÅKER</t>
        </is>
      </c>
      <c r="G5865" t="n">
        <v>5</v>
      </c>
      <c r="H5865" t="n">
        <v>0</v>
      </c>
      <c r="I5865" t="n">
        <v>0</v>
      </c>
      <c r="J5865" t="n">
        <v>0</v>
      </c>
      <c r="K5865" t="n">
        <v>0</v>
      </c>
      <c r="L5865" t="n">
        <v>0</v>
      </c>
      <c r="M5865" t="n">
        <v>0</v>
      </c>
      <c r="N5865" t="n">
        <v>0</v>
      </c>
      <c r="O5865" t="n">
        <v>0</v>
      </c>
      <c r="P5865" t="n">
        <v>0</v>
      </c>
      <c r="Q5865" t="n">
        <v>0</v>
      </c>
      <c r="R5865" s="2" t="inlineStr"/>
    </row>
    <row r="5866" ht="15" customHeight="1">
      <c r="A5866" t="inlineStr">
        <is>
          <t>A 44658-2022</t>
        </is>
      </c>
      <c r="B5866" s="1" t="n">
        <v>44840</v>
      </c>
      <c r="C5866" s="1" t="n">
        <v>45344</v>
      </c>
      <c r="D5866" t="inlineStr">
        <is>
          <t>GÄVLEBORGS LÄN</t>
        </is>
      </c>
      <c r="E5866" t="inlineStr">
        <is>
          <t>LJUSDAL</t>
        </is>
      </c>
      <c r="F5866" t="inlineStr">
        <is>
          <t>Bergvik skog väst AB</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44680-2022</t>
        </is>
      </c>
      <c r="B5867" s="1" t="n">
        <v>44840</v>
      </c>
      <c r="C5867" s="1" t="n">
        <v>45344</v>
      </c>
      <c r="D5867" t="inlineStr">
        <is>
          <t>GÄVLEBORGS LÄN</t>
        </is>
      </c>
      <c r="E5867" t="inlineStr">
        <is>
          <t>LJUSDAL</t>
        </is>
      </c>
      <c r="F5867" t="inlineStr">
        <is>
          <t>Holmen skog AB</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44765-2022</t>
        </is>
      </c>
      <c r="B5868" s="1" t="n">
        <v>44841</v>
      </c>
      <c r="C5868" s="1" t="n">
        <v>45344</v>
      </c>
      <c r="D5868" t="inlineStr">
        <is>
          <t>GÄVLEBORGS LÄN</t>
        </is>
      </c>
      <c r="E5868" t="inlineStr">
        <is>
          <t>NORDANSTIG</t>
        </is>
      </c>
      <c r="F5868" t="inlineStr">
        <is>
          <t>SCA</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44636-2022</t>
        </is>
      </c>
      <c r="B5869" s="1" t="n">
        <v>44840</v>
      </c>
      <c r="C5869" s="1" t="n">
        <v>45344</v>
      </c>
      <c r="D5869" t="inlineStr">
        <is>
          <t>GÄVLEBORGS LÄN</t>
        </is>
      </c>
      <c r="E5869" t="inlineStr">
        <is>
          <t>LJUSDAL</t>
        </is>
      </c>
      <c r="F5869" t="inlineStr">
        <is>
          <t>Bergvik skog väst AB</t>
        </is>
      </c>
      <c r="G5869" t="n">
        <v>4.2</v>
      </c>
      <c r="H5869" t="n">
        <v>0</v>
      </c>
      <c r="I5869" t="n">
        <v>0</v>
      </c>
      <c r="J5869" t="n">
        <v>0</v>
      </c>
      <c r="K5869" t="n">
        <v>0</v>
      </c>
      <c r="L5869" t="n">
        <v>0</v>
      </c>
      <c r="M5869" t="n">
        <v>0</v>
      </c>
      <c r="N5869" t="n">
        <v>0</v>
      </c>
      <c r="O5869" t="n">
        <v>0</v>
      </c>
      <c r="P5869" t="n">
        <v>0</v>
      </c>
      <c r="Q5869" t="n">
        <v>0</v>
      </c>
      <c r="R5869" s="2" t="inlineStr"/>
    </row>
    <row r="5870" ht="15" customHeight="1">
      <c r="A5870" t="inlineStr">
        <is>
          <t>A 44715-2022</t>
        </is>
      </c>
      <c r="B5870" s="1" t="n">
        <v>44840</v>
      </c>
      <c r="C5870" s="1" t="n">
        <v>45344</v>
      </c>
      <c r="D5870" t="inlineStr">
        <is>
          <t>GÄVLEBORGS LÄN</t>
        </is>
      </c>
      <c r="E5870" t="inlineStr">
        <is>
          <t>BOLLNÄS</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45223-2022</t>
        </is>
      </c>
      <c r="B5871" s="1" t="n">
        <v>44840</v>
      </c>
      <c r="C5871" s="1" t="n">
        <v>45344</v>
      </c>
      <c r="D5871" t="inlineStr">
        <is>
          <t>GÄVLEBORGS LÄN</t>
        </is>
      </c>
      <c r="E5871" t="inlineStr">
        <is>
          <t>GÄVLE</t>
        </is>
      </c>
      <c r="F5871" t="inlineStr">
        <is>
          <t>Bergvik skog väst AB</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45280-2022</t>
        </is>
      </c>
      <c r="B5872" s="1" t="n">
        <v>44840</v>
      </c>
      <c r="C5872" s="1" t="n">
        <v>45344</v>
      </c>
      <c r="D5872" t="inlineStr">
        <is>
          <t>GÄVLEBORGS LÄN</t>
        </is>
      </c>
      <c r="E5872" t="inlineStr">
        <is>
          <t>GÄVLE</t>
        </is>
      </c>
      <c r="F5872" t="inlineStr">
        <is>
          <t>Bergvik skog väst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44794-2022</t>
        </is>
      </c>
      <c r="B5873" s="1" t="n">
        <v>44841</v>
      </c>
      <c r="C5873" s="1" t="n">
        <v>45344</v>
      </c>
      <c r="D5873" t="inlineStr">
        <is>
          <t>GÄVLEBORGS LÄN</t>
        </is>
      </c>
      <c r="E5873" t="inlineStr">
        <is>
          <t>OVANÅKER</t>
        </is>
      </c>
      <c r="G5873" t="n">
        <v>4.4</v>
      </c>
      <c r="H5873" t="n">
        <v>0</v>
      </c>
      <c r="I5873" t="n">
        <v>0</v>
      </c>
      <c r="J5873" t="n">
        <v>0</v>
      </c>
      <c r="K5873" t="n">
        <v>0</v>
      </c>
      <c r="L5873" t="n">
        <v>0</v>
      </c>
      <c r="M5873" t="n">
        <v>0</v>
      </c>
      <c r="N5873" t="n">
        <v>0</v>
      </c>
      <c r="O5873" t="n">
        <v>0</v>
      </c>
      <c r="P5873" t="n">
        <v>0</v>
      </c>
      <c r="Q5873" t="n">
        <v>0</v>
      </c>
      <c r="R5873" s="2" t="inlineStr"/>
    </row>
    <row r="5874" ht="15" customHeight="1">
      <c r="A5874" t="inlineStr">
        <is>
          <t>A 44807-2022</t>
        </is>
      </c>
      <c r="B5874" s="1" t="n">
        <v>44841</v>
      </c>
      <c r="C5874" s="1" t="n">
        <v>45344</v>
      </c>
      <c r="D5874" t="inlineStr">
        <is>
          <t>GÄVLEBORGS LÄN</t>
        </is>
      </c>
      <c r="E5874" t="inlineStr">
        <is>
          <t>NORDANSTIG</t>
        </is>
      </c>
      <c r="F5874" t="inlineStr">
        <is>
          <t>Holmen skog AB</t>
        </is>
      </c>
      <c r="G5874" t="n">
        <v>2.1</v>
      </c>
      <c r="H5874" t="n">
        <v>0</v>
      </c>
      <c r="I5874" t="n">
        <v>0</v>
      </c>
      <c r="J5874" t="n">
        <v>0</v>
      </c>
      <c r="K5874" t="n">
        <v>0</v>
      </c>
      <c r="L5874" t="n">
        <v>0</v>
      </c>
      <c r="M5874" t="n">
        <v>0</v>
      </c>
      <c r="N5874" t="n">
        <v>0</v>
      </c>
      <c r="O5874" t="n">
        <v>0</v>
      </c>
      <c r="P5874" t="n">
        <v>0</v>
      </c>
      <c r="Q5874" t="n">
        <v>0</v>
      </c>
      <c r="R5874" s="2" t="inlineStr"/>
    </row>
    <row r="5875" ht="15" customHeight="1">
      <c r="A5875" t="inlineStr">
        <is>
          <t>A 44776-2022</t>
        </is>
      </c>
      <c r="B5875" s="1" t="n">
        <v>44841</v>
      </c>
      <c r="C5875" s="1" t="n">
        <v>45344</v>
      </c>
      <c r="D5875" t="inlineStr">
        <is>
          <t>GÄVLEBORGS LÄN</t>
        </is>
      </c>
      <c r="E5875" t="inlineStr">
        <is>
          <t>NORDANSTIG</t>
        </is>
      </c>
      <c r="F5875" t="inlineStr">
        <is>
          <t>Holmen skog AB</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44938-2022</t>
        </is>
      </c>
      <c r="B5876" s="1" t="n">
        <v>44841</v>
      </c>
      <c r="C5876" s="1" t="n">
        <v>45344</v>
      </c>
      <c r="D5876" t="inlineStr">
        <is>
          <t>GÄVLEBORGS LÄN</t>
        </is>
      </c>
      <c r="E5876" t="inlineStr">
        <is>
          <t>GÄVLE</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44929-2022</t>
        </is>
      </c>
      <c r="B5877" s="1" t="n">
        <v>44841</v>
      </c>
      <c r="C5877" s="1" t="n">
        <v>45344</v>
      </c>
      <c r="D5877" t="inlineStr">
        <is>
          <t>GÄVLEBORGS LÄN</t>
        </is>
      </c>
      <c r="E5877" t="inlineStr">
        <is>
          <t>OCKELBO</t>
        </is>
      </c>
      <c r="F5877" t="inlineStr">
        <is>
          <t>Bergvik skog väst AB</t>
        </is>
      </c>
      <c r="G5877" t="n">
        <v>7.3</v>
      </c>
      <c r="H5877" t="n">
        <v>0</v>
      </c>
      <c r="I5877" t="n">
        <v>0</v>
      </c>
      <c r="J5877" t="n">
        <v>0</v>
      </c>
      <c r="K5877" t="n">
        <v>0</v>
      </c>
      <c r="L5877" t="n">
        <v>0</v>
      </c>
      <c r="M5877" t="n">
        <v>0</v>
      </c>
      <c r="N5877" t="n">
        <v>0</v>
      </c>
      <c r="O5877" t="n">
        <v>0</v>
      </c>
      <c r="P5877" t="n">
        <v>0</v>
      </c>
      <c r="Q5877" t="n">
        <v>0</v>
      </c>
      <c r="R5877" s="2" t="inlineStr"/>
    </row>
    <row r="5878" ht="15" customHeight="1">
      <c r="A5878" t="inlineStr">
        <is>
          <t>A 45054-2022</t>
        </is>
      </c>
      <c r="B5878" s="1" t="n">
        <v>44841</v>
      </c>
      <c r="C5878" s="1" t="n">
        <v>45344</v>
      </c>
      <c r="D5878" t="inlineStr">
        <is>
          <t>GÄVLEBORGS LÄN</t>
        </is>
      </c>
      <c r="E5878" t="inlineStr">
        <is>
          <t>LJUSDAL</t>
        </is>
      </c>
      <c r="F5878" t="inlineStr">
        <is>
          <t>Sveaskog</t>
        </is>
      </c>
      <c r="G5878" t="n">
        <v>11.6</v>
      </c>
      <c r="H5878" t="n">
        <v>0</v>
      </c>
      <c r="I5878" t="n">
        <v>0</v>
      </c>
      <c r="J5878" t="n">
        <v>0</v>
      </c>
      <c r="K5878" t="n">
        <v>0</v>
      </c>
      <c r="L5878" t="n">
        <v>0</v>
      </c>
      <c r="M5878" t="n">
        <v>0</v>
      </c>
      <c r="N5878" t="n">
        <v>0</v>
      </c>
      <c r="O5878" t="n">
        <v>0</v>
      </c>
      <c r="P5878" t="n">
        <v>0</v>
      </c>
      <c r="Q5878" t="n">
        <v>0</v>
      </c>
      <c r="R5878" s="2" t="inlineStr"/>
    </row>
    <row r="5879" ht="15" customHeight="1">
      <c r="A5879" t="inlineStr">
        <is>
          <t>A 44922-2022</t>
        </is>
      </c>
      <c r="B5879" s="1" t="n">
        <v>44841</v>
      </c>
      <c r="C5879" s="1" t="n">
        <v>45344</v>
      </c>
      <c r="D5879" t="inlineStr">
        <is>
          <t>GÄVLEBORGS LÄN</t>
        </is>
      </c>
      <c r="E5879" t="inlineStr">
        <is>
          <t>BOLLNÄS</t>
        </is>
      </c>
      <c r="G5879" t="n">
        <v>1.5</v>
      </c>
      <c r="H5879" t="n">
        <v>0</v>
      </c>
      <c r="I5879" t="n">
        <v>0</v>
      </c>
      <c r="J5879" t="n">
        <v>0</v>
      </c>
      <c r="K5879" t="n">
        <v>0</v>
      </c>
      <c r="L5879" t="n">
        <v>0</v>
      </c>
      <c r="M5879" t="n">
        <v>0</v>
      </c>
      <c r="N5879" t="n">
        <v>0</v>
      </c>
      <c r="O5879" t="n">
        <v>0</v>
      </c>
      <c r="P5879" t="n">
        <v>0</v>
      </c>
      <c r="Q5879" t="n">
        <v>0</v>
      </c>
      <c r="R5879" s="2" t="inlineStr"/>
    </row>
    <row r="5880" ht="15" customHeight="1">
      <c r="A5880" t="inlineStr">
        <is>
          <t>A 45494-2022</t>
        </is>
      </c>
      <c r="B5880" s="1" t="n">
        <v>44841</v>
      </c>
      <c r="C5880" s="1" t="n">
        <v>45344</v>
      </c>
      <c r="D5880" t="inlineStr">
        <is>
          <t>GÄVLEBORGS LÄN</t>
        </is>
      </c>
      <c r="E5880" t="inlineStr">
        <is>
          <t>SÖDERHAMN</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45102-2022</t>
        </is>
      </c>
      <c r="B5881" s="1" t="n">
        <v>44843</v>
      </c>
      <c r="C5881" s="1" t="n">
        <v>45344</v>
      </c>
      <c r="D5881" t="inlineStr">
        <is>
          <t>GÄVLEBORGS LÄN</t>
        </is>
      </c>
      <c r="E5881" t="inlineStr">
        <is>
          <t>SANDVIKEN</t>
        </is>
      </c>
      <c r="G5881" t="n">
        <v>3.6</v>
      </c>
      <c r="H5881" t="n">
        <v>0</v>
      </c>
      <c r="I5881" t="n">
        <v>0</v>
      </c>
      <c r="J5881" t="n">
        <v>0</v>
      </c>
      <c r="K5881" t="n">
        <v>0</v>
      </c>
      <c r="L5881" t="n">
        <v>0</v>
      </c>
      <c r="M5881" t="n">
        <v>0</v>
      </c>
      <c r="N5881" t="n">
        <v>0</v>
      </c>
      <c r="O5881" t="n">
        <v>0</v>
      </c>
      <c r="P5881" t="n">
        <v>0</v>
      </c>
      <c r="Q5881" t="n">
        <v>0</v>
      </c>
      <c r="R5881" s="2" t="inlineStr"/>
    </row>
    <row r="5882" ht="15" customHeight="1">
      <c r="A5882" t="inlineStr">
        <is>
          <t>A 45116-2022</t>
        </is>
      </c>
      <c r="B5882" s="1" t="n">
        <v>44844</v>
      </c>
      <c r="C5882" s="1" t="n">
        <v>45344</v>
      </c>
      <c r="D5882" t="inlineStr">
        <is>
          <t>GÄVLEBORGS LÄN</t>
        </is>
      </c>
      <c r="E5882" t="inlineStr">
        <is>
          <t>LJUSDAL</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45310-2022</t>
        </is>
      </c>
      <c r="B5883" s="1" t="n">
        <v>44844</v>
      </c>
      <c r="C5883" s="1" t="n">
        <v>45344</v>
      </c>
      <c r="D5883" t="inlineStr">
        <is>
          <t>GÄVLEBORGS LÄN</t>
        </is>
      </c>
      <c r="E5883" t="inlineStr">
        <is>
          <t>NORDANSTIG</t>
        </is>
      </c>
      <c r="F5883" t="inlineStr">
        <is>
          <t>Holmen skog AB</t>
        </is>
      </c>
      <c r="G5883" t="n">
        <v>4.5</v>
      </c>
      <c r="H5883" t="n">
        <v>0</v>
      </c>
      <c r="I5883" t="n">
        <v>0</v>
      </c>
      <c r="J5883" t="n">
        <v>0</v>
      </c>
      <c r="K5883" t="n">
        <v>0</v>
      </c>
      <c r="L5883" t="n">
        <v>0</v>
      </c>
      <c r="M5883" t="n">
        <v>0</v>
      </c>
      <c r="N5883" t="n">
        <v>0</v>
      </c>
      <c r="O5883" t="n">
        <v>0</v>
      </c>
      <c r="P5883" t="n">
        <v>0</v>
      </c>
      <c r="Q5883" t="n">
        <v>0</v>
      </c>
      <c r="R5883" s="2" t="inlineStr"/>
    </row>
    <row r="5884" ht="15" customHeight="1">
      <c r="A5884" t="inlineStr">
        <is>
          <t>A 45414-2022</t>
        </is>
      </c>
      <c r="B5884" s="1" t="n">
        <v>44844</v>
      </c>
      <c r="C5884" s="1" t="n">
        <v>45344</v>
      </c>
      <c r="D5884" t="inlineStr">
        <is>
          <t>GÄVLEBORGS LÄN</t>
        </is>
      </c>
      <c r="E5884" t="inlineStr">
        <is>
          <t>LJUSDAL</t>
        </is>
      </c>
      <c r="F5884" t="inlineStr">
        <is>
          <t>Sveaskog</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45353-2022</t>
        </is>
      </c>
      <c r="B5885" s="1" t="n">
        <v>44844</v>
      </c>
      <c r="C5885" s="1" t="n">
        <v>45344</v>
      </c>
      <c r="D5885" t="inlineStr">
        <is>
          <t>GÄVLEBORGS LÄN</t>
        </is>
      </c>
      <c r="E5885" t="inlineStr">
        <is>
          <t>OCKELBO</t>
        </is>
      </c>
      <c r="F5885" t="inlineStr">
        <is>
          <t>Bergvik skog väst AB</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45456-2022</t>
        </is>
      </c>
      <c r="B5886" s="1" t="n">
        <v>44845</v>
      </c>
      <c r="C5886" s="1" t="n">
        <v>45344</v>
      </c>
      <c r="D5886" t="inlineStr">
        <is>
          <t>GÄVLEBORGS LÄN</t>
        </is>
      </c>
      <c r="E5886" t="inlineStr">
        <is>
          <t>OVANÅKER</t>
        </is>
      </c>
      <c r="F5886" t="inlineStr">
        <is>
          <t>Kyrkan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45519-2022</t>
        </is>
      </c>
      <c r="B5887" s="1" t="n">
        <v>44845</v>
      </c>
      <c r="C5887" s="1" t="n">
        <v>45344</v>
      </c>
      <c r="D5887" t="inlineStr">
        <is>
          <t>GÄVLEBORGS LÄN</t>
        </is>
      </c>
      <c r="E5887" t="inlineStr">
        <is>
          <t>OCKELBO</t>
        </is>
      </c>
      <c r="F5887" t="inlineStr">
        <is>
          <t>Bergvik skog väst AB</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45528-2022</t>
        </is>
      </c>
      <c r="B5888" s="1" t="n">
        <v>44845</v>
      </c>
      <c r="C5888" s="1" t="n">
        <v>45344</v>
      </c>
      <c r="D5888" t="inlineStr">
        <is>
          <t>GÄVLEBORGS LÄN</t>
        </is>
      </c>
      <c r="E5888" t="inlineStr">
        <is>
          <t>OVANÅKER</t>
        </is>
      </c>
      <c r="F5888" t="inlineStr">
        <is>
          <t>Sveaskog</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45483-2022</t>
        </is>
      </c>
      <c r="B5889" s="1" t="n">
        <v>44845</v>
      </c>
      <c r="C5889" s="1" t="n">
        <v>45344</v>
      </c>
      <c r="D5889" t="inlineStr">
        <is>
          <t>GÄVLEBORGS LÄN</t>
        </is>
      </c>
      <c r="E5889" t="inlineStr">
        <is>
          <t>OCKELBO</t>
        </is>
      </c>
      <c r="G5889" t="n">
        <v>34.2</v>
      </c>
      <c r="H5889" t="n">
        <v>0</v>
      </c>
      <c r="I5889" t="n">
        <v>0</v>
      </c>
      <c r="J5889" t="n">
        <v>0</v>
      </c>
      <c r="K5889" t="n">
        <v>0</v>
      </c>
      <c r="L5889" t="n">
        <v>0</v>
      </c>
      <c r="M5889" t="n">
        <v>0</v>
      </c>
      <c r="N5889" t="n">
        <v>0</v>
      </c>
      <c r="O5889" t="n">
        <v>0</v>
      </c>
      <c r="P5889" t="n">
        <v>0</v>
      </c>
      <c r="Q5889" t="n">
        <v>0</v>
      </c>
      <c r="R5889" s="2" t="inlineStr"/>
    </row>
    <row r="5890" ht="15" customHeight="1">
      <c r="A5890" t="inlineStr">
        <is>
          <t>A 45590-2022</t>
        </is>
      </c>
      <c r="B5890" s="1" t="n">
        <v>44845</v>
      </c>
      <c r="C5890" s="1" t="n">
        <v>45344</v>
      </c>
      <c r="D5890" t="inlineStr">
        <is>
          <t>GÄVLEBORGS LÄN</t>
        </is>
      </c>
      <c r="E5890" t="inlineStr">
        <is>
          <t>BOLLNÄS</t>
        </is>
      </c>
      <c r="G5890" t="n">
        <v>2.8</v>
      </c>
      <c r="H5890" t="n">
        <v>0</v>
      </c>
      <c r="I5890" t="n">
        <v>0</v>
      </c>
      <c r="J5890" t="n">
        <v>0</v>
      </c>
      <c r="K5890" t="n">
        <v>0</v>
      </c>
      <c r="L5890" t="n">
        <v>0</v>
      </c>
      <c r="M5890" t="n">
        <v>0</v>
      </c>
      <c r="N5890" t="n">
        <v>0</v>
      </c>
      <c r="O5890" t="n">
        <v>0</v>
      </c>
      <c r="P5890" t="n">
        <v>0</v>
      </c>
      <c r="Q5890" t="n">
        <v>0</v>
      </c>
      <c r="R5890" s="2" t="inlineStr"/>
    </row>
    <row r="5891" ht="15" customHeight="1">
      <c r="A5891" t="inlineStr">
        <is>
          <t>A 45562-2022</t>
        </is>
      </c>
      <c r="B5891" s="1" t="n">
        <v>44845</v>
      </c>
      <c r="C5891" s="1" t="n">
        <v>45344</v>
      </c>
      <c r="D5891" t="inlineStr">
        <is>
          <t>GÄVLEBORGS LÄN</t>
        </is>
      </c>
      <c r="E5891" t="inlineStr">
        <is>
          <t>SANDVIKEN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45486-2022</t>
        </is>
      </c>
      <c r="B5892" s="1" t="n">
        <v>44845</v>
      </c>
      <c r="C5892" s="1" t="n">
        <v>45344</v>
      </c>
      <c r="D5892" t="inlineStr">
        <is>
          <t>GÄVLEBORGS LÄN</t>
        </is>
      </c>
      <c r="E5892" t="inlineStr">
        <is>
          <t>OVANÅKER</t>
        </is>
      </c>
      <c r="F5892" t="inlineStr">
        <is>
          <t>Kyrkan</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45499-2022</t>
        </is>
      </c>
      <c r="B5893" s="1" t="n">
        <v>44845</v>
      </c>
      <c r="C5893" s="1" t="n">
        <v>45344</v>
      </c>
      <c r="D5893" t="inlineStr">
        <is>
          <t>GÄVLEBORGS LÄN</t>
        </is>
      </c>
      <c r="E5893" t="inlineStr">
        <is>
          <t>OCKELBO</t>
        </is>
      </c>
      <c r="F5893" t="inlineStr">
        <is>
          <t>Bergvik skog väst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45592-2022</t>
        </is>
      </c>
      <c r="B5894" s="1" t="n">
        <v>44845</v>
      </c>
      <c r="C5894" s="1" t="n">
        <v>45344</v>
      </c>
      <c r="D5894" t="inlineStr">
        <is>
          <t>GÄVLEBORGS LÄN</t>
        </is>
      </c>
      <c r="E5894" t="inlineStr">
        <is>
          <t>GÄVLE</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45626-2022</t>
        </is>
      </c>
      <c r="B5895" s="1" t="n">
        <v>44845</v>
      </c>
      <c r="C5895" s="1" t="n">
        <v>45344</v>
      </c>
      <c r="D5895" t="inlineStr">
        <is>
          <t>GÄVLEBORGS LÄN</t>
        </is>
      </c>
      <c r="E5895" t="inlineStr">
        <is>
          <t>GÄVLE</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45686-2022</t>
        </is>
      </c>
      <c r="B5896" s="1" t="n">
        <v>44846</v>
      </c>
      <c r="C5896" s="1" t="n">
        <v>45344</v>
      </c>
      <c r="D5896" t="inlineStr">
        <is>
          <t>GÄVLEBORGS LÄN</t>
        </is>
      </c>
      <c r="E5896" t="inlineStr">
        <is>
          <t>GÄVLE</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45924-2022</t>
        </is>
      </c>
      <c r="B5897" s="1" t="n">
        <v>44845</v>
      </c>
      <c r="C5897" s="1" t="n">
        <v>45344</v>
      </c>
      <c r="D5897" t="inlineStr">
        <is>
          <t>GÄVLEBORGS LÄN</t>
        </is>
      </c>
      <c r="E5897" t="inlineStr">
        <is>
          <t>HUDIKSVALL</t>
        </is>
      </c>
      <c r="G5897" t="n">
        <v>0.5</v>
      </c>
      <c r="H5897" t="n">
        <v>0</v>
      </c>
      <c r="I5897" t="n">
        <v>0</v>
      </c>
      <c r="J5897" t="n">
        <v>0</v>
      </c>
      <c r="K5897" t="n">
        <v>0</v>
      </c>
      <c r="L5897" t="n">
        <v>0</v>
      </c>
      <c r="M5897" t="n">
        <v>0</v>
      </c>
      <c r="N5897" t="n">
        <v>0</v>
      </c>
      <c r="O5897" t="n">
        <v>0</v>
      </c>
      <c r="P5897" t="n">
        <v>0</v>
      </c>
      <c r="Q5897" t="n">
        <v>0</v>
      </c>
      <c r="R5897" s="2" t="inlineStr"/>
    </row>
    <row r="5898" ht="15" customHeight="1">
      <c r="A5898" t="inlineStr">
        <is>
          <t>A 45628-2022</t>
        </is>
      </c>
      <c r="B5898" s="1" t="n">
        <v>44845</v>
      </c>
      <c r="C5898" s="1" t="n">
        <v>45344</v>
      </c>
      <c r="D5898" t="inlineStr">
        <is>
          <t>GÄVLEBORGS LÄN</t>
        </is>
      </c>
      <c r="E5898" t="inlineStr">
        <is>
          <t>GÄVLE</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45655-2022</t>
        </is>
      </c>
      <c r="B5899" s="1" t="n">
        <v>44845</v>
      </c>
      <c r="C5899" s="1" t="n">
        <v>45344</v>
      </c>
      <c r="D5899" t="inlineStr">
        <is>
          <t>GÄVLEBORGS LÄN</t>
        </is>
      </c>
      <c r="E5899" t="inlineStr">
        <is>
          <t>BOLLNÄS</t>
        </is>
      </c>
      <c r="G5899" t="n">
        <v>5.3</v>
      </c>
      <c r="H5899" t="n">
        <v>0</v>
      </c>
      <c r="I5899" t="n">
        <v>0</v>
      </c>
      <c r="J5899" t="n">
        <v>0</v>
      </c>
      <c r="K5899" t="n">
        <v>0</v>
      </c>
      <c r="L5899" t="n">
        <v>0</v>
      </c>
      <c r="M5899" t="n">
        <v>0</v>
      </c>
      <c r="N5899" t="n">
        <v>0</v>
      </c>
      <c r="O5899" t="n">
        <v>0</v>
      </c>
      <c r="P5899" t="n">
        <v>0</v>
      </c>
      <c r="Q5899" t="n">
        <v>0</v>
      </c>
      <c r="R5899" s="2" t="inlineStr"/>
    </row>
    <row r="5900" ht="15" customHeight="1">
      <c r="A5900" t="inlineStr">
        <is>
          <t>A 45752-2022</t>
        </is>
      </c>
      <c r="B5900" s="1" t="n">
        <v>44846</v>
      </c>
      <c r="C5900" s="1" t="n">
        <v>45344</v>
      </c>
      <c r="D5900" t="inlineStr">
        <is>
          <t>GÄVLEBORGS LÄN</t>
        </is>
      </c>
      <c r="E5900" t="inlineStr">
        <is>
          <t>BOLLNÄS</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45747-2022</t>
        </is>
      </c>
      <c r="B5901" s="1" t="n">
        <v>44846</v>
      </c>
      <c r="C5901" s="1" t="n">
        <v>45344</v>
      </c>
      <c r="D5901" t="inlineStr">
        <is>
          <t>GÄVLEBORGS LÄN</t>
        </is>
      </c>
      <c r="E5901" t="inlineStr">
        <is>
          <t>BOLLNÄS</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45784-2022</t>
        </is>
      </c>
      <c r="B5902" s="1" t="n">
        <v>44846</v>
      </c>
      <c r="C5902" s="1" t="n">
        <v>45344</v>
      </c>
      <c r="D5902" t="inlineStr">
        <is>
          <t>GÄVLEBORGS LÄN</t>
        </is>
      </c>
      <c r="E5902" t="inlineStr">
        <is>
          <t>HUDIKSVALL</t>
        </is>
      </c>
      <c r="G5902" t="n">
        <v>3.2</v>
      </c>
      <c r="H5902" t="n">
        <v>0</v>
      </c>
      <c r="I5902" t="n">
        <v>0</v>
      </c>
      <c r="J5902" t="n">
        <v>0</v>
      </c>
      <c r="K5902" t="n">
        <v>0</v>
      </c>
      <c r="L5902" t="n">
        <v>0</v>
      </c>
      <c r="M5902" t="n">
        <v>0</v>
      </c>
      <c r="N5902" t="n">
        <v>0</v>
      </c>
      <c r="O5902" t="n">
        <v>0</v>
      </c>
      <c r="P5902" t="n">
        <v>0</v>
      </c>
      <c r="Q5902" t="n">
        <v>0</v>
      </c>
      <c r="R5902" s="2" t="inlineStr"/>
    </row>
    <row r="5903" ht="15" customHeight="1">
      <c r="A5903" t="inlineStr">
        <is>
          <t>A 45778-2022</t>
        </is>
      </c>
      <c r="B5903" s="1" t="n">
        <v>44846</v>
      </c>
      <c r="C5903" s="1" t="n">
        <v>45344</v>
      </c>
      <c r="D5903" t="inlineStr">
        <is>
          <t>GÄVLEBORGS LÄN</t>
        </is>
      </c>
      <c r="E5903" t="inlineStr">
        <is>
          <t>OVANÅKER</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45819-2022</t>
        </is>
      </c>
      <c r="B5904" s="1" t="n">
        <v>44846</v>
      </c>
      <c r="C5904" s="1" t="n">
        <v>45344</v>
      </c>
      <c r="D5904" t="inlineStr">
        <is>
          <t>GÄVLEBORGS LÄN</t>
        </is>
      </c>
      <c r="E5904" t="inlineStr">
        <is>
          <t>LJUSDAL</t>
        </is>
      </c>
      <c r="G5904" t="n">
        <v>5.9</v>
      </c>
      <c r="H5904" t="n">
        <v>0</v>
      </c>
      <c r="I5904" t="n">
        <v>0</v>
      </c>
      <c r="J5904" t="n">
        <v>0</v>
      </c>
      <c r="K5904" t="n">
        <v>0</v>
      </c>
      <c r="L5904" t="n">
        <v>0</v>
      </c>
      <c r="M5904" t="n">
        <v>0</v>
      </c>
      <c r="N5904" t="n">
        <v>0</v>
      </c>
      <c r="O5904" t="n">
        <v>0</v>
      </c>
      <c r="P5904" t="n">
        <v>0</v>
      </c>
      <c r="Q5904" t="n">
        <v>0</v>
      </c>
      <c r="R5904" s="2" t="inlineStr"/>
    </row>
    <row r="5905" ht="15" customHeight="1">
      <c r="A5905" t="inlineStr">
        <is>
          <t>A 45807-2022</t>
        </is>
      </c>
      <c r="B5905" s="1" t="n">
        <v>44846</v>
      </c>
      <c r="C5905" s="1" t="n">
        <v>45344</v>
      </c>
      <c r="D5905" t="inlineStr">
        <is>
          <t>GÄVLEBORGS LÄN</t>
        </is>
      </c>
      <c r="E5905" t="inlineStr">
        <is>
          <t>SÖDERHAMN</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45822-2022</t>
        </is>
      </c>
      <c r="B5906" s="1" t="n">
        <v>44846</v>
      </c>
      <c r="C5906" s="1" t="n">
        <v>45344</v>
      </c>
      <c r="D5906" t="inlineStr">
        <is>
          <t>GÄVLEBORGS LÄN</t>
        </is>
      </c>
      <c r="E5906" t="inlineStr">
        <is>
          <t>SÖDERHAMN</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45949-2022</t>
        </is>
      </c>
      <c r="B5907" s="1" t="n">
        <v>44846</v>
      </c>
      <c r="C5907" s="1" t="n">
        <v>45344</v>
      </c>
      <c r="D5907" t="inlineStr">
        <is>
          <t>GÄVLEBORGS LÄN</t>
        </is>
      </c>
      <c r="E5907" t="inlineStr">
        <is>
          <t>OVANÅKER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46009-2022</t>
        </is>
      </c>
      <c r="B5908" s="1" t="n">
        <v>44846</v>
      </c>
      <c r="C5908" s="1" t="n">
        <v>45344</v>
      </c>
      <c r="D5908" t="inlineStr">
        <is>
          <t>GÄVLEBORGS LÄN</t>
        </is>
      </c>
      <c r="E5908" t="inlineStr">
        <is>
          <t>BOLLNÄS</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45872-2022</t>
        </is>
      </c>
      <c r="B5909" s="1" t="n">
        <v>44846</v>
      </c>
      <c r="C5909" s="1" t="n">
        <v>45344</v>
      </c>
      <c r="D5909" t="inlineStr">
        <is>
          <t>GÄVLEBORGS LÄN</t>
        </is>
      </c>
      <c r="E5909" t="inlineStr">
        <is>
          <t>GÄVLE</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45917-2022</t>
        </is>
      </c>
      <c r="B5910" s="1" t="n">
        <v>44846</v>
      </c>
      <c r="C5910" s="1" t="n">
        <v>45344</v>
      </c>
      <c r="D5910" t="inlineStr">
        <is>
          <t>GÄVLEBORGS LÄN</t>
        </is>
      </c>
      <c r="E5910" t="inlineStr">
        <is>
          <t>SANDVIKEN</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45920-2022</t>
        </is>
      </c>
      <c r="B5911" s="1" t="n">
        <v>44846</v>
      </c>
      <c r="C5911" s="1" t="n">
        <v>45344</v>
      </c>
      <c r="D5911" t="inlineStr">
        <is>
          <t>GÄVLEBORGS LÄN</t>
        </is>
      </c>
      <c r="E5911" t="inlineStr">
        <is>
          <t>SANDVIKEN</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45947-2022</t>
        </is>
      </c>
      <c r="B5912" s="1" t="n">
        <v>44846</v>
      </c>
      <c r="C5912" s="1" t="n">
        <v>45344</v>
      </c>
      <c r="D5912" t="inlineStr">
        <is>
          <t>GÄVLEBORGS LÄN</t>
        </is>
      </c>
      <c r="E5912" t="inlineStr">
        <is>
          <t>OVANÅKER</t>
        </is>
      </c>
      <c r="G5912" t="n">
        <v>4.4</v>
      </c>
      <c r="H5912" t="n">
        <v>0</v>
      </c>
      <c r="I5912" t="n">
        <v>0</v>
      </c>
      <c r="J5912" t="n">
        <v>0</v>
      </c>
      <c r="K5912" t="n">
        <v>0</v>
      </c>
      <c r="L5912" t="n">
        <v>0</v>
      </c>
      <c r="M5912" t="n">
        <v>0</v>
      </c>
      <c r="N5912" t="n">
        <v>0</v>
      </c>
      <c r="O5912" t="n">
        <v>0</v>
      </c>
      <c r="P5912" t="n">
        <v>0</v>
      </c>
      <c r="Q5912" t="n">
        <v>0</v>
      </c>
      <c r="R5912" s="2" t="inlineStr"/>
    </row>
    <row r="5913" ht="15" customHeight="1">
      <c r="A5913" t="inlineStr">
        <is>
          <t>A 46007-2022</t>
        </is>
      </c>
      <c r="B5913" s="1" t="n">
        <v>44846</v>
      </c>
      <c r="C5913" s="1" t="n">
        <v>45344</v>
      </c>
      <c r="D5913" t="inlineStr">
        <is>
          <t>GÄVLEBORGS LÄN</t>
        </is>
      </c>
      <c r="E5913" t="inlineStr">
        <is>
          <t>BOLLNÄS</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46063-2022</t>
        </is>
      </c>
      <c r="B5914" s="1" t="n">
        <v>44847</v>
      </c>
      <c r="C5914" s="1" t="n">
        <v>45344</v>
      </c>
      <c r="D5914" t="inlineStr">
        <is>
          <t>GÄVLEBORGS LÄN</t>
        </is>
      </c>
      <c r="E5914" t="inlineStr">
        <is>
          <t>HUDIKSVALL</t>
        </is>
      </c>
      <c r="F5914" t="inlineStr">
        <is>
          <t>Naturvårdsverket</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46112-2022</t>
        </is>
      </c>
      <c r="B5915" s="1" t="n">
        <v>44847</v>
      </c>
      <c r="C5915" s="1" t="n">
        <v>45344</v>
      </c>
      <c r="D5915" t="inlineStr">
        <is>
          <t>GÄVLEBORGS LÄN</t>
        </is>
      </c>
      <c r="E5915" t="inlineStr">
        <is>
          <t>OCKELBO</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46157-2022</t>
        </is>
      </c>
      <c r="B5916" s="1" t="n">
        <v>44847</v>
      </c>
      <c r="C5916" s="1" t="n">
        <v>45344</v>
      </c>
      <c r="D5916" t="inlineStr">
        <is>
          <t>GÄVLEBORGS LÄN</t>
        </is>
      </c>
      <c r="E5916" t="inlineStr">
        <is>
          <t>LJUSDAL</t>
        </is>
      </c>
      <c r="F5916" t="inlineStr">
        <is>
          <t>Bergvik skog väst AB</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46221-2022</t>
        </is>
      </c>
      <c r="B5917" s="1" t="n">
        <v>44847</v>
      </c>
      <c r="C5917" s="1" t="n">
        <v>45344</v>
      </c>
      <c r="D5917" t="inlineStr">
        <is>
          <t>GÄVLEBORGS LÄN</t>
        </is>
      </c>
      <c r="E5917" t="inlineStr">
        <is>
          <t>LJUSDAL</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46109-2022</t>
        </is>
      </c>
      <c r="B5918" s="1" t="n">
        <v>44847</v>
      </c>
      <c r="C5918" s="1" t="n">
        <v>45344</v>
      </c>
      <c r="D5918" t="inlineStr">
        <is>
          <t>GÄVLEBORGS LÄN</t>
        </is>
      </c>
      <c r="E5918" t="inlineStr">
        <is>
          <t>BOLLNÄS</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46177-2022</t>
        </is>
      </c>
      <c r="B5919" s="1" t="n">
        <v>44847</v>
      </c>
      <c r="C5919" s="1" t="n">
        <v>45344</v>
      </c>
      <c r="D5919" t="inlineStr">
        <is>
          <t>GÄVLEBORGS LÄN</t>
        </is>
      </c>
      <c r="E5919" t="inlineStr">
        <is>
          <t>SANDVIKEN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46248-2022</t>
        </is>
      </c>
      <c r="B5920" s="1" t="n">
        <v>44847</v>
      </c>
      <c r="C5920" s="1" t="n">
        <v>45344</v>
      </c>
      <c r="D5920" t="inlineStr">
        <is>
          <t>GÄVLEBORGS LÄN</t>
        </is>
      </c>
      <c r="E5920" t="inlineStr">
        <is>
          <t>HUDIKSVALL</t>
        </is>
      </c>
      <c r="F5920" t="inlineStr">
        <is>
          <t>Holmen skog AB</t>
        </is>
      </c>
      <c r="G5920" t="n">
        <v>4.2</v>
      </c>
      <c r="H5920" t="n">
        <v>0</v>
      </c>
      <c r="I5920" t="n">
        <v>0</v>
      </c>
      <c r="J5920" t="n">
        <v>0</v>
      </c>
      <c r="K5920" t="n">
        <v>0</v>
      </c>
      <c r="L5920" t="n">
        <v>0</v>
      </c>
      <c r="M5920" t="n">
        <v>0</v>
      </c>
      <c r="N5920" t="n">
        <v>0</v>
      </c>
      <c r="O5920" t="n">
        <v>0</v>
      </c>
      <c r="P5920" t="n">
        <v>0</v>
      </c>
      <c r="Q5920" t="n">
        <v>0</v>
      </c>
      <c r="R5920" s="2" t="inlineStr"/>
    </row>
    <row r="5921" ht="15" customHeight="1">
      <c r="A5921" t="inlineStr">
        <is>
          <t>A 46198-2022</t>
        </is>
      </c>
      <c r="B5921" s="1" t="n">
        <v>44847</v>
      </c>
      <c r="C5921" s="1" t="n">
        <v>45344</v>
      </c>
      <c r="D5921" t="inlineStr">
        <is>
          <t>GÄVLEBORGS LÄN</t>
        </is>
      </c>
      <c r="E5921" t="inlineStr">
        <is>
          <t>LJUSDAL</t>
        </is>
      </c>
      <c r="F5921" t="inlineStr">
        <is>
          <t>Bergvik skog väst AB</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46289-2022</t>
        </is>
      </c>
      <c r="B5922" s="1" t="n">
        <v>44847</v>
      </c>
      <c r="C5922" s="1" t="n">
        <v>45344</v>
      </c>
      <c r="D5922" t="inlineStr">
        <is>
          <t>GÄVLEBORGS LÄN</t>
        </is>
      </c>
      <c r="E5922" t="inlineStr">
        <is>
          <t>SANDVIKEN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46302-2022</t>
        </is>
      </c>
      <c r="B5923" s="1" t="n">
        <v>44847</v>
      </c>
      <c r="C5923" s="1" t="n">
        <v>45344</v>
      </c>
      <c r="D5923" t="inlineStr">
        <is>
          <t>GÄVLEBORGS LÄN</t>
        </is>
      </c>
      <c r="E5923" t="inlineStr">
        <is>
          <t>SÖDERHAMN</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46064-2022</t>
        </is>
      </c>
      <c r="B5924" s="1" t="n">
        <v>44847</v>
      </c>
      <c r="C5924" s="1" t="n">
        <v>45344</v>
      </c>
      <c r="D5924" t="inlineStr">
        <is>
          <t>GÄVLEBORGS LÄN</t>
        </is>
      </c>
      <c r="E5924" t="inlineStr">
        <is>
          <t>HUDIKSVALL</t>
        </is>
      </c>
      <c r="F5924" t="inlineStr">
        <is>
          <t>Naturvårdsverket</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46193-2022</t>
        </is>
      </c>
      <c r="B5925" s="1" t="n">
        <v>44847</v>
      </c>
      <c r="C5925" s="1" t="n">
        <v>45344</v>
      </c>
      <c r="D5925" t="inlineStr">
        <is>
          <t>GÄVLEBORGS LÄN</t>
        </is>
      </c>
      <c r="E5925" t="inlineStr">
        <is>
          <t>LJUSDAL</t>
        </is>
      </c>
      <c r="F5925" t="inlineStr">
        <is>
          <t>Bergvik skog väst AB</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46256-2022</t>
        </is>
      </c>
      <c r="B5926" s="1" t="n">
        <v>44847</v>
      </c>
      <c r="C5926" s="1" t="n">
        <v>45344</v>
      </c>
      <c r="D5926" t="inlineStr">
        <is>
          <t>GÄVLEBORGS LÄN</t>
        </is>
      </c>
      <c r="E5926" t="inlineStr">
        <is>
          <t>LJUSDAL</t>
        </is>
      </c>
      <c r="F5926" t="inlineStr">
        <is>
          <t>Holmen skog AB</t>
        </is>
      </c>
      <c r="G5926" t="n">
        <v>2.5</v>
      </c>
      <c r="H5926" t="n">
        <v>0</v>
      </c>
      <c r="I5926" t="n">
        <v>0</v>
      </c>
      <c r="J5926" t="n">
        <v>0</v>
      </c>
      <c r="K5926" t="n">
        <v>0</v>
      </c>
      <c r="L5926" t="n">
        <v>0</v>
      </c>
      <c r="M5926" t="n">
        <v>0</v>
      </c>
      <c r="N5926" t="n">
        <v>0</v>
      </c>
      <c r="O5926" t="n">
        <v>0</v>
      </c>
      <c r="P5926" t="n">
        <v>0</v>
      </c>
      <c r="Q5926" t="n">
        <v>0</v>
      </c>
      <c r="R5926" s="2" t="inlineStr"/>
    </row>
    <row r="5927" ht="15" customHeight="1">
      <c r="A5927" t="inlineStr">
        <is>
          <t>A 46464-2022</t>
        </is>
      </c>
      <c r="B5927" s="1" t="n">
        <v>44848</v>
      </c>
      <c r="C5927" s="1" t="n">
        <v>45344</v>
      </c>
      <c r="D5927" t="inlineStr">
        <is>
          <t>GÄVLEBORGS LÄN</t>
        </is>
      </c>
      <c r="E5927" t="inlineStr">
        <is>
          <t>HUDIKSVALL</t>
        </is>
      </c>
      <c r="G5927" t="n">
        <v>2.4</v>
      </c>
      <c r="H5927" t="n">
        <v>0</v>
      </c>
      <c r="I5927" t="n">
        <v>0</v>
      </c>
      <c r="J5927" t="n">
        <v>0</v>
      </c>
      <c r="K5927" t="n">
        <v>0</v>
      </c>
      <c r="L5927" t="n">
        <v>0</v>
      </c>
      <c r="M5927" t="n">
        <v>0</v>
      </c>
      <c r="N5927" t="n">
        <v>0</v>
      </c>
      <c r="O5927" t="n">
        <v>0</v>
      </c>
      <c r="P5927" t="n">
        <v>0</v>
      </c>
      <c r="Q5927" t="n">
        <v>0</v>
      </c>
      <c r="R5927" s="2" t="inlineStr"/>
    </row>
    <row r="5928" ht="15" customHeight="1">
      <c r="A5928" t="inlineStr">
        <is>
          <t>A 46469-2022</t>
        </is>
      </c>
      <c r="B5928" s="1" t="n">
        <v>44848</v>
      </c>
      <c r="C5928" s="1" t="n">
        <v>45344</v>
      </c>
      <c r="D5928" t="inlineStr">
        <is>
          <t>GÄVLEBORGS LÄN</t>
        </is>
      </c>
      <c r="E5928" t="inlineStr">
        <is>
          <t>HUDIKSVALL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46377-2022</t>
        </is>
      </c>
      <c r="B5929" s="1" t="n">
        <v>44848</v>
      </c>
      <c r="C5929" s="1" t="n">
        <v>45344</v>
      </c>
      <c r="D5929" t="inlineStr">
        <is>
          <t>GÄVLEBORGS LÄN</t>
        </is>
      </c>
      <c r="E5929" t="inlineStr">
        <is>
          <t>OVANÅKER</t>
        </is>
      </c>
      <c r="F5929" t="inlineStr">
        <is>
          <t>Sveaskog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46466-2022</t>
        </is>
      </c>
      <c r="B5930" s="1" t="n">
        <v>44848</v>
      </c>
      <c r="C5930" s="1" t="n">
        <v>45344</v>
      </c>
      <c r="D5930" t="inlineStr">
        <is>
          <t>GÄVLEBORGS LÄN</t>
        </is>
      </c>
      <c r="E5930" t="inlineStr">
        <is>
          <t>HUDIKSVALL</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46382-2022</t>
        </is>
      </c>
      <c r="B5931" s="1" t="n">
        <v>44848</v>
      </c>
      <c r="C5931" s="1" t="n">
        <v>45344</v>
      </c>
      <c r="D5931" t="inlineStr">
        <is>
          <t>GÄVLEBORGS LÄN</t>
        </is>
      </c>
      <c r="E5931" t="inlineStr">
        <is>
          <t>GÄVLE</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46465-2022</t>
        </is>
      </c>
      <c r="B5932" s="1" t="n">
        <v>44848</v>
      </c>
      <c r="C5932" s="1" t="n">
        <v>45344</v>
      </c>
      <c r="D5932" t="inlineStr">
        <is>
          <t>GÄVLEBORGS LÄN</t>
        </is>
      </c>
      <c r="E5932" t="inlineStr">
        <is>
          <t>HUDIKSVALL</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46378-2022</t>
        </is>
      </c>
      <c r="B5933" s="1" t="n">
        <v>44848</v>
      </c>
      <c r="C5933" s="1" t="n">
        <v>45344</v>
      </c>
      <c r="D5933" t="inlineStr">
        <is>
          <t>GÄVLEBORGS LÄN</t>
        </is>
      </c>
      <c r="E5933" t="inlineStr">
        <is>
          <t>SANDVIKEN</t>
        </is>
      </c>
      <c r="F5933" t="inlineStr">
        <is>
          <t>Sveaskog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46404-2022</t>
        </is>
      </c>
      <c r="B5934" s="1" t="n">
        <v>44848</v>
      </c>
      <c r="C5934" s="1" t="n">
        <v>45344</v>
      </c>
      <c r="D5934" t="inlineStr">
        <is>
          <t>GÄVLEBORGS LÄN</t>
        </is>
      </c>
      <c r="E5934" t="inlineStr">
        <is>
          <t>LJUSDAL</t>
        </is>
      </c>
      <c r="F5934" t="inlineStr">
        <is>
          <t>Bergvik skog väst AB</t>
        </is>
      </c>
      <c r="G5934" t="n">
        <v>9.199999999999999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46467-2022</t>
        </is>
      </c>
      <c r="B5935" s="1" t="n">
        <v>44848</v>
      </c>
      <c r="C5935" s="1" t="n">
        <v>45344</v>
      </c>
      <c r="D5935" t="inlineStr">
        <is>
          <t>GÄVLEBORGS LÄN</t>
        </is>
      </c>
      <c r="E5935" t="inlineStr">
        <is>
          <t>HUDIKSVALL</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46572-2022</t>
        </is>
      </c>
      <c r="B5936" s="1" t="n">
        <v>44848</v>
      </c>
      <c r="C5936" s="1" t="n">
        <v>45344</v>
      </c>
      <c r="D5936" t="inlineStr">
        <is>
          <t>GÄVLEBORGS LÄN</t>
        </is>
      </c>
      <c r="E5936" t="inlineStr">
        <is>
          <t>LJUSDAL</t>
        </is>
      </c>
      <c r="F5936" t="inlineStr">
        <is>
          <t>Sveaskog</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46588-2022</t>
        </is>
      </c>
      <c r="B5937" s="1" t="n">
        <v>44848</v>
      </c>
      <c r="C5937" s="1" t="n">
        <v>45344</v>
      </c>
      <c r="D5937" t="inlineStr">
        <is>
          <t>GÄVLEBORGS LÄN</t>
        </is>
      </c>
      <c r="E5937" t="inlineStr">
        <is>
          <t>NORDANSTIG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46592-2022</t>
        </is>
      </c>
      <c r="B5938" s="1" t="n">
        <v>44848</v>
      </c>
      <c r="C5938" s="1" t="n">
        <v>45344</v>
      </c>
      <c r="D5938" t="inlineStr">
        <is>
          <t>GÄVLEBORGS LÄN</t>
        </is>
      </c>
      <c r="E5938" t="inlineStr">
        <is>
          <t>NORDANSTIG</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46701-2022</t>
        </is>
      </c>
      <c r="B5939" s="1" t="n">
        <v>44851</v>
      </c>
      <c r="C5939" s="1" t="n">
        <v>45344</v>
      </c>
      <c r="D5939" t="inlineStr">
        <is>
          <t>GÄVLEBORGS LÄN</t>
        </is>
      </c>
      <c r="E5939" t="inlineStr">
        <is>
          <t>SÖDERHAMN</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46709-2022</t>
        </is>
      </c>
      <c r="B5940" s="1" t="n">
        <v>44851</v>
      </c>
      <c r="C5940" s="1" t="n">
        <v>45344</v>
      </c>
      <c r="D5940" t="inlineStr">
        <is>
          <t>GÄVLEBORGS LÄN</t>
        </is>
      </c>
      <c r="E5940" t="inlineStr">
        <is>
          <t>OVANÅKER</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46727-2022</t>
        </is>
      </c>
      <c r="B5941" s="1" t="n">
        <v>44851</v>
      </c>
      <c r="C5941" s="1" t="n">
        <v>45344</v>
      </c>
      <c r="D5941" t="inlineStr">
        <is>
          <t>GÄVLEBORGS LÄN</t>
        </is>
      </c>
      <c r="E5941" t="inlineStr">
        <is>
          <t>HUDIKSVALL</t>
        </is>
      </c>
      <c r="F5941" t="inlineStr">
        <is>
          <t>Holmen skog AB</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46828-2022</t>
        </is>
      </c>
      <c r="B5942" s="1" t="n">
        <v>44851</v>
      </c>
      <c r="C5942" s="1" t="n">
        <v>45344</v>
      </c>
      <c r="D5942" t="inlineStr">
        <is>
          <t>GÄVLEBORGS LÄN</t>
        </is>
      </c>
      <c r="E5942" t="inlineStr">
        <is>
          <t>NORDANSTIG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46754-2022</t>
        </is>
      </c>
      <c r="B5943" s="1" t="n">
        <v>44851</v>
      </c>
      <c r="C5943" s="1" t="n">
        <v>45344</v>
      </c>
      <c r="D5943" t="inlineStr">
        <is>
          <t>GÄVLEBORGS LÄN</t>
        </is>
      </c>
      <c r="E5943" t="inlineStr">
        <is>
          <t>HUDIKSVALL</t>
        </is>
      </c>
      <c r="F5943" t="inlineStr">
        <is>
          <t>Holmen skog AB</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46934-2022</t>
        </is>
      </c>
      <c r="B5944" s="1" t="n">
        <v>44851</v>
      </c>
      <c r="C5944" s="1" t="n">
        <v>45344</v>
      </c>
      <c r="D5944" t="inlineStr">
        <is>
          <t>GÄVLEBORGS LÄN</t>
        </is>
      </c>
      <c r="E5944" t="inlineStr">
        <is>
          <t>NORDANSTIG</t>
        </is>
      </c>
      <c r="F5944" t="inlineStr">
        <is>
          <t>Holmen skog AB</t>
        </is>
      </c>
      <c r="G5944" t="n">
        <v>4.1</v>
      </c>
      <c r="H5944" t="n">
        <v>0</v>
      </c>
      <c r="I5944" t="n">
        <v>0</v>
      </c>
      <c r="J5944" t="n">
        <v>0</v>
      </c>
      <c r="K5944" t="n">
        <v>0</v>
      </c>
      <c r="L5944" t="n">
        <v>0</v>
      </c>
      <c r="M5944" t="n">
        <v>0</v>
      </c>
      <c r="N5944" t="n">
        <v>0</v>
      </c>
      <c r="O5944" t="n">
        <v>0</v>
      </c>
      <c r="P5944" t="n">
        <v>0</v>
      </c>
      <c r="Q5944" t="n">
        <v>0</v>
      </c>
      <c r="R5944" s="2" t="inlineStr"/>
    </row>
    <row r="5945" ht="15" customHeight="1">
      <c r="A5945" t="inlineStr">
        <is>
          <t>A 46960-2022</t>
        </is>
      </c>
      <c r="B5945" s="1" t="n">
        <v>44852</v>
      </c>
      <c r="C5945" s="1" t="n">
        <v>45344</v>
      </c>
      <c r="D5945" t="inlineStr">
        <is>
          <t>GÄVLEBORGS LÄN</t>
        </is>
      </c>
      <c r="E5945" t="inlineStr">
        <is>
          <t>OVANÅKER</t>
        </is>
      </c>
      <c r="G5945" t="n">
        <v>2.4</v>
      </c>
      <c r="H5945" t="n">
        <v>0</v>
      </c>
      <c r="I5945" t="n">
        <v>0</v>
      </c>
      <c r="J5945" t="n">
        <v>0</v>
      </c>
      <c r="K5945" t="n">
        <v>0</v>
      </c>
      <c r="L5945" t="n">
        <v>0</v>
      </c>
      <c r="M5945" t="n">
        <v>0</v>
      </c>
      <c r="N5945" t="n">
        <v>0</v>
      </c>
      <c r="O5945" t="n">
        <v>0</v>
      </c>
      <c r="P5945" t="n">
        <v>0</v>
      </c>
      <c r="Q5945" t="n">
        <v>0</v>
      </c>
      <c r="R5945" s="2" t="inlineStr"/>
    </row>
    <row r="5946" ht="15" customHeight="1">
      <c r="A5946" t="inlineStr">
        <is>
          <t>A 46965-2022</t>
        </is>
      </c>
      <c r="B5946" s="1" t="n">
        <v>44852</v>
      </c>
      <c r="C5946" s="1" t="n">
        <v>45344</v>
      </c>
      <c r="D5946" t="inlineStr">
        <is>
          <t>GÄVLEBORGS LÄN</t>
        </is>
      </c>
      <c r="E5946" t="inlineStr">
        <is>
          <t>BOLLNÄS</t>
        </is>
      </c>
      <c r="F5946" t="inlineStr">
        <is>
          <t>Bergvik skog väst AB</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46963-2022</t>
        </is>
      </c>
      <c r="B5947" s="1" t="n">
        <v>44852</v>
      </c>
      <c r="C5947" s="1" t="n">
        <v>45344</v>
      </c>
      <c r="D5947" t="inlineStr">
        <is>
          <t>GÄVLEBORGS LÄN</t>
        </is>
      </c>
      <c r="E5947" t="inlineStr">
        <is>
          <t>BOLLNÄS</t>
        </is>
      </c>
      <c r="F5947" t="inlineStr">
        <is>
          <t>Bergvik skog väst AB</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46823-2022</t>
        </is>
      </c>
      <c r="B5948" s="1" t="n">
        <v>44851</v>
      </c>
      <c r="C5948" s="1" t="n">
        <v>45344</v>
      </c>
      <c r="D5948" t="inlineStr">
        <is>
          <t>GÄVLEBORGS LÄN</t>
        </is>
      </c>
      <c r="E5948" t="inlineStr">
        <is>
          <t>OVANÅKER</t>
        </is>
      </c>
      <c r="G5948" t="n">
        <v>1.7</v>
      </c>
      <c r="H5948" t="n">
        <v>0</v>
      </c>
      <c r="I5948" t="n">
        <v>0</v>
      </c>
      <c r="J5948" t="n">
        <v>0</v>
      </c>
      <c r="K5948" t="n">
        <v>0</v>
      </c>
      <c r="L5948" t="n">
        <v>0</v>
      </c>
      <c r="M5948" t="n">
        <v>0</v>
      </c>
      <c r="N5948" t="n">
        <v>0</v>
      </c>
      <c r="O5948" t="n">
        <v>0</v>
      </c>
      <c r="P5948" t="n">
        <v>0</v>
      </c>
      <c r="Q5948" t="n">
        <v>0</v>
      </c>
      <c r="R5948" s="2" t="inlineStr"/>
    </row>
    <row r="5949" ht="15" customHeight="1">
      <c r="A5949" t="inlineStr">
        <is>
          <t>A 46931-2022</t>
        </is>
      </c>
      <c r="B5949" s="1" t="n">
        <v>44851</v>
      </c>
      <c r="C5949" s="1" t="n">
        <v>45344</v>
      </c>
      <c r="D5949" t="inlineStr">
        <is>
          <t>GÄVLEBORGS LÄN</t>
        </is>
      </c>
      <c r="E5949" t="inlineStr">
        <is>
          <t>NORDANSTIG</t>
        </is>
      </c>
      <c r="F5949" t="inlineStr">
        <is>
          <t>Holmen skog AB</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46935-2022</t>
        </is>
      </c>
      <c r="B5950" s="1" t="n">
        <v>44851</v>
      </c>
      <c r="C5950" s="1" t="n">
        <v>45344</v>
      </c>
      <c r="D5950" t="inlineStr">
        <is>
          <t>GÄVLEBORGS LÄN</t>
        </is>
      </c>
      <c r="E5950" t="inlineStr">
        <is>
          <t>NORDANSTIG</t>
        </is>
      </c>
      <c r="F5950" t="inlineStr">
        <is>
          <t>Holmen skog AB</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46961-2022</t>
        </is>
      </c>
      <c r="B5951" s="1" t="n">
        <v>44852</v>
      </c>
      <c r="C5951" s="1" t="n">
        <v>45344</v>
      </c>
      <c r="D5951" t="inlineStr">
        <is>
          <t>GÄVLEBORGS LÄN</t>
        </is>
      </c>
      <c r="E5951" t="inlineStr">
        <is>
          <t>BOLLNÄS</t>
        </is>
      </c>
      <c r="F5951" t="inlineStr">
        <is>
          <t>Bergvik skog väst AB</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46995-2022</t>
        </is>
      </c>
      <c r="B5952" s="1" t="n">
        <v>44852</v>
      </c>
      <c r="C5952" s="1" t="n">
        <v>45344</v>
      </c>
      <c r="D5952" t="inlineStr">
        <is>
          <t>GÄVLEBORGS LÄN</t>
        </is>
      </c>
      <c r="E5952" t="inlineStr">
        <is>
          <t>BOLLNÄS</t>
        </is>
      </c>
      <c r="F5952" t="inlineStr">
        <is>
          <t>Bergvik skog väst AB</t>
        </is>
      </c>
      <c r="G5952" t="n">
        <v>4.5</v>
      </c>
      <c r="H5952" t="n">
        <v>0</v>
      </c>
      <c r="I5952" t="n">
        <v>0</v>
      </c>
      <c r="J5952" t="n">
        <v>0</v>
      </c>
      <c r="K5952" t="n">
        <v>0</v>
      </c>
      <c r="L5952" t="n">
        <v>0</v>
      </c>
      <c r="M5952" t="n">
        <v>0</v>
      </c>
      <c r="N5952" t="n">
        <v>0</v>
      </c>
      <c r="O5952" t="n">
        <v>0</v>
      </c>
      <c r="P5952" t="n">
        <v>0</v>
      </c>
      <c r="Q5952" t="n">
        <v>0</v>
      </c>
      <c r="R5952" s="2" t="inlineStr"/>
    </row>
    <row r="5953" ht="15" customHeight="1">
      <c r="A5953" t="inlineStr">
        <is>
          <t>A 47380-2022</t>
        </is>
      </c>
      <c r="B5953" s="1" t="n">
        <v>44853</v>
      </c>
      <c r="C5953" s="1" t="n">
        <v>45344</v>
      </c>
      <c r="D5953" t="inlineStr">
        <is>
          <t>GÄVLEBORGS LÄN</t>
        </is>
      </c>
      <c r="E5953" t="inlineStr">
        <is>
          <t>OVANÅKER</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47480-2022</t>
        </is>
      </c>
      <c r="B5954" s="1" t="n">
        <v>44853</v>
      </c>
      <c r="C5954" s="1" t="n">
        <v>45344</v>
      </c>
      <c r="D5954" t="inlineStr">
        <is>
          <t>GÄVLEBORGS LÄN</t>
        </is>
      </c>
      <c r="E5954" t="inlineStr">
        <is>
          <t>OVANÅKER</t>
        </is>
      </c>
      <c r="G5954" t="n">
        <v>2.8</v>
      </c>
      <c r="H5954" t="n">
        <v>0</v>
      </c>
      <c r="I5954" t="n">
        <v>0</v>
      </c>
      <c r="J5954" t="n">
        <v>0</v>
      </c>
      <c r="K5954" t="n">
        <v>0</v>
      </c>
      <c r="L5954" t="n">
        <v>0</v>
      </c>
      <c r="M5954" t="n">
        <v>0</v>
      </c>
      <c r="N5954" t="n">
        <v>0</v>
      </c>
      <c r="O5954" t="n">
        <v>0</v>
      </c>
      <c r="P5954" t="n">
        <v>0</v>
      </c>
      <c r="Q5954" t="n">
        <v>0</v>
      </c>
      <c r="R5954" s="2" t="inlineStr"/>
    </row>
    <row r="5955" ht="15" customHeight="1">
      <c r="A5955" t="inlineStr">
        <is>
          <t>A 47502-2022</t>
        </is>
      </c>
      <c r="B5955" s="1" t="n">
        <v>44853</v>
      </c>
      <c r="C5955" s="1" t="n">
        <v>45344</v>
      </c>
      <c r="D5955" t="inlineStr">
        <is>
          <t>GÄVLEBORGS LÄN</t>
        </is>
      </c>
      <c r="E5955" t="inlineStr">
        <is>
          <t>LJUSDAL</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47454-2022</t>
        </is>
      </c>
      <c r="B5956" s="1" t="n">
        <v>44853</v>
      </c>
      <c r="C5956" s="1" t="n">
        <v>45344</v>
      </c>
      <c r="D5956" t="inlineStr">
        <is>
          <t>GÄVLEBORGS LÄN</t>
        </is>
      </c>
      <c r="E5956" t="inlineStr">
        <is>
          <t>GÄVLE</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47590-2022</t>
        </is>
      </c>
      <c r="B5957" s="1" t="n">
        <v>44854</v>
      </c>
      <c r="C5957" s="1" t="n">
        <v>45344</v>
      </c>
      <c r="D5957" t="inlineStr">
        <is>
          <t>GÄVLEBORGS LÄN</t>
        </is>
      </c>
      <c r="E5957" t="inlineStr">
        <is>
          <t>NORDANSTIG</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47458-2022</t>
        </is>
      </c>
      <c r="B5958" s="1" t="n">
        <v>44853</v>
      </c>
      <c r="C5958" s="1" t="n">
        <v>45344</v>
      </c>
      <c r="D5958" t="inlineStr">
        <is>
          <t>GÄVLEBORGS LÄN</t>
        </is>
      </c>
      <c r="E5958" t="inlineStr">
        <is>
          <t>GÄVLE</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47589-2022</t>
        </is>
      </c>
      <c r="B5959" s="1" t="n">
        <v>44854</v>
      </c>
      <c r="C5959" s="1" t="n">
        <v>45344</v>
      </c>
      <c r="D5959" t="inlineStr">
        <is>
          <t>GÄVLEBORGS LÄN</t>
        </is>
      </c>
      <c r="E5959" t="inlineStr">
        <is>
          <t>NORDANSTIG</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47723-2022</t>
        </is>
      </c>
      <c r="B5960" s="1" t="n">
        <v>44854</v>
      </c>
      <c r="C5960" s="1" t="n">
        <v>45344</v>
      </c>
      <c r="D5960" t="inlineStr">
        <is>
          <t>GÄVLEBORGS LÄN</t>
        </is>
      </c>
      <c r="E5960" t="inlineStr">
        <is>
          <t>BOLLNÄS</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47683-2022</t>
        </is>
      </c>
      <c r="B5961" s="1" t="n">
        <v>44854</v>
      </c>
      <c r="C5961" s="1" t="n">
        <v>45344</v>
      </c>
      <c r="D5961" t="inlineStr">
        <is>
          <t>GÄVLEBORGS LÄN</t>
        </is>
      </c>
      <c r="E5961" t="inlineStr">
        <is>
          <t>HUDIKSVALL</t>
        </is>
      </c>
      <c r="F5961" t="inlineStr">
        <is>
          <t>Holmen skog AB</t>
        </is>
      </c>
      <c r="G5961" t="n">
        <v>8.1</v>
      </c>
      <c r="H5961" t="n">
        <v>0</v>
      </c>
      <c r="I5961" t="n">
        <v>0</v>
      </c>
      <c r="J5961" t="n">
        <v>0</v>
      </c>
      <c r="K5961" t="n">
        <v>0</v>
      </c>
      <c r="L5961" t="n">
        <v>0</v>
      </c>
      <c r="M5961" t="n">
        <v>0</v>
      </c>
      <c r="N5961" t="n">
        <v>0</v>
      </c>
      <c r="O5961" t="n">
        <v>0</v>
      </c>
      <c r="P5961" t="n">
        <v>0</v>
      </c>
      <c r="Q5961" t="n">
        <v>0</v>
      </c>
      <c r="R5961" s="2" t="inlineStr"/>
    </row>
    <row r="5962" ht="15" customHeight="1">
      <c r="A5962" t="inlineStr">
        <is>
          <t>A 47710-2022</t>
        </is>
      </c>
      <c r="B5962" s="1" t="n">
        <v>44854</v>
      </c>
      <c r="C5962" s="1" t="n">
        <v>45344</v>
      </c>
      <c r="D5962" t="inlineStr">
        <is>
          <t>GÄVLEBORGS LÄN</t>
        </is>
      </c>
      <c r="E5962" t="inlineStr">
        <is>
          <t>SANDVIKEN</t>
        </is>
      </c>
      <c r="G5962" t="n">
        <v>1.6</v>
      </c>
      <c r="H5962" t="n">
        <v>0</v>
      </c>
      <c r="I5962" t="n">
        <v>0</v>
      </c>
      <c r="J5962" t="n">
        <v>0</v>
      </c>
      <c r="K5962" t="n">
        <v>0</v>
      </c>
      <c r="L5962" t="n">
        <v>0</v>
      </c>
      <c r="M5962" t="n">
        <v>0</v>
      </c>
      <c r="N5962" t="n">
        <v>0</v>
      </c>
      <c r="O5962" t="n">
        <v>0</v>
      </c>
      <c r="P5962" t="n">
        <v>0</v>
      </c>
      <c r="Q5962" t="n">
        <v>0</v>
      </c>
      <c r="R5962" s="2" t="inlineStr"/>
    </row>
    <row r="5963" ht="15" customHeight="1">
      <c r="A5963" t="inlineStr">
        <is>
          <t>A 47718-2022</t>
        </is>
      </c>
      <c r="B5963" s="1" t="n">
        <v>44854</v>
      </c>
      <c r="C5963" s="1" t="n">
        <v>45344</v>
      </c>
      <c r="D5963" t="inlineStr">
        <is>
          <t>GÄVLEBORGS LÄN</t>
        </is>
      </c>
      <c r="E5963" t="inlineStr">
        <is>
          <t>SANDVIKEN</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47711-2022</t>
        </is>
      </c>
      <c r="B5964" s="1" t="n">
        <v>44854</v>
      </c>
      <c r="C5964" s="1" t="n">
        <v>45344</v>
      </c>
      <c r="D5964" t="inlineStr">
        <is>
          <t>GÄVLEBORGS LÄN</t>
        </is>
      </c>
      <c r="E5964" t="inlineStr">
        <is>
          <t>SANDVIKEN</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47720-2022</t>
        </is>
      </c>
      <c r="B5965" s="1" t="n">
        <v>44854</v>
      </c>
      <c r="C5965" s="1" t="n">
        <v>45344</v>
      </c>
      <c r="D5965" t="inlineStr">
        <is>
          <t>GÄVLEBORGS LÄN</t>
        </is>
      </c>
      <c r="E5965" t="inlineStr">
        <is>
          <t>SANDVIKEN</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48007-2022</t>
        </is>
      </c>
      <c r="B5966" s="1" t="n">
        <v>44855</v>
      </c>
      <c r="C5966" s="1" t="n">
        <v>45344</v>
      </c>
      <c r="D5966" t="inlineStr">
        <is>
          <t>GÄVLEBORGS LÄN</t>
        </is>
      </c>
      <c r="E5966" t="inlineStr">
        <is>
          <t>BOLLNÄS</t>
        </is>
      </c>
      <c r="G5966" t="n">
        <v>4.3</v>
      </c>
      <c r="H5966" t="n">
        <v>0</v>
      </c>
      <c r="I5966" t="n">
        <v>0</v>
      </c>
      <c r="J5966" t="n">
        <v>0</v>
      </c>
      <c r="K5966" t="n">
        <v>0</v>
      </c>
      <c r="L5966" t="n">
        <v>0</v>
      </c>
      <c r="M5966" t="n">
        <v>0</v>
      </c>
      <c r="N5966" t="n">
        <v>0</v>
      </c>
      <c r="O5966" t="n">
        <v>0</v>
      </c>
      <c r="P5966" t="n">
        <v>0</v>
      </c>
      <c r="Q5966" t="n">
        <v>0</v>
      </c>
      <c r="R5966" s="2" t="inlineStr"/>
    </row>
    <row r="5967" ht="15" customHeight="1">
      <c r="A5967" t="inlineStr">
        <is>
          <t>A 47917-2022</t>
        </is>
      </c>
      <c r="B5967" s="1" t="n">
        <v>44855</v>
      </c>
      <c r="C5967" s="1" t="n">
        <v>45344</v>
      </c>
      <c r="D5967" t="inlineStr">
        <is>
          <t>GÄVLEBORGS LÄN</t>
        </is>
      </c>
      <c r="E5967" t="inlineStr">
        <is>
          <t>OVANÅKER</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47855-2022</t>
        </is>
      </c>
      <c r="B5968" s="1" t="n">
        <v>44855</v>
      </c>
      <c r="C5968" s="1" t="n">
        <v>45344</v>
      </c>
      <c r="D5968" t="inlineStr">
        <is>
          <t>GÄVLEBORGS LÄN</t>
        </is>
      </c>
      <c r="E5968" t="inlineStr">
        <is>
          <t>LJUSDAL</t>
        </is>
      </c>
      <c r="F5968" t="inlineStr">
        <is>
          <t>Sveaskog</t>
        </is>
      </c>
      <c r="G5968" t="n">
        <v>7.8</v>
      </c>
      <c r="H5968" t="n">
        <v>0</v>
      </c>
      <c r="I5968" t="n">
        <v>0</v>
      </c>
      <c r="J5968" t="n">
        <v>0</v>
      </c>
      <c r="K5968" t="n">
        <v>0</v>
      </c>
      <c r="L5968" t="n">
        <v>0</v>
      </c>
      <c r="M5968" t="n">
        <v>0</v>
      </c>
      <c r="N5968" t="n">
        <v>0</v>
      </c>
      <c r="O5968" t="n">
        <v>0</v>
      </c>
      <c r="P5968" t="n">
        <v>0</v>
      </c>
      <c r="Q5968" t="n">
        <v>0</v>
      </c>
      <c r="R5968" s="2" t="inlineStr"/>
    </row>
    <row r="5969" ht="15" customHeight="1">
      <c r="A5969" t="inlineStr">
        <is>
          <t>A 47889-2022</t>
        </is>
      </c>
      <c r="B5969" s="1" t="n">
        <v>44855</v>
      </c>
      <c r="C5969" s="1" t="n">
        <v>45344</v>
      </c>
      <c r="D5969" t="inlineStr">
        <is>
          <t>GÄVLEBORGS LÄN</t>
        </is>
      </c>
      <c r="E5969" t="inlineStr">
        <is>
          <t>SANDVIKEN</t>
        </is>
      </c>
      <c r="F5969" t="inlineStr">
        <is>
          <t>Sveaskog</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47853-2022</t>
        </is>
      </c>
      <c r="B5970" s="1" t="n">
        <v>44855</v>
      </c>
      <c r="C5970" s="1" t="n">
        <v>45344</v>
      </c>
      <c r="D5970" t="inlineStr">
        <is>
          <t>GÄVLEBORGS LÄN</t>
        </is>
      </c>
      <c r="E5970" t="inlineStr">
        <is>
          <t>LJUSDAL</t>
        </is>
      </c>
      <c r="F5970" t="inlineStr">
        <is>
          <t>Sveaskog</t>
        </is>
      </c>
      <c r="G5970" t="n">
        <v>7.5</v>
      </c>
      <c r="H5970" t="n">
        <v>0</v>
      </c>
      <c r="I5970" t="n">
        <v>0</v>
      </c>
      <c r="J5970" t="n">
        <v>0</v>
      </c>
      <c r="K5970" t="n">
        <v>0</v>
      </c>
      <c r="L5970" t="n">
        <v>0</v>
      </c>
      <c r="M5970" t="n">
        <v>0</v>
      </c>
      <c r="N5970" t="n">
        <v>0</v>
      </c>
      <c r="O5970" t="n">
        <v>0</v>
      </c>
      <c r="P5970" t="n">
        <v>0</v>
      </c>
      <c r="Q5970" t="n">
        <v>0</v>
      </c>
      <c r="R5970" s="2" t="inlineStr"/>
    </row>
    <row r="5971" ht="15" customHeight="1">
      <c r="A5971" t="inlineStr">
        <is>
          <t>A 49059-2022</t>
        </is>
      </c>
      <c r="B5971" s="1" t="n">
        <v>44855</v>
      </c>
      <c r="C5971" s="1" t="n">
        <v>45344</v>
      </c>
      <c r="D5971" t="inlineStr">
        <is>
          <t>GÄVLEBORGS LÄN</t>
        </is>
      </c>
      <c r="E5971" t="inlineStr">
        <is>
          <t>SANDVIKEN</t>
        </is>
      </c>
      <c r="F5971" t="inlineStr">
        <is>
          <t>Bergvik skog väst AB</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48080-2022</t>
        </is>
      </c>
      <c r="B5972" s="1" t="n">
        <v>44855</v>
      </c>
      <c r="C5972" s="1" t="n">
        <v>45344</v>
      </c>
      <c r="D5972" t="inlineStr">
        <is>
          <t>GÄVLEBORGS LÄN</t>
        </is>
      </c>
      <c r="E5972" t="inlineStr">
        <is>
          <t>NORDANSTIG</t>
        </is>
      </c>
      <c r="F5972" t="inlineStr">
        <is>
          <t>SCA</t>
        </is>
      </c>
      <c r="G5972" t="n">
        <v>12.1</v>
      </c>
      <c r="H5972" t="n">
        <v>0</v>
      </c>
      <c r="I5972" t="n">
        <v>0</v>
      </c>
      <c r="J5972" t="n">
        <v>0</v>
      </c>
      <c r="K5972" t="n">
        <v>0</v>
      </c>
      <c r="L5972" t="n">
        <v>0</v>
      </c>
      <c r="M5972" t="n">
        <v>0</v>
      </c>
      <c r="N5972" t="n">
        <v>0</v>
      </c>
      <c r="O5972" t="n">
        <v>0</v>
      </c>
      <c r="P5972" t="n">
        <v>0</v>
      </c>
      <c r="Q5972" t="n">
        <v>0</v>
      </c>
      <c r="R5972" s="2" t="inlineStr"/>
    </row>
    <row r="5973" ht="15" customHeight="1">
      <c r="A5973" t="inlineStr">
        <is>
          <t>A 48102-2022</t>
        </is>
      </c>
      <c r="B5973" s="1" t="n">
        <v>44856</v>
      </c>
      <c r="C5973" s="1" t="n">
        <v>45344</v>
      </c>
      <c r="D5973" t="inlineStr">
        <is>
          <t>GÄVLEBORGS LÄN</t>
        </is>
      </c>
      <c r="E5973" t="inlineStr">
        <is>
          <t>SÖDERHAMN</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48103-2022</t>
        </is>
      </c>
      <c r="B5974" s="1" t="n">
        <v>44856</v>
      </c>
      <c r="C5974" s="1" t="n">
        <v>45344</v>
      </c>
      <c r="D5974" t="inlineStr">
        <is>
          <t>GÄVLEBORGS LÄN</t>
        </is>
      </c>
      <c r="E5974" t="inlineStr">
        <is>
          <t>SÖDERHAMN</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48110-2022</t>
        </is>
      </c>
      <c r="B5975" s="1" t="n">
        <v>44857</v>
      </c>
      <c r="C5975" s="1" t="n">
        <v>45344</v>
      </c>
      <c r="D5975" t="inlineStr">
        <is>
          <t>GÄVLEBORGS LÄN</t>
        </is>
      </c>
      <c r="E5975" t="inlineStr">
        <is>
          <t>BOLLNÄS</t>
        </is>
      </c>
      <c r="F5975" t="inlineStr">
        <is>
          <t>Bergvik skog väst AB</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48111-2022</t>
        </is>
      </c>
      <c r="B5976" s="1" t="n">
        <v>44857</v>
      </c>
      <c r="C5976" s="1" t="n">
        <v>45344</v>
      </c>
      <c r="D5976" t="inlineStr">
        <is>
          <t>GÄVLEBORGS LÄN</t>
        </is>
      </c>
      <c r="E5976" t="inlineStr">
        <is>
          <t>BOLLNÄS</t>
        </is>
      </c>
      <c r="F5976" t="inlineStr">
        <is>
          <t>Bergvik skog väst AB</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48214-2022</t>
        </is>
      </c>
      <c r="B5977" s="1" t="n">
        <v>44858</v>
      </c>
      <c r="C5977" s="1" t="n">
        <v>45344</v>
      </c>
      <c r="D5977" t="inlineStr">
        <is>
          <t>GÄVLEBORGS LÄN</t>
        </is>
      </c>
      <c r="E5977" t="inlineStr">
        <is>
          <t>OCKELBO</t>
        </is>
      </c>
      <c r="F5977" t="inlineStr">
        <is>
          <t>Bergvik skog väst AB</t>
        </is>
      </c>
      <c r="G5977" t="n">
        <v>4.1</v>
      </c>
      <c r="H5977" t="n">
        <v>0</v>
      </c>
      <c r="I5977" t="n">
        <v>0</v>
      </c>
      <c r="J5977" t="n">
        <v>0</v>
      </c>
      <c r="K5977" t="n">
        <v>0</v>
      </c>
      <c r="L5977" t="n">
        <v>0</v>
      </c>
      <c r="M5977" t="n">
        <v>0</v>
      </c>
      <c r="N5977" t="n">
        <v>0</v>
      </c>
      <c r="O5977" t="n">
        <v>0</v>
      </c>
      <c r="P5977" t="n">
        <v>0</v>
      </c>
      <c r="Q5977" t="n">
        <v>0</v>
      </c>
      <c r="R5977" s="2" t="inlineStr"/>
    </row>
    <row r="5978" ht="15" customHeight="1">
      <c r="A5978" t="inlineStr">
        <is>
          <t>A 48332-2022</t>
        </is>
      </c>
      <c r="B5978" s="1" t="n">
        <v>44858</v>
      </c>
      <c r="C5978" s="1" t="n">
        <v>45344</v>
      </c>
      <c r="D5978" t="inlineStr">
        <is>
          <t>GÄVLEBORGS LÄN</t>
        </is>
      </c>
      <c r="E5978" t="inlineStr">
        <is>
          <t>LJUSDAL</t>
        </is>
      </c>
      <c r="F5978" t="inlineStr">
        <is>
          <t>Bergvik skog väst AB</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48371-2022</t>
        </is>
      </c>
      <c r="B5979" s="1" t="n">
        <v>44858</v>
      </c>
      <c r="C5979" s="1" t="n">
        <v>45344</v>
      </c>
      <c r="D5979" t="inlineStr">
        <is>
          <t>GÄVLEBORGS LÄN</t>
        </is>
      </c>
      <c r="E5979" t="inlineStr">
        <is>
          <t>BOLLNÄS</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48381-2022</t>
        </is>
      </c>
      <c r="B5980" s="1" t="n">
        <v>44858</v>
      </c>
      <c r="C5980" s="1" t="n">
        <v>45344</v>
      </c>
      <c r="D5980" t="inlineStr">
        <is>
          <t>GÄVLEBORGS LÄN</t>
        </is>
      </c>
      <c r="E5980" t="inlineStr">
        <is>
          <t>OCKELBO</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48399-2022</t>
        </is>
      </c>
      <c r="B5981" s="1" t="n">
        <v>44858</v>
      </c>
      <c r="C5981" s="1" t="n">
        <v>45344</v>
      </c>
      <c r="D5981" t="inlineStr">
        <is>
          <t>GÄVLEBORGS LÄN</t>
        </is>
      </c>
      <c r="E5981" t="inlineStr">
        <is>
          <t>OCKELBO</t>
        </is>
      </c>
      <c r="F5981" t="inlineStr">
        <is>
          <t>Bergvik skog väst AB</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48157-2022</t>
        </is>
      </c>
      <c r="B5982" s="1" t="n">
        <v>44858</v>
      </c>
      <c r="C5982" s="1" t="n">
        <v>45344</v>
      </c>
      <c r="D5982" t="inlineStr">
        <is>
          <t>GÄVLEBORGS LÄN</t>
        </is>
      </c>
      <c r="E5982" t="inlineStr">
        <is>
          <t>OCKELBO</t>
        </is>
      </c>
      <c r="F5982" t="inlineStr">
        <is>
          <t>Bergvik skog väst AB</t>
        </is>
      </c>
      <c r="G5982" t="n">
        <v>19.5</v>
      </c>
      <c r="H5982" t="n">
        <v>0</v>
      </c>
      <c r="I5982" t="n">
        <v>0</v>
      </c>
      <c r="J5982" t="n">
        <v>0</v>
      </c>
      <c r="K5982" t="n">
        <v>0</v>
      </c>
      <c r="L5982" t="n">
        <v>0</v>
      </c>
      <c r="M5982" t="n">
        <v>0</v>
      </c>
      <c r="N5982" t="n">
        <v>0</v>
      </c>
      <c r="O5982" t="n">
        <v>0</v>
      </c>
      <c r="P5982" t="n">
        <v>0</v>
      </c>
      <c r="Q5982" t="n">
        <v>0</v>
      </c>
      <c r="R5982" s="2" t="inlineStr"/>
    </row>
    <row r="5983" ht="15" customHeight="1">
      <c r="A5983" t="inlineStr">
        <is>
          <t>A 48201-2022</t>
        </is>
      </c>
      <c r="B5983" s="1" t="n">
        <v>44858</v>
      </c>
      <c r="C5983" s="1" t="n">
        <v>45344</v>
      </c>
      <c r="D5983" t="inlineStr">
        <is>
          <t>GÄVLEBORGS LÄN</t>
        </is>
      </c>
      <c r="E5983" t="inlineStr">
        <is>
          <t>OCKELBO</t>
        </is>
      </c>
      <c r="F5983" t="inlineStr">
        <is>
          <t>Bergvik skog väst AB</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48370-2022</t>
        </is>
      </c>
      <c r="B5984" s="1" t="n">
        <v>44858</v>
      </c>
      <c r="C5984" s="1" t="n">
        <v>45344</v>
      </c>
      <c r="D5984" t="inlineStr">
        <is>
          <t>GÄVLEBORGS LÄN</t>
        </is>
      </c>
      <c r="E5984" t="inlineStr">
        <is>
          <t>LJUSDAL</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48394-2022</t>
        </is>
      </c>
      <c r="B5985" s="1" t="n">
        <v>44858</v>
      </c>
      <c r="C5985" s="1" t="n">
        <v>45344</v>
      </c>
      <c r="D5985" t="inlineStr">
        <is>
          <t>GÄVLEBORGS LÄN</t>
        </is>
      </c>
      <c r="E5985" t="inlineStr">
        <is>
          <t>OCKELBO</t>
        </is>
      </c>
      <c r="F5985" t="inlineStr">
        <is>
          <t>Bergvik skog väst AB</t>
        </is>
      </c>
      <c r="G5985" t="n">
        <v>5.4</v>
      </c>
      <c r="H5985" t="n">
        <v>0</v>
      </c>
      <c r="I5985" t="n">
        <v>0</v>
      </c>
      <c r="J5985" t="n">
        <v>0</v>
      </c>
      <c r="K5985" t="n">
        <v>0</v>
      </c>
      <c r="L5985" t="n">
        <v>0</v>
      </c>
      <c r="M5985" t="n">
        <v>0</v>
      </c>
      <c r="N5985" t="n">
        <v>0</v>
      </c>
      <c r="O5985" t="n">
        <v>0</v>
      </c>
      <c r="P5985" t="n">
        <v>0</v>
      </c>
      <c r="Q5985" t="n">
        <v>0</v>
      </c>
      <c r="R5985" s="2" t="inlineStr"/>
    </row>
    <row r="5986" ht="15" customHeight="1">
      <c r="A5986" t="inlineStr">
        <is>
          <t>A 48141-2022</t>
        </is>
      </c>
      <c r="B5986" s="1" t="n">
        <v>44858</v>
      </c>
      <c r="C5986" s="1" t="n">
        <v>45344</v>
      </c>
      <c r="D5986" t="inlineStr">
        <is>
          <t>GÄVLEBORGS LÄN</t>
        </is>
      </c>
      <c r="E5986" t="inlineStr">
        <is>
          <t>BOLLNÄS</t>
        </is>
      </c>
      <c r="F5986" t="inlineStr">
        <is>
          <t>Bergvik skog väst AB</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48179-2022</t>
        </is>
      </c>
      <c r="B5987" s="1" t="n">
        <v>44858</v>
      </c>
      <c r="C5987" s="1" t="n">
        <v>45344</v>
      </c>
      <c r="D5987" t="inlineStr">
        <is>
          <t>GÄVLEBORGS LÄN</t>
        </is>
      </c>
      <c r="E5987" t="inlineStr">
        <is>
          <t>NORDANSTIG</t>
        </is>
      </c>
      <c r="F5987" t="inlineStr">
        <is>
          <t>Holmen skog AB</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48199-2022</t>
        </is>
      </c>
      <c r="B5988" s="1" t="n">
        <v>44858</v>
      </c>
      <c r="C5988" s="1" t="n">
        <v>45344</v>
      </c>
      <c r="D5988" t="inlineStr">
        <is>
          <t>GÄVLEBORGS LÄN</t>
        </is>
      </c>
      <c r="E5988" t="inlineStr">
        <is>
          <t>OCKELBO</t>
        </is>
      </c>
      <c r="F5988" t="inlineStr">
        <is>
          <t>Bergvik skog väst AB</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48205-2022</t>
        </is>
      </c>
      <c r="B5989" s="1" t="n">
        <v>44858</v>
      </c>
      <c r="C5989" s="1" t="n">
        <v>45344</v>
      </c>
      <c r="D5989" t="inlineStr">
        <is>
          <t>GÄVLEBORGS LÄN</t>
        </is>
      </c>
      <c r="E5989" t="inlineStr">
        <is>
          <t>OCKELBO</t>
        </is>
      </c>
      <c r="F5989" t="inlineStr">
        <is>
          <t>Bergvik skog väst AB</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48197-2022</t>
        </is>
      </c>
      <c r="B5990" s="1" t="n">
        <v>44858</v>
      </c>
      <c r="C5990" s="1" t="n">
        <v>45344</v>
      </c>
      <c r="D5990" t="inlineStr">
        <is>
          <t>GÄVLEBORGS LÄN</t>
        </is>
      </c>
      <c r="E5990" t="inlineStr">
        <is>
          <t>OCKELBO</t>
        </is>
      </c>
      <c r="F5990" t="inlineStr">
        <is>
          <t>Bergvik skog väst AB</t>
        </is>
      </c>
      <c r="G5990" t="n">
        <v>4.7</v>
      </c>
      <c r="H5990" t="n">
        <v>0</v>
      </c>
      <c r="I5990" t="n">
        <v>0</v>
      </c>
      <c r="J5990" t="n">
        <v>0</v>
      </c>
      <c r="K5990" t="n">
        <v>0</v>
      </c>
      <c r="L5990" t="n">
        <v>0</v>
      </c>
      <c r="M5990" t="n">
        <v>0</v>
      </c>
      <c r="N5990" t="n">
        <v>0</v>
      </c>
      <c r="O5990" t="n">
        <v>0</v>
      </c>
      <c r="P5990" t="n">
        <v>0</v>
      </c>
      <c r="Q5990" t="n">
        <v>0</v>
      </c>
      <c r="R5990" s="2" t="inlineStr"/>
    </row>
    <row r="5991" ht="15" customHeight="1">
      <c r="A5991" t="inlineStr">
        <is>
          <t>A 48211-2022</t>
        </is>
      </c>
      <c r="B5991" s="1" t="n">
        <v>44858</v>
      </c>
      <c r="C5991" s="1" t="n">
        <v>45344</v>
      </c>
      <c r="D5991" t="inlineStr">
        <is>
          <t>GÄVLEBORGS LÄN</t>
        </is>
      </c>
      <c r="E5991" t="inlineStr">
        <is>
          <t>OCKELBO</t>
        </is>
      </c>
      <c r="F5991" t="inlineStr">
        <is>
          <t>Bergvik skog väst AB</t>
        </is>
      </c>
      <c r="G5991" t="n">
        <v>6.8</v>
      </c>
      <c r="H5991" t="n">
        <v>0</v>
      </c>
      <c r="I5991" t="n">
        <v>0</v>
      </c>
      <c r="J5991" t="n">
        <v>0</v>
      </c>
      <c r="K5991" t="n">
        <v>0</v>
      </c>
      <c r="L5991" t="n">
        <v>0</v>
      </c>
      <c r="M5991" t="n">
        <v>0</v>
      </c>
      <c r="N5991" t="n">
        <v>0</v>
      </c>
      <c r="O5991" t="n">
        <v>0</v>
      </c>
      <c r="P5991" t="n">
        <v>0</v>
      </c>
      <c r="Q5991" t="n">
        <v>0</v>
      </c>
      <c r="R5991" s="2" t="inlineStr"/>
    </row>
    <row r="5992" ht="15" customHeight="1">
      <c r="A5992" t="inlineStr">
        <is>
          <t>A 48366-2022</t>
        </is>
      </c>
      <c r="B5992" s="1" t="n">
        <v>44858</v>
      </c>
      <c r="C5992" s="1" t="n">
        <v>45344</v>
      </c>
      <c r="D5992" t="inlineStr">
        <is>
          <t>GÄVLEBORGS LÄN</t>
        </is>
      </c>
      <c r="E5992" t="inlineStr">
        <is>
          <t>OCKELBO</t>
        </is>
      </c>
      <c r="F5992" t="inlineStr">
        <is>
          <t>Bergvik skog väst AB</t>
        </is>
      </c>
      <c r="G5992" t="n">
        <v>2.5</v>
      </c>
      <c r="H5992" t="n">
        <v>0</v>
      </c>
      <c r="I5992" t="n">
        <v>0</v>
      </c>
      <c r="J5992" t="n">
        <v>0</v>
      </c>
      <c r="K5992" t="n">
        <v>0</v>
      </c>
      <c r="L5992" t="n">
        <v>0</v>
      </c>
      <c r="M5992" t="n">
        <v>0</v>
      </c>
      <c r="N5992" t="n">
        <v>0</v>
      </c>
      <c r="O5992" t="n">
        <v>0</v>
      </c>
      <c r="P5992" t="n">
        <v>0</v>
      </c>
      <c r="Q5992" t="n">
        <v>0</v>
      </c>
      <c r="R5992" s="2" t="inlineStr"/>
    </row>
    <row r="5993" ht="15" customHeight="1">
      <c r="A5993" t="inlineStr">
        <is>
          <t>A 48330-2022</t>
        </is>
      </c>
      <c r="B5993" s="1" t="n">
        <v>44858</v>
      </c>
      <c r="C5993" s="1" t="n">
        <v>45344</v>
      </c>
      <c r="D5993" t="inlineStr">
        <is>
          <t>GÄVLEBORGS LÄN</t>
        </is>
      </c>
      <c r="E5993" t="inlineStr">
        <is>
          <t>LJUSDAL</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48369-2022</t>
        </is>
      </c>
      <c r="B5994" s="1" t="n">
        <v>44858</v>
      </c>
      <c r="C5994" s="1" t="n">
        <v>45344</v>
      </c>
      <c r="D5994" t="inlineStr">
        <is>
          <t>GÄVLEBORGS LÄN</t>
        </is>
      </c>
      <c r="E5994" t="inlineStr">
        <is>
          <t>OVANÅKER</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48463-2022</t>
        </is>
      </c>
      <c r="B5995" s="1" t="n">
        <v>44858</v>
      </c>
      <c r="C5995" s="1" t="n">
        <v>45344</v>
      </c>
      <c r="D5995" t="inlineStr">
        <is>
          <t>GÄVLEBORGS LÄN</t>
        </is>
      </c>
      <c r="E5995" t="inlineStr">
        <is>
          <t>OCKELBO</t>
        </is>
      </c>
      <c r="F5995" t="inlineStr">
        <is>
          <t>Bergvik skog väst AB</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48469-2022</t>
        </is>
      </c>
      <c r="B5996" s="1" t="n">
        <v>44858</v>
      </c>
      <c r="C5996" s="1" t="n">
        <v>45344</v>
      </c>
      <c r="D5996" t="inlineStr">
        <is>
          <t>GÄVLEBORGS LÄN</t>
        </is>
      </c>
      <c r="E5996" t="inlineStr">
        <is>
          <t>OCKELBO</t>
        </is>
      </c>
      <c r="F5996" t="inlineStr">
        <is>
          <t>Bergvik skog väst AB</t>
        </is>
      </c>
      <c r="G5996" t="n">
        <v>7.2</v>
      </c>
      <c r="H5996" t="n">
        <v>0</v>
      </c>
      <c r="I5996" t="n">
        <v>0</v>
      </c>
      <c r="J5996" t="n">
        <v>0</v>
      </c>
      <c r="K5996" t="n">
        <v>0</v>
      </c>
      <c r="L5996" t="n">
        <v>0</v>
      </c>
      <c r="M5996" t="n">
        <v>0</v>
      </c>
      <c r="N5996" t="n">
        <v>0</v>
      </c>
      <c r="O5996" t="n">
        <v>0</v>
      </c>
      <c r="P5996" t="n">
        <v>0</v>
      </c>
      <c r="Q5996" t="n">
        <v>0</v>
      </c>
      <c r="R5996" s="2" t="inlineStr"/>
    </row>
    <row r="5997" ht="15" customHeight="1">
      <c r="A5997" t="inlineStr">
        <is>
          <t>A 48764-2022</t>
        </is>
      </c>
      <c r="B5997" s="1" t="n">
        <v>44859</v>
      </c>
      <c r="C5997" s="1" t="n">
        <v>45344</v>
      </c>
      <c r="D5997" t="inlineStr">
        <is>
          <t>GÄVLEBORGS LÄN</t>
        </is>
      </c>
      <c r="E5997" t="inlineStr">
        <is>
          <t>BOLLNÄS</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48654-2022</t>
        </is>
      </c>
      <c r="B5998" s="1" t="n">
        <v>44859</v>
      </c>
      <c r="C5998" s="1" t="n">
        <v>45344</v>
      </c>
      <c r="D5998" t="inlineStr">
        <is>
          <t>GÄVLEBORGS LÄN</t>
        </is>
      </c>
      <c r="E5998" t="inlineStr">
        <is>
          <t>LJUSDAL</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48665-2022</t>
        </is>
      </c>
      <c r="B5999" s="1" t="n">
        <v>44859</v>
      </c>
      <c r="C5999" s="1" t="n">
        <v>45344</v>
      </c>
      <c r="D5999" t="inlineStr">
        <is>
          <t>GÄVLEBORGS LÄN</t>
        </is>
      </c>
      <c r="E5999" t="inlineStr">
        <is>
          <t>HUDIKSVALL</t>
        </is>
      </c>
      <c r="F5999" t="inlineStr">
        <is>
          <t>Holmen skog AB</t>
        </is>
      </c>
      <c r="G5999" t="n">
        <v>7</v>
      </c>
      <c r="H5999" t="n">
        <v>0</v>
      </c>
      <c r="I5999" t="n">
        <v>0</v>
      </c>
      <c r="J5999" t="n">
        <v>0</v>
      </c>
      <c r="K5999" t="n">
        <v>0</v>
      </c>
      <c r="L5999" t="n">
        <v>0</v>
      </c>
      <c r="M5999" t="n">
        <v>0</v>
      </c>
      <c r="N5999" t="n">
        <v>0</v>
      </c>
      <c r="O5999" t="n">
        <v>0</v>
      </c>
      <c r="P5999" t="n">
        <v>0</v>
      </c>
      <c r="Q5999" t="n">
        <v>0</v>
      </c>
      <c r="R5999" s="2" t="inlineStr"/>
    </row>
    <row r="6000" ht="15" customHeight="1">
      <c r="A6000" t="inlineStr">
        <is>
          <t>A 48677-2022</t>
        </is>
      </c>
      <c r="B6000" s="1" t="n">
        <v>44859</v>
      </c>
      <c r="C6000" s="1" t="n">
        <v>45344</v>
      </c>
      <c r="D6000" t="inlineStr">
        <is>
          <t>GÄVLEBORGS LÄN</t>
        </is>
      </c>
      <c r="E6000" t="inlineStr">
        <is>
          <t>GÄVLE</t>
        </is>
      </c>
      <c r="F6000" t="inlineStr">
        <is>
          <t>Kyrkan</t>
        </is>
      </c>
      <c r="G6000" t="n">
        <v>2.1</v>
      </c>
      <c r="H6000" t="n">
        <v>0</v>
      </c>
      <c r="I6000" t="n">
        <v>0</v>
      </c>
      <c r="J6000" t="n">
        <v>0</v>
      </c>
      <c r="K6000" t="n">
        <v>0</v>
      </c>
      <c r="L6000" t="n">
        <v>0</v>
      </c>
      <c r="M6000" t="n">
        <v>0</v>
      </c>
      <c r="N6000" t="n">
        <v>0</v>
      </c>
      <c r="O6000" t="n">
        <v>0</v>
      </c>
      <c r="P6000" t="n">
        <v>0</v>
      </c>
      <c r="Q6000" t="n">
        <v>0</v>
      </c>
      <c r="R6000" s="2" t="inlineStr"/>
    </row>
    <row r="6001" ht="15" customHeight="1">
      <c r="A6001" t="inlineStr">
        <is>
          <t>A 48666-2022</t>
        </is>
      </c>
      <c r="B6001" s="1" t="n">
        <v>44859</v>
      </c>
      <c r="C6001" s="1" t="n">
        <v>45344</v>
      </c>
      <c r="D6001" t="inlineStr">
        <is>
          <t>GÄVLEBORGS LÄN</t>
        </is>
      </c>
      <c r="E6001" t="inlineStr">
        <is>
          <t>BOLLNÄS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48889-2022</t>
        </is>
      </c>
      <c r="B6002" s="1" t="n">
        <v>44860</v>
      </c>
      <c r="C6002" s="1" t="n">
        <v>45344</v>
      </c>
      <c r="D6002" t="inlineStr">
        <is>
          <t>GÄVLEBORGS LÄN</t>
        </is>
      </c>
      <c r="E6002" t="inlineStr">
        <is>
          <t>HUDIKSVALL</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48664-2022</t>
        </is>
      </c>
      <c r="B6003" s="1" t="n">
        <v>44859</v>
      </c>
      <c r="C6003" s="1" t="n">
        <v>45344</v>
      </c>
      <c r="D6003" t="inlineStr">
        <is>
          <t>GÄVLEBORGS LÄN</t>
        </is>
      </c>
      <c r="E6003" t="inlineStr">
        <is>
          <t>BOLLNÄS</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48832-2022</t>
        </is>
      </c>
      <c r="B6004" s="1" t="n">
        <v>44859</v>
      </c>
      <c r="C6004" s="1" t="n">
        <v>45344</v>
      </c>
      <c r="D6004" t="inlineStr">
        <is>
          <t>GÄVLEBORGS LÄN</t>
        </is>
      </c>
      <c r="E6004" t="inlineStr">
        <is>
          <t>NORDANSTIG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48811-2022</t>
        </is>
      </c>
      <c r="B6005" s="1" t="n">
        <v>44859</v>
      </c>
      <c r="C6005" s="1" t="n">
        <v>45344</v>
      </c>
      <c r="D6005" t="inlineStr">
        <is>
          <t>GÄVLEBORGS LÄN</t>
        </is>
      </c>
      <c r="E6005" t="inlineStr">
        <is>
          <t>OVANÅKER</t>
        </is>
      </c>
      <c r="F6005" t="inlineStr">
        <is>
          <t>Bergvik skog väst AB</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49021-2022</t>
        </is>
      </c>
      <c r="B6006" s="1" t="n">
        <v>44860</v>
      </c>
      <c r="C6006" s="1" t="n">
        <v>45344</v>
      </c>
      <c r="D6006" t="inlineStr">
        <is>
          <t>GÄVLEBORGS LÄN</t>
        </is>
      </c>
      <c r="E6006" t="inlineStr">
        <is>
          <t>OVANÅKER</t>
        </is>
      </c>
      <c r="G6006" t="n">
        <v>4.6</v>
      </c>
      <c r="H6006" t="n">
        <v>0</v>
      </c>
      <c r="I6006" t="n">
        <v>0</v>
      </c>
      <c r="J6006" t="n">
        <v>0</v>
      </c>
      <c r="K6006" t="n">
        <v>0</v>
      </c>
      <c r="L6006" t="n">
        <v>0</v>
      </c>
      <c r="M6006" t="n">
        <v>0</v>
      </c>
      <c r="N6006" t="n">
        <v>0</v>
      </c>
      <c r="O6006" t="n">
        <v>0</v>
      </c>
      <c r="P6006" t="n">
        <v>0</v>
      </c>
      <c r="Q6006" t="n">
        <v>0</v>
      </c>
      <c r="R6006" s="2" t="inlineStr"/>
    </row>
    <row r="6007" ht="15" customHeight="1">
      <c r="A6007" t="inlineStr">
        <is>
          <t>A 49172-2022</t>
        </is>
      </c>
      <c r="B6007" s="1" t="n">
        <v>44860</v>
      </c>
      <c r="C6007" s="1" t="n">
        <v>45344</v>
      </c>
      <c r="D6007" t="inlineStr">
        <is>
          <t>GÄVLEBORGS LÄN</t>
        </is>
      </c>
      <c r="E6007" t="inlineStr">
        <is>
          <t>LJUSDAL</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49222-2022</t>
        </is>
      </c>
      <c r="B6008" s="1" t="n">
        <v>44861</v>
      </c>
      <c r="C6008" s="1" t="n">
        <v>45344</v>
      </c>
      <c r="D6008" t="inlineStr">
        <is>
          <t>GÄVLEBORGS LÄN</t>
        </is>
      </c>
      <c r="E6008" t="inlineStr">
        <is>
          <t>HUDIKSVALL</t>
        </is>
      </c>
      <c r="F6008" t="inlineStr">
        <is>
          <t>Holmen skog AB</t>
        </is>
      </c>
      <c r="G6008" t="n">
        <v>7.4</v>
      </c>
      <c r="H6008" t="n">
        <v>0</v>
      </c>
      <c r="I6008" t="n">
        <v>0</v>
      </c>
      <c r="J6008" t="n">
        <v>0</v>
      </c>
      <c r="K6008" t="n">
        <v>0</v>
      </c>
      <c r="L6008" t="n">
        <v>0</v>
      </c>
      <c r="M6008" t="n">
        <v>0</v>
      </c>
      <c r="N6008" t="n">
        <v>0</v>
      </c>
      <c r="O6008" t="n">
        <v>0</v>
      </c>
      <c r="P6008" t="n">
        <v>0</v>
      </c>
      <c r="Q6008" t="n">
        <v>0</v>
      </c>
      <c r="R6008" s="2" t="inlineStr"/>
    </row>
    <row r="6009" ht="15" customHeight="1">
      <c r="A6009" t="inlineStr">
        <is>
          <t>A 49266-2022</t>
        </is>
      </c>
      <c r="B6009" s="1" t="n">
        <v>44861</v>
      </c>
      <c r="C6009" s="1" t="n">
        <v>45344</v>
      </c>
      <c r="D6009" t="inlineStr">
        <is>
          <t>GÄVLEBORGS LÄN</t>
        </is>
      </c>
      <c r="E6009" t="inlineStr">
        <is>
          <t>SÖDERHAMN</t>
        </is>
      </c>
      <c r="F6009" t="inlineStr">
        <is>
          <t>Kyrkan</t>
        </is>
      </c>
      <c r="G6009" t="n">
        <v>2.8</v>
      </c>
      <c r="H6009" t="n">
        <v>0</v>
      </c>
      <c r="I6009" t="n">
        <v>0</v>
      </c>
      <c r="J6009" t="n">
        <v>0</v>
      </c>
      <c r="K6009" t="n">
        <v>0</v>
      </c>
      <c r="L6009" t="n">
        <v>0</v>
      </c>
      <c r="M6009" t="n">
        <v>0</v>
      </c>
      <c r="N6009" t="n">
        <v>0</v>
      </c>
      <c r="O6009" t="n">
        <v>0</v>
      </c>
      <c r="P6009" t="n">
        <v>0</v>
      </c>
      <c r="Q6009" t="n">
        <v>0</v>
      </c>
      <c r="R6009" s="2" t="inlineStr"/>
    </row>
    <row r="6010" ht="15" customHeight="1">
      <c r="A6010" t="inlineStr">
        <is>
          <t>A 49493-2022</t>
        </is>
      </c>
      <c r="B6010" s="1" t="n">
        <v>44861</v>
      </c>
      <c r="C6010" s="1" t="n">
        <v>45344</v>
      </c>
      <c r="D6010" t="inlineStr">
        <is>
          <t>GÄVLEBORGS LÄN</t>
        </is>
      </c>
      <c r="E6010" t="inlineStr">
        <is>
          <t>SANDVIKEN</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49488-2022</t>
        </is>
      </c>
      <c r="B6011" s="1" t="n">
        <v>44861</v>
      </c>
      <c r="C6011" s="1" t="n">
        <v>45344</v>
      </c>
      <c r="D6011" t="inlineStr">
        <is>
          <t>GÄVLEBORGS LÄN</t>
        </is>
      </c>
      <c r="E6011" t="inlineStr">
        <is>
          <t>BOLLNÄS</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49247-2022</t>
        </is>
      </c>
      <c r="B6012" s="1" t="n">
        <v>44861</v>
      </c>
      <c r="C6012" s="1" t="n">
        <v>45344</v>
      </c>
      <c r="D6012" t="inlineStr">
        <is>
          <t>GÄVLEBORGS LÄN</t>
        </is>
      </c>
      <c r="E6012" t="inlineStr">
        <is>
          <t>SÖDERHAMN</t>
        </is>
      </c>
      <c r="F6012" t="inlineStr">
        <is>
          <t>Kyrkan</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49571-2022</t>
        </is>
      </c>
      <c r="B6013" s="1" t="n">
        <v>44862</v>
      </c>
      <c r="C6013" s="1" t="n">
        <v>45344</v>
      </c>
      <c r="D6013" t="inlineStr">
        <is>
          <t>GÄVLEBORGS LÄN</t>
        </is>
      </c>
      <c r="E6013" t="inlineStr">
        <is>
          <t>OCKELBO</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49612-2022</t>
        </is>
      </c>
      <c r="B6014" s="1" t="n">
        <v>44862</v>
      </c>
      <c r="C6014" s="1" t="n">
        <v>45344</v>
      </c>
      <c r="D6014" t="inlineStr">
        <is>
          <t>GÄVLEBORGS LÄN</t>
        </is>
      </c>
      <c r="E6014" t="inlineStr">
        <is>
          <t>NORDANSTIG</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49624-2022</t>
        </is>
      </c>
      <c r="B6015" s="1" t="n">
        <v>44862</v>
      </c>
      <c r="C6015" s="1" t="n">
        <v>45344</v>
      </c>
      <c r="D6015" t="inlineStr">
        <is>
          <t>GÄVLEBORGS LÄN</t>
        </is>
      </c>
      <c r="E6015" t="inlineStr">
        <is>
          <t>BOLLNÄS</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49607-2022</t>
        </is>
      </c>
      <c r="B6016" s="1" t="n">
        <v>44862</v>
      </c>
      <c r="C6016" s="1" t="n">
        <v>45344</v>
      </c>
      <c r="D6016" t="inlineStr">
        <is>
          <t>GÄVLEBORGS LÄN</t>
        </is>
      </c>
      <c r="E6016" t="inlineStr">
        <is>
          <t>NORDANSTIG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49616-2022</t>
        </is>
      </c>
      <c r="B6017" s="1" t="n">
        <v>44862</v>
      </c>
      <c r="C6017" s="1" t="n">
        <v>45344</v>
      </c>
      <c r="D6017" t="inlineStr">
        <is>
          <t>GÄVLEBORGS LÄN</t>
        </is>
      </c>
      <c r="E6017" t="inlineStr">
        <is>
          <t>HUDIKSVALL</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49654-2022</t>
        </is>
      </c>
      <c r="B6018" s="1" t="n">
        <v>44862</v>
      </c>
      <c r="C6018" s="1" t="n">
        <v>45344</v>
      </c>
      <c r="D6018" t="inlineStr">
        <is>
          <t>GÄVLEBORGS LÄN</t>
        </is>
      </c>
      <c r="E6018" t="inlineStr">
        <is>
          <t>OVANÅKER</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49771-2022</t>
        </is>
      </c>
      <c r="B6019" s="1" t="n">
        <v>44862</v>
      </c>
      <c r="C6019" s="1" t="n">
        <v>45344</v>
      </c>
      <c r="D6019" t="inlineStr">
        <is>
          <t>GÄVLEBORGS LÄN</t>
        </is>
      </c>
      <c r="E6019" t="inlineStr">
        <is>
          <t>GÄVLE</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49671-2022</t>
        </is>
      </c>
      <c r="B6020" s="1" t="n">
        <v>44862</v>
      </c>
      <c r="C6020" s="1" t="n">
        <v>45344</v>
      </c>
      <c r="D6020" t="inlineStr">
        <is>
          <t>GÄVLEBORGS LÄN</t>
        </is>
      </c>
      <c r="E6020" t="inlineStr">
        <is>
          <t>LJUSDAL</t>
        </is>
      </c>
      <c r="F6020" t="inlineStr">
        <is>
          <t>Sveaskog</t>
        </is>
      </c>
      <c r="G6020" t="n">
        <v>11.4</v>
      </c>
      <c r="H6020" t="n">
        <v>0</v>
      </c>
      <c r="I6020" t="n">
        <v>0</v>
      </c>
      <c r="J6020" t="n">
        <v>0</v>
      </c>
      <c r="K6020" t="n">
        <v>0</v>
      </c>
      <c r="L6020" t="n">
        <v>0</v>
      </c>
      <c r="M6020" t="n">
        <v>0</v>
      </c>
      <c r="N6020" t="n">
        <v>0</v>
      </c>
      <c r="O6020" t="n">
        <v>0</v>
      </c>
      <c r="P6020" t="n">
        <v>0</v>
      </c>
      <c r="Q6020" t="n">
        <v>0</v>
      </c>
      <c r="R6020" s="2" t="inlineStr"/>
    </row>
    <row r="6021" ht="15" customHeight="1">
      <c r="A6021" t="inlineStr">
        <is>
          <t>A 49591-2022</t>
        </is>
      </c>
      <c r="B6021" s="1" t="n">
        <v>44862</v>
      </c>
      <c r="C6021" s="1" t="n">
        <v>45344</v>
      </c>
      <c r="D6021" t="inlineStr">
        <is>
          <t>GÄVLEBORGS LÄN</t>
        </is>
      </c>
      <c r="E6021" t="inlineStr">
        <is>
          <t>BOLLNÄS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49672-2022</t>
        </is>
      </c>
      <c r="B6022" s="1" t="n">
        <v>44862</v>
      </c>
      <c r="C6022" s="1" t="n">
        <v>45344</v>
      </c>
      <c r="D6022" t="inlineStr">
        <is>
          <t>GÄVLEBORGS LÄN</t>
        </is>
      </c>
      <c r="E6022" t="inlineStr">
        <is>
          <t>LJUSDAL</t>
        </is>
      </c>
      <c r="F6022" t="inlineStr">
        <is>
          <t>Sveaskog</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49716-2022</t>
        </is>
      </c>
      <c r="B6023" s="1" t="n">
        <v>44862</v>
      </c>
      <c r="C6023" s="1" t="n">
        <v>45344</v>
      </c>
      <c r="D6023" t="inlineStr">
        <is>
          <t>GÄVLEBORGS LÄN</t>
        </is>
      </c>
      <c r="E6023" t="inlineStr">
        <is>
          <t>LJUSDAL</t>
        </is>
      </c>
      <c r="G6023" t="n">
        <v>13.7</v>
      </c>
      <c r="H6023" t="n">
        <v>0</v>
      </c>
      <c r="I6023" t="n">
        <v>0</v>
      </c>
      <c r="J6023" t="n">
        <v>0</v>
      </c>
      <c r="K6023" t="n">
        <v>0</v>
      </c>
      <c r="L6023" t="n">
        <v>0</v>
      </c>
      <c r="M6023" t="n">
        <v>0</v>
      </c>
      <c r="N6023" t="n">
        <v>0</v>
      </c>
      <c r="O6023" t="n">
        <v>0</v>
      </c>
      <c r="P6023" t="n">
        <v>0</v>
      </c>
      <c r="Q6023" t="n">
        <v>0</v>
      </c>
      <c r="R6023" s="2" t="inlineStr"/>
    </row>
    <row r="6024" ht="15" customHeight="1">
      <c r="A6024" t="inlineStr">
        <is>
          <t>A 49803-2022</t>
        </is>
      </c>
      <c r="B6024" s="1" t="n">
        <v>44862</v>
      </c>
      <c r="C6024" s="1" t="n">
        <v>45344</v>
      </c>
      <c r="D6024" t="inlineStr">
        <is>
          <t>GÄVLEBORGS LÄN</t>
        </is>
      </c>
      <c r="E6024" t="inlineStr">
        <is>
          <t>LJUSDAL</t>
        </is>
      </c>
      <c r="F6024" t="inlineStr">
        <is>
          <t>Sveaskog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49713-2022</t>
        </is>
      </c>
      <c r="B6025" s="1" t="n">
        <v>44862</v>
      </c>
      <c r="C6025" s="1" t="n">
        <v>45344</v>
      </c>
      <c r="D6025" t="inlineStr">
        <is>
          <t>GÄVLEBORGS LÄN</t>
        </is>
      </c>
      <c r="E6025" t="inlineStr">
        <is>
          <t>HUDIKSVALL</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49726-2022</t>
        </is>
      </c>
      <c r="B6026" s="1" t="n">
        <v>44862</v>
      </c>
      <c r="C6026" s="1" t="n">
        <v>45344</v>
      </c>
      <c r="D6026" t="inlineStr">
        <is>
          <t>GÄVLEBORGS LÄN</t>
        </is>
      </c>
      <c r="E6026" t="inlineStr">
        <is>
          <t>LJUSDAL</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49881-2022</t>
        </is>
      </c>
      <c r="B6027" s="1" t="n">
        <v>44864</v>
      </c>
      <c r="C6027" s="1" t="n">
        <v>45344</v>
      </c>
      <c r="D6027" t="inlineStr">
        <is>
          <t>GÄVLEBORGS LÄN</t>
        </is>
      </c>
      <c r="E6027" t="inlineStr">
        <is>
          <t>LJUSDAL</t>
        </is>
      </c>
      <c r="G6027" t="n">
        <v>5</v>
      </c>
      <c r="H6027" t="n">
        <v>0</v>
      </c>
      <c r="I6027" t="n">
        <v>0</v>
      </c>
      <c r="J6027" t="n">
        <v>0</v>
      </c>
      <c r="K6027" t="n">
        <v>0</v>
      </c>
      <c r="L6027" t="n">
        <v>0</v>
      </c>
      <c r="M6027" t="n">
        <v>0</v>
      </c>
      <c r="N6027" t="n">
        <v>0</v>
      </c>
      <c r="O6027" t="n">
        <v>0</v>
      </c>
      <c r="P6027" t="n">
        <v>0</v>
      </c>
      <c r="Q6027" t="n">
        <v>0</v>
      </c>
      <c r="R6027" s="2" t="inlineStr"/>
    </row>
    <row r="6028" ht="15" customHeight="1">
      <c r="A6028" t="inlineStr">
        <is>
          <t>A 49926-2022</t>
        </is>
      </c>
      <c r="B6028" s="1" t="n">
        <v>44865</v>
      </c>
      <c r="C6028" s="1" t="n">
        <v>45344</v>
      </c>
      <c r="D6028" t="inlineStr">
        <is>
          <t>GÄVLEBORGS LÄN</t>
        </is>
      </c>
      <c r="E6028" t="inlineStr">
        <is>
          <t>HUDIKSVALL</t>
        </is>
      </c>
      <c r="F6028" t="inlineStr">
        <is>
          <t>Holmen skog AB</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50053-2022</t>
        </is>
      </c>
      <c r="B6029" s="1" t="n">
        <v>44865</v>
      </c>
      <c r="C6029" s="1" t="n">
        <v>45344</v>
      </c>
      <c r="D6029" t="inlineStr">
        <is>
          <t>GÄVLEBORGS LÄN</t>
        </is>
      </c>
      <c r="E6029" t="inlineStr">
        <is>
          <t>BOLLNÄS</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50066-2022</t>
        </is>
      </c>
      <c r="B6030" s="1" t="n">
        <v>44865</v>
      </c>
      <c r="C6030" s="1" t="n">
        <v>45344</v>
      </c>
      <c r="D6030" t="inlineStr">
        <is>
          <t>GÄVLEBORGS LÄN</t>
        </is>
      </c>
      <c r="E6030" t="inlineStr">
        <is>
          <t>BOLLNÄS</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50150-2022</t>
        </is>
      </c>
      <c r="B6031" s="1" t="n">
        <v>44865</v>
      </c>
      <c r="C6031" s="1" t="n">
        <v>45344</v>
      </c>
      <c r="D6031" t="inlineStr">
        <is>
          <t>GÄVLEBORGS LÄN</t>
        </is>
      </c>
      <c r="E6031" t="inlineStr">
        <is>
          <t>HUDIKSVALL</t>
        </is>
      </c>
      <c r="F6031" t="inlineStr">
        <is>
          <t>Holmen skog AB</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50205-2022</t>
        </is>
      </c>
      <c r="B6032" s="1" t="n">
        <v>44865</v>
      </c>
      <c r="C6032" s="1" t="n">
        <v>45344</v>
      </c>
      <c r="D6032" t="inlineStr">
        <is>
          <t>GÄVLEBORGS LÄN</t>
        </is>
      </c>
      <c r="E6032" t="inlineStr">
        <is>
          <t>HUDIKSVALL</t>
        </is>
      </c>
      <c r="F6032" t="inlineStr">
        <is>
          <t>Holmen skog AB</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50226-2022</t>
        </is>
      </c>
      <c r="B6033" s="1" t="n">
        <v>44865</v>
      </c>
      <c r="C6033" s="1" t="n">
        <v>45344</v>
      </c>
      <c r="D6033" t="inlineStr">
        <is>
          <t>GÄVLEBORGS LÄN</t>
        </is>
      </c>
      <c r="E6033" t="inlineStr">
        <is>
          <t>HUDIKSVALL</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50235-2022</t>
        </is>
      </c>
      <c r="B6034" s="1" t="n">
        <v>44865</v>
      </c>
      <c r="C6034" s="1" t="n">
        <v>45344</v>
      </c>
      <c r="D6034" t="inlineStr">
        <is>
          <t>GÄVLEBORGS LÄN</t>
        </is>
      </c>
      <c r="E6034" t="inlineStr">
        <is>
          <t>HUDIKSVALL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50271-2022</t>
        </is>
      </c>
      <c r="B6035" s="1" t="n">
        <v>44865</v>
      </c>
      <c r="C6035" s="1" t="n">
        <v>45344</v>
      </c>
      <c r="D6035" t="inlineStr">
        <is>
          <t>GÄVLEBORGS LÄN</t>
        </is>
      </c>
      <c r="E6035" t="inlineStr">
        <is>
          <t>GÄVLE</t>
        </is>
      </c>
      <c r="F6035" t="inlineStr">
        <is>
          <t>Bergvik skog öst AB</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50299-2022</t>
        </is>
      </c>
      <c r="B6036" s="1" t="n">
        <v>44865</v>
      </c>
      <c r="C6036" s="1" t="n">
        <v>45344</v>
      </c>
      <c r="D6036" t="inlineStr">
        <is>
          <t>GÄVLEBORGS LÄN</t>
        </is>
      </c>
      <c r="E6036" t="inlineStr">
        <is>
          <t>LJUSDAL</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50277-2022</t>
        </is>
      </c>
      <c r="B6037" s="1" t="n">
        <v>44865</v>
      </c>
      <c r="C6037" s="1" t="n">
        <v>45344</v>
      </c>
      <c r="D6037" t="inlineStr">
        <is>
          <t>GÄVLEBORGS LÄN</t>
        </is>
      </c>
      <c r="E6037" t="inlineStr">
        <is>
          <t>SANDVIKEN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50272-2022</t>
        </is>
      </c>
      <c r="B6038" s="1" t="n">
        <v>44865</v>
      </c>
      <c r="C6038" s="1" t="n">
        <v>45344</v>
      </c>
      <c r="D6038" t="inlineStr">
        <is>
          <t>GÄVLEBORGS LÄN</t>
        </is>
      </c>
      <c r="E6038" t="inlineStr">
        <is>
          <t>GÄVLE</t>
        </is>
      </c>
      <c r="F6038" t="inlineStr">
        <is>
          <t>Bergvik skog öst AB</t>
        </is>
      </c>
      <c r="G6038" t="n">
        <v>6.1</v>
      </c>
      <c r="H6038" t="n">
        <v>0</v>
      </c>
      <c r="I6038" t="n">
        <v>0</v>
      </c>
      <c r="J6038" t="n">
        <v>0</v>
      </c>
      <c r="K6038" t="n">
        <v>0</v>
      </c>
      <c r="L6038" t="n">
        <v>0</v>
      </c>
      <c r="M6038" t="n">
        <v>0</v>
      </c>
      <c r="N6038" t="n">
        <v>0</v>
      </c>
      <c r="O6038" t="n">
        <v>0</v>
      </c>
      <c r="P6038" t="n">
        <v>0</v>
      </c>
      <c r="Q6038" t="n">
        <v>0</v>
      </c>
      <c r="R6038" s="2" t="inlineStr"/>
    </row>
    <row r="6039" ht="15" customHeight="1">
      <c r="A6039" t="inlineStr">
        <is>
          <t>A 50345-2022</t>
        </is>
      </c>
      <c r="B6039" s="1" t="n">
        <v>44866</v>
      </c>
      <c r="C6039" s="1" t="n">
        <v>45344</v>
      </c>
      <c r="D6039" t="inlineStr">
        <is>
          <t>GÄVLEBORGS LÄN</t>
        </is>
      </c>
      <c r="E6039" t="inlineStr">
        <is>
          <t>LJUSDAL</t>
        </is>
      </c>
      <c r="F6039" t="inlineStr">
        <is>
          <t>Holmen skog AB</t>
        </is>
      </c>
      <c r="G6039" t="n">
        <v>10.1</v>
      </c>
      <c r="H6039" t="n">
        <v>0</v>
      </c>
      <c r="I6039" t="n">
        <v>0</v>
      </c>
      <c r="J6039" t="n">
        <v>0</v>
      </c>
      <c r="K6039" t="n">
        <v>0</v>
      </c>
      <c r="L6039" t="n">
        <v>0</v>
      </c>
      <c r="M6039" t="n">
        <v>0</v>
      </c>
      <c r="N6039" t="n">
        <v>0</v>
      </c>
      <c r="O6039" t="n">
        <v>0</v>
      </c>
      <c r="P6039" t="n">
        <v>0</v>
      </c>
      <c r="Q6039" t="n">
        <v>0</v>
      </c>
      <c r="R6039" s="2" t="inlineStr"/>
    </row>
    <row r="6040" ht="15" customHeight="1">
      <c r="A6040" t="inlineStr">
        <is>
          <t>A 50369-2022</t>
        </is>
      </c>
      <c r="B6040" s="1" t="n">
        <v>44866</v>
      </c>
      <c r="C6040" s="1" t="n">
        <v>45344</v>
      </c>
      <c r="D6040" t="inlineStr">
        <is>
          <t>GÄVLEBORGS LÄN</t>
        </is>
      </c>
      <c r="E6040" t="inlineStr">
        <is>
          <t>LJUSDAL</t>
        </is>
      </c>
      <c r="F6040" t="inlineStr">
        <is>
          <t>Bergvik skog väst AB</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50347-2022</t>
        </is>
      </c>
      <c r="B6041" s="1" t="n">
        <v>44866</v>
      </c>
      <c r="C6041" s="1" t="n">
        <v>45344</v>
      </c>
      <c r="D6041" t="inlineStr">
        <is>
          <t>GÄVLEBORGS LÄN</t>
        </is>
      </c>
      <c r="E6041" t="inlineStr">
        <is>
          <t>LJUSDAL</t>
        </is>
      </c>
      <c r="F6041" t="inlineStr">
        <is>
          <t>Holmen skog AB</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50427-2022</t>
        </is>
      </c>
      <c r="B6042" s="1" t="n">
        <v>44866</v>
      </c>
      <c r="C6042" s="1" t="n">
        <v>45344</v>
      </c>
      <c r="D6042" t="inlineStr">
        <is>
          <t>GÄVLEBORGS LÄN</t>
        </is>
      </c>
      <c r="E6042" t="inlineStr">
        <is>
          <t>NORDANSTIG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50351-2022</t>
        </is>
      </c>
      <c r="B6043" s="1" t="n">
        <v>44866</v>
      </c>
      <c r="C6043" s="1" t="n">
        <v>45344</v>
      </c>
      <c r="D6043" t="inlineStr">
        <is>
          <t>GÄVLEBORGS LÄN</t>
        </is>
      </c>
      <c r="E6043" t="inlineStr">
        <is>
          <t>LJUSDAL</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50421-2022</t>
        </is>
      </c>
      <c r="B6044" s="1" t="n">
        <v>44866</v>
      </c>
      <c r="C6044" s="1" t="n">
        <v>45344</v>
      </c>
      <c r="D6044" t="inlineStr">
        <is>
          <t>GÄVLEBORGS LÄN</t>
        </is>
      </c>
      <c r="E6044" t="inlineStr">
        <is>
          <t>SANDVIKEN</t>
        </is>
      </c>
      <c r="F6044" t="inlineStr">
        <is>
          <t>Kommuner</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50534-2022</t>
        </is>
      </c>
      <c r="B6045" s="1" t="n">
        <v>44866</v>
      </c>
      <c r="C6045" s="1" t="n">
        <v>45344</v>
      </c>
      <c r="D6045" t="inlineStr">
        <is>
          <t>GÄVLEBORGS LÄN</t>
        </is>
      </c>
      <c r="E6045" t="inlineStr">
        <is>
          <t>HUDIKSVALL</t>
        </is>
      </c>
      <c r="F6045" t="inlineStr">
        <is>
          <t>Holmen skog AB</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50553-2022</t>
        </is>
      </c>
      <c r="B6046" s="1" t="n">
        <v>44866</v>
      </c>
      <c r="C6046" s="1" t="n">
        <v>45344</v>
      </c>
      <c r="D6046" t="inlineStr">
        <is>
          <t>GÄVLEBORGS LÄN</t>
        </is>
      </c>
      <c r="E6046" t="inlineStr">
        <is>
          <t>HUDIKSVALL</t>
        </is>
      </c>
      <c r="F6046" t="inlineStr">
        <is>
          <t>Holmen skog AB</t>
        </is>
      </c>
      <c r="G6046" t="n">
        <v>3.1</v>
      </c>
      <c r="H6046" t="n">
        <v>0</v>
      </c>
      <c r="I6046" t="n">
        <v>0</v>
      </c>
      <c r="J6046" t="n">
        <v>0</v>
      </c>
      <c r="K6046" t="n">
        <v>0</v>
      </c>
      <c r="L6046" t="n">
        <v>0</v>
      </c>
      <c r="M6046" t="n">
        <v>0</v>
      </c>
      <c r="N6046" t="n">
        <v>0</v>
      </c>
      <c r="O6046" t="n">
        <v>0</v>
      </c>
      <c r="P6046" t="n">
        <v>0</v>
      </c>
      <c r="Q6046" t="n">
        <v>0</v>
      </c>
      <c r="R6046" s="2" t="inlineStr"/>
    </row>
    <row r="6047" ht="15" customHeight="1">
      <c r="A6047" t="inlineStr">
        <is>
          <t>A 50567-2022</t>
        </is>
      </c>
      <c r="B6047" s="1" t="n">
        <v>44866</v>
      </c>
      <c r="C6047" s="1" t="n">
        <v>45344</v>
      </c>
      <c r="D6047" t="inlineStr">
        <is>
          <t>GÄVLEBORGS LÄN</t>
        </is>
      </c>
      <c r="E6047" t="inlineStr">
        <is>
          <t>LJUSDAL</t>
        </is>
      </c>
      <c r="F6047" t="inlineStr">
        <is>
          <t>Holmen skog AB</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50574-2022</t>
        </is>
      </c>
      <c r="B6048" s="1" t="n">
        <v>44866</v>
      </c>
      <c r="C6048" s="1" t="n">
        <v>45344</v>
      </c>
      <c r="D6048" t="inlineStr">
        <is>
          <t>GÄVLEBORGS LÄN</t>
        </is>
      </c>
      <c r="E6048" t="inlineStr">
        <is>
          <t>HUDIKSVALL</t>
        </is>
      </c>
      <c r="F6048" t="inlineStr">
        <is>
          <t>Holmen skog AB</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50583-2022</t>
        </is>
      </c>
      <c r="B6049" s="1" t="n">
        <v>44866</v>
      </c>
      <c r="C6049" s="1" t="n">
        <v>45344</v>
      </c>
      <c r="D6049" t="inlineStr">
        <is>
          <t>GÄVLEBORGS LÄN</t>
        </is>
      </c>
      <c r="E6049" t="inlineStr">
        <is>
          <t>NORDANSTIG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50579-2022</t>
        </is>
      </c>
      <c r="B6050" s="1" t="n">
        <v>44866</v>
      </c>
      <c r="C6050" s="1" t="n">
        <v>45344</v>
      </c>
      <c r="D6050" t="inlineStr">
        <is>
          <t>GÄVLEBORGS LÄN</t>
        </is>
      </c>
      <c r="E6050" t="inlineStr">
        <is>
          <t>LJUSDAL</t>
        </is>
      </c>
      <c r="F6050" t="inlineStr">
        <is>
          <t>Bergvik skog väst AB</t>
        </is>
      </c>
      <c r="G6050" t="n">
        <v>3.1</v>
      </c>
      <c r="H6050" t="n">
        <v>0</v>
      </c>
      <c r="I6050" t="n">
        <v>0</v>
      </c>
      <c r="J6050" t="n">
        <v>0</v>
      </c>
      <c r="K6050" t="n">
        <v>0</v>
      </c>
      <c r="L6050" t="n">
        <v>0</v>
      </c>
      <c r="M6050" t="n">
        <v>0</v>
      </c>
      <c r="N6050" t="n">
        <v>0</v>
      </c>
      <c r="O6050" t="n">
        <v>0</v>
      </c>
      <c r="P6050" t="n">
        <v>0</v>
      </c>
      <c r="Q6050" t="n">
        <v>0</v>
      </c>
      <c r="R6050" s="2" t="inlineStr"/>
    </row>
    <row r="6051" ht="15" customHeight="1">
      <c r="A6051" t="inlineStr">
        <is>
          <t>A 50588-2022</t>
        </is>
      </c>
      <c r="B6051" s="1" t="n">
        <v>44866</v>
      </c>
      <c r="C6051" s="1" t="n">
        <v>45344</v>
      </c>
      <c r="D6051" t="inlineStr">
        <is>
          <t>GÄVLEBORGS LÄN</t>
        </is>
      </c>
      <c r="E6051" t="inlineStr">
        <is>
          <t>HUDIKSVALL</t>
        </is>
      </c>
      <c r="F6051" t="inlineStr">
        <is>
          <t>Holmen skog AB</t>
        </is>
      </c>
      <c r="G6051" t="n">
        <v>12.6</v>
      </c>
      <c r="H6051" t="n">
        <v>0</v>
      </c>
      <c r="I6051" t="n">
        <v>0</v>
      </c>
      <c r="J6051" t="n">
        <v>0</v>
      </c>
      <c r="K6051" t="n">
        <v>0</v>
      </c>
      <c r="L6051" t="n">
        <v>0</v>
      </c>
      <c r="M6051" t="n">
        <v>0</v>
      </c>
      <c r="N6051" t="n">
        <v>0</v>
      </c>
      <c r="O6051" t="n">
        <v>0</v>
      </c>
      <c r="P6051" t="n">
        <v>0</v>
      </c>
      <c r="Q6051" t="n">
        <v>0</v>
      </c>
      <c r="R6051" s="2" t="inlineStr"/>
    </row>
    <row r="6052" ht="15" customHeight="1">
      <c r="A6052" t="inlineStr">
        <is>
          <t>A 50637-2022</t>
        </is>
      </c>
      <c r="B6052" s="1" t="n">
        <v>44866</v>
      </c>
      <c r="C6052" s="1" t="n">
        <v>45344</v>
      </c>
      <c r="D6052" t="inlineStr">
        <is>
          <t>GÄVLEBORGS LÄN</t>
        </is>
      </c>
      <c r="E6052" t="inlineStr">
        <is>
          <t>OVANÅKER</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50740-2022</t>
        </is>
      </c>
      <c r="B6053" s="1" t="n">
        <v>44867</v>
      </c>
      <c r="C6053" s="1" t="n">
        <v>45344</v>
      </c>
      <c r="D6053" t="inlineStr">
        <is>
          <t>GÄVLEBORGS LÄN</t>
        </is>
      </c>
      <c r="E6053" t="inlineStr">
        <is>
          <t>LJUSDAL</t>
        </is>
      </c>
      <c r="F6053" t="inlineStr">
        <is>
          <t>Kommuner</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50818-2022</t>
        </is>
      </c>
      <c r="B6054" s="1" t="n">
        <v>44867</v>
      </c>
      <c r="C6054" s="1" t="n">
        <v>45344</v>
      </c>
      <c r="D6054" t="inlineStr">
        <is>
          <t>GÄVLEBORGS LÄN</t>
        </is>
      </c>
      <c r="E6054" t="inlineStr">
        <is>
          <t>HUDIKSVALL</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50863-2022</t>
        </is>
      </c>
      <c r="B6055" s="1" t="n">
        <v>44867</v>
      </c>
      <c r="C6055" s="1" t="n">
        <v>45344</v>
      </c>
      <c r="D6055" t="inlineStr">
        <is>
          <t>GÄVLEBORGS LÄN</t>
        </is>
      </c>
      <c r="E6055" t="inlineStr">
        <is>
          <t>LJUSDAL</t>
        </is>
      </c>
      <c r="F6055" t="inlineStr">
        <is>
          <t>Holmen skog AB</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50931-2022</t>
        </is>
      </c>
      <c r="B6056" s="1" t="n">
        <v>44867</v>
      </c>
      <c r="C6056" s="1" t="n">
        <v>45344</v>
      </c>
      <c r="D6056" t="inlineStr">
        <is>
          <t>GÄVLEBORGS LÄN</t>
        </is>
      </c>
      <c r="E6056" t="inlineStr">
        <is>
          <t>LJUSDAL</t>
        </is>
      </c>
      <c r="F6056" t="inlineStr">
        <is>
          <t>Sveaskog</t>
        </is>
      </c>
      <c r="G6056" t="n">
        <v>9.699999999999999</v>
      </c>
      <c r="H6056" t="n">
        <v>0</v>
      </c>
      <c r="I6056" t="n">
        <v>0</v>
      </c>
      <c r="J6056" t="n">
        <v>0</v>
      </c>
      <c r="K6056" t="n">
        <v>0</v>
      </c>
      <c r="L6056" t="n">
        <v>0</v>
      </c>
      <c r="M6056" t="n">
        <v>0</v>
      </c>
      <c r="N6056" t="n">
        <v>0</v>
      </c>
      <c r="O6056" t="n">
        <v>0</v>
      </c>
      <c r="P6056" t="n">
        <v>0</v>
      </c>
      <c r="Q6056" t="n">
        <v>0</v>
      </c>
      <c r="R6056" s="2" t="inlineStr"/>
    </row>
    <row r="6057" ht="15" customHeight="1">
      <c r="A6057" t="inlineStr">
        <is>
          <t>A 50733-2022</t>
        </is>
      </c>
      <c r="B6057" s="1" t="n">
        <v>44867</v>
      </c>
      <c r="C6057" s="1" t="n">
        <v>45344</v>
      </c>
      <c r="D6057" t="inlineStr">
        <is>
          <t>GÄVLEBORGS LÄN</t>
        </is>
      </c>
      <c r="E6057" t="inlineStr">
        <is>
          <t>LJUSDAL</t>
        </is>
      </c>
      <c r="F6057" t="inlineStr">
        <is>
          <t>Kommuner</t>
        </is>
      </c>
      <c r="G6057" t="n">
        <v>6.3</v>
      </c>
      <c r="H6057" t="n">
        <v>0</v>
      </c>
      <c r="I6057" t="n">
        <v>0</v>
      </c>
      <c r="J6057" t="n">
        <v>0</v>
      </c>
      <c r="K6057" t="n">
        <v>0</v>
      </c>
      <c r="L6057" t="n">
        <v>0</v>
      </c>
      <c r="M6057" t="n">
        <v>0</v>
      </c>
      <c r="N6057" t="n">
        <v>0</v>
      </c>
      <c r="O6057" t="n">
        <v>0</v>
      </c>
      <c r="P6057" t="n">
        <v>0</v>
      </c>
      <c r="Q6057" t="n">
        <v>0</v>
      </c>
      <c r="R6057" s="2" t="inlineStr"/>
    </row>
    <row r="6058" ht="15" customHeight="1">
      <c r="A6058" t="inlineStr">
        <is>
          <t>A 50743-2022</t>
        </is>
      </c>
      <c r="B6058" s="1" t="n">
        <v>44867</v>
      </c>
      <c r="C6058" s="1" t="n">
        <v>45344</v>
      </c>
      <c r="D6058" t="inlineStr">
        <is>
          <t>GÄVLEBORGS LÄN</t>
        </is>
      </c>
      <c r="E6058" t="inlineStr">
        <is>
          <t>LJUSDAL</t>
        </is>
      </c>
      <c r="F6058" t="inlineStr">
        <is>
          <t>Kommuner</t>
        </is>
      </c>
      <c r="G6058" t="n">
        <v>0.6</v>
      </c>
      <c r="H6058" t="n">
        <v>0</v>
      </c>
      <c r="I6058" t="n">
        <v>0</v>
      </c>
      <c r="J6058" t="n">
        <v>0</v>
      </c>
      <c r="K6058" t="n">
        <v>0</v>
      </c>
      <c r="L6058" t="n">
        <v>0</v>
      </c>
      <c r="M6058" t="n">
        <v>0</v>
      </c>
      <c r="N6058" t="n">
        <v>0</v>
      </c>
      <c r="O6058" t="n">
        <v>0</v>
      </c>
      <c r="P6058" t="n">
        <v>0</v>
      </c>
      <c r="Q6058" t="n">
        <v>0</v>
      </c>
      <c r="R6058" s="2" t="inlineStr"/>
    </row>
    <row r="6059" ht="15" customHeight="1">
      <c r="A6059" t="inlineStr">
        <is>
          <t>A 50877-2022</t>
        </is>
      </c>
      <c r="B6059" s="1" t="n">
        <v>44867</v>
      </c>
      <c r="C6059" s="1" t="n">
        <v>45344</v>
      </c>
      <c r="D6059" t="inlineStr">
        <is>
          <t>GÄVLEBORGS LÄN</t>
        </is>
      </c>
      <c r="E6059" t="inlineStr">
        <is>
          <t>LJUSDAL</t>
        </is>
      </c>
      <c r="F6059" t="inlineStr">
        <is>
          <t>Holmen skog AB</t>
        </is>
      </c>
      <c r="G6059" t="n">
        <v>2.3</v>
      </c>
      <c r="H6059" t="n">
        <v>0</v>
      </c>
      <c r="I6059" t="n">
        <v>0</v>
      </c>
      <c r="J6059" t="n">
        <v>0</v>
      </c>
      <c r="K6059" t="n">
        <v>0</v>
      </c>
      <c r="L6059" t="n">
        <v>0</v>
      </c>
      <c r="M6059" t="n">
        <v>0</v>
      </c>
      <c r="N6059" t="n">
        <v>0</v>
      </c>
      <c r="O6059" t="n">
        <v>0</v>
      </c>
      <c r="P6059" t="n">
        <v>0</v>
      </c>
      <c r="Q6059" t="n">
        <v>0</v>
      </c>
      <c r="R6059" s="2" t="inlineStr"/>
    </row>
    <row r="6060" ht="15" customHeight="1">
      <c r="A6060" t="inlineStr">
        <is>
          <t>A 50927-2022</t>
        </is>
      </c>
      <c r="B6060" s="1" t="n">
        <v>44867</v>
      </c>
      <c r="C6060" s="1" t="n">
        <v>45344</v>
      </c>
      <c r="D6060" t="inlineStr">
        <is>
          <t>GÄVLEBORGS LÄN</t>
        </is>
      </c>
      <c r="E6060" t="inlineStr">
        <is>
          <t>LJUSDAL</t>
        </is>
      </c>
      <c r="F6060" t="inlineStr">
        <is>
          <t>Holmen skog AB</t>
        </is>
      </c>
      <c r="G6060" t="n">
        <v>4.4</v>
      </c>
      <c r="H6060" t="n">
        <v>0</v>
      </c>
      <c r="I6060" t="n">
        <v>0</v>
      </c>
      <c r="J6060" t="n">
        <v>0</v>
      </c>
      <c r="K6060" t="n">
        <v>0</v>
      </c>
      <c r="L6060" t="n">
        <v>0</v>
      </c>
      <c r="M6060" t="n">
        <v>0</v>
      </c>
      <c r="N6060" t="n">
        <v>0</v>
      </c>
      <c r="O6060" t="n">
        <v>0</v>
      </c>
      <c r="P6060" t="n">
        <v>0</v>
      </c>
      <c r="Q6060" t="n">
        <v>0</v>
      </c>
      <c r="R6060" s="2" t="inlineStr"/>
    </row>
    <row r="6061" ht="15" customHeight="1">
      <c r="A6061" t="inlineStr">
        <is>
          <t>A 50871-2022</t>
        </is>
      </c>
      <c r="B6061" s="1" t="n">
        <v>44867</v>
      </c>
      <c r="C6061" s="1" t="n">
        <v>45344</v>
      </c>
      <c r="D6061" t="inlineStr">
        <is>
          <t>GÄVLEBORGS LÄN</t>
        </is>
      </c>
      <c r="E6061" t="inlineStr">
        <is>
          <t>GÄVLE</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50886-2022</t>
        </is>
      </c>
      <c r="B6062" s="1" t="n">
        <v>44867</v>
      </c>
      <c r="C6062" s="1" t="n">
        <v>45344</v>
      </c>
      <c r="D6062" t="inlineStr">
        <is>
          <t>GÄVLEBORGS LÄN</t>
        </is>
      </c>
      <c r="E6062" t="inlineStr">
        <is>
          <t>LJUSDAL</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50937-2022</t>
        </is>
      </c>
      <c r="B6063" s="1" t="n">
        <v>44867</v>
      </c>
      <c r="C6063" s="1" t="n">
        <v>45344</v>
      </c>
      <c r="D6063" t="inlineStr">
        <is>
          <t>GÄVLEBORGS LÄN</t>
        </is>
      </c>
      <c r="E6063" t="inlineStr">
        <is>
          <t>OVANÅKER</t>
        </is>
      </c>
      <c r="F6063" t="inlineStr">
        <is>
          <t>Bergvik skog väst AB</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50778-2022</t>
        </is>
      </c>
      <c r="B6064" s="1" t="n">
        <v>44867</v>
      </c>
      <c r="C6064" s="1" t="n">
        <v>45344</v>
      </c>
      <c r="D6064" t="inlineStr">
        <is>
          <t>GÄVLEBORGS LÄN</t>
        </is>
      </c>
      <c r="E6064" t="inlineStr">
        <is>
          <t>GÄVLE</t>
        </is>
      </c>
      <c r="F6064" t="inlineStr">
        <is>
          <t>Bergvik skog öst AB</t>
        </is>
      </c>
      <c r="G6064" t="n">
        <v>9</v>
      </c>
      <c r="H6064" t="n">
        <v>0</v>
      </c>
      <c r="I6064" t="n">
        <v>0</v>
      </c>
      <c r="J6064" t="n">
        <v>0</v>
      </c>
      <c r="K6064" t="n">
        <v>0</v>
      </c>
      <c r="L6064" t="n">
        <v>0</v>
      </c>
      <c r="M6064" t="n">
        <v>0</v>
      </c>
      <c r="N6064" t="n">
        <v>0</v>
      </c>
      <c r="O6064" t="n">
        <v>0</v>
      </c>
      <c r="P6064" t="n">
        <v>0</v>
      </c>
      <c r="Q6064" t="n">
        <v>0</v>
      </c>
      <c r="R6064" s="2" t="inlineStr"/>
    </row>
    <row r="6065" ht="15" customHeight="1">
      <c r="A6065" t="inlineStr">
        <is>
          <t>A 50876-2022</t>
        </is>
      </c>
      <c r="B6065" s="1" t="n">
        <v>44867</v>
      </c>
      <c r="C6065" s="1" t="n">
        <v>45344</v>
      </c>
      <c r="D6065" t="inlineStr">
        <is>
          <t>GÄVLEBORGS LÄN</t>
        </is>
      </c>
      <c r="E6065" t="inlineStr">
        <is>
          <t>SÖDERHAMN</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51048-2022</t>
        </is>
      </c>
      <c r="B6066" s="1" t="n">
        <v>44868</v>
      </c>
      <c r="C6066" s="1" t="n">
        <v>45344</v>
      </c>
      <c r="D6066" t="inlineStr">
        <is>
          <t>GÄVLEBORGS LÄN</t>
        </is>
      </c>
      <c r="E6066" t="inlineStr">
        <is>
          <t>LJUSDAL</t>
        </is>
      </c>
      <c r="F6066" t="inlineStr">
        <is>
          <t>Bergvik skog väst AB</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51092-2022</t>
        </is>
      </c>
      <c r="B6067" s="1" t="n">
        <v>44868</v>
      </c>
      <c r="C6067" s="1" t="n">
        <v>45344</v>
      </c>
      <c r="D6067" t="inlineStr">
        <is>
          <t>GÄVLEBORGS LÄN</t>
        </is>
      </c>
      <c r="E6067" t="inlineStr">
        <is>
          <t>OVANÅKER</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51089-2022</t>
        </is>
      </c>
      <c r="B6068" s="1" t="n">
        <v>44868</v>
      </c>
      <c r="C6068" s="1" t="n">
        <v>45344</v>
      </c>
      <c r="D6068" t="inlineStr">
        <is>
          <t>GÄVLEBORGS LÄN</t>
        </is>
      </c>
      <c r="E6068" t="inlineStr">
        <is>
          <t>LJUSDAL</t>
        </is>
      </c>
      <c r="F6068" t="inlineStr">
        <is>
          <t>Bergvik skog väst AB</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51099-2022</t>
        </is>
      </c>
      <c r="B6069" s="1" t="n">
        <v>44868</v>
      </c>
      <c r="C6069" s="1" t="n">
        <v>45344</v>
      </c>
      <c r="D6069" t="inlineStr">
        <is>
          <t>GÄVLEBORGS LÄN</t>
        </is>
      </c>
      <c r="E6069" t="inlineStr">
        <is>
          <t>LJUSDAL</t>
        </is>
      </c>
      <c r="F6069" t="inlineStr">
        <is>
          <t>Bergvik skog väst AB</t>
        </is>
      </c>
      <c r="G6069" t="n">
        <v>7.1</v>
      </c>
      <c r="H6069" t="n">
        <v>0</v>
      </c>
      <c r="I6069" t="n">
        <v>0</v>
      </c>
      <c r="J6069" t="n">
        <v>0</v>
      </c>
      <c r="K6069" t="n">
        <v>0</v>
      </c>
      <c r="L6069" t="n">
        <v>0</v>
      </c>
      <c r="M6069" t="n">
        <v>0</v>
      </c>
      <c r="N6069" t="n">
        <v>0</v>
      </c>
      <c r="O6069" t="n">
        <v>0</v>
      </c>
      <c r="P6069" t="n">
        <v>0</v>
      </c>
      <c r="Q6069" t="n">
        <v>0</v>
      </c>
      <c r="R6069" s="2" t="inlineStr"/>
    </row>
    <row r="6070" ht="15" customHeight="1">
      <c r="A6070" t="inlineStr">
        <is>
          <t>A 51038-2022</t>
        </is>
      </c>
      <c r="B6070" s="1" t="n">
        <v>44868</v>
      </c>
      <c r="C6070" s="1" t="n">
        <v>45344</v>
      </c>
      <c r="D6070" t="inlineStr">
        <is>
          <t>GÄVLEBORGS LÄN</t>
        </is>
      </c>
      <c r="E6070" t="inlineStr">
        <is>
          <t>BOLLNÄS</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51044-2022</t>
        </is>
      </c>
      <c r="B6071" s="1" t="n">
        <v>44868</v>
      </c>
      <c r="C6071" s="1" t="n">
        <v>45344</v>
      </c>
      <c r="D6071" t="inlineStr">
        <is>
          <t>GÄVLEBORGS LÄN</t>
        </is>
      </c>
      <c r="E6071" t="inlineStr">
        <is>
          <t>LJUSDAL</t>
        </is>
      </c>
      <c r="F6071" t="inlineStr">
        <is>
          <t>Bergvik skog väst AB</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51049-2022</t>
        </is>
      </c>
      <c r="B6072" s="1" t="n">
        <v>44868</v>
      </c>
      <c r="C6072" s="1" t="n">
        <v>45344</v>
      </c>
      <c r="D6072" t="inlineStr">
        <is>
          <t>GÄVLEBORGS LÄN</t>
        </is>
      </c>
      <c r="E6072" t="inlineStr">
        <is>
          <t>LJUSDAL</t>
        </is>
      </c>
      <c r="F6072" t="inlineStr">
        <is>
          <t>Bergvik skog väst AB</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51076-2022</t>
        </is>
      </c>
      <c r="B6073" s="1" t="n">
        <v>44868</v>
      </c>
      <c r="C6073" s="1" t="n">
        <v>45344</v>
      </c>
      <c r="D6073" t="inlineStr">
        <is>
          <t>GÄVLEBORGS LÄN</t>
        </is>
      </c>
      <c r="E6073" t="inlineStr">
        <is>
          <t>GÄVLE</t>
        </is>
      </c>
      <c r="F6073" t="inlineStr">
        <is>
          <t>Kyrkan</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51115-2022</t>
        </is>
      </c>
      <c r="B6074" s="1" t="n">
        <v>44868</v>
      </c>
      <c r="C6074" s="1" t="n">
        <v>45344</v>
      </c>
      <c r="D6074" t="inlineStr">
        <is>
          <t>GÄVLEBORGS LÄN</t>
        </is>
      </c>
      <c r="E6074" t="inlineStr">
        <is>
          <t>LJUSDAL</t>
        </is>
      </c>
      <c r="F6074" t="inlineStr">
        <is>
          <t>Bergvik skog väst AB</t>
        </is>
      </c>
      <c r="G6074" t="n">
        <v>12.9</v>
      </c>
      <c r="H6074" t="n">
        <v>0</v>
      </c>
      <c r="I6074" t="n">
        <v>0</v>
      </c>
      <c r="J6074" t="n">
        <v>0</v>
      </c>
      <c r="K6074" t="n">
        <v>0</v>
      </c>
      <c r="L6074" t="n">
        <v>0</v>
      </c>
      <c r="M6074" t="n">
        <v>0</v>
      </c>
      <c r="N6074" t="n">
        <v>0</v>
      </c>
      <c r="O6074" t="n">
        <v>0</v>
      </c>
      <c r="P6074" t="n">
        <v>0</v>
      </c>
      <c r="Q6074" t="n">
        <v>0</v>
      </c>
      <c r="R6074" s="2" t="inlineStr"/>
    </row>
    <row r="6075" ht="15" customHeight="1">
      <c r="A6075" t="inlineStr">
        <is>
          <t>A 51123-2022</t>
        </is>
      </c>
      <c r="B6075" s="1" t="n">
        <v>44868</v>
      </c>
      <c r="C6075" s="1" t="n">
        <v>45344</v>
      </c>
      <c r="D6075" t="inlineStr">
        <is>
          <t>GÄVLEBORGS LÄN</t>
        </is>
      </c>
      <c r="E6075" t="inlineStr">
        <is>
          <t>LJUSDAL</t>
        </is>
      </c>
      <c r="F6075" t="inlineStr">
        <is>
          <t>Sveaskog</t>
        </is>
      </c>
      <c r="G6075" t="n">
        <v>8.9</v>
      </c>
      <c r="H6075" t="n">
        <v>0</v>
      </c>
      <c r="I6075" t="n">
        <v>0</v>
      </c>
      <c r="J6075" t="n">
        <v>0</v>
      </c>
      <c r="K6075" t="n">
        <v>0</v>
      </c>
      <c r="L6075" t="n">
        <v>0</v>
      </c>
      <c r="M6075" t="n">
        <v>0</v>
      </c>
      <c r="N6075" t="n">
        <v>0</v>
      </c>
      <c r="O6075" t="n">
        <v>0</v>
      </c>
      <c r="P6075" t="n">
        <v>0</v>
      </c>
      <c r="Q6075" t="n">
        <v>0</v>
      </c>
      <c r="R6075" s="2" t="inlineStr"/>
    </row>
    <row r="6076" ht="15" customHeight="1">
      <c r="A6076" t="inlineStr">
        <is>
          <t>A 51122-2022</t>
        </is>
      </c>
      <c r="B6076" s="1" t="n">
        <v>44868</v>
      </c>
      <c r="C6076" s="1" t="n">
        <v>45344</v>
      </c>
      <c r="D6076" t="inlineStr">
        <is>
          <t>GÄVLEBORGS LÄN</t>
        </is>
      </c>
      <c r="E6076" t="inlineStr">
        <is>
          <t>OVANÅKER</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51121-2022</t>
        </is>
      </c>
      <c r="B6077" s="1" t="n">
        <v>44868</v>
      </c>
      <c r="C6077" s="1" t="n">
        <v>45344</v>
      </c>
      <c r="D6077" t="inlineStr">
        <is>
          <t>GÄVLEBORGS LÄN</t>
        </is>
      </c>
      <c r="E6077" t="inlineStr">
        <is>
          <t>LJUSDAL</t>
        </is>
      </c>
      <c r="F6077" t="inlineStr">
        <is>
          <t>Sveaskog</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51127-2022</t>
        </is>
      </c>
      <c r="B6078" s="1" t="n">
        <v>44868</v>
      </c>
      <c r="C6078" s="1" t="n">
        <v>45344</v>
      </c>
      <c r="D6078" t="inlineStr">
        <is>
          <t>GÄVLEBORGS LÄN</t>
        </is>
      </c>
      <c r="E6078" t="inlineStr">
        <is>
          <t>OVANÅKER</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51145-2022</t>
        </is>
      </c>
      <c r="B6079" s="1" t="n">
        <v>44868</v>
      </c>
      <c r="C6079" s="1" t="n">
        <v>45344</v>
      </c>
      <c r="D6079" t="inlineStr">
        <is>
          <t>GÄVLEBORGS LÄN</t>
        </is>
      </c>
      <c r="E6079" t="inlineStr">
        <is>
          <t>LJUSDAL</t>
        </is>
      </c>
      <c r="F6079" t="inlineStr">
        <is>
          <t>Bergvik skog väst AB</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51162-2022</t>
        </is>
      </c>
      <c r="B6080" s="1" t="n">
        <v>44868</v>
      </c>
      <c r="C6080" s="1" t="n">
        <v>45344</v>
      </c>
      <c r="D6080" t="inlineStr">
        <is>
          <t>GÄVLEBORGS LÄN</t>
        </is>
      </c>
      <c r="E6080" t="inlineStr">
        <is>
          <t>SANDVIKEN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51250-2022</t>
        </is>
      </c>
      <c r="B6081" s="1" t="n">
        <v>44868</v>
      </c>
      <c r="C6081" s="1" t="n">
        <v>45344</v>
      </c>
      <c r="D6081" t="inlineStr">
        <is>
          <t>GÄVLEBORGS LÄN</t>
        </is>
      </c>
      <c r="E6081" t="inlineStr">
        <is>
          <t>NORDANSTIG</t>
        </is>
      </c>
      <c r="F6081" t="inlineStr">
        <is>
          <t>Holmen skog AB</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51205-2022</t>
        </is>
      </c>
      <c r="B6082" s="1" t="n">
        <v>44868</v>
      </c>
      <c r="C6082" s="1" t="n">
        <v>45344</v>
      </c>
      <c r="D6082" t="inlineStr">
        <is>
          <t>GÄVLEBORGS LÄN</t>
        </is>
      </c>
      <c r="E6082" t="inlineStr">
        <is>
          <t>HOFORS</t>
        </is>
      </c>
      <c r="F6082" t="inlineStr">
        <is>
          <t>Sveaskog</t>
        </is>
      </c>
      <c r="G6082" t="n">
        <v>10</v>
      </c>
      <c r="H6082" t="n">
        <v>0</v>
      </c>
      <c r="I6082" t="n">
        <v>0</v>
      </c>
      <c r="J6082" t="n">
        <v>0</v>
      </c>
      <c r="K6082" t="n">
        <v>0</v>
      </c>
      <c r="L6082" t="n">
        <v>0</v>
      </c>
      <c r="M6082" t="n">
        <v>0</v>
      </c>
      <c r="N6082" t="n">
        <v>0</v>
      </c>
      <c r="O6082" t="n">
        <v>0</v>
      </c>
      <c r="P6082" t="n">
        <v>0</v>
      </c>
      <c r="Q6082" t="n">
        <v>0</v>
      </c>
      <c r="R6082" s="2" t="inlineStr"/>
    </row>
    <row r="6083" ht="15" customHeight="1">
      <c r="A6083" t="inlineStr">
        <is>
          <t>A 51252-2022</t>
        </is>
      </c>
      <c r="B6083" s="1" t="n">
        <v>44868</v>
      </c>
      <c r="C6083" s="1" t="n">
        <v>45344</v>
      </c>
      <c r="D6083" t="inlineStr">
        <is>
          <t>GÄVLEBORGS LÄN</t>
        </is>
      </c>
      <c r="E6083" t="inlineStr">
        <is>
          <t>OVANÅKER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51202-2022</t>
        </is>
      </c>
      <c r="B6084" s="1" t="n">
        <v>44868</v>
      </c>
      <c r="C6084" s="1" t="n">
        <v>45344</v>
      </c>
      <c r="D6084" t="inlineStr">
        <is>
          <t>GÄVLEBORGS LÄN</t>
        </is>
      </c>
      <c r="E6084" t="inlineStr">
        <is>
          <t>HOFORS</t>
        </is>
      </c>
      <c r="F6084" t="inlineStr">
        <is>
          <t>Sveaskog</t>
        </is>
      </c>
      <c r="G6084" t="n">
        <v>11.3</v>
      </c>
      <c r="H6084" t="n">
        <v>0</v>
      </c>
      <c r="I6084" t="n">
        <v>0</v>
      </c>
      <c r="J6084" t="n">
        <v>0</v>
      </c>
      <c r="K6084" t="n">
        <v>0</v>
      </c>
      <c r="L6084" t="n">
        <v>0</v>
      </c>
      <c r="M6084" t="n">
        <v>0</v>
      </c>
      <c r="N6084" t="n">
        <v>0</v>
      </c>
      <c r="O6084" t="n">
        <v>0</v>
      </c>
      <c r="P6084" t="n">
        <v>0</v>
      </c>
      <c r="Q6084" t="n">
        <v>0</v>
      </c>
      <c r="R6084" s="2" t="inlineStr"/>
    </row>
    <row r="6085" ht="15" customHeight="1">
      <c r="A6085" t="inlineStr">
        <is>
          <t>A 51209-2022</t>
        </is>
      </c>
      <c r="B6085" s="1" t="n">
        <v>44868</v>
      </c>
      <c r="C6085" s="1" t="n">
        <v>45344</v>
      </c>
      <c r="D6085" t="inlineStr">
        <is>
          <t>GÄVLEBORGS LÄN</t>
        </is>
      </c>
      <c r="E6085" t="inlineStr">
        <is>
          <t>NORDANSTIG</t>
        </is>
      </c>
      <c r="F6085" t="inlineStr">
        <is>
          <t>Holmen skog AB</t>
        </is>
      </c>
      <c r="G6085" t="n">
        <v>5.4</v>
      </c>
      <c r="H6085" t="n">
        <v>0</v>
      </c>
      <c r="I6085" t="n">
        <v>0</v>
      </c>
      <c r="J6085" t="n">
        <v>0</v>
      </c>
      <c r="K6085" t="n">
        <v>0</v>
      </c>
      <c r="L6085" t="n">
        <v>0</v>
      </c>
      <c r="M6085" t="n">
        <v>0</v>
      </c>
      <c r="N6085" t="n">
        <v>0</v>
      </c>
      <c r="O6085" t="n">
        <v>0</v>
      </c>
      <c r="P6085" t="n">
        <v>0</v>
      </c>
      <c r="Q6085" t="n">
        <v>0</v>
      </c>
      <c r="R6085" s="2" t="inlineStr"/>
    </row>
    <row r="6086" ht="15" customHeight="1">
      <c r="A6086" t="inlineStr">
        <is>
          <t>A 51277-2022</t>
        </is>
      </c>
      <c r="B6086" s="1" t="n">
        <v>44868</v>
      </c>
      <c r="C6086" s="1" t="n">
        <v>45344</v>
      </c>
      <c r="D6086" t="inlineStr">
        <is>
          <t>GÄVLEBORGS LÄN</t>
        </is>
      </c>
      <c r="E6086" t="inlineStr">
        <is>
          <t>HOFORS</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51237-2022</t>
        </is>
      </c>
      <c r="B6087" s="1" t="n">
        <v>44868</v>
      </c>
      <c r="C6087" s="1" t="n">
        <v>45344</v>
      </c>
      <c r="D6087" t="inlineStr">
        <is>
          <t>GÄVLEBORGS LÄN</t>
        </is>
      </c>
      <c r="E6087" t="inlineStr">
        <is>
          <t>OVANÅKER</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51276-2022</t>
        </is>
      </c>
      <c r="B6088" s="1" t="n">
        <v>44868</v>
      </c>
      <c r="C6088" s="1" t="n">
        <v>45344</v>
      </c>
      <c r="D6088" t="inlineStr">
        <is>
          <t>GÄVLEBORGS LÄN</t>
        </is>
      </c>
      <c r="E6088" t="inlineStr">
        <is>
          <t>HOFORS</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51330-2022</t>
        </is>
      </c>
      <c r="B6089" s="1" t="n">
        <v>44869</v>
      </c>
      <c r="C6089" s="1" t="n">
        <v>45344</v>
      </c>
      <c r="D6089" t="inlineStr">
        <is>
          <t>GÄVLEBORGS LÄN</t>
        </is>
      </c>
      <c r="E6089" t="inlineStr">
        <is>
          <t>LJUSDAL</t>
        </is>
      </c>
      <c r="F6089" t="inlineStr">
        <is>
          <t>Bergvik skog väst AB</t>
        </is>
      </c>
      <c r="G6089" t="n">
        <v>9.199999999999999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51381-2022</t>
        </is>
      </c>
      <c r="B6090" s="1" t="n">
        <v>44869</v>
      </c>
      <c r="C6090" s="1" t="n">
        <v>45344</v>
      </c>
      <c r="D6090" t="inlineStr">
        <is>
          <t>GÄVLEBORGS LÄN</t>
        </is>
      </c>
      <c r="E6090" t="inlineStr">
        <is>
          <t>GÄVLE</t>
        </is>
      </c>
      <c r="F6090" t="inlineStr">
        <is>
          <t>Bergvik skog öst AB</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51432-2022</t>
        </is>
      </c>
      <c r="B6091" s="1" t="n">
        <v>44869</v>
      </c>
      <c r="C6091" s="1" t="n">
        <v>45344</v>
      </c>
      <c r="D6091" t="inlineStr">
        <is>
          <t>GÄVLEBORGS LÄN</t>
        </is>
      </c>
      <c r="E6091" t="inlineStr">
        <is>
          <t>HUDIKSVALL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51443-2022</t>
        </is>
      </c>
      <c r="B6092" s="1" t="n">
        <v>44869</v>
      </c>
      <c r="C6092" s="1" t="n">
        <v>45344</v>
      </c>
      <c r="D6092" t="inlineStr">
        <is>
          <t>GÄVLEBORGS LÄN</t>
        </is>
      </c>
      <c r="E6092" t="inlineStr">
        <is>
          <t>BOLLNÄS</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51458-2022</t>
        </is>
      </c>
      <c r="B6093" s="1" t="n">
        <v>44869</v>
      </c>
      <c r="C6093" s="1" t="n">
        <v>45344</v>
      </c>
      <c r="D6093" t="inlineStr">
        <is>
          <t>GÄVLEBORGS LÄN</t>
        </is>
      </c>
      <c r="E6093" t="inlineStr">
        <is>
          <t>SÖDERHAMN</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52206-2022</t>
        </is>
      </c>
      <c r="B6094" s="1" t="n">
        <v>44869</v>
      </c>
      <c r="C6094" s="1" t="n">
        <v>45344</v>
      </c>
      <c r="D6094" t="inlineStr">
        <is>
          <t>GÄVLEBORGS LÄN</t>
        </is>
      </c>
      <c r="E6094" t="inlineStr">
        <is>
          <t>NORDANSTIG</t>
        </is>
      </c>
      <c r="G6094" t="n">
        <v>1.9</v>
      </c>
      <c r="H6094" t="n">
        <v>0</v>
      </c>
      <c r="I6094" t="n">
        <v>0</v>
      </c>
      <c r="J6094" t="n">
        <v>0</v>
      </c>
      <c r="K6094" t="n">
        <v>0</v>
      </c>
      <c r="L6094" t="n">
        <v>0</v>
      </c>
      <c r="M6094" t="n">
        <v>0</v>
      </c>
      <c r="N6094" t="n">
        <v>0</v>
      </c>
      <c r="O6094" t="n">
        <v>0</v>
      </c>
      <c r="P6094" t="n">
        <v>0</v>
      </c>
      <c r="Q6094" t="n">
        <v>0</v>
      </c>
      <c r="R6094" s="2" t="inlineStr"/>
    </row>
    <row r="6095" ht="15" customHeight="1">
      <c r="A6095" t="inlineStr">
        <is>
          <t>A 51567-2022</t>
        </is>
      </c>
      <c r="B6095" s="1" t="n">
        <v>44870</v>
      </c>
      <c r="C6095" s="1" t="n">
        <v>45344</v>
      </c>
      <c r="D6095" t="inlineStr">
        <is>
          <t>GÄVLEBORGS LÄN</t>
        </is>
      </c>
      <c r="E6095" t="inlineStr">
        <is>
          <t>HUDIKSVALL</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51519-2022</t>
        </is>
      </c>
      <c r="B6096" s="1" t="n">
        <v>44869</v>
      </c>
      <c r="C6096" s="1" t="n">
        <v>45344</v>
      </c>
      <c r="D6096" t="inlineStr">
        <is>
          <t>GÄVLEBORGS LÄN</t>
        </is>
      </c>
      <c r="E6096" t="inlineStr">
        <is>
          <t>LJUSDAL</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51590-2022</t>
        </is>
      </c>
      <c r="B6097" s="1" t="n">
        <v>44871</v>
      </c>
      <c r="C6097" s="1" t="n">
        <v>45344</v>
      </c>
      <c r="D6097" t="inlineStr">
        <is>
          <t>GÄVLEBORGS LÄN</t>
        </is>
      </c>
      <c r="E6097" t="inlineStr">
        <is>
          <t>HUDIKSVALL</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51734-2022</t>
        </is>
      </c>
      <c r="B6098" s="1" t="n">
        <v>44872</v>
      </c>
      <c r="C6098" s="1" t="n">
        <v>45344</v>
      </c>
      <c r="D6098" t="inlineStr">
        <is>
          <t>GÄVLEBORGS LÄN</t>
        </is>
      </c>
      <c r="E6098" t="inlineStr">
        <is>
          <t>OVANÅKER</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51738-2022</t>
        </is>
      </c>
      <c r="B6099" s="1" t="n">
        <v>44872</v>
      </c>
      <c r="C6099" s="1" t="n">
        <v>45344</v>
      </c>
      <c r="D6099" t="inlineStr">
        <is>
          <t>GÄVLEBORGS LÄN</t>
        </is>
      </c>
      <c r="E6099" t="inlineStr">
        <is>
          <t>LJUSDAL</t>
        </is>
      </c>
      <c r="F6099" t="inlineStr">
        <is>
          <t>Bergvik skog väst AB</t>
        </is>
      </c>
      <c r="G6099" t="n">
        <v>6.6</v>
      </c>
      <c r="H6099" t="n">
        <v>0</v>
      </c>
      <c r="I6099" t="n">
        <v>0</v>
      </c>
      <c r="J6099" t="n">
        <v>0</v>
      </c>
      <c r="K6099" t="n">
        <v>0</v>
      </c>
      <c r="L6099" t="n">
        <v>0</v>
      </c>
      <c r="M6099" t="n">
        <v>0</v>
      </c>
      <c r="N6099" t="n">
        <v>0</v>
      </c>
      <c r="O6099" t="n">
        <v>0</v>
      </c>
      <c r="P6099" t="n">
        <v>0</v>
      </c>
      <c r="Q6099" t="n">
        <v>0</v>
      </c>
      <c r="R6099" s="2" t="inlineStr"/>
    </row>
    <row r="6100" ht="15" customHeight="1">
      <c r="A6100" t="inlineStr">
        <is>
          <t>A 51744-2022</t>
        </is>
      </c>
      <c r="B6100" s="1" t="n">
        <v>44872</v>
      </c>
      <c r="C6100" s="1" t="n">
        <v>45344</v>
      </c>
      <c r="D6100" t="inlineStr">
        <is>
          <t>GÄVLEBORGS LÄN</t>
        </is>
      </c>
      <c r="E6100" t="inlineStr">
        <is>
          <t>OCKELBO</t>
        </is>
      </c>
      <c r="F6100" t="inlineStr">
        <is>
          <t>Bergvik skog väst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51867-2022</t>
        </is>
      </c>
      <c r="B6101" s="1" t="n">
        <v>44872</v>
      </c>
      <c r="C6101" s="1" t="n">
        <v>45344</v>
      </c>
      <c r="D6101" t="inlineStr">
        <is>
          <t>GÄVLEBORGS LÄN</t>
        </is>
      </c>
      <c r="E6101" t="inlineStr">
        <is>
          <t>BOLLNÄS</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51645-2022</t>
        </is>
      </c>
      <c r="B6102" s="1" t="n">
        <v>44872</v>
      </c>
      <c r="C6102" s="1" t="n">
        <v>45344</v>
      </c>
      <c r="D6102" t="inlineStr">
        <is>
          <t>GÄVLEBORGS LÄN</t>
        </is>
      </c>
      <c r="E6102" t="inlineStr">
        <is>
          <t>BOLLNÄS</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51666-2022</t>
        </is>
      </c>
      <c r="B6103" s="1" t="n">
        <v>44872</v>
      </c>
      <c r="C6103" s="1" t="n">
        <v>45344</v>
      </c>
      <c r="D6103" t="inlineStr">
        <is>
          <t>GÄVLEBORGS LÄN</t>
        </is>
      </c>
      <c r="E6103" t="inlineStr">
        <is>
          <t>BOLLNÄS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51747-2022</t>
        </is>
      </c>
      <c r="B6104" s="1" t="n">
        <v>44872</v>
      </c>
      <c r="C6104" s="1" t="n">
        <v>45344</v>
      </c>
      <c r="D6104" t="inlineStr">
        <is>
          <t>GÄVLEBORGS LÄN</t>
        </is>
      </c>
      <c r="E6104" t="inlineStr">
        <is>
          <t>OCKELBO</t>
        </is>
      </c>
      <c r="F6104" t="inlineStr">
        <is>
          <t>Bergvik skog väst AB</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51767-2022</t>
        </is>
      </c>
      <c r="B6105" s="1" t="n">
        <v>44872</v>
      </c>
      <c r="C6105" s="1" t="n">
        <v>45344</v>
      </c>
      <c r="D6105" t="inlineStr">
        <is>
          <t>GÄVLEBORGS LÄN</t>
        </is>
      </c>
      <c r="E6105" t="inlineStr">
        <is>
          <t>NORDANSTIG</t>
        </is>
      </c>
      <c r="F6105" t="inlineStr">
        <is>
          <t>Holmen skog AB</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51634-2022</t>
        </is>
      </c>
      <c r="B6106" s="1" t="n">
        <v>44872</v>
      </c>
      <c r="C6106" s="1" t="n">
        <v>45344</v>
      </c>
      <c r="D6106" t="inlineStr">
        <is>
          <t>GÄVLEBORGS LÄN</t>
        </is>
      </c>
      <c r="E6106" t="inlineStr">
        <is>
          <t>LJUSDAL</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51700-2022</t>
        </is>
      </c>
      <c r="B6107" s="1" t="n">
        <v>44872</v>
      </c>
      <c r="C6107" s="1" t="n">
        <v>45344</v>
      </c>
      <c r="D6107" t="inlineStr">
        <is>
          <t>GÄVLEBORGS LÄN</t>
        </is>
      </c>
      <c r="E6107" t="inlineStr">
        <is>
          <t>OVANÅKER</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51710-2022</t>
        </is>
      </c>
      <c r="B6108" s="1" t="n">
        <v>44872</v>
      </c>
      <c r="C6108" s="1" t="n">
        <v>45344</v>
      </c>
      <c r="D6108" t="inlineStr">
        <is>
          <t>GÄVLEBORGS LÄN</t>
        </is>
      </c>
      <c r="E6108" t="inlineStr">
        <is>
          <t>NORDANSTIG</t>
        </is>
      </c>
      <c r="F6108" t="inlineStr">
        <is>
          <t>Holmen skog AB</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51726-2022</t>
        </is>
      </c>
      <c r="B6109" s="1" t="n">
        <v>44872</v>
      </c>
      <c r="C6109" s="1" t="n">
        <v>45344</v>
      </c>
      <c r="D6109" t="inlineStr">
        <is>
          <t>GÄVLEBORGS LÄN</t>
        </is>
      </c>
      <c r="E6109" t="inlineStr">
        <is>
          <t>LJUSDAL</t>
        </is>
      </c>
      <c r="F6109" t="inlineStr">
        <is>
          <t>Bergvik skog väst AB</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51732-2022</t>
        </is>
      </c>
      <c r="B6110" s="1" t="n">
        <v>44872</v>
      </c>
      <c r="C6110" s="1" t="n">
        <v>45344</v>
      </c>
      <c r="D6110" t="inlineStr">
        <is>
          <t>GÄVLEBORGS LÄN</t>
        </is>
      </c>
      <c r="E6110" t="inlineStr">
        <is>
          <t>OVANÅKER</t>
        </is>
      </c>
      <c r="G6110" t="n">
        <v>6.5</v>
      </c>
      <c r="H6110" t="n">
        <v>0</v>
      </c>
      <c r="I6110" t="n">
        <v>0</v>
      </c>
      <c r="J6110" t="n">
        <v>0</v>
      </c>
      <c r="K6110" t="n">
        <v>0</v>
      </c>
      <c r="L6110" t="n">
        <v>0</v>
      </c>
      <c r="M6110" t="n">
        <v>0</v>
      </c>
      <c r="N6110" t="n">
        <v>0</v>
      </c>
      <c r="O6110" t="n">
        <v>0</v>
      </c>
      <c r="P6110" t="n">
        <v>0</v>
      </c>
      <c r="Q6110" t="n">
        <v>0</v>
      </c>
      <c r="R6110" s="2" t="inlineStr"/>
    </row>
    <row r="6111" ht="15" customHeight="1">
      <c r="A6111" t="inlineStr">
        <is>
          <t>A 51737-2022</t>
        </is>
      </c>
      <c r="B6111" s="1" t="n">
        <v>44872</v>
      </c>
      <c r="C6111" s="1" t="n">
        <v>45344</v>
      </c>
      <c r="D6111" t="inlineStr">
        <is>
          <t>GÄVLEBORGS LÄN</t>
        </is>
      </c>
      <c r="E6111" t="inlineStr">
        <is>
          <t>OVANÅKER</t>
        </is>
      </c>
      <c r="F6111" t="inlineStr">
        <is>
          <t>Bergvik skog väst AB</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51754-2022</t>
        </is>
      </c>
      <c r="B6112" s="1" t="n">
        <v>44872</v>
      </c>
      <c r="C6112" s="1" t="n">
        <v>45344</v>
      </c>
      <c r="D6112" t="inlineStr">
        <is>
          <t>GÄVLEBORGS LÄN</t>
        </is>
      </c>
      <c r="E6112" t="inlineStr">
        <is>
          <t>LJUSDAL</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51783-2022</t>
        </is>
      </c>
      <c r="B6113" s="1" t="n">
        <v>44872</v>
      </c>
      <c r="C6113" s="1" t="n">
        <v>45344</v>
      </c>
      <c r="D6113" t="inlineStr">
        <is>
          <t>GÄVLEBORGS LÄN</t>
        </is>
      </c>
      <c r="E6113" t="inlineStr">
        <is>
          <t>OVANÅKER</t>
        </is>
      </c>
      <c r="F6113" t="inlineStr">
        <is>
          <t>Bergvik skog väst AB</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51838-2022</t>
        </is>
      </c>
      <c r="B6114" s="1" t="n">
        <v>44872</v>
      </c>
      <c r="C6114" s="1" t="n">
        <v>45344</v>
      </c>
      <c r="D6114" t="inlineStr">
        <is>
          <t>GÄVLEBORGS LÄN</t>
        </is>
      </c>
      <c r="E6114" t="inlineStr">
        <is>
          <t>LJUSDAL</t>
        </is>
      </c>
      <c r="F6114" t="inlineStr">
        <is>
          <t>Bergvik skog väst AB</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51865-2022</t>
        </is>
      </c>
      <c r="B6115" s="1" t="n">
        <v>44872</v>
      </c>
      <c r="C6115" s="1" t="n">
        <v>45344</v>
      </c>
      <c r="D6115" t="inlineStr">
        <is>
          <t>GÄVLEBORGS LÄN</t>
        </is>
      </c>
      <c r="E6115" t="inlineStr">
        <is>
          <t>HUDIKSVALL</t>
        </is>
      </c>
      <c r="G6115" t="n">
        <v>3.8</v>
      </c>
      <c r="H6115" t="n">
        <v>0</v>
      </c>
      <c r="I6115" t="n">
        <v>0</v>
      </c>
      <c r="J6115" t="n">
        <v>0</v>
      </c>
      <c r="K6115" t="n">
        <v>0</v>
      </c>
      <c r="L6115" t="n">
        <v>0</v>
      </c>
      <c r="M6115" t="n">
        <v>0</v>
      </c>
      <c r="N6115" t="n">
        <v>0</v>
      </c>
      <c r="O6115" t="n">
        <v>0</v>
      </c>
      <c r="P6115" t="n">
        <v>0</v>
      </c>
      <c r="Q6115" t="n">
        <v>0</v>
      </c>
      <c r="R6115" s="2" t="inlineStr"/>
    </row>
    <row r="6116" ht="15" customHeight="1">
      <c r="A6116" t="inlineStr">
        <is>
          <t>A 51902-2022</t>
        </is>
      </c>
      <c r="B6116" s="1" t="n">
        <v>44872</v>
      </c>
      <c r="C6116" s="1" t="n">
        <v>45344</v>
      </c>
      <c r="D6116" t="inlineStr">
        <is>
          <t>GÄVLEBORGS LÄN</t>
        </is>
      </c>
      <c r="E6116" t="inlineStr">
        <is>
          <t>OVANÅKER</t>
        </is>
      </c>
      <c r="G6116" t="n">
        <v>4.8</v>
      </c>
      <c r="H6116" t="n">
        <v>0</v>
      </c>
      <c r="I6116" t="n">
        <v>0</v>
      </c>
      <c r="J6116" t="n">
        <v>0</v>
      </c>
      <c r="K6116" t="n">
        <v>0</v>
      </c>
      <c r="L6116" t="n">
        <v>0</v>
      </c>
      <c r="M6116" t="n">
        <v>0</v>
      </c>
      <c r="N6116" t="n">
        <v>0</v>
      </c>
      <c r="O6116" t="n">
        <v>0</v>
      </c>
      <c r="P6116" t="n">
        <v>0</v>
      </c>
      <c r="Q6116" t="n">
        <v>0</v>
      </c>
      <c r="R6116" s="2" t="inlineStr"/>
    </row>
    <row r="6117" ht="15" customHeight="1">
      <c r="A6117" t="inlineStr">
        <is>
          <t>A 51841-2022</t>
        </is>
      </c>
      <c r="B6117" s="1" t="n">
        <v>44872</v>
      </c>
      <c r="C6117" s="1" t="n">
        <v>45344</v>
      </c>
      <c r="D6117" t="inlineStr">
        <is>
          <t>GÄVLEBORGS LÄN</t>
        </is>
      </c>
      <c r="E6117" t="inlineStr">
        <is>
          <t>NORDANSTIG</t>
        </is>
      </c>
      <c r="F6117" t="inlineStr">
        <is>
          <t>Holmen skog AB</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51853-2022</t>
        </is>
      </c>
      <c r="B6118" s="1" t="n">
        <v>44872</v>
      </c>
      <c r="C6118" s="1" t="n">
        <v>45344</v>
      </c>
      <c r="D6118" t="inlineStr">
        <is>
          <t>GÄVLEBORGS LÄN</t>
        </is>
      </c>
      <c r="E6118" t="inlineStr">
        <is>
          <t>LJUSDAL</t>
        </is>
      </c>
      <c r="F6118" t="inlineStr">
        <is>
          <t>Bergvik skog väst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51927-2022</t>
        </is>
      </c>
      <c r="B6119" s="1" t="n">
        <v>44872</v>
      </c>
      <c r="C6119" s="1" t="n">
        <v>45344</v>
      </c>
      <c r="D6119" t="inlineStr">
        <is>
          <t>GÄVLEBORGS LÄN</t>
        </is>
      </c>
      <c r="E6119" t="inlineStr">
        <is>
          <t>OVANÅKER</t>
        </is>
      </c>
      <c r="G6119" t="n">
        <v>9.1</v>
      </c>
      <c r="H6119" t="n">
        <v>0</v>
      </c>
      <c r="I6119" t="n">
        <v>0</v>
      </c>
      <c r="J6119" t="n">
        <v>0</v>
      </c>
      <c r="K6119" t="n">
        <v>0</v>
      </c>
      <c r="L6119" t="n">
        <v>0</v>
      </c>
      <c r="M6119" t="n">
        <v>0</v>
      </c>
      <c r="N6119" t="n">
        <v>0</v>
      </c>
      <c r="O6119" t="n">
        <v>0</v>
      </c>
      <c r="P6119" t="n">
        <v>0</v>
      </c>
      <c r="Q6119" t="n">
        <v>0</v>
      </c>
      <c r="R6119" s="2" t="inlineStr"/>
    </row>
    <row r="6120" ht="15" customHeight="1">
      <c r="A6120" t="inlineStr">
        <is>
          <t>A 51937-2022</t>
        </is>
      </c>
      <c r="B6120" s="1" t="n">
        <v>44872</v>
      </c>
      <c r="C6120" s="1" t="n">
        <v>45344</v>
      </c>
      <c r="D6120" t="inlineStr">
        <is>
          <t>GÄVLEBORGS LÄN</t>
        </is>
      </c>
      <c r="E6120" t="inlineStr">
        <is>
          <t>HUDIKSVALL</t>
        </is>
      </c>
      <c r="F6120" t="inlineStr">
        <is>
          <t>Holmen skog AB</t>
        </is>
      </c>
      <c r="G6120" t="n">
        <v>13.8</v>
      </c>
      <c r="H6120" t="n">
        <v>0</v>
      </c>
      <c r="I6120" t="n">
        <v>0</v>
      </c>
      <c r="J6120" t="n">
        <v>0</v>
      </c>
      <c r="K6120" t="n">
        <v>0</v>
      </c>
      <c r="L6120" t="n">
        <v>0</v>
      </c>
      <c r="M6120" t="n">
        <v>0</v>
      </c>
      <c r="N6120" t="n">
        <v>0</v>
      </c>
      <c r="O6120" t="n">
        <v>0</v>
      </c>
      <c r="P6120" t="n">
        <v>0</v>
      </c>
      <c r="Q6120" t="n">
        <v>0</v>
      </c>
      <c r="R6120" s="2" t="inlineStr"/>
    </row>
    <row r="6121" ht="15" customHeight="1">
      <c r="A6121" t="inlineStr">
        <is>
          <t>A 51851-2022</t>
        </is>
      </c>
      <c r="B6121" s="1" t="n">
        <v>44872</v>
      </c>
      <c r="C6121" s="1" t="n">
        <v>45344</v>
      </c>
      <c r="D6121" t="inlineStr">
        <is>
          <t>GÄVLEBORGS LÄN</t>
        </is>
      </c>
      <c r="E6121" t="inlineStr">
        <is>
          <t>HUDIKSVALL</t>
        </is>
      </c>
      <c r="F6121" t="inlineStr">
        <is>
          <t>Holmen skog AB</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51972-2022</t>
        </is>
      </c>
      <c r="B6122" s="1" t="n">
        <v>44872</v>
      </c>
      <c r="C6122" s="1" t="n">
        <v>45344</v>
      </c>
      <c r="D6122" t="inlineStr">
        <is>
          <t>GÄVLEBORGS LÄN</t>
        </is>
      </c>
      <c r="E6122" t="inlineStr">
        <is>
          <t>OCKELBO</t>
        </is>
      </c>
      <c r="G6122" t="n">
        <v>9</v>
      </c>
      <c r="H6122" t="n">
        <v>0</v>
      </c>
      <c r="I6122" t="n">
        <v>0</v>
      </c>
      <c r="J6122" t="n">
        <v>0</v>
      </c>
      <c r="K6122" t="n">
        <v>0</v>
      </c>
      <c r="L6122" t="n">
        <v>0</v>
      </c>
      <c r="M6122" t="n">
        <v>0</v>
      </c>
      <c r="N6122" t="n">
        <v>0</v>
      </c>
      <c r="O6122" t="n">
        <v>0</v>
      </c>
      <c r="P6122" t="n">
        <v>0</v>
      </c>
      <c r="Q6122" t="n">
        <v>0</v>
      </c>
      <c r="R6122" s="2" t="inlineStr"/>
    </row>
    <row r="6123" ht="15" customHeight="1">
      <c r="A6123" t="inlineStr">
        <is>
          <t>A 51922-2022</t>
        </is>
      </c>
      <c r="B6123" s="1" t="n">
        <v>44872</v>
      </c>
      <c r="C6123" s="1" t="n">
        <v>45344</v>
      </c>
      <c r="D6123" t="inlineStr">
        <is>
          <t>GÄVLEBORGS LÄN</t>
        </is>
      </c>
      <c r="E6123" t="inlineStr">
        <is>
          <t>LJUSDAL</t>
        </is>
      </c>
      <c r="F6123" t="inlineStr">
        <is>
          <t>Kommuner</t>
        </is>
      </c>
      <c r="G6123" t="n">
        <v>5</v>
      </c>
      <c r="H6123" t="n">
        <v>0</v>
      </c>
      <c r="I6123" t="n">
        <v>0</v>
      </c>
      <c r="J6123" t="n">
        <v>0</v>
      </c>
      <c r="K6123" t="n">
        <v>0</v>
      </c>
      <c r="L6123" t="n">
        <v>0</v>
      </c>
      <c r="M6123" t="n">
        <v>0</v>
      </c>
      <c r="N6123" t="n">
        <v>0</v>
      </c>
      <c r="O6123" t="n">
        <v>0</v>
      </c>
      <c r="P6123" t="n">
        <v>0</v>
      </c>
      <c r="Q6123" t="n">
        <v>0</v>
      </c>
      <c r="R6123" s="2" t="inlineStr"/>
    </row>
    <row r="6124" ht="15" customHeight="1">
      <c r="A6124" t="inlineStr">
        <is>
          <t>A 52120-2022</t>
        </is>
      </c>
      <c r="B6124" s="1" t="n">
        <v>44873</v>
      </c>
      <c r="C6124" s="1" t="n">
        <v>45344</v>
      </c>
      <c r="D6124" t="inlineStr">
        <is>
          <t>GÄVLEBORGS LÄN</t>
        </is>
      </c>
      <c r="E6124" t="inlineStr">
        <is>
          <t>NORDANSTIG</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52121-2022</t>
        </is>
      </c>
      <c r="B6125" s="1" t="n">
        <v>44873</v>
      </c>
      <c r="C6125" s="1" t="n">
        <v>45344</v>
      </c>
      <c r="D6125" t="inlineStr">
        <is>
          <t>GÄVLEBORGS LÄN</t>
        </is>
      </c>
      <c r="E6125" t="inlineStr">
        <is>
          <t>LJUSDAL</t>
        </is>
      </c>
      <c r="F6125" t="inlineStr">
        <is>
          <t>Bergvik skog väst AB</t>
        </is>
      </c>
      <c r="G6125" t="n">
        <v>6.9</v>
      </c>
      <c r="H6125" t="n">
        <v>0</v>
      </c>
      <c r="I6125" t="n">
        <v>0</v>
      </c>
      <c r="J6125" t="n">
        <v>0</v>
      </c>
      <c r="K6125" t="n">
        <v>0</v>
      </c>
      <c r="L6125" t="n">
        <v>0</v>
      </c>
      <c r="M6125" t="n">
        <v>0</v>
      </c>
      <c r="N6125" t="n">
        <v>0</v>
      </c>
      <c r="O6125" t="n">
        <v>0</v>
      </c>
      <c r="P6125" t="n">
        <v>0</v>
      </c>
      <c r="Q6125" t="n">
        <v>0</v>
      </c>
      <c r="R6125" s="2" t="inlineStr"/>
    </row>
    <row r="6126" ht="15" customHeight="1">
      <c r="A6126" t="inlineStr">
        <is>
          <t>A 52180-2022</t>
        </is>
      </c>
      <c r="B6126" s="1" t="n">
        <v>44873</v>
      </c>
      <c r="C6126" s="1" t="n">
        <v>45344</v>
      </c>
      <c r="D6126" t="inlineStr">
        <is>
          <t>GÄVLEBORGS LÄN</t>
        </is>
      </c>
      <c r="E6126" t="inlineStr">
        <is>
          <t>NORDANSTIG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52187-2022</t>
        </is>
      </c>
      <c r="B6127" s="1" t="n">
        <v>44873</v>
      </c>
      <c r="C6127" s="1" t="n">
        <v>45344</v>
      </c>
      <c r="D6127" t="inlineStr">
        <is>
          <t>GÄVLEBORGS LÄN</t>
        </is>
      </c>
      <c r="E6127" t="inlineStr">
        <is>
          <t>NORDANSTIG</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52271-2022</t>
        </is>
      </c>
      <c r="B6128" s="1" t="n">
        <v>44873</v>
      </c>
      <c r="C6128" s="1" t="n">
        <v>45344</v>
      </c>
      <c r="D6128" t="inlineStr">
        <is>
          <t>GÄVLEBORGS LÄN</t>
        </is>
      </c>
      <c r="E6128" t="inlineStr">
        <is>
          <t>BOLLNÄS</t>
        </is>
      </c>
      <c r="G6128" t="n">
        <v>14.7</v>
      </c>
      <c r="H6128" t="n">
        <v>0</v>
      </c>
      <c r="I6128" t="n">
        <v>0</v>
      </c>
      <c r="J6128" t="n">
        <v>0</v>
      </c>
      <c r="K6128" t="n">
        <v>0</v>
      </c>
      <c r="L6128" t="n">
        <v>0</v>
      </c>
      <c r="M6128" t="n">
        <v>0</v>
      </c>
      <c r="N6128" t="n">
        <v>0</v>
      </c>
      <c r="O6128" t="n">
        <v>0</v>
      </c>
      <c r="P6128" t="n">
        <v>0</v>
      </c>
      <c r="Q6128" t="n">
        <v>0</v>
      </c>
      <c r="R6128" s="2" t="inlineStr"/>
    </row>
    <row r="6129" ht="15" customHeight="1">
      <c r="A6129" t="inlineStr">
        <is>
          <t>A 52226-2022</t>
        </is>
      </c>
      <c r="B6129" s="1" t="n">
        <v>44873</v>
      </c>
      <c r="C6129" s="1" t="n">
        <v>45344</v>
      </c>
      <c r="D6129" t="inlineStr">
        <is>
          <t>GÄVLEBORGS LÄN</t>
        </is>
      </c>
      <c r="E6129" t="inlineStr">
        <is>
          <t>LJUSDAL</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52200-2022</t>
        </is>
      </c>
      <c r="B6130" s="1" t="n">
        <v>44873</v>
      </c>
      <c r="C6130" s="1" t="n">
        <v>45344</v>
      </c>
      <c r="D6130" t="inlineStr">
        <is>
          <t>GÄVLEBORGS LÄN</t>
        </is>
      </c>
      <c r="E6130" t="inlineStr">
        <is>
          <t>SANDVIKEN</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52222-2022</t>
        </is>
      </c>
      <c r="B6131" s="1" t="n">
        <v>44873</v>
      </c>
      <c r="C6131" s="1" t="n">
        <v>45344</v>
      </c>
      <c r="D6131" t="inlineStr">
        <is>
          <t>GÄVLEBORGS LÄN</t>
        </is>
      </c>
      <c r="E6131" t="inlineStr">
        <is>
          <t>LJUSDAL</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52276-2022</t>
        </is>
      </c>
      <c r="B6132" s="1" t="n">
        <v>44873</v>
      </c>
      <c r="C6132" s="1" t="n">
        <v>45344</v>
      </c>
      <c r="D6132" t="inlineStr">
        <is>
          <t>GÄVLEBORGS LÄN</t>
        </is>
      </c>
      <c r="E6132" t="inlineStr">
        <is>
          <t>SANDVIKEN</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52285-2022</t>
        </is>
      </c>
      <c r="B6133" s="1" t="n">
        <v>44873</v>
      </c>
      <c r="C6133" s="1" t="n">
        <v>45344</v>
      </c>
      <c r="D6133" t="inlineStr">
        <is>
          <t>GÄVLEBORGS LÄN</t>
        </is>
      </c>
      <c r="E6133" t="inlineStr">
        <is>
          <t>SANDVIKEN</t>
        </is>
      </c>
      <c r="F6133" t="inlineStr">
        <is>
          <t>Sveaskog</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52282-2022</t>
        </is>
      </c>
      <c r="B6134" s="1" t="n">
        <v>44873</v>
      </c>
      <c r="C6134" s="1" t="n">
        <v>45344</v>
      </c>
      <c r="D6134" t="inlineStr">
        <is>
          <t>GÄVLEBORGS LÄN</t>
        </is>
      </c>
      <c r="E6134" t="inlineStr">
        <is>
          <t>SANDVIKEN</t>
        </is>
      </c>
      <c r="F6134" t="inlineStr">
        <is>
          <t>Sveaskog</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52320-2022</t>
        </is>
      </c>
      <c r="B6135" s="1" t="n">
        <v>44873</v>
      </c>
      <c r="C6135" s="1" t="n">
        <v>45344</v>
      </c>
      <c r="D6135" t="inlineStr">
        <is>
          <t>GÄVLEBORGS LÄN</t>
        </is>
      </c>
      <c r="E6135" t="inlineStr">
        <is>
          <t>HOFORS</t>
        </is>
      </c>
      <c r="G6135" t="n">
        <v>6.1</v>
      </c>
      <c r="H6135" t="n">
        <v>0</v>
      </c>
      <c r="I6135" t="n">
        <v>0</v>
      </c>
      <c r="J6135" t="n">
        <v>0</v>
      </c>
      <c r="K6135" t="n">
        <v>0</v>
      </c>
      <c r="L6135" t="n">
        <v>0</v>
      </c>
      <c r="M6135" t="n">
        <v>0</v>
      </c>
      <c r="N6135" t="n">
        <v>0</v>
      </c>
      <c r="O6135" t="n">
        <v>0</v>
      </c>
      <c r="P6135" t="n">
        <v>0</v>
      </c>
      <c r="Q6135" t="n">
        <v>0</v>
      </c>
      <c r="R6135" s="2" t="inlineStr"/>
    </row>
    <row r="6136" ht="15" customHeight="1">
      <c r="A6136" t="inlineStr">
        <is>
          <t>A 52394-2022</t>
        </is>
      </c>
      <c r="B6136" s="1" t="n">
        <v>44874</v>
      </c>
      <c r="C6136" s="1" t="n">
        <v>45344</v>
      </c>
      <c r="D6136" t="inlineStr">
        <is>
          <t>GÄVLEBORGS LÄN</t>
        </is>
      </c>
      <c r="E6136" t="inlineStr">
        <is>
          <t>GÄVLE</t>
        </is>
      </c>
      <c r="F6136" t="inlineStr">
        <is>
          <t>Bergvik skog öst AB</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52401-2022</t>
        </is>
      </c>
      <c r="B6137" s="1" t="n">
        <v>44874</v>
      </c>
      <c r="C6137" s="1" t="n">
        <v>45344</v>
      </c>
      <c r="D6137" t="inlineStr">
        <is>
          <t>GÄVLEBORGS LÄN</t>
        </is>
      </c>
      <c r="E6137" t="inlineStr">
        <is>
          <t>GÄVLE</t>
        </is>
      </c>
      <c r="F6137" t="inlineStr">
        <is>
          <t>Bergvik skog öst AB</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52443-2022</t>
        </is>
      </c>
      <c r="B6138" s="1" t="n">
        <v>44874</v>
      </c>
      <c r="C6138" s="1" t="n">
        <v>45344</v>
      </c>
      <c r="D6138" t="inlineStr">
        <is>
          <t>GÄVLEBORGS LÄN</t>
        </is>
      </c>
      <c r="E6138" t="inlineStr">
        <is>
          <t>LJUSDAL</t>
        </is>
      </c>
      <c r="F6138" t="inlineStr">
        <is>
          <t>Kyrkan</t>
        </is>
      </c>
      <c r="G6138" t="n">
        <v>10.4</v>
      </c>
      <c r="H6138" t="n">
        <v>0</v>
      </c>
      <c r="I6138" t="n">
        <v>0</v>
      </c>
      <c r="J6138" t="n">
        <v>0</v>
      </c>
      <c r="K6138" t="n">
        <v>0</v>
      </c>
      <c r="L6138" t="n">
        <v>0</v>
      </c>
      <c r="M6138" t="n">
        <v>0</v>
      </c>
      <c r="N6138" t="n">
        <v>0</v>
      </c>
      <c r="O6138" t="n">
        <v>0</v>
      </c>
      <c r="P6138" t="n">
        <v>0</v>
      </c>
      <c r="Q6138" t="n">
        <v>0</v>
      </c>
      <c r="R6138" s="2" t="inlineStr"/>
    </row>
    <row r="6139" ht="15" customHeight="1">
      <c r="A6139" t="inlineStr">
        <is>
          <t>A 52387-2022</t>
        </is>
      </c>
      <c r="B6139" s="1" t="n">
        <v>44874</v>
      </c>
      <c r="C6139" s="1" t="n">
        <v>45344</v>
      </c>
      <c r="D6139" t="inlineStr">
        <is>
          <t>GÄVLEBORGS LÄN</t>
        </is>
      </c>
      <c r="E6139" t="inlineStr">
        <is>
          <t>GÄVLE</t>
        </is>
      </c>
      <c r="F6139" t="inlineStr">
        <is>
          <t>Kommuner</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52560-2022</t>
        </is>
      </c>
      <c r="B6140" s="1" t="n">
        <v>44874</v>
      </c>
      <c r="C6140" s="1" t="n">
        <v>45344</v>
      </c>
      <c r="D6140" t="inlineStr">
        <is>
          <t>GÄVLEBORGS LÄN</t>
        </is>
      </c>
      <c r="E6140" t="inlineStr">
        <is>
          <t>NORDANSTIG</t>
        </is>
      </c>
      <c r="F6140" t="inlineStr">
        <is>
          <t>Holmen skog AB</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52607-2022</t>
        </is>
      </c>
      <c r="B6141" s="1" t="n">
        <v>44874</v>
      </c>
      <c r="C6141" s="1" t="n">
        <v>45344</v>
      </c>
      <c r="D6141" t="inlineStr">
        <is>
          <t>GÄVLEBORGS LÄN</t>
        </is>
      </c>
      <c r="E6141" t="inlineStr">
        <is>
          <t>OVANÅKER</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52615-2022</t>
        </is>
      </c>
      <c r="B6142" s="1" t="n">
        <v>44874</v>
      </c>
      <c r="C6142" s="1" t="n">
        <v>45344</v>
      </c>
      <c r="D6142" t="inlineStr">
        <is>
          <t>GÄVLEBORGS LÄN</t>
        </is>
      </c>
      <c r="E6142" t="inlineStr">
        <is>
          <t>OVANÅKER</t>
        </is>
      </c>
      <c r="G6142" t="n">
        <v>4.6</v>
      </c>
      <c r="H6142" t="n">
        <v>0</v>
      </c>
      <c r="I6142" t="n">
        <v>0</v>
      </c>
      <c r="J6142" t="n">
        <v>0</v>
      </c>
      <c r="K6142" t="n">
        <v>0</v>
      </c>
      <c r="L6142" t="n">
        <v>0</v>
      </c>
      <c r="M6142" t="n">
        <v>0</v>
      </c>
      <c r="N6142" t="n">
        <v>0</v>
      </c>
      <c r="O6142" t="n">
        <v>0</v>
      </c>
      <c r="P6142" t="n">
        <v>0</v>
      </c>
      <c r="Q6142" t="n">
        <v>0</v>
      </c>
      <c r="R6142" s="2" t="inlineStr"/>
    </row>
    <row r="6143" ht="15" customHeight="1">
      <c r="A6143" t="inlineStr">
        <is>
          <t>A 52626-2022</t>
        </is>
      </c>
      <c r="B6143" s="1" t="n">
        <v>44874</v>
      </c>
      <c r="C6143" s="1" t="n">
        <v>45344</v>
      </c>
      <c r="D6143" t="inlineStr">
        <is>
          <t>GÄVLEBORGS LÄN</t>
        </is>
      </c>
      <c r="E6143" t="inlineStr">
        <is>
          <t>LJUSDAL</t>
        </is>
      </c>
      <c r="F6143" t="inlineStr">
        <is>
          <t>Kyrkan</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52637-2022</t>
        </is>
      </c>
      <c r="B6144" s="1" t="n">
        <v>44874</v>
      </c>
      <c r="C6144" s="1" t="n">
        <v>45344</v>
      </c>
      <c r="D6144" t="inlineStr">
        <is>
          <t>GÄVLEBORGS LÄN</t>
        </is>
      </c>
      <c r="E6144" t="inlineStr">
        <is>
          <t>OCKELBO</t>
        </is>
      </c>
      <c r="F6144" t="inlineStr">
        <is>
          <t>Bergvik skog väst AB</t>
        </is>
      </c>
      <c r="G6144" t="n">
        <v>6.9</v>
      </c>
      <c r="H6144" t="n">
        <v>0</v>
      </c>
      <c r="I6144" t="n">
        <v>0</v>
      </c>
      <c r="J6144" t="n">
        <v>0</v>
      </c>
      <c r="K6144" t="n">
        <v>0</v>
      </c>
      <c r="L6144" t="n">
        <v>0</v>
      </c>
      <c r="M6144" t="n">
        <v>0</v>
      </c>
      <c r="N6144" t="n">
        <v>0</v>
      </c>
      <c r="O6144" t="n">
        <v>0</v>
      </c>
      <c r="P6144" t="n">
        <v>0</v>
      </c>
      <c r="Q6144" t="n">
        <v>0</v>
      </c>
      <c r="R6144" s="2" t="inlineStr"/>
    </row>
    <row r="6145" ht="15" customHeight="1">
      <c r="A6145" t="inlineStr">
        <is>
          <t>A 52397-2022</t>
        </is>
      </c>
      <c r="B6145" s="1" t="n">
        <v>44874</v>
      </c>
      <c r="C6145" s="1" t="n">
        <v>45344</v>
      </c>
      <c r="D6145" t="inlineStr">
        <is>
          <t>GÄVLEBORGS LÄN</t>
        </is>
      </c>
      <c r="E6145" t="inlineStr">
        <is>
          <t>HUDIKSVALL</t>
        </is>
      </c>
      <c r="G6145" t="n">
        <v>7.1</v>
      </c>
      <c r="H6145" t="n">
        <v>0</v>
      </c>
      <c r="I6145" t="n">
        <v>0</v>
      </c>
      <c r="J6145" t="n">
        <v>0</v>
      </c>
      <c r="K6145" t="n">
        <v>0</v>
      </c>
      <c r="L6145" t="n">
        <v>0</v>
      </c>
      <c r="M6145" t="n">
        <v>0</v>
      </c>
      <c r="N6145" t="n">
        <v>0</v>
      </c>
      <c r="O6145" t="n">
        <v>0</v>
      </c>
      <c r="P6145" t="n">
        <v>0</v>
      </c>
      <c r="Q6145" t="n">
        <v>0</v>
      </c>
      <c r="R6145" s="2" t="inlineStr"/>
    </row>
    <row r="6146" ht="15" customHeight="1">
      <c r="A6146" t="inlineStr">
        <is>
          <t>A 52430-2022</t>
        </is>
      </c>
      <c r="B6146" s="1" t="n">
        <v>44874</v>
      </c>
      <c r="C6146" s="1" t="n">
        <v>45344</v>
      </c>
      <c r="D6146" t="inlineStr">
        <is>
          <t>GÄVLEBORGS LÄN</t>
        </is>
      </c>
      <c r="E6146" t="inlineStr">
        <is>
          <t>NORDANSTIG</t>
        </is>
      </c>
      <c r="F6146" t="inlineStr">
        <is>
          <t>Holmen skog AB</t>
        </is>
      </c>
      <c r="G6146" t="n">
        <v>7.4</v>
      </c>
      <c r="H6146" t="n">
        <v>0</v>
      </c>
      <c r="I6146" t="n">
        <v>0</v>
      </c>
      <c r="J6146" t="n">
        <v>0</v>
      </c>
      <c r="K6146" t="n">
        <v>0</v>
      </c>
      <c r="L6146" t="n">
        <v>0</v>
      </c>
      <c r="M6146" t="n">
        <v>0</v>
      </c>
      <c r="N6146" t="n">
        <v>0</v>
      </c>
      <c r="O6146" t="n">
        <v>0</v>
      </c>
      <c r="P6146" t="n">
        <v>0</v>
      </c>
      <c r="Q6146" t="n">
        <v>0</v>
      </c>
      <c r="R6146" s="2" t="inlineStr"/>
    </row>
    <row r="6147" ht="15" customHeight="1">
      <c r="A6147" t="inlineStr">
        <is>
          <t>A 52414-2022</t>
        </is>
      </c>
      <c r="B6147" s="1" t="n">
        <v>44874</v>
      </c>
      <c r="C6147" s="1" t="n">
        <v>45344</v>
      </c>
      <c r="D6147" t="inlineStr">
        <is>
          <t>GÄVLEBORGS LÄN</t>
        </is>
      </c>
      <c r="E6147" t="inlineStr">
        <is>
          <t>NORDANSTIG</t>
        </is>
      </c>
      <c r="F6147" t="inlineStr">
        <is>
          <t>Holmen skog AB</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52568-2022</t>
        </is>
      </c>
      <c r="B6148" s="1" t="n">
        <v>44874</v>
      </c>
      <c r="C6148" s="1" t="n">
        <v>45344</v>
      </c>
      <c r="D6148" t="inlineStr">
        <is>
          <t>GÄVLEBORGS LÄN</t>
        </is>
      </c>
      <c r="E6148" t="inlineStr">
        <is>
          <t>LJUSDAL</t>
        </is>
      </c>
      <c r="F6148" t="inlineStr">
        <is>
          <t>Kyrkan</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52608-2022</t>
        </is>
      </c>
      <c r="B6149" s="1" t="n">
        <v>44874</v>
      </c>
      <c r="C6149" s="1" t="n">
        <v>45344</v>
      </c>
      <c r="D6149" t="inlineStr">
        <is>
          <t>GÄVLEBORGS LÄN</t>
        </is>
      </c>
      <c r="E6149" t="inlineStr">
        <is>
          <t>NORDANSTIG</t>
        </is>
      </c>
      <c r="F6149" t="inlineStr">
        <is>
          <t>Holmen skog AB</t>
        </is>
      </c>
      <c r="G6149" t="n">
        <v>5.5</v>
      </c>
      <c r="H6149" t="n">
        <v>0</v>
      </c>
      <c r="I6149" t="n">
        <v>0</v>
      </c>
      <c r="J6149" t="n">
        <v>0</v>
      </c>
      <c r="K6149" t="n">
        <v>0</v>
      </c>
      <c r="L6149" t="n">
        <v>0</v>
      </c>
      <c r="M6149" t="n">
        <v>0</v>
      </c>
      <c r="N6149" t="n">
        <v>0</v>
      </c>
      <c r="O6149" t="n">
        <v>0</v>
      </c>
      <c r="P6149" t="n">
        <v>0</v>
      </c>
      <c r="Q6149" t="n">
        <v>0</v>
      </c>
      <c r="R6149" s="2" t="inlineStr"/>
    </row>
    <row r="6150" ht="15" customHeight="1">
      <c r="A6150" t="inlineStr">
        <is>
          <t>A 52628-2022</t>
        </is>
      </c>
      <c r="B6150" s="1" t="n">
        <v>44874</v>
      </c>
      <c r="C6150" s="1" t="n">
        <v>45344</v>
      </c>
      <c r="D6150" t="inlineStr">
        <is>
          <t>GÄVLEBORGS LÄN</t>
        </is>
      </c>
      <c r="E6150" t="inlineStr">
        <is>
          <t>SANDVIKEN</t>
        </is>
      </c>
      <c r="F6150" t="inlineStr">
        <is>
          <t>Sveaskog</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52746-2022</t>
        </is>
      </c>
      <c r="B6151" s="1" t="n">
        <v>44874</v>
      </c>
      <c r="C6151" s="1" t="n">
        <v>45344</v>
      </c>
      <c r="D6151" t="inlineStr">
        <is>
          <t>GÄVLEBORGS LÄN</t>
        </is>
      </c>
      <c r="E6151" t="inlineStr">
        <is>
          <t>NORDANSTIG</t>
        </is>
      </c>
      <c r="F6151" t="inlineStr">
        <is>
          <t>SCA</t>
        </is>
      </c>
      <c r="G6151" t="n">
        <v>7.1</v>
      </c>
      <c r="H6151" t="n">
        <v>0</v>
      </c>
      <c r="I6151" t="n">
        <v>0</v>
      </c>
      <c r="J6151" t="n">
        <v>0</v>
      </c>
      <c r="K6151" t="n">
        <v>0</v>
      </c>
      <c r="L6151" t="n">
        <v>0</v>
      </c>
      <c r="M6151" t="n">
        <v>0</v>
      </c>
      <c r="N6151" t="n">
        <v>0</v>
      </c>
      <c r="O6151" t="n">
        <v>0</v>
      </c>
      <c r="P6151" t="n">
        <v>0</v>
      </c>
      <c r="Q6151" t="n">
        <v>0</v>
      </c>
      <c r="R6151" s="2" t="inlineStr"/>
    </row>
    <row r="6152" ht="15" customHeight="1">
      <c r="A6152" t="inlineStr">
        <is>
          <t>A 53495-2022</t>
        </is>
      </c>
      <c r="B6152" s="1" t="n">
        <v>44874</v>
      </c>
      <c r="C6152" s="1" t="n">
        <v>45344</v>
      </c>
      <c r="D6152" t="inlineStr">
        <is>
          <t>GÄVLEBORGS LÄN</t>
        </is>
      </c>
      <c r="E6152" t="inlineStr">
        <is>
          <t>SANDVIKEN</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52756-2022</t>
        </is>
      </c>
      <c r="B6153" s="1" t="n">
        <v>44875</v>
      </c>
      <c r="C6153" s="1" t="n">
        <v>45344</v>
      </c>
      <c r="D6153" t="inlineStr">
        <is>
          <t>GÄVLEBORGS LÄN</t>
        </is>
      </c>
      <c r="E6153" t="inlineStr">
        <is>
          <t>BOLLNÄS</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52872-2022</t>
        </is>
      </c>
      <c r="B6154" s="1" t="n">
        <v>44875</v>
      </c>
      <c r="C6154" s="1" t="n">
        <v>45344</v>
      </c>
      <c r="D6154" t="inlineStr">
        <is>
          <t>GÄVLEBORGS LÄN</t>
        </is>
      </c>
      <c r="E6154" t="inlineStr">
        <is>
          <t>OCKELBO</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52932-2022</t>
        </is>
      </c>
      <c r="B6155" s="1" t="n">
        <v>44875</v>
      </c>
      <c r="C6155" s="1" t="n">
        <v>45344</v>
      </c>
      <c r="D6155" t="inlineStr">
        <is>
          <t>GÄVLEBORGS LÄN</t>
        </is>
      </c>
      <c r="E6155" t="inlineStr">
        <is>
          <t>SANDVIKEN</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52765-2022</t>
        </is>
      </c>
      <c r="B6156" s="1" t="n">
        <v>44875</v>
      </c>
      <c r="C6156" s="1" t="n">
        <v>45344</v>
      </c>
      <c r="D6156" t="inlineStr">
        <is>
          <t>GÄVLEBORGS LÄN</t>
        </is>
      </c>
      <c r="E6156" t="inlineStr">
        <is>
          <t>SANDVIKEN</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52774-2022</t>
        </is>
      </c>
      <c r="B6157" s="1" t="n">
        <v>44875</v>
      </c>
      <c r="C6157" s="1" t="n">
        <v>45344</v>
      </c>
      <c r="D6157" t="inlineStr">
        <is>
          <t>GÄVLEBORGS LÄN</t>
        </is>
      </c>
      <c r="E6157" t="inlineStr">
        <is>
          <t>BOLLNÄS</t>
        </is>
      </c>
      <c r="F6157" t="inlineStr">
        <is>
          <t>Bergvik skog väst AB</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52824-2022</t>
        </is>
      </c>
      <c r="B6158" s="1" t="n">
        <v>44875</v>
      </c>
      <c r="C6158" s="1" t="n">
        <v>45344</v>
      </c>
      <c r="D6158" t="inlineStr">
        <is>
          <t>GÄVLEBORGS LÄN</t>
        </is>
      </c>
      <c r="E6158" t="inlineStr">
        <is>
          <t>LJUSDAL</t>
        </is>
      </c>
      <c r="F6158" t="inlineStr">
        <is>
          <t>Bergvik skog väst AB</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52850-2022</t>
        </is>
      </c>
      <c r="B6159" s="1" t="n">
        <v>44875</v>
      </c>
      <c r="C6159" s="1" t="n">
        <v>45344</v>
      </c>
      <c r="D6159" t="inlineStr">
        <is>
          <t>GÄVLEBORGS LÄN</t>
        </is>
      </c>
      <c r="E6159" t="inlineStr">
        <is>
          <t>BOLLNÄS</t>
        </is>
      </c>
      <c r="F6159" t="inlineStr">
        <is>
          <t>Bergvik skog väst AB</t>
        </is>
      </c>
      <c r="G6159" t="n">
        <v>5.8</v>
      </c>
      <c r="H6159" t="n">
        <v>0</v>
      </c>
      <c r="I6159" t="n">
        <v>0</v>
      </c>
      <c r="J6159" t="n">
        <v>0</v>
      </c>
      <c r="K6159" t="n">
        <v>0</v>
      </c>
      <c r="L6159" t="n">
        <v>0</v>
      </c>
      <c r="M6159" t="n">
        <v>0</v>
      </c>
      <c r="N6159" t="n">
        <v>0</v>
      </c>
      <c r="O6159" t="n">
        <v>0</v>
      </c>
      <c r="P6159" t="n">
        <v>0</v>
      </c>
      <c r="Q6159" t="n">
        <v>0</v>
      </c>
      <c r="R6159" s="2" t="inlineStr"/>
    </row>
    <row r="6160" ht="15" customHeight="1">
      <c r="A6160" t="inlineStr">
        <is>
          <t>A 52868-2022</t>
        </is>
      </c>
      <c r="B6160" s="1" t="n">
        <v>44875</v>
      </c>
      <c r="C6160" s="1" t="n">
        <v>45344</v>
      </c>
      <c r="D6160" t="inlineStr">
        <is>
          <t>GÄVLEBORGS LÄN</t>
        </is>
      </c>
      <c r="E6160" t="inlineStr">
        <is>
          <t>OCKELBO</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52907-2022</t>
        </is>
      </c>
      <c r="B6161" s="1" t="n">
        <v>44875</v>
      </c>
      <c r="C6161" s="1" t="n">
        <v>45344</v>
      </c>
      <c r="D6161" t="inlineStr">
        <is>
          <t>GÄVLEBORGS LÄN</t>
        </is>
      </c>
      <c r="E6161" t="inlineStr">
        <is>
          <t>BOLLNÄS</t>
        </is>
      </c>
      <c r="F6161" t="inlineStr">
        <is>
          <t>Bergvik skog väst AB</t>
        </is>
      </c>
      <c r="G6161" t="n">
        <v>2.3</v>
      </c>
      <c r="H6161" t="n">
        <v>0</v>
      </c>
      <c r="I6161" t="n">
        <v>0</v>
      </c>
      <c r="J6161" t="n">
        <v>0</v>
      </c>
      <c r="K6161" t="n">
        <v>0</v>
      </c>
      <c r="L6161" t="n">
        <v>0</v>
      </c>
      <c r="M6161" t="n">
        <v>0</v>
      </c>
      <c r="N6161" t="n">
        <v>0</v>
      </c>
      <c r="O6161" t="n">
        <v>0</v>
      </c>
      <c r="P6161" t="n">
        <v>0</v>
      </c>
      <c r="Q6161" t="n">
        <v>0</v>
      </c>
      <c r="R6161" s="2" t="inlineStr"/>
    </row>
    <row r="6162" ht="15" customHeight="1">
      <c r="A6162" t="inlineStr">
        <is>
          <t>A 52763-2022</t>
        </is>
      </c>
      <c r="B6162" s="1" t="n">
        <v>44875</v>
      </c>
      <c r="C6162" s="1" t="n">
        <v>45344</v>
      </c>
      <c r="D6162" t="inlineStr">
        <is>
          <t>GÄVLEBORGS LÄN</t>
        </is>
      </c>
      <c r="E6162" t="inlineStr">
        <is>
          <t>SANDVIKEN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52787-2022</t>
        </is>
      </c>
      <c r="B6163" s="1" t="n">
        <v>44875</v>
      </c>
      <c r="C6163" s="1" t="n">
        <v>45344</v>
      </c>
      <c r="D6163" t="inlineStr">
        <is>
          <t>GÄVLEBORGS LÄN</t>
        </is>
      </c>
      <c r="E6163" t="inlineStr">
        <is>
          <t>BOLLNÄS</t>
        </is>
      </c>
      <c r="F6163" t="inlineStr">
        <is>
          <t>Kyrkan</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52842-2022</t>
        </is>
      </c>
      <c r="B6164" s="1" t="n">
        <v>44875</v>
      </c>
      <c r="C6164" s="1" t="n">
        <v>45344</v>
      </c>
      <c r="D6164" t="inlineStr">
        <is>
          <t>GÄVLEBORGS LÄN</t>
        </is>
      </c>
      <c r="E6164" t="inlineStr">
        <is>
          <t>LJUSDAL</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52947-2022</t>
        </is>
      </c>
      <c r="B6165" s="1" t="n">
        <v>44875</v>
      </c>
      <c r="C6165" s="1" t="n">
        <v>45344</v>
      </c>
      <c r="D6165" t="inlineStr">
        <is>
          <t>GÄVLEBORGS LÄN</t>
        </is>
      </c>
      <c r="E6165" t="inlineStr">
        <is>
          <t>HUDIKSVALL</t>
        </is>
      </c>
      <c r="F6165" t="inlineStr">
        <is>
          <t>Holmen skog AB</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52966-2022</t>
        </is>
      </c>
      <c r="B6166" s="1" t="n">
        <v>44875</v>
      </c>
      <c r="C6166" s="1" t="n">
        <v>45344</v>
      </c>
      <c r="D6166" t="inlineStr">
        <is>
          <t>GÄVLEBORGS LÄN</t>
        </is>
      </c>
      <c r="E6166" t="inlineStr">
        <is>
          <t>HUDIKSVALL</t>
        </is>
      </c>
      <c r="G6166" t="n">
        <v>1.2</v>
      </c>
      <c r="H6166" t="n">
        <v>0</v>
      </c>
      <c r="I6166" t="n">
        <v>0</v>
      </c>
      <c r="J6166" t="n">
        <v>0</v>
      </c>
      <c r="K6166" t="n">
        <v>0</v>
      </c>
      <c r="L6166" t="n">
        <v>0</v>
      </c>
      <c r="M6166" t="n">
        <v>0</v>
      </c>
      <c r="N6166" t="n">
        <v>0</v>
      </c>
      <c r="O6166" t="n">
        <v>0</v>
      </c>
      <c r="P6166" t="n">
        <v>0</v>
      </c>
      <c r="Q6166" t="n">
        <v>0</v>
      </c>
      <c r="R6166" s="2" t="inlineStr"/>
    </row>
    <row r="6167" ht="15" customHeight="1">
      <c r="A6167" t="inlineStr">
        <is>
          <t>A 53082-2022</t>
        </is>
      </c>
      <c r="B6167" s="1" t="n">
        <v>44876</v>
      </c>
      <c r="C6167" s="1" t="n">
        <v>45344</v>
      </c>
      <c r="D6167" t="inlineStr">
        <is>
          <t>GÄVLEBORGS LÄN</t>
        </is>
      </c>
      <c r="E6167" t="inlineStr">
        <is>
          <t>GÄVLE</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53159-2022</t>
        </is>
      </c>
      <c r="B6168" s="1" t="n">
        <v>44876</v>
      </c>
      <c r="C6168" s="1" t="n">
        <v>45344</v>
      </c>
      <c r="D6168" t="inlineStr">
        <is>
          <t>GÄVLEBORGS LÄN</t>
        </is>
      </c>
      <c r="E6168" t="inlineStr">
        <is>
          <t>LJUSDAL</t>
        </is>
      </c>
      <c r="F6168" t="inlineStr">
        <is>
          <t>Kyrkan</t>
        </is>
      </c>
      <c r="G6168" t="n">
        <v>26.3</v>
      </c>
      <c r="H6168" t="n">
        <v>0</v>
      </c>
      <c r="I6168" t="n">
        <v>0</v>
      </c>
      <c r="J6168" t="n">
        <v>0</v>
      </c>
      <c r="K6168" t="n">
        <v>0</v>
      </c>
      <c r="L6168" t="n">
        <v>0</v>
      </c>
      <c r="M6168" t="n">
        <v>0</v>
      </c>
      <c r="N6168" t="n">
        <v>0</v>
      </c>
      <c r="O6168" t="n">
        <v>0</v>
      </c>
      <c r="P6168" t="n">
        <v>0</v>
      </c>
      <c r="Q6168" t="n">
        <v>0</v>
      </c>
      <c r="R6168" s="2" t="inlineStr"/>
    </row>
    <row r="6169" ht="15" customHeight="1">
      <c r="A6169" t="inlineStr">
        <is>
          <t>A 53046-2022</t>
        </is>
      </c>
      <c r="B6169" s="1" t="n">
        <v>44876</v>
      </c>
      <c r="C6169" s="1" t="n">
        <v>45344</v>
      </c>
      <c r="D6169" t="inlineStr">
        <is>
          <t>GÄVLEBORGS LÄN</t>
        </is>
      </c>
      <c r="E6169" t="inlineStr">
        <is>
          <t>BOLLNÄS</t>
        </is>
      </c>
      <c r="F6169" t="inlineStr">
        <is>
          <t>Bergvik skog väst AB</t>
        </is>
      </c>
      <c r="G6169" t="n">
        <v>3.7</v>
      </c>
      <c r="H6169" t="n">
        <v>0</v>
      </c>
      <c r="I6169" t="n">
        <v>0</v>
      </c>
      <c r="J6169" t="n">
        <v>0</v>
      </c>
      <c r="K6169" t="n">
        <v>0</v>
      </c>
      <c r="L6169" t="n">
        <v>0</v>
      </c>
      <c r="M6169" t="n">
        <v>0</v>
      </c>
      <c r="N6169" t="n">
        <v>0</v>
      </c>
      <c r="O6169" t="n">
        <v>0</v>
      </c>
      <c r="P6169" t="n">
        <v>0</v>
      </c>
      <c r="Q6169" t="n">
        <v>0</v>
      </c>
      <c r="R6169" s="2" t="inlineStr"/>
    </row>
    <row r="6170" ht="15" customHeight="1">
      <c r="A6170" t="inlineStr">
        <is>
          <t>A 53079-2022</t>
        </is>
      </c>
      <c r="B6170" s="1" t="n">
        <v>44876</v>
      </c>
      <c r="C6170" s="1" t="n">
        <v>45344</v>
      </c>
      <c r="D6170" t="inlineStr">
        <is>
          <t>GÄVLEBORGS LÄN</t>
        </is>
      </c>
      <c r="E6170" t="inlineStr">
        <is>
          <t>NORDANSTIG</t>
        </is>
      </c>
      <c r="F6170" t="inlineStr">
        <is>
          <t>Holmen skog AB</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53049-2022</t>
        </is>
      </c>
      <c r="B6171" s="1" t="n">
        <v>44876</v>
      </c>
      <c r="C6171" s="1" t="n">
        <v>45344</v>
      </c>
      <c r="D6171" t="inlineStr">
        <is>
          <t>GÄVLEBORGS LÄN</t>
        </is>
      </c>
      <c r="E6171" t="inlineStr">
        <is>
          <t>GÄVLE</t>
        </is>
      </c>
      <c r="F6171" t="inlineStr">
        <is>
          <t>Kommuner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53069-2022</t>
        </is>
      </c>
      <c r="B6172" s="1" t="n">
        <v>44876</v>
      </c>
      <c r="C6172" s="1" t="n">
        <v>45344</v>
      </c>
      <c r="D6172" t="inlineStr">
        <is>
          <t>GÄVLEBORGS LÄN</t>
        </is>
      </c>
      <c r="E6172" t="inlineStr">
        <is>
          <t>BOLLNÄS</t>
        </is>
      </c>
      <c r="F6172" t="inlineStr">
        <is>
          <t>Bergvik skog väst AB</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53213-2022</t>
        </is>
      </c>
      <c r="B6173" s="1" t="n">
        <v>44876</v>
      </c>
      <c r="C6173" s="1" t="n">
        <v>45344</v>
      </c>
      <c r="D6173" t="inlineStr">
        <is>
          <t>GÄVLEBORGS LÄN</t>
        </is>
      </c>
      <c r="E6173" t="inlineStr">
        <is>
          <t>OVANÅKER</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53211-2022</t>
        </is>
      </c>
      <c r="B6174" s="1" t="n">
        <v>44876</v>
      </c>
      <c r="C6174" s="1" t="n">
        <v>45344</v>
      </c>
      <c r="D6174" t="inlineStr">
        <is>
          <t>GÄVLEBORGS LÄN</t>
        </is>
      </c>
      <c r="E6174" t="inlineStr">
        <is>
          <t>BOLLNÄS</t>
        </is>
      </c>
      <c r="F6174" t="inlineStr">
        <is>
          <t>Bergvik skog väst AB</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53174-2022</t>
        </is>
      </c>
      <c r="B6175" s="1" t="n">
        <v>44876</v>
      </c>
      <c r="C6175" s="1" t="n">
        <v>45344</v>
      </c>
      <c r="D6175" t="inlineStr">
        <is>
          <t>GÄVLEBORGS LÄN</t>
        </is>
      </c>
      <c r="E6175" t="inlineStr">
        <is>
          <t>OVANÅKER</t>
        </is>
      </c>
      <c r="G6175" t="n">
        <v>6.4</v>
      </c>
      <c r="H6175" t="n">
        <v>0</v>
      </c>
      <c r="I6175" t="n">
        <v>0</v>
      </c>
      <c r="J6175" t="n">
        <v>0</v>
      </c>
      <c r="K6175" t="n">
        <v>0</v>
      </c>
      <c r="L6175" t="n">
        <v>0</v>
      </c>
      <c r="M6175" t="n">
        <v>0</v>
      </c>
      <c r="N6175" t="n">
        <v>0</v>
      </c>
      <c r="O6175" t="n">
        <v>0</v>
      </c>
      <c r="P6175" t="n">
        <v>0</v>
      </c>
      <c r="Q6175" t="n">
        <v>0</v>
      </c>
      <c r="R6175" s="2" t="inlineStr"/>
    </row>
    <row r="6176" ht="15" customHeight="1">
      <c r="A6176" t="inlineStr">
        <is>
          <t>A 53258-2022</t>
        </is>
      </c>
      <c r="B6176" s="1" t="n">
        <v>44876</v>
      </c>
      <c r="C6176" s="1" t="n">
        <v>45344</v>
      </c>
      <c r="D6176" t="inlineStr">
        <is>
          <t>GÄVLEBORGS LÄN</t>
        </is>
      </c>
      <c r="E6176" t="inlineStr">
        <is>
          <t>SANDVIKEN</t>
        </is>
      </c>
      <c r="F6176" t="inlineStr">
        <is>
          <t>Sveaskog</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53183-2022</t>
        </is>
      </c>
      <c r="B6177" s="1" t="n">
        <v>44876</v>
      </c>
      <c r="C6177" s="1" t="n">
        <v>45344</v>
      </c>
      <c r="D6177" t="inlineStr">
        <is>
          <t>GÄVLEBORGS LÄN</t>
        </is>
      </c>
      <c r="E6177" t="inlineStr">
        <is>
          <t>BOLLNÄS</t>
        </is>
      </c>
      <c r="F6177" t="inlineStr">
        <is>
          <t>Bergvik skog väst AB</t>
        </is>
      </c>
      <c r="G6177" t="n">
        <v>3.7</v>
      </c>
      <c r="H6177" t="n">
        <v>0</v>
      </c>
      <c r="I6177" t="n">
        <v>0</v>
      </c>
      <c r="J6177" t="n">
        <v>0</v>
      </c>
      <c r="K6177" t="n">
        <v>0</v>
      </c>
      <c r="L6177" t="n">
        <v>0</v>
      </c>
      <c r="M6177" t="n">
        <v>0</v>
      </c>
      <c r="N6177" t="n">
        <v>0</v>
      </c>
      <c r="O6177" t="n">
        <v>0</v>
      </c>
      <c r="P6177" t="n">
        <v>0</v>
      </c>
      <c r="Q6177" t="n">
        <v>0</v>
      </c>
      <c r="R6177" s="2" t="inlineStr"/>
    </row>
    <row r="6178" ht="15" customHeight="1">
      <c r="A6178" t="inlineStr">
        <is>
          <t>A 53317-2022</t>
        </is>
      </c>
      <c r="B6178" s="1" t="n">
        <v>44878</v>
      </c>
      <c r="C6178" s="1" t="n">
        <v>45344</v>
      </c>
      <c r="D6178" t="inlineStr">
        <is>
          <t>GÄVLEBORGS LÄN</t>
        </is>
      </c>
      <c r="E6178" t="inlineStr">
        <is>
          <t>BOLLNÄS</t>
        </is>
      </c>
      <c r="F6178" t="inlineStr">
        <is>
          <t>Bergvik skog väst AB</t>
        </is>
      </c>
      <c r="G6178" t="n">
        <v>2.8</v>
      </c>
      <c r="H6178" t="n">
        <v>0</v>
      </c>
      <c r="I6178" t="n">
        <v>0</v>
      </c>
      <c r="J6178" t="n">
        <v>0</v>
      </c>
      <c r="K6178" t="n">
        <v>0</v>
      </c>
      <c r="L6178" t="n">
        <v>0</v>
      </c>
      <c r="M6178" t="n">
        <v>0</v>
      </c>
      <c r="N6178" t="n">
        <v>0</v>
      </c>
      <c r="O6178" t="n">
        <v>0</v>
      </c>
      <c r="P6178" t="n">
        <v>0</v>
      </c>
      <c r="Q6178" t="n">
        <v>0</v>
      </c>
      <c r="R6178" s="2" t="inlineStr"/>
    </row>
    <row r="6179" ht="15" customHeight="1">
      <c r="A6179" t="inlineStr">
        <is>
          <t>A 53445-2022</t>
        </is>
      </c>
      <c r="B6179" s="1" t="n">
        <v>44879</v>
      </c>
      <c r="C6179" s="1" t="n">
        <v>45344</v>
      </c>
      <c r="D6179" t="inlineStr">
        <is>
          <t>GÄVLEBORGS LÄN</t>
        </is>
      </c>
      <c r="E6179" t="inlineStr">
        <is>
          <t>OVANÅKER</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53516-2022</t>
        </is>
      </c>
      <c r="B6180" s="1" t="n">
        <v>44879</v>
      </c>
      <c r="C6180" s="1" t="n">
        <v>45344</v>
      </c>
      <c r="D6180" t="inlineStr">
        <is>
          <t>GÄVLEBORGS LÄN</t>
        </is>
      </c>
      <c r="E6180" t="inlineStr">
        <is>
          <t>BOLLNÄS</t>
        </is>
      </c>
      <c r="F6180" t="inlineStr">
        <is>
          <t>Bergvik skog väst AB</t>
        </is>
      </c>
      <c r="G6180" t="n">
        <v>4.3</v>
      </c>
      <c r="H6180" t="n">
        <v>0</v>
      </c>
      <c r="I6180" t="n">
        <v>0</v>
      </c>
      <c r="J6180" t="n">
        <v>0</v>
      </c>
      <c r="K6180" t="n">
        <v>0</v>
      </c>
      <c r="L6180" t="n">
        <v>0</v>
      </c>
      <c r="M6180" t="n">
        <v>0</v>
      </c>
      <c r="N6180" t="n">
        <v>0</v>
      </c>
      <c r="O6180" t="n">
        <v>0</v>
      </c>
      <c r="P6180" t="n">
        <v>0</v>
      </c>
      <c r="Q6180" t="n">
        <v>0</v>
      </c>
      <c r="R6180" s="2" t="inlineStr"/>
    </row>
    <row r="6181" ht="15" customHeight="1">
      <c r="A6181" t="inlineStr">
        <is>
          <t>A 53562-2022</t>
        </is>
      </c>
      <c r="B6181" s="1" t="n">
        <v>44879</v>
      </c>
      <c r="C6181" s="1" t="n">
        <v>45344</v>
      </c>
      <c r="D6181" t="inlineStr">
        <is>
          <t>GÄVLEBORGS LÄN</t>
        </is>
      </c>
      <c r="E6181" t="inlineStr">
        <is>
          <t>BOLLNÄS</t>
        </is>
      </c>
      <c r="F6181" t="inlineStr">
        <is>
          <t>Bergvik skog väst AB</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53566-2022</t>
        </is>
      </c>
      <c r="B6182" s="1" t="n">
        <v>44879</v>
      </c>
      <c r="C6182" s="1" t="n">
        <v>45344</v>
      </c>
      <c r="D6182" t="inlineStr">
        <is>
          <t>GÄVLEBORGS LÄN</t>
        </is>
      </c>
      <c r="E6182" t="inlineStr">
        <is>
          <t>BOLLNÄS</t>
        </is>
      </c>
      <c r="F6182" t="inlineStr">
        <is>
          <t>Holmen skog AB</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53339-2022</t>
        </is>
      </c>
      <c r="B6183" s="1" t="n">
        <v>44879</v>
      </c>
      <c r="C6183" s="1" t="n">
        <v>45344</v>
      </c>
      <c r="D6183" t="inlineStr">
        <is>
          <t>GÄVLEBORGS LÄN</t>
        </is>
      </c>
      <c r="E6183" t="inlineStr">
        <is>
          <t>HUDIKSVALL</t>
        </is>
      </c>
      <c r="F6183" t="inlineStr">
        <is>
          <t>Holmen skog AB</t>
        </is>
      </c>
      <c r="G6183" t="n">
        <v>3.9</v>
      </c>
      <c r="H6183" t="n">
        <v>0</v>
      </c>
      <c r="I6183" t="n">
        <v>0</v>
      </c>
      <c r="J6183" t="n">
        <v>0</v>
      </c>
      <c r="K6183" t="n">
        <v>0</v>
      </c>
      <c r="L6183" t="n">
        <v>0</v>
      </c>
      <c r="M6183" t="n">
        <v>0</v>
      </c>
      <c r="N6183" t="n">
        <v>0</v>
      </c>
      <c r="O6183" t="n">
        <v>0</v>
      </c>
      <c r="P6183" t="n">
        <v>0</v>
      </c>
      <c r="Q6183" t="n">
        <v>0</v>
      </c>
      <c r="R6183" s="2" t="inlineStr"/>
    </row>
    <row r="6184" ht="15" customHeight="1">
      <c r="A6184" t="inlineStr">
        <is>
          <t>A 53393-2022</t>
        </is>
      </c>
      <c r="B6184" s="1" t="n">
        <v>44879</v>
      </c>
      <c r="C6184" s="1" t="n">
        <v>45344</v>
      </c>
      <c r="D6184" t="inlineStr">
        <is>
          <t>GÄVLEBORGS LÄN</t>
        </is>
      </c>
      <c r="E6184" t="inlineStr">
        <is>
          <t>OCKELBO</t>
        </is>
      </c>
      <c r="G6184" t="n">
        <v>4.2</v>
      </c>
      <c r="H6184" t="n">
        <v>0</v>
      </c>
      <c r="I6184" t="n">
        <v>0</v>
      </c>
      <c r="J6184" t="n">
        <v>0</v>
      </c>
      <c r="K6184" t="n">
        <v>0</v>
      </c>
      <c r="L6184" t="n">
        <v>0</v>
      </c>
      <c r="M6184" t="n">
        <v>0</v>
      </c>
      <c r="N6184" t="n">
        <v>0</v>
      </c>
      <c r="O6184" t="n">
        <v>0</v>
      </c>
      <c r="P6184" t="n">
        <v>0</v>
      </c>
      <c r="Q6184" t="n">
        <v>0</v>
      </c>
      <c r="R6184" s="2" t="inlineStr"/>
    </row>
    <row r="6185" ht="15" customHeight="1">
      <c r="A6185" t="inlineStr">
        <is>
          <t>A 53337-2022</t>
        </is>
      </c>
      <c r="B6185" s="1" t="n">
        <v>44879</v>
      </c>
      <c r="C6185" s="1" t="n">
        <v>45344</v>
      </c>
      <c r="D6185" t="inlineStr">
        <is>
          <t>GÄVLEBORGS LÄN</t>
        </is>
      </c>
      <c r="E6185" t="inlineStr">
        <is>
          <t>BOLLNÄS</t>
        </is>
      </c>
      <c r="F6185" t="inlineStr">
        <is>
          <t>Bergvik skog väst AB</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53343-2022</t>
        </is>
      </c>
      <c r="B6186" s="1" t="n">
        <v>44879</v>
      </c>
      <c r="C6186" s="1" t="n">
        <v>45344</v>
      </c>
      <c r="D6186" t="inlineStr">
        <is>
          <t>GÄVLEBORGS LÄN</t>
        </is>
      </c>
      <c r="E6186" t="inlineStr">
        <is>
          <t>OVANÅKER</t>
        </is>
      </c>
      <c r="F6186" t="inlineStr">
        <is>
          <t>Holmen skog AB</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53342-2022</t>
        </is>
      </c>
      <c r="B6187" s="1" t="n">
        <v>44879</v>
      </c>
      <c r="C6187" s="1" t="n">
        <v>45344</v>
      </c>
      <c r="D6187" t="inlineStr">
        <is>
          <t>GÄVLEBORGS LÄN</t>
        </is>
      </c>
      <c r="E6187" t="inlineStr">
        <is>
          <t>BOLLNÄS</t>
        </is>
      </c>
      <c r="F6187" t="inlineStr">
        <is>
          <t>Bergvik skog väst AB</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53487-2022</t>
        </is>
      </c>
      <c r="B6188" s="1" t="n">
        <v>44879</v>
      </c>
      <c r="C6188" s="1" t="n">
        <v>45344</v>
      </c>
      <c r="D6188" t="inlineStr">
        <is>
          <t>GÄVLEBORGS LÄN</t>
        </is>
      </c>
      <c r="E6188" t="inlineStr">
        <is>
          <t>LJUSDAL</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53511-2022</t>
        </is>
      </c>
      <c r="B6189" s="1" t="n">
        <v>44879</v>
      </c>
      <c r="C6189" s="1" t="n">
        <v>45344</v>
      </c>
      <c r="D6189" t="inlineStr">
        <is>
          <t>GÄVLEBORGS LÄN</t>
        </is>
      </c>
      <c r="E6189" t="inlineStr">
        <is>
          <t>BOLLNÄS</t>
        </is>
      </c>
      <c r="F6189" t="inlineStr">
        <is>
          <t>Bergvik skog väst AB</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53438-2022</t>
        </is>
      </c>
      <c r="B6190" s="1" t="n">
        <v>44879</v>
      </c>
      <c r="C6190" s="1" t="n">
        <v>45344</v>
      </c>
      <c r="D6190" t="inlineStr">
        <is>
          <t>GÄVLEBORGS LÄN</t>
        </is>
      </c>
      <c r="E6190" t="inlineStr">
        <is>
          <t>HUDIKSVALL</t>
        </is>
      </c>
      <c r="F6190" t="inlineStr">
        <is>
          <t>Holmen skog AB</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53448-2022</t>
        </is>
      </c>
      <c r="B6191" s="1" t="n">
        <v>44879</v>
      </c>
      <c r="C6191" s="1" t="n">
        <v>45344</v>
      </c>
      <c r="D6191" t="inlineStr">
        <is>
          <t>GÄVLEBORGS LÄN</t>
        </is>
      </c>
      <c r="E6191" t="inlineStr">
        <is>
          <t>BOLLNÄS</t>
        </is>
      </c>
      <c r="F6191" t="inlineStr">
        <is>
          <t>Bergvik skog väst AB</t>
        </is>
      </c>
      <c r="G6191" t="n">
        <v>11.3</v>
      </c>
      <c r="H6191" t="n">
        <v>0</v>
      </c>
      <c r="I6191" t="n">
        <v>0</v>
      </c>
      <c r="J6191" t="n">
        <v>0</v>
      </c>
      <c r="K6191" t="n">
        <v>0</v>
      </c>
      <c r="L6191" t="n">
        <v>0</v>
      </c>
      <c r="M6191" t="n">
        <v>0</v>
      </c>
      <c r="N6191" t="n">
        <v>0</v>
      </c>
      <c r="O6191" t="n">
        <v>0</v>
      </c>
      <c r="P6191" t="n">
        <v>0</v>
      </c>
      <c r="Q6191" t="n">
        <v>0</v>
      </c>
      <c r="R6191" s="2" t="inlineStr"/>
    </row>
    <row r="6192" ht="15" customHeight="1">
      <c r="A6192" t="inlineStr">
        <is>
          <t>A 53532-2022</t>
        </is>
      </c>
      <c r="B6192" s="1" t="n">
        <v>44879</v>
      </c>
      <c r="C6192" s="1" t="n">
        <v>45344</v>
      </c>
      <c r="D6192" t="inlineStr">
        <is>
          <t>GÄVLEBORGS LÄN</t>
        </is>
      </c>
      <c r="E6192" t="inlineStr">
        <is>
          <t>OCKELBO</t>
        </is>
      </c>
      <c r="F6192" t="inlineStr">
        <is>
          <t>Bergvik skog väst AB</t>
        </is>
      </c>
      <c r="G6192" t="n">
        <v>6.4</v>
      </c>
      <c r="H6192" t="n">
        <v>0</v>
      </c>
      <c r="I6192" t="n">
        <v>0</v>
      </c>
      <c r="J6192" t="n">
        <v>0</v>
      </c>
      <c r="K6192" t="n">
        <v>0</v>
      </c>
      <c r="L6192" t="n">
        <v>0</v>
      </c>
      <c r="M6192" t="n">
        <v>0</v>
      </c>
      <c r="N6192" t="n">
        <v>0</v>
      </c>
      <c r="O6192" t="n">
        <v>0</v>
      </c>
      <c r="P6192" t="n">
        <v>0</v>
      </c>
      <c r="Q6192" t="n">
        <v>0</v>
      </c>
      <c r="R6192" s="2" t="inlineStr"/>
    </row>
    <row r="6193" ht="15" customHeight="1">
      <c r="A6193" t="inlineStr">
        <is>
          <t>A 53558-2022</t>
        </is>
      </c>
      <c r="B6193" s="1" t="n">
        <v>44879</v>
      </c>
      <c r="C6193" s="1" t="n">
        <v>45344</v>
      </c>
      <c r="D6193" t="inlineStr">
        <is>
          <t>GÄVLEBORGS LÄN</t>
        </is>
      </c>
      <c r="E6193" t="inlineStr">
        <is>
          <t>BOLLNÄS</t>
        </is>
      </c>
      <c r="F6193" t="inlineStr">
        <is>
          <t>Holmen skog AB</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53611-2022</t>
        </is>
      </c>
      <c r="B6194" s="1" t="n">
        <v>44879</v>
      </c>
      <c r="C6194" s="1" t="n">
        <v>45344</v>
      </c>
      <c r="D6194" t="inlineStr">
        <is>
          <t>GÄVLEBORGS LÄN</t>
        </is>
      </c>
      <c r="E6194" t="inlineStr">
        <is>
          <t>BOLLNÄS</t>
        </is>
      </c>
      <c r="F6194" t="inlineStr">
        <is>
          <t>Bergvik skog väst AB</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53613-2022</t>
        </is>
      </c>
      <c r="B6195" s="1" t="n">
        <v>44879</v>
      </c>
      <c r="C6195" s="1" t="n">
        <v>45344</v>
      </c>
      <c r="D6195" t="inlineStr">
        <is>
          <t>GÄVLEBORGS LÄN</t>
        </is>
      </c>
      <c r="E6195" t="inlineStr">
        <is>
          <t>BOLLNÄS</t>
        </is>
      </c>
      <c r="F6195" t="inlineStr">
        <is>
          <t>Bergvik skog väst AB</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53618-2022</t>
        </is>
      </c>
      <c r="B6196" s="1" t="n">
        <v>44879</v>
      </c>
      <c r="C6196" s="1" t="n">
        <v>45344</v>
      </c>
      <c r="D6196" t="inlineStr">
        <is>
          <t>GÄVLEBORGS LÄN</t>
        </is>
      </c>
      <c r="E6196" t="inlineStr">
        <is>
          <t>BOLLNÄS</t>
        </is>
      </c>
      <c r="F6196" t="inlineStr">
        <is>
          <t>Bergvik skog väst AB</t>
        </is>
      </c>
      <c r="G6196" t="n">
        <v>7.1</v>
      </c>
      <c r="H6196" t="n">
        <v>0</v>
      </c>
      <c r="I6196" t="n">
        <v>0</v>
      </c>
      <c r="J6196" t="n">
        <v>0</v>
      </c>
      <c r="K6196" t="n">
        <v>0</v>
      </c>
      <c r="L6196" t="n">
        <v>0</v>
      </c>
      <c r="M6196" t="n">
        <v>0</v>
      </c>
      <c r="N6196" t="n">
        <v>0</v>
      </c>
      <c r="O6196" t="n">
        <v>0</v>
      </c>
      <c r="P6196" t="n">
        <v>0</v>
      </c>
      <c r="Q6196" t="n">
        <v>0</v>
      </c>
      <c r="R6196" s="2" t="inlineStr"/>
    </row>
    <row r="6197" ht="15" customHeight="1">
      <c r="A6197" t="inlineStr">
        <is>
          <t>A 53673-2022</t>
        </is>
      </c>
      <c r="B6197" s="1" t="n">
        <v>44879</v>
      </c>
      <c r="C6197" s="1" t="n">
        <v>45344</v>
      </c>
      <c r="D6197" t="inlineStr">
        <is>
          <t>GÄVLEBORGS LÄN</t>
        </is>
      </c>
      <c r="E6197" t="inlineStr">
        <is>
          <t>NORDANSTIG</t>
        </is>
      </c>
      <c r="F6197" t="inlineStr">
        <is>
          <t>SCA</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53754-2022</t>
        </is>
      </c>
      <c r="B6198" s="1" t="n">
        <v>44880</v>
      </c>
      <c r="C6198" s="1" t="n">
        <v>45344</v>
      </c>
      <c r="D6198" t="inlineStr">
        <is>
          <t>GÄVLEBORGS LÄN</t>
        </is>
      </c>
      <c r="E6198" t="inlineStr">
        <is>
          <t>OCKELBO</t>
        </is>
      </c>
      <c r="F6198" t="inlineStr">
        <is>
          <t>Bergvik skog väst AB</t>
        </is>
      </c>
      <c r="G6198" t="n">
        <v>1.5</v>
      </c>
      <c r="H6198" t="n">
        <v>0</v>
      </c>
      <c r="I6198" t="n">
        <v>0</v>
      </c>
      <c r="J6198" t="n">
        <v>0</v>
      </c>
      <c r="K6198" t="n">
        <v>0</v>
      </c>
      <c r="L6198" t="n">
        <v>0</v>
      </c>
      <c r="M6198" t="n">
        <v>0</v>
      </c>
      <c r="N6198" t="n">
        <v>0</v>
      </c>
      <c r="O6198" t="n">
        <v>0</v>
      </c>
      <c r="P6198" t="n">
        <v>0</v>
      </c>
      <c r="Q6198" t="n">
        <v>0</v>
      </c>
      <c r="R6198" s="2" t="inlineStr"/>
    </row>
    <row r="6199" ht="15" customHeight="1">
      <c r="A6199" t="inlineStr">
        <is>
          <t>A 53815-2022</t>
        </is>
      </c>
      <c r="B6199" s="1" t="n">
        <v>44880</v>
      </c>
      <c r="C6199" s="1" t="n">
        <v>45344</v>
      </c>
      <c r="D6199" t="inlineStr">
        <is>
          <t>GÄVLEBORGS LÄN</t>
        </is>
      </c>
      <c r="E6199" t="inlineStr">
        <is>
          <t>BOLLNÄS</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53844-2022</t>
        </is>
      </c>
      <c r="B6200" s="1" t="n">
        <v>44880</v>
      </c>
      <c r="C6200" s="1" t="n">
        <v>45344</v>
      </c>
      <c r="D6200" t="inlineStr">
        <is>
          <t>GÄVLEBORGS LÄN</t>
        </is>
      </c>
      <c r="E6200" t="inlineStr">
        <is>
          <t>LJUSDAL</t>
        </is>
      </c>
      <c r="F6200" t="inlineStr">
        <is>
          <t>Bergvik skog väst AB</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53694-2022</t>
        </is>
      </c>
      <c r="B6201" s="1" t="n">
        <v>44880</v>
      </c>
      <c r="C6201" s="1" t="n">
        <v>45344</v>
      </c>
      <c r="D6201" t="inlineStr">
        <is>
          <t>GÄVLEBORGS LÄN</t>
        </is>
      </c>
      <c r="E6201" t="inlineStr">
        <is>
          <t>OVANÅKER</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53780-2022</t>
        </is>
      </c>
      <c r="B6202" s="1" t="n">
        <v>44880</v>
      </c>
      <c r="C6202" s="1" t="n">
        <v>45344</v>
      </c>
      <c r="D6202" t="inlineStr">
        <is>
          <t>GÄVLEBORGS LÄN</t>
        </is>
      </c>
      <c r="E6202" t="inlineStr">
        <is>
          <t>OCKELBO</t>
        </is>
      </c>
      <c r="F6202" t="inlineStr">
        <is>
          <t>Bergvik skog väst AB</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53691-2022</t>
        </is>
      </c>
      <c r="B6203" s="1" t="n">
        <v>44880</v>
      </c>
      <c r="C6203" s="1" t="n">
        <v>45344</v>
      </c>
      <c r="D6203" t="inlineStr">
        <is>
          <t>GÄVLEBORGS LÄN</t>
        </is>
      </c>
      <c r="E6203" t="inlineStr">
        <is>
          <t>OVANÅKER</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53744-2022</t>
        </is>
      </c>
      <c r="B6204" s="1" t="n">
        <v>44880</v>
      </c>
      <c r="C6204" s="1" t="n">
        <v>45344</v>
      </c>
      <c r="D6204" t="inlineStr">
        <is>
          <t>GÄVLEBORGS LÄN</t>
        </is>
      </c>
      <c r="E6204" t="inlineStr">
        <is>
          <t>SÖDERHAMN</t>
        </is>
      </c>
      <c r="F6204" t="inlineStr">
        <is>
          <t>Kyrkan</t>
        </is>
      </c>
      <c r="G6204" t="n">
        <v>5.2</v>
      </c>
      <c r="H6204" t="n">
        <v>0</v>
      </c>
      <c r="I6204" t="n">
        <v>0</v>
      </c>
      <c r="J6204" t="n">
        <v>0</v>
      </c>
      <c r="K6204" t="n">
        <v>0</v>
      </c>
      <c r="L6204" t="n">
        <v>0</v>
      </c>
      <c r="M6204" t="n">
        <v>0</v>
      </c>
      <c r="N6204" t="n">
        <v>0</v>
      </c>
      <c r="O6204" t="n">
        <v>0</v>
      </c>
      <c r="P6204" t="n">
        <v>0</v>
      </c>
      <c r="Q6204" t="n">
        <v>0</v>
      </c>
      <c r="R6204" s="2" t="inlineStr"/>
    </row>
    <row r="6205" ht="15" customHeight="1">
      <c r="A6205" t="inlineStr">
        <is>
          <t>A 53927-2022</t>
        </is>
      </c>
      <c r="B6205" s="1" t="n">
        <v>44880</v>
      </c>
      <c r="C6205" s="1" t="n">
        <v>45344</v>
      </c>
      <c r="D6205" t="inlineStr">
        <is>
          <t>GÄVLEBORGS LÄN</t>
        </is>
      </c>
      <c r="E6205" t="inlineStr">
        <is>
          <t>LJUSDAL</t>
        </is>
      </c>
      <c r="F6205" t="inlineStr">
        <is>
          <t>Naturvårdsverket</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54083-2022</t>
        </is>
      </c>
      <c r="B6206" s="1" t="n">
        <v>44881</v>
      </c>
      <c r="C6206" s="1" t="n">
        <v>45344</v>
      </c>
      <c r="D6206" t="inlineStr">
        <is>
          <t>GÄVLEBORGS LÄN</t>
        </is>
      </c>
      <c r="E6206" t="inlineStr">
        <is>
          <t>BOLLNÄS</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54088-2022</t>
        </is>
      </c>
      <c r="B6207" s="1" t="n">
        <v>44881</v>
      </c>
      <c r="C6207" s="1" t="n">
        <v>45344</v>
      </c>
      <c r="D6207" t="inlineStr">
        <is>
          <t>GÄVLEBORGS LÄN</t>
        </is>
      </c>
      <c r="E6207" t="inlineStr">
        <is>
          <t>BOLLNÄS</t>
        </is>
      </c>
      <c r="F6207" t="inlineStr">
        <is>
          <t>Sveaskog</t>
        </is>
      </c>
      <c r="G6207" t="n">
        <v>2.3</v>
      </c>
      <c r="H6207" t="n">
        <v>0</v>
      </c>
      <c r="I6207" t="n">
        <v>0</v>
      </c>
      <c r="J6207" t="n">
        <v>0</v>
      </c>
      <c r="K6207" t="n">
        <v>0</v>
      </c>
      <c r="L6207" t="n">
        <v>0</v>
      </c>
      <c r="M6207" t="n">
        <v>0</v>
      </c>
      <c r="N6207" t="n">
        <v>0</v>
      </c>
      <c r="O6207" t="n">
        <v>0</v>
      </c>
      <c r="P6207" t="n">
        <v>0</v>
      </c>
      <c r="Q6207" t="n">
        <v>0</v>
      </c>
      <c r="R6207" s="2" t="inlineStr"/>
    </row>
    <row r="6208" ht="15" customHeight="1">
      <c r="A6208" t="inlineStr">
        <is>
          <t>A 54130-2022</t>
        </is>
      </c>
      <c r="B6208" s="1" t="n">
        <v>44881</v>
      </c>
      <c r="C6208" s="1" t="n">
        <v>45344</v>
      </c>
      <c r="D6208" t="inlineStr">
        <is>
          <t>GÄVLEBORGS LÄN</t>
        </is>
      </c>
      <c r="E6208" t="inlineStr">
        <is>
          <t>NORDANSTIG</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54014-2022</t>
        </is>
      </c>
      <c r="B6209" s="1" t="n">
        <v>44881</v>
      </c>
      <c r="C6209" s="1" t="n">
        <v>45344</v>
      </c>
      <c r="D6209" t="inlineStr">
        <is>
          <t>GÄVLEBORGS LÄN</t>
        </is>
      </c>
      <c r="E6209" t="inlineStr">
        <is>
          <t>HUDIKSVALL</t>
        </is>
      </c>
      <c r="G6209" t="n">
        <v>0.3</v>
      </c>
      <c r="H6209" t="n">
        <v>0</v>
      </c>
      <c r="I6209" t="n">
        <v>0</v>
      </c>
      <c r="J6209" t="n">
        <v>0</v>
      </c>
      <c r="K6209" t="n">
        <v>0</v>
      </c>
      <c r="L6209" t="n">
        <v>0</v>
      </c>
      <c r="M6209" t="n">
        <v>0</v>
      </c>
      <c r="N6209" t="n">
        <v>0</v>
      </c>
      <c r="O6209" t="n">
        <v>0</v>
      </c>
      <c r="P6209" t="n">
        <v>0</v>
      </c>
      <c r="Q6209" t="n">
        <v>0</v>
      </c>
      <c r="R6209" s="2" t="inlineStr"/>
    </row>
    <row r="6210" ht="15" customHeight="1">
      <c r="A6210" t="inlineStr">
        <is>
          <t>A 54007-2022</t>
        </is>
      </c>
      <c r="B6210" s="1" t="n">
        <v>44881</v>
      </c>
      <c r="C6210" s="1" t="n">
        <v>45344</v>
      </c>
      <c r="D6210" t="inlineStr">
        <is>
          <t>GÄVLEBORGS LÄN</t>
        </is>
      </c>
      <c r="E6210" t="inlineStr">
        <is>
          <t>BOLLNÄS</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54048-2022</t>
        </is>
      </c>
      <c r="B6211" s="1" t="n">
        <v>44881</v>
      </c>
      <c r="C6211" s="1" t="n">
        <v>45344</v>
      </c>
      <c r="D6211" t="inlineStr">
        <is>
          <t>GÄVLEBORGS LÄN</t>
        </is>
      </c>
      <c r="E6211" t="inlineStr">
        <is>
          <t>OCKELBO</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54085-2022</t>
        </is>
      </c>
      <c r="B6212" s="1" t="n">
        <v>44881</v>
      </c>
      <c r="C6212" s="1" t="n">
        <v>45344</v>
      </c>
      <c r="D6212" t="inlineStr">
        <is>
          <t>GÄVLEBORGS LÄN</t>
        </is>
      </c>
      <c r="E6212" t="inlineStr">
        <is>
          <t>HUDIKSVALL</t>
        </is>
      </c>
      <c r="F6212" t="inlineStr">
        <is>
          <t>Holmen skog AB</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54097-2022</t>
        </is>
      </c>
      <c r="B6213" s="1" t="n">
        <v>44881</v>
      </c>
      <c r="C6213" s="1" t="n">
        <v>45344</v>
      </c>
      <c r="D6213" t="inlineStr">
        <is>
          <t>GÄVLEBORGS LÄN</t>
        </is>
      </c>
      <c r="E6213" t="inlineStr">
        <is>
          <t>NORDANSTIG</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54128-2022</t>
        </is>
      </c>
      <c r="B6214" s="1" t="n">
        <v>44881</v>
      </c>
      <c r="C6214" s="1" t="n">
        <v>45344</v>
      </c>
      <c r="D6214" t="inlineStr">
        <is>
          <t>GÄVLEBORGS LÄN</t>
        </is>
      </c>
      <c r="E6214" t="inlineStr">
        <is>
          <t>OVANÅKER</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54152-2022</t>
        </is>
      </c>
      <c r="B6215" s="1" t="n">
        <v>44881</v>
      </c>
      <c r="C6215" s="1" t="n">
        <v>45344</v>
      </c>
      <c r="D6215" t="inlineStr">
        <is>
          <t>GÄVLEBORGS LÄN</t>
        </is>
      </c>
      <c r="E6215" t="inlineStr">
        <is>
          <t>OCKELBO</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54156-2022</t>
        </is>
      </c>
      <c r="B6216" s="1" t="n">
        <v>44881</v>
      </c>
      <c r="C6216" s="1" t="n">
        <v>45344</v>
      </c>
      <c r="D6216" t="inlineStr">
        <is>
          <t>GÄVLEBORGS LÄN</t>
        </is>
      </c>
      <c r="E6216" t="inlineStr">
        <is>
          <t>SÖDERHAMN</t>
        </is>
      </c>
      <c r="G6216" t="n">
        <v>5.8</v>
      </c>
      <c r="H6216" t="n">
        <v>0</v>
      </c>
      <c r="I6216" t="n">
        <v>0</v>
      </c>
      <c r="J6216" t="n">
        <v>0</v>
      </c>
      <c r="K6216" t="n">
        <v>0</v>
      </c>
      <c r="L6216" t="n">
        <v>0</v>
      </c>
      <c r="M6216" t="n">
        <v>0</v>
      </c>
      <c r="N6216" t="n">
        <v>0</v>
      </c>
      <c r="O6216" t="n">
        <v>0</v>
      </c>
      <c r="P6216" t="n">
        <v>0</v>
      </c>
      <c r="Q6216" t="n">
        <v>0</v>
      </c>
      <c r="R6216" s="2" t="inlineStr"/>
    </row>
    <row r="6217" ht="15" customHeight="1">
      <c r="A6217" t="inlineStr">
        <is>
          <t>A 54192-2022</t>
        </is>
      </c>
      <c r="B6217" s="1" t="n">
        <v>44881</v>
      </c>
      <c r="C6217" s="1" t="n">
        <v>45344</v>
      </c>
      <c r="D6217" t="inlineStr">
        <is>
          <t>GÄVLEBORGS LÄN</t>
        </is>
      </c>
      <c r="E6217" t="inlineStr">
        <is>
          <t>HOFORS</t>
        </is>
      </c>
      <c r="F6217" t="inlineStr">
        <is>
          <t>Sveaskog</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54092-2022</t>
        </is>
      </c>
      <c r="B6218" s="1" t="n">
        <v>44881</v>
      </c>
      <c r="C6218" s="1" t="n">
        <v>45344</v>
      </c>
      <c r="D6218" t="inlineStr">
        <is>
          <t>GÄVLEBORGS LÄN</t>
        </is>
      </c>
      <c r="E6218" t="inlineStr">
        <is>
          <t>GÄVLE</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54131-2022</t>
        </is>
      </c>
      <c r="B6219" s="1" t="n">
        <v>44881</v>
      </c>
      <c r="C6219" s="1" t="n">
        <v>45344</v>
      </c>
      <c r="D6219" t="inlineStr">
        <is>
          <t>GÄVLEBORGS LÄN</t>
        </is>
      </c>
      <c r="E6219" t="inlineStr">
        <is>
          <t>NORDANSTIG</t>
        </is>
      </c>
      <c r="F6219" t="inlineStr">
        <is>
          <t>Holmen skog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54191-2022</t>
        </is>
      </c>
      <c r="B6220" s="1" t="n">
        <v>44881</v>
      </c>
      <c r="C6220" s="1" t="n">
        <v>45344</v>
      </c>
      <c r="D6220" t="inlineStr">
        <is>
          <t>GÄVLEBORGS LÄN</t>
        </is>
      </c>
      <c r="E6220" t="inlineStr">
        <is>
          <t>HOFORS</t>
        </is>
      </c>
      <c r="F6220" t="inlineStr">
        <is>
          <t>Sveaskog</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54390-2022</t>
        </is>
      </c>
      <c r="B6221" s="1" t="n">
        <v>44882</v>
      </c>
      <c r="C6221" s="1" t="n">
        <v>45344</v>
      </c>
      <c r="D6221" t="inlineStr">
        <is>
          <t>GÄVLEBORGS LÄN</t>
        </is>
      </c>
      <c r="E6221" t="inlineStr">
        <is>
          <t>GÄVLE</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54546-2022</t>
        </is>
      </c>
      <c r="B6222" s="1" t="n">
        <v>44882</v>
      </c>
      <c r="C6222" s="1" t="n">
        <v>45344</v>
      </c>
      <c r="D6222" t="inlineStr">
        <is>
          <t>GÄVLEBORGS LÄN</t>
        </is>
      </c>
      <c r="E6222" t="inlineStr">
        <is>
          <t>BOLLNÄS</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54272-2022</t>
        </is>
      </c>
      <c r="B6223" s="1" t="n">
        <v>44882</v>
      </c>
      <c r="C6223" s="1" t="n">
        <v>45344</v>
      </c>
      <c r="D6223" t="inlineStr">
        <is>
          <t>GÄVLEBORGS LÄN</t>
        </is>
      </c>
      <c r="E6223" t="inlineStr">
        <is>
          <t>HUDIKSVALL</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54393-2022</t>
        </is>
      </c>
      <c r="B6224" s="1" t="n">
        <v>44882</v>
      </c>
      <c r="C6224" s="1" t="n">
        <v>45344</v>
      </c>
      <c r="D6224" t="inlineStr">
        <is>
          <t>GÄVLEBORGS LÄN</t>
        </is>
      </c>
      <c r="E6224" t="inlineStr">
        <is>
          <t>GÄVLE</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54382-2022</t>
        </is>
      </c>
      <c r="B6225" s="1" t="n">
        <v>44882</v>
      </c>
      <c r="C6225" s="1" t="n">
        <v>45344</v>
      </c>
      <c r="D6225" t="inlineStr">
        <is>
          <t>GÄVLEBORGS LÄN</t>
        </is>
      </c>
      <c r="E6225" t="inlineStr">
        <is>
          <t>GÄVLE</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54388-2022</t>
        </is>
      </c>
      <c r="B6226" s="1" t="n">
        <v>44882</v>
      </c>
      <c r="C6226" s="1" t="n">
        <v>45344</v>
      </c>
      <c r="D6226" t="inlineStr">
        <is>
          <t>GÄVLEBORGS LÄN</t>
        </is>
      </c>
      <c r="E6226" t="inlineStr">
        <is>
          <t>GÄVLE</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54398-2022</t>
        </is>
      </c>
      <c r="B6227" s="1" t="n">
        <v>44882</v>
      </c>
      <c r="C6227" s="1" t="n">
        <v>45344</v>
      </c>
      <c r="D6227" t="inlineStr">
        <is>
          <t>GÄVLEBORGS LÄN</t>
        </is>
      </c>
      <c r="E6227" t="inlineStr">
        <is>
          <t>BOLLNÄS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54545-2022</t>
        </is>
      </c>
      <c r="B6228" s="1" t="n">
        <v>44882</v>
      </c>
      <c r="C6228" s="1" t="n">
        <v>45344</v>
      </c>
      <c r="D6228" t="inlineStr">
        <is>
          <t>GÄVLEBORGS LÄN</t>
        </is>
      </c>
      <c r="E6228" t="inlineStr">
        <is>
          <t>SANDVIKEN</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54349-2022</t>
        </is>
      </c>
      <c r="B6229" s="1" t="n">
        <v>44882</v>
      </c>
      <c r="C6229" s="1" t="n">
        <v>45344</v>
      </c>
      <c r="D6229" t="inlineStr">
        <is>
          <t>GÄVLEBORGS LÄN</t>
        </is>
      </c>
      <c r="E6229" t="inlineStr">
        <is>
          <t>LJUSDAL</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54387-2022</t>
        </is>
      </c>
      <c r="B6230" s="1" t="n">
        <v>44882</v>
      </c>
      <c r="C6230" s="1" t="n">
        <v>45344</v>
      </c>
      <c r="D6230" t="inlineStr">
        <is>
          <t>GÄVLEBORGS LÄN</t>
        </is>
      </c>
      <c r="E6230" t="inlineStr">
        <is>
          <t>GÄVLE</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54543-2022</t>
        </is>
      </c>
      <c r="B6231" s="1" t="n">
        <v>44882</v>
      </c>
      <c r="C6231" s="1" t="n">
        <v>45344</v>
      </c>
      <c r="D6231" t="inlineStr">
        <is>
          <t>GÄVLEBORGS LÄN</t>
        </is>
      </c>
      <c r="E6231" t="inlineStr">
        <is>
          <t>BOLLNÄS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54683-2022</t>
        </is>
      </c>
      <c r="B6232" s="1" t="n">
        <v>44883</v>
      </c>
      <c r="C6232" s="1" t="n">
        <v>45344</v>
      </c>
      <c r="D6232" t="inlineStr">
        <is>
          <t>GÄVLEBORGS LÄN</t>
        </is>
      </c>
      <c r="E6232" t="inlineStr">
        <is>
          <t>OVANÅKER</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54704-2022</t>
        </is>
      </c>
      <c r="B6233" s="1" t="n">
        <v>44883</v>
      </c>
      <c r="C6233" s="1" t="n">
        <v>45344</v>
      </c>
      <c r="D6233" t="inlineStr">
        <is>
          <t>GÄVLEBORGS LÄN</t>
        </is>
      </c>
      <c r="E6233" t="inlineStr">
        <is>
          <t>BOLLNÄS</t>
        </is>
      </c>
      <c r="F6233" t="inlineStr">
        <is>
          <t>Bergvik skog väst AB</t>
        </is>
      </c>
      <c r="G6233" t="n">
        <v>10.4</v>
      </c>
      <c r="H6233" t="n">
        <v>0</v>
      </c>
      <c r="I6233" t="n">
        <v>0</v>
      </c>
      <c r="J6233" t="n">
        <v>0</v>
      </c>
      <c r="K6233" t="n">
        <v>0</v>
      </c>
      <c r="L6233" t="n">
        <v>0</v>
      </c>
      <c r="M6233" t="n">
        <v>0</v>
      </c>
      <c r="N6233" t="n">
        <v>0</v>
      </c>
      <c r="O6233" t="n">
        <v>0</v>
      </c>
      <c r="P6233" t="n">
        <v>0</v>
      </c>
      <c r="Q6233" t="n">
        <v>0</v>
      </c>
      <c r="R6233" s="2" t="inlineStr"/>
    </row>
    <row r="6234" ht="15" customHeight="1">
      <c r="A6234" t="inlineStr">
        <is>
          <t>A 54708-2022</t>
        </is>
      </c>
      <c r="B6234" s="1" t="n">
        <v>44883</v>
      </c>
      <c r="C6234" s="1" t="n">
        <v>45344</v>
      </c>
      <c r="D6234" t="inlineStr">
        <is>
          <t>GÄVLEBORGS LÄN</t>
        </is>
      </c>
      <c r="E6234" t="inlineStr">
        <is>
          <t>BOLLNÄS</t>
        </is>
      </c>
      <c r="F6234" t="inlineStr">
        <is>
          <t>Bergvik skog väst AB</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54713-2022</t>
        </is>
      </c>
      <c r="B6235" s="1" t="n">
        <v>44883</v>
      </c>
      <c r="C6235" s="1" t="n">
        <v>45344</v>
      </c>
      <c r="D6235" t="inlineStr">
        <is>
          <t>GÄVLEBORGS LÄN</t>
        </is>
      </c>
      <c r="E6235" t="inlineStr">
        <is>
          <t>BOLLNÄS</t>
        </is>
      </c>
      <c r="F6235" t="inlineStr">
        <is>
          <t>Bergvik skog väst AB</t>
        </is>
      </c>
      <c r="G6235" t="n">
        <v>5.1</v>
      </c>
      <c r="H6235" t="n">
        <v>0</v>
      </c>
      <c r="I6235" t="n">
        <v>0</v>
      </c>
      <c r="J6235" t="n">
        <v>0</v>
      </c>
      <c r="K6235" t="n">
        <v>0</v>
      </c>
      <c r="L6235" t="n">
        <v>0</v>
      </c>
      <c r="M6235" t="n">
        <v>0</v>
      </c>
      <c r="N6235" t="n">
        <v>0</v>
      </c>
      <c r="O6235" t="n">
        <v>0</v>
      </c>
      <c r="P6235" t="n">
        <v>0</v>
      </c>
      <c r="Q6235" t="n">
        <v>0</v>
      </c>
      <c r="R6235" s="2" t="inlineStr"/>
    </row>
    <row r="6236" ht="15" customHeight="1">
      <c r="A6236" t="inlineStr">
        <is>
          <t>A 54731-2022</t>
        </is>
      </c>
      <c r="B6236" s="1" t="n">
        <v>44883</v>
      </c>
      <c r="C6236" s="1" t="n">
        <v>45344</v>
      </c>
      <c r="D6236" t="inlineStr">
        <is>
          <t>GÄVLEBORGS LÄN</t>
        </is>
      </c>
      <c r="E6236" t="inlineStr">
        <is>
          <t>OVANÅKER</t>
        </is>
      </c>
      <c r="G6236" t="n">
        <v>21.8</v>
      </c>
      <c r="H6236" t="n">
        <v>0</v>
      </c>
      <c r="I6236" t="n">
        <v>0</v>
      </c>
      <c r="J6236" t="n">
        <v>0</v>
      </c>
      <c r="K6236" t="n">
        <v>0</v>
      </c>
      <c r="L6236" t="n">
        <v>0</v>
      </c>
      <c r="M6236" t="n">
        <v>0</v>
      </c>
      <c r="N6236" t="n">
        <v>0</v>
      </c>
      <c r="O6236" t="n">
        <v>0</v>
      </c>
      <c r="P6236" t="n">
        <v>0</v>
      </c>
      <c r="Q6236" t="n">
        <v>0</v>
      </c>
      <c r="R6236" s="2" t="inlineStr"/>
    </row>
    <row r="6237" ht="15" customHeight="1">
      <c r="A6237" t="inlineStr">
        <is>
          <t>A 54772-2022</t>
        </is>
      </c>
      <c r="B6237" s="1" t="n">
        <v>44883</v>
      </c>
      <c r="C6237" s="1" t="n">
        <v>45344</v>
      </c>
      <c r="D6237" t="inlineStr">
        <is>
          <t>GÄVLEBORGS LÄN</t>
        </is>
      </c>
      <c r="E6237" t="inlineStr">
        <is>
          <t>BOLLNÄS</t>
        </is>
      </c>
      <c r="G6237" t="n">
        <v>12.6</v>
      </c>
      <c r="H6237" t="n">
        <v>0</v>
      </c>
      <c r="I6237" t="n">
        <v>0</v>
      </c>
      <c r="J6237" t="n">
        <v>0</v>
      </c>
      <c r="K6237" t="n">
        <v>0</v>
      </c>
      <c r="L6237" t="n">
        <v>0</v>
      </c>
      <c r="M6237" t="n">
        <v>0</v>
      </c>
      <c r="N6237" t="n">
        <v>0</v>
      </c>
      <c r="O6237" t="n">
        <v>0</v>
      </c>
      <c r="P6237" t="n">
        <v>0</v>
      </c>
      <c r="Q6237" t="n">
        <v>0</v>
      </c>
      <c r="R6237" s="2" t="inlineStr"/>
    </row>
    <row r="6238" ht="15" customHeight="1">
      <c r="A6238" t="inlineStr">
        <is>
          <t>A 54817-2022</t>
        </is>
      </c>
      <c r="B6238" s="1" t="n">
        <v>44883</v>
      </c>
      <c r="C6238" s="1" t="n">
        <v>45344</v>
      </c>
      <c r="D6238" t="inlineStr">
        <is>
          <t>GÄVLEBORGS LÄN</t>
        </is>
      </c>
      <c r="E6238" t="inlineStr">
        <is>
          <t>OCKELBO</t>
        </is>
      </c>
      <c r="F6238" t="inlineStr">
        <is>
          <t>Bergvik skog väst AB</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54616-2022</t>
        </is>
      </c>
      <c r="B6239" s="1" t="n">
        <v>44883</v>
      </c>
      <c r="C6239" s="1" t="n">
        <v>45344</v>
      </c>
      <c r="D6239" t="inlineStr">
        <is>
          <t>GÄVLEBORGS LÄN</t>
        </is>
      </c>
      <c r="E6239" t="inlineStr">
        <is>
          <t>HOFORS</t>
        </is>
      </c>
      <c r="F6239" t="inlineStr">
        <is>
          <t>Kyrkan</t>
        </is>
      </c>
      <c r="G6239" t="n">
        <v>4.8</v>
      </c>
      <c r="H6239" t="n">
        <v>0</v>
      </c>
      <c r="I6239" t="n">
        <v>0</v>
      </c>
      <c r="J6239" t="n">
        <v>0</v>
      </c>
      <c r="K6239" t="n">
        <v>0</v>
      </c>
      <c r="L6239" t="n">
        <v>0</v>
      </c>
      <c r="M6239" t="n">
        <v>0</v>
      </c>
      <c r="N6239" t="n">
        <v>0</v>
      </c>
      <c r="O6239" t="n">
        <v>0</v>
      </c>
      <c r="P6239" t="n">
        <v>0</v>
      </c>
      <c r="Q6239" t="n">
        <v>0</v>
      </c>
      <c r="R6239" s="2" t="inlineStr"/>
    </row>
    <row r="6240" ht="15" customHeight="1">
      <c r="A6240" t="inlineStr">
        <is>
          <t>A 54850-2022</t>
        </is>
      </c>
      <c r="B6240" s="1" t="n">
        <v>44883</v>
      </c>
      <c r="C6240" s="1" t="n">
        <v>45344</v>
      </c>
      <c r="D6240" t="inlineStr">
        <is>
          <t>GÄVLEBORGS LÄN</t>
        </is>
      </c>
      <c r="E6240" t="inlineStr">
        <is>
          <t>BOLLNÄS</t>
        </is>
      </c>
      <c r="F6240" t="inlineStr">
        <is>
          <t>Bergvik skog väst AB</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54654-2022</t>
        </is>
      </c>
      <c r="B6241" s="1" t="n">
        <v>44883</v>
      </c>
      <c r="C6241" s="1" t="n">
        <v>45344</v>
      </c>
      <c r="D6241" t="inlineStr">
        <is>
          <t>GÄVLEBORGS LÄN</t>
        </is>
      </c>
      <c r="E6241" t="inlineStr">
        <is>
          <t>OVANÅKER</t>
        </is>
      </c>
      <c r="G6241" t="n">
        <v>7.4</v>
      </c>
      <c r="H6241" t="n">
        <v>0</v>
      </c>
      <c r="I6241" t="n">
        <v>0</v>
      </c>
      <c r="J6241" t="n">
        <v>0</v>
      </c>
      <c r="K6241" t="n">
        <v>0</v>
      </c>
      <c r="L6241" t="n">
        <v>0</v>
      </c>
      <c r="M6241" t="n">
        <v>0</v>
      </c>
      <c r="N6241" t="n">
        <v>0</v>
      </c>
      <c r="O6241" t="n">
        <v>0</v>
      </c>
      <c r="P6241" t="n">
        <v>0</v>
      </c>
      <c r="Q6241" t="n">
        <v>0</v>
      </c>
      <c r="R6241" s="2" t="inlineStr"/>
    </row>
    <row r="6242" ht="15" customHeight="1">
      <c r="A6242" t="inlineStr">
        <is>
          <t>A 54660-2022</t>
        </is>
      </c>
      <c r="B6242" s="1" t="n">
        <v>44883</v>
      </c>
      <c r="C6242" s="1" t="n">
        <v>45344</v>
      </c>
      <c r="D6242" t="inlineStr">
        <is>
          <t>GÄVLEBORGS LÄN</t>
        </is>
      </c>
      <c r="E6242" t="inlineStr">
        <is>
          <t>OVANÅKER</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54706-2022</t>
        </is>
      </c>
      <c r="B6243" s="1" t="n">
        <v>44883</v>
      </c>
      <c r="C6243" s="1" t="n">
        <v>45344</v>
      </c>
      <c r="D6243" t="inlineStr">
        <is>
          <t>GÄVLEBORGS LÄN</t>
        </is>
      </c>
      <c r="E6243" t="inlineStr">
        <is>
          <t>HUDIKSVALL</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54716-2022</t>
        </is>
      </c>
      <c r="B6244" s="1" t="n">
        <v>44883</v>
      </c>
      <c r="C6244" s="1" t="n">
        <v>45344</v>
      </c>
      <c r="D6244" t="inlineStr">
        <is>
          <t>GÄVLEBORGS LÄN</t>
        </is>
      </c>
      <c r="E6244" t="inlineStr">
        <is>
          <t>BOLLNÄS</t>
        </is>
      </c>
      <c r="F6244" t="inlineStr">
        <is>
          <t>Bergvik skog väst AB</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54799-2022</t>
        </is>
      </c>
      <c r="B6245" s="1" t="n">
        <v>44883</v>
      </c>
      <c r="C6245" s="1" t="n">
        <v>45344</v>
      </c>
      <c r="D6245" t="inlineStr">
        <is>
          <t>GÄVLEBORGS LÄN</t>
        </is>
      </c>
      <c r="E6245" t="inlineStr">
        <is>
          <t>SÖDERHAMN</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54852-2022</t>
        </is>
      </c>
      <c r="B6246" s="1" t="n">
        <v>44884</v>
      </c>
      <c r="C6246" s="1" t="n">
        <v>45344</v>
      </c>
      <c r="D6246" t="inlineStr">
        <is>
          <t>GÄVLEBORGS LÄN</t>
        </is>
      </c>
      <c r="E6246" t="inlineStr">
        <is>
          <t>BOLLNÄS</t>
        </is>
      </c>
      <c r="F6246" t="inlineStr">
        <is>
          <t>Bergvik skog väst AB</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54853-2022</t>
        </is>
      </c>
      <c r="B6247" s="1" t="n">
        <v>44884</v>
      </c>
      <c r="C6247" s="1" t="n">
        <v>45344</v>
      </c>
      <c r="D6247" t="inlineStr">
        <is>
          <t>GÄVLEBORGS LÄN</t>
        </is>
      </c>
      <c r="E6247" t="inlineStr">
        <is>
          <t>BOLLNÄS</t>
        </is>
      </c>
      <c r="F6247" t="inlineStr">
        <is>
          <t>Bergvik skog väst AB</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62766-2022</t>
        </is>
      </c>
      <c r="B6248" s="1" t="n">
        <v>44885</v>
      </c>
      <c r="C6248" s="1" t="n">
        <v>45344</v>
      </c>
      <c r="D6248" t="inlineStr">
        <is>
          <t>GÄVLEBORGS LÄN</t>
        </is>
      </c>
      <c r="E6248" t="inlineStr">
        <is>
          <t>GÄVLE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54897-2022</t>
        </is>
      </c>
      <c r="B6249" s="1" t="n">
        <v>44886</v>
      </c>
      <c r="C6249" s="1" t="n">
        <v>45344</v>
      </c>
      <c r="D6249" t="inlineStr">
        <is>
          <t>GÄVLEBORGS LÄN</t>
        </is>
      </c>
      <c r="E6249" t="inlineStr">
        <is>
          <t>BOLLNÄS</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54907-2022</t>
        </is>
      </c>
      <c r="B6250" s="1" t="n">
        <v>44886</v>
      </c>
      <c r="C6250" s="1" t="n">
        <v>45344</v>
      </c>
      <c r="D6250" t="inlineStr">
        <is>
          <t>GÄVLEBORGS LÄN</t>
        </is>
      </c>
      <c r="E6250" t="inlineStr">
        <is>
          <t>OVANÅKER</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54887-2022</t>
        </is>
      </c>
      <c r="B6251" s="1" t="n">
        <v>44886</v>
      </c>
      <c r="C6251" s="1" t="n">
        <v>45344</v>
      </c>
      <c r="D6251" t="inlineStr">
        <is>
          <t>GÄVLEBORGS LÄN</t>
        </is>
      </c>
      <c r="E6251" t="inlineStr">
        <is>
          <t>NORDANSTIG</t>
        </is>
      </c>
      <c r="F6251" t="inlineStr">
        <is>
          <t>Holmen skog AB</t>
        </is>
      </c>
      <c r="G6251" t="n">
        <v>5.5</v>
      </c>
      <c r="H6251" t="n">
        <v>0</v>
      </c>
      <c r="I6251" t="n">
        <v>0</v>
      </c>
      <c r="J6251" t="n">
        <v>0</v>
      </c>
      <c r="K6251" t="n">
        <v>0</v>
      </c>
      <c r="L6251" t="n">
        <v>0</v>
      </c>
      <c r="M6251" t="n">
        <v>0</v>
      </c>
      <c r="N6251" t="n">
        <v>0</v>
      </c>
      <c r="O6251" t="n">
        <v>0</v>
      </c>
      <c r="P6251" t="n">
        <v>0</v>
      </c>
      <c r="Q6251" t="n">
        <v>0</v>
      </c>
      <c r="R6251" s="2" t="inlineStr"/>
    </row>
    <row r="6252" ht="15" customHeight="1">
      <c r="A6252" t="inlineStr">
        <is>
          <t>A 54949-2022</t>
        </is>
      </c>
      <c r="B6252" s="1" t="n">
        <v>44886</v>
      </c>
      <c r="C6252" s="1" t="n">
        <v>45344</v>
      </c>
      <c r="D6252" t="inlineStr">
        <is>
          <t>GÄVLEBORGS LÄN</t>
        </is>
      </c>
      <c r="E6252" t="inlineStr">
        <is>
          <t>BOLLNÄS</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54974-2022</t>
        </is>
      </c>
      <c r="B6253" s="1" t="n">
        <v>44886</v>
      </c>
      <c r="C6253" s="1" t="n">
        <v>45344</v>
      </c>
      <c r="D6253" t="inlineStr">
        <is>
          <t>GÄVLEBORGS LÄN</t>
        </is>
      </c>
      <c r="E6253" t="inlineStr">
        <is>
          <t>BOLLNÄS</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54970-2022</t>
        </is>
      </c>
      <c r="B6254" s="1" t="n">
        <v>44886</v>
      </c>
      <c r="C6254" s="1" t="n">
        <v>45344</v>
      </c>
      <c r="D6254" t="inlineStr">
        <is>
          <t>GÄVLEBORGS LÄN</t>
        </is>
      </c>
      <c r="E6254" t="inlineStr">
        <is>
          <t>NORDANSTIG</t>
        </is>
      </c>
      <c r="F6254" t="inlineStr">
        <is>
          <t>Holmen skog AB</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54985-2022</t>
        </is>
      </c>
      <c r="B6255" s="1" t="n">
        <v>44886</v>
      </c>
      <c r="C6255" s="1" t="n">
        <v>45344</v>
      </c>
      <c r="D6255" t="inlineStr">
        <is>
          <t>GÄVLEBORGS LÄN</t>
        </is>
      </c>
      <c r="E6255" t="inlineStr">
        <is>
          <t>BOLLNÄS</t>
        </is>
      </c>
      <c r="F6255" t="inlineStr">
        <is>
          <t>Sveaskog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55027-2022</t>
        </is>
      </c>
      <c r="B6256" s="1" t="n">
        <v>44886</v>
      </c>
      <c r="C6256" s="1" t="n">
        <v>45344</v>
      </c>
      <c r="D6256" t="inlineStr">
        <is>
          <t>GÄVLEBORGS LÄN</t>
        </is>
      </c>
      <c r="E6256" t="inlineStr">
        <is>
          <t>SANDVIKEN</t>
        </is>
      </c>
      <c r="F6256" t="inlineStr">
        <is>
          <t>Kommuner</t>
        </is>
      </c>
      <c r="G6256" t="n">
        <v>5.4</v>
      </c>
      <c r="H6256" t="n">
        <v>0</v>
      </c>
      <c r="I6256" t="n">
        <v>0</v>
      </c>
      <c r="J6256" t="n">
        <v>0</v>
      </c>
      <c r="K6256" t="n">
        <v>0</v>
      </c>
      <c r="L6256" t="n">
        <v>0</v>
      </c>
      <c r="M6256" t="n">
        <v>0</v>
      </c>
      <c r="N6256" t="n">
        <v>0</v>
      </c>
      <c r="O6256" t="n">
        <v>0</v>
      </c>
      <c r="P6256" t="n">
        <v>0</v>
      </c>
      <c r="Q6256" t="n">
        <v>0</v>
      </c>
      <c r="R6256" s="2" t="inlineStr"/>
    </row>
    <row r="6257" ht="15" customHeight="1">
      <c r="A6257" t="inlineStr">
        <is>
          <t>A 55044-2022</t>
        </is>
      </c>
      <c r="B6257" s="1" t="n">
        <v>44886</v>
      </c>
      <c r="C6257" s="1" t="n">
        <v>45344</v>
      </c>
      <c r="D6257" t="inlineStr">
        <is>
          <t>GÄVLEBORGS LÄN</t>
        </is>
      </c>
      <c r="E6257" t="inlineStr">
        <is>
          <t>SANDVIKEN</t>
        </is>
      </c>
      <c r="F6257" t="inlineStr">
        <is>
          <t>Kommuner</t>
        </is>
      </c>
      <c r="G6257" t="n">
        <v>3.4</v>
      </c>
      <c r="H6257" t="n">
        <v>0</v>
      </c>
      <c r="I6257" t="n">
        <v>0</v>
      </c>
      <c r="J6257" t="n">
        <v>0</v>
      </c>
      <c r="K6257" t="n">
        <v>0</v>
      </c>
      <c r="L6257" t="n">
        <v>0</v>
      </c>
      <c r="M6257" t="n">
        <v>0</v>
      </c>
      <c r="N6257" t="n">
        <v>0</v>
      </c>
      <c r="O6257" t="n">
        <v>0</v>
      </c>
      <c r="P6257" t="n">
        <v>0</v>
      </c>
      <c r="Q6257" t="n">
        <v>0</v>
      </c>
      <c r="R6257" s="2" t="inlineStr"/>
    </row>
    <row r="6258" ht="15" customHeight="1">
      <c r="A6258" t="inlineStr">
        <is>
          <t>A 55048-2022</t>
        </is>
      </c>
      <c r="B6258" s="1" t="n">
        <v>44886</v>
      </c>
      <c r="C6258" s="1" t="n">
        <v>45344</v>
      </c>
      <c r="D6258" t="inlineStr">
        <is>
          <t>GÄVLEBORGS LÄN</t>
        </is>
      </c>
      <c r="E6258" t="inlineStr">
        <is>
          <t>BOLLNÄS</t>
        </is>
      </c>
      <c r="F6258" t="inlineStr">
        <is>
          <t>Sveaskog</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54908-2022</t>
        </is>
      </c>
      <c r="B6259" s="1" t="n">
        <v>44886</v>
      </c>
      <c r="C6259" s="1" t="n">
        <v>45344</v>
      </c>
      <c r="D6259" t="inlineStr">
        <is>
          <t>GÄVLEBORGS LÄN</t>
        </is>
      </c>
      <c r="E6259" t="inlineStr">
        <is>
          <t>LJUSDAL</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54886-2022</t>
        </is>
      </c>
      <c r="B6260" s="1" t="n">
        <v>44886</v>
      </c>
      <c r="C6260" s="1" t="n">
        <v>45344</v>
      </c>
      <c r="D6260" t="inlineStr">
        <is>
          <t>GÄVLEBORGS LÄN</t>
        </is>
      </c>
      <c r="E6260" t="inlineStr">
        <is>
          <t>BOLLNÄS</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54946-2022</t>
        </is>
      </c>
      <c r="B6261" s="1" t="n">
        <v>44886</v>
      </c>
      <c r="C6261" s="1" t="n">
        <v>45344</v>
      </c>
      <c r="D6261" t="inlineStr">
        <is>
          <t>GÄVLEBORGS LÄN</t>
        </is>
      </c>
      <c r="E6261" t="inlineStr">
        <is>
          <t>BOLLNÄS</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54995-2022</t>
        </is>
      </c>
      <c r="B6262" s="1" t="n">
        <v>44886</v>
      </c>
      <c r="C6262" s="1" t="n">
        <v>45344</v>
      </c>
      <c r="D6262" t="inlineStr">
        <is>
          <t>GÄVLEBORGS LÄN</t>
        </is>
      </c>
      <c r="E6262" t="inlineStr">
        <is>
          <t>SÖDERHAMN</t>
        </is>
      </c>
      <c r="G6262" t="n">
        <v>2.8</v>
      </c>
      <c r="H6262" t="n">
        <v>0</v>
      </c>
      <c r="I6262" t="n">
        <v>0</v>
      </c>
      <c r="J6262" t="n">
        <v>0</v>
      </c>
      <c r="K6262" t="n">
        <v>0</v>
      </c>
      <c r="L6262" t="n">
        <v>0</v>
      </c>
      <c r="M6262" t="n">
        <v>0</v>
      </c>
      <c r="N6262" t="n">
        <v>0</v>
      </c>
      <c r="O6262" t="n">
        <v>0</v>
      </c>
      <c r="P6262" t="n">
        <v>0</v>
      </c>
      <c r="Q6262" t="n">
        <v>0</v>
      </c>
      <c r="R6262" s="2" t="inlineStr"/>
    </row>
    <row r="6263" ht="15" customHeight="1">
      <c r="A6263" t="inlineStr">
        <is>
          <t>A 55026-2022</t>
        </is>
      </c>
      <c r="B6263" s="1" t="n">
        <v>44886</v>
      </c>
      <c r="C6263" s="1" t="n">
        <v>45344</v>
      </c>
      <c r="D6263" t="inlineStr">
        <is>
          <t>GÄVLEBORGS LÄN</t>
        </is>
      </c>
      <c r="E6263" t="inlineStr">
        <is>
          <t>NORDANSTIG</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55118-2022</t>
        </is>
      </c>
      <c r="B6264" s="1" t="n">
        <v>44886</v>
      </c>
      <c r="C6264" s="1" t="n">
        <v>45344</v>
      </c>
      <c r="D6264" t="inlineStr">
        <is>
          <t>GÄVLEBORGS LÄN</t>
        </is>
      </c>
      <c r="E6264" t="inlineStr">
        <is>
          <t>OVANÅKER</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55148-2022</t>
        </is>
      </c>
      <c r="B6265" s="1" t="n">
        <v>44886</v>
      </c>
      <c r="C6265" s="1" t="n">
        <v>45344</v>
      </c>
      <c r="D6265" t="inlineStr">
        <is>
          <t>GÄVLEBORGS LÄN</t>
        </is>
      </c>
      <c r="E6265" t="inlineStr">
        <is>
          <t>SANDVIKEN</t>
        </is>
      </c>
      <c r="F6265" t="inlineStr">
        <is>
          <t>Sveaskog</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55189-2022</t>
        </is>
      </c>
      <c r="B6266" s="1" t="n">
        <v>44886</v>
      </c>
      <c r="C6266" s="1" t="n">
        <v>45344</v>
      </c>
      <c r="D6266" t="inlineStr">
        <is>
          <t>GÄVLEBORGS LÄN</t>
        </is>
      </c>
      <c r="E6266" t="inlineStr">
        <is>
          <t>GÄVLE</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55205-2022</t>
        </is>
      </c>
      <c r="B6267" s="1" t="n">
        <v>44886</v>
      </c>
      <c r="C6267" s="1" t="n">
        <v>45344</v>
      </c>
      <c r="D6267" t="inlineStr">
        <is>
          <t>GÄVLEBORGS LÄN</t>
        </is>
      </c>
      <c r="E6267" t="inlineStr">
        <is>
          <t>GÄVLE</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55055-2022</t>
        </is>
      </c>
      <c r="B6268" s="1" t="n">
        <v>44886</v>
      </c>
      <c r="C6268" s="1" t="n">
        <v>45344</v>
      </c>
      <c r="D6268" t="inlineStr">
        <is>
          <t>GÄVLEBORGS LÄN</t>
        </is>
      </c>
      <c r="E6268" t="inlineStr">
        <is>
          <t>LJUSDAL</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55065-2022</t>
        </is>
      </c>
      <c r="B6269" s="1" t="n">
        <v>44886</v>
      </c>
      <c r="C6269" s="1" t="n">
        <v>45344</v>
      </c>
      <c r="D6269" t="inlineStr">
        <is>
          <t>GÄVLEBORGS LÄN</t>
        </is>
      </c>
      <c r="E6269" t="inlineStr">
        <is>
          <t>OVANÅKER</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55215-2022</t>
        </is>
      </c>
      <c r="B6270" s="1" t="n">
        <v>44886</v>
      </c>
      <c r="C6270" s="1" t="n">
        <v>45344</v>
      </c>
      <c r="D6270" t="inlineStr">
        <is>
          <t>GÄVLEBORGS LÄN</t>
        </is>
      </c>
      <c r="E6270" t="inlineStr">
        <is>
          <t>LJUSDAL</t>
        </is>
      </c>
      <c r="F6270" t="inlineStr">
        <is>
          <t>SCA</t>
        </is>
      </c>
      <c r="G6270" t="n">
        <v>14.5</v>
      </c>
      <c r="H6270" t="n">
        <v>0</v>
      </c>
      <c r="I6270" t="n">
        <v>0</v>
      </c>
      <c r="J6270" t="n">
        <v>0</v>
      </c>
      <c r="K6270" t="n">
        <v>0</v>
      </c>
      <c r="L6270" t="n">
        <v>0</v>
      </c>
      <c r="M6270" t="n">
        <v>0</v>
      </c>
      <c r="N6270" t="n">
        <v>0</v>
      </c>
      <c r="O6270" t="n">
        <v>0</v>
      </c>
      <c r="P6270" t="n">
        <v>0</v>
      </c>
      <c r="Q6270" t="n">
        <v>0</v>
      </c>
      <c r="R6270" s="2" t="inlineStr"/>
    </row>
    <row r="6271" ht="15" customHeight="1">
      <c r="A6271" t="inlineStr">
        <is>
          <t>A 54945-2022</t>
        </is>
      </c>
      <c r="B6271" s="1" t="n">
        <v>44886</v>
      </c>
      <c r="C6271" s="1" t="n">
        <v>45344</v>
      </c>
      <c r="D6271" t="inlineStr">
        <is>
          <t>GÄVLEBORGS LÄN</t>
        </is>
      </c>
      <c r="E6271" t="inlineStr">
        <is>
          <t>BOLLNÄS</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54994-2022</t>
        </is>
      </c>
      <c r="B6272" s="1" t="n">
        <v>44886</v>
      </c>
      <c r="C6272" s="1" t="n">
        <v>45344</v>
      </c>
      <c r="D6272" t="inlineStr">
        <is>
          <t>GÄVLEBORGS LÄN</t>
        </is>
      </c>
      <c r="E6272" t="inlineStr">
        <is>
          <t>BOLLNÄS</t>
        </is>
      </c>
      <c r="F6272" t="inlineStr">
        <is>
          <t>Sveaskog</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55025-2022</t>
        </is>
      </c>
      <c r="B6273" s="1" t="n">
        <v>44886</v>
      </c>
      <c r="C6273" s="1" t="n">
        <v>45344</v>
      </c>
      <c r="D6273" t="inlineStr">
        <is>
          <t>GÄVLEBORGS LÄN</t>
        </is>
      </c>
      <c r="E6273" t="inlineStr">
        <is>
          <t>LJUSDAL</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55046-2022</t>
        </is>
      </c>
      <c r="B6274" s="1" t="n">
        <v>44886</v>
      </c>
      <c r="C6274" s="1" t="n">
        <v>45344</v>
      </c>
      <c r="D6274" t="inlineStr">
        <is>
          <t>GÄVLEBORGS LÄN</t>
        </is>
      </c>
      <c r="E6274" t="inlineStr">
        <is>
          <t>LJUSDAL</t>
        </is>
      </c>
      <c r="F6274" t="inlineStr">
        <is>
          <t>Bergvik skog väst AB</t>
        </is>
      </c>
      <c r="G6274" t="n">
        <v>43.8</v>
      </c>
      <c r="H6274" t="n">
        <v>0</v>
      </c>
      <c r="I6274" t="n">
        <v>0</v>
      </c>
      <c r="J6274" t="n">
        <v>0</v>
      </c>
      <c r="K6274" t="n">
        <v>0</v>
      </c>
      <c r="L6274" t="n">
        <v>0</v>
      </c>
      <c r="M6274" t="n">
        <v>0</v>
      </c>
      <c r="N6274" t="n">
        <v>0</v>
      </c>
      <c r="O6274" t="n">
        <v>0</v>
      </c>
      <c r="P6274" t="n">
        <v>0</v>
      </c>
      <c r="Q6274" t="n">
        <v>0</v>
      </c>
      <c r="R6274" s="2" t="inlineStr"/>
    </row>
    <row r="6275" ht="15" customHeight="1">
      <c r="A6275" t="inlineStr">
        <is>
          <t>A 55150-2022</t>
        </is>
      </c>
      <c r="B6275" s="1" t="n">
        <v>44886</v>
      </c>
      <c r="C6275" s="1" t="n">
        <v>45344</v>
      </c>
      <c r="D6275" t="inlineStr">
        <is>
          <t>GÄVLEBORGS LÄN</t>
        </is>
      </c>
      <c r="E6275" t="inlineStr">
        <is>
          <t>SANDVIKEN</t>
        </is>
      </c>
      <c r="F6275" t="inlineStr">
        <is>
          <t>Sveaskog</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55165-2022</t>
        </is>
      </c>
      <c r="B6276" s="1" t="n">
        <v>44886</v>
      </c>
      <c r="C6276" s="1" t="n">
        <v>45344</v>
      </c>
      <c r="D6276" t="inlineStr">
        <is>
          <t>GÄVLEBORGS LÄN</t>
        </is>
      </c>
      <c r="E6276" t="inlineStr">
        <is>
          <t>NORDANSTIG</t>
        </is>
      </c>
      <c r="F6276" t="inlineStr">
        <is>
          <t>Holmen skog AB</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55120-2022</t>
        </is>
      </c>
      <c r="B6277" s="1" t="n">
        <v>44886</v>
      </c>
      <c r="C6277" s="1" t="n">
        <v>45344</v>
      </c>
      <c r="D6277" t="inlineStr">
        <is>
          <t>GÄVLEBORGS LÄN</t>
        </is>
      </c>
      <c r="E6277" t="inlineStr">
        <is>
          <t>NORDANSTIG</t>
        </is>
      </c>
      <c r="F6277" t="inlineStr">
        <is>
          <t>Holmen skog AB</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55149-2022</t>
        </is>
      </c>
      <c r="B6278" s="1" t="n">
        <v>44886</v>
      </c>
      <c r="C6278" s="1" t="n">
        <v>45344</v>
      </c>
      <c r="D6278" t="inlineStr">
        <is>
          <t>GÄVLEBORGS LÄN</t>
        </is>
      </c>
      <c r="E6278" t="inlineStr">
        <is>
          <t>NORDANSTIG</t>
        </is>
      </c>
      <c r="F6278" t="inlineStr">
        <is>
          <t>Holmen skog AB</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55206-2022</t>
        </is>
      </c>
      <c r="B6279" s="1" t="n">
        <v>44886</v>
      </c>
      <c r="C6279" s="1" t="n">
        <v>45344</v>
      </c>
      <c r="D6279" t="inlineStr">
        <is>
          <t>GÄVLEBORGS LÄN</t>
        </is>
      </c>
      <c r="E6279" t="inlineStr">
        <is>
          <t>NORDANSTIG</t>
        </is>
      </c>
      <c r="F6279" t="inlineStr">
        <is>
          <t>SCA</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55216-2022</t>
        </is>
      </c>
      <c r="B6280" s="1" t="n">
        <v>44886</v>
      </c>
      <c r="C6280" s="1" t="n">
        <v>45344</v>
      </c>
      <c r="D6280" t="inlineStr">
        <is>
          <t>GÄVLEBORGS LÄN</t>
        </is>
      </c>
      <c r="E6280" t="inlineStr">
        <is>
          <t>LJUSDAL</t>
        </is>
      </c>
      <c r="F6280" t="inlineStr">
        <is>
          <t>SCA</t>
        </is>
      </c>
      <c r="G6280" t="n">
        <v>10.1</v>
      </c>
      <c r="H6280" t="n">
        <v>0</v>
      </c>
      <c r="I6280" t="n">
        <v>0</v>
      </c>
      <c r="J6280" t="n">
        <v>0</v>
      </c>
      <c r="K6280" t="n">
        <v>0</v>
      </c>
      <c r="L6280" t="n">
        <v>0</v>
      </c>
      <c r="M6280" t="n">
        <v>0</v>
      </c>
      <c r="N6280" t="n">
        <v>0</v>
      </c>
      <c r="O6280" t="n">
        <v>0</v>
      </c>
      <c r="P6280" t="n">
        <v>0</v>
      </c>
      <c r="Q6280" t="n">
        <v>0</v>
      </c>
      <c r="R6280" s="2" t="inlineStr"/>
    </row>
    <row r="6281" ht="15" customHeight="1">
      <c r="A6281" t="inlineStr">
        <is>
          <t>A 56137-2022</t>
        </is>
      </c>
      <c r="B6281" s="1" t="n">
        <v>44886</v>
      </c>
      <c r="C6281" s="1" t="n">
        <v>45344</v>
      </c>
      <c r="D6281" t="inlineStr">
        <is>
          <t>GÄVLEBORGS LÄN</t>
        </is>
      </c>
      <c r="E6281" t="inlineStr">
        <is>
          <t>SANDVIKEN</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55386-2022</t>
        </is>
      </c>
      <c r="B6282" s="1" t="n">
        <v>44887</v>
      </c>
      <c r="C6282" s="1" t="n">
        <v>45344</v>
      </c>
      <c r="D6282" t="inlineStr">
        <is>
          <t>GÄVLEBORGS LÄN</t>
        </is>
      </c>
      <c r="E6282" t="inlineStr">
        <is>
          <t>HUDIKSVALL</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55407-2022</t>
        </is>
      </c>
      <c r="B6283" s="1" t="n">
        <v>44887</v>
      </c>
      <c r="C6283" s="1" t="n">
        <v>45344</v>
      </c>
      <c r="D6283" t="inlineStr">
        <is>
          <t>GÄVLEBORGS LÄN</t>
        </is>
      </c>
      <c r="E6283" t="inlineStr">
        <is>
          <t>SANDVIKEN</t>
        </is>
      </c>
      <c r="G6283" t="n">
        <v>8.9</v>
      </c>
      <c r="H6283" t="n">
        <v>0</v>
      </c>
      <c r="I6283" t="n">
        <v>0</v>
      </c>
      <c r="J6283" t="n">
        <v>0</v>
      </c>
      <c r="K6283" t="n">
        <v>0</v>
      </c>
      <c r="L6283" t="n">
        <v>0</v>
      </c>
      <c r="M6283" t="n">
        <v>0</v>
      </c>
      <c r="N6283" t="n">
        <v>0</v>
      </c>
      <c r="O6283" t="n">
        <v>0</v>
      </c>
      <c r="P6283" t="n">
        <v>0</v>
      </c>
      <c r="Q6283" t="n">
        <v>0</v>
      </c>
      <c r="R6283" s="2" t="inlineStr"/>
    </row>
    <row r="6284" ht="15" customHeight="1">
      <c r="A6284" t="inlineStr">
        <is>
          <t>A 55253-2022</t>
        </is>
      </c>
      <c r="B6284" s="1" t="n">
        <v>44887</v>
      </c>
      <c r="C6284" s="1" t="n">
        <v>45344</v>
      </c>
      <c r="D6284" t="inlineStr">
        <is>
          <t>GÄVLEBORGS LÄN</t>
        </is>
      </c>
      <c r="E6284" t="inlineStr">
        <is>
          <t>HUDIKSVALL</t>
        </is>
      </c>
      <c r="F6284" t="inlineStr">
        <is>
          <t>Holmen skog AB</t>
        </is>
      </c>
      <c r="G6284" t="n">
        <v>5.1</v>
      </c>
      <c r="H6284" t="n">
        <v>0</v>
      </c>
      <c r="I6284" t="n">
        <v>0</v>
      </c>
      <c r="J6284" t="n">
        <v>0</v>
      </c>
      <c r="K6284" t="n">
        <v>0</v>
      </c>
      <c r="L6284" t="n">
        <v>0</v>
      </c>
      <c r="M6284" t="n">
        <v>0</v>
      </c>
      <c r="N6284" t="n">
        <v>0</v>
      </c>
      <c r="O6284" t="n">
        <v>0</v>
      </c>
      <c r="P6284" t="n">
        <v>0</v>
      </c>
      <c r="Q6284" t="n">
        <v>0</v>
      </c>
      <c r="R6284" s="2" t="inlineStr"/>
      <c r="U6284">
        <f>HYPERLINK("https://klasma.github.io/Logging_2184/knärot/A 55253-2022 karta knärot.png", "A 55253-2022")</f>
        <v/>
      </c>
      <c r="V6284">
        <f>HYPERLINK("https://klasma.github.io/Logging_2184/klagomål/A 55253-2022 FSC-klagomål.docx", "A 55253-2022")</f>
        <v/>
      </c>
      <c r="W6284">
        <f>HYPERLINK("https://klasma.github.io/Logging_2184/klagomålsmail/A 55253-2022 FSC-klagomål mail.docx", "A 55253-2022")</f>
        <v/>
      </c>
      <c r="X6284">
        <f>HYPERLINK("https://klasma.github.io/Logging_2184/tillsyn/A 55253-2022 tillsynsbegäran.docx", "A 55253-2022")</f>
        <v/>
      </c>
      <c r="Y6284">
        <f>HYPERLINK("https://klasma.github.io/Logging_2184/tillsynsmail/A 55253-2022 tillsynsbegäran mail.docx", "A 55253-2022")</f>
        <v/>
      </c>
    </row>
    <row r="6285" ht="15" customHeight="1">
      <c r="A6285" t="inlineStr">
        <is>
          <t>A 55422-2022</t>
        </is>
      </c>
      <c r="B6285" s="1" t="n">
        <v>44887</v>
      </c>
      <c r="C6285" s="1" t="n">
        <v>45344</v>
      </c>
      <c r="D6285" t="inlineStr">
        <is>
          <t>GÄVLEBORGS LÄN</t>
        </is>
      </c>
      <c r="E6285" t="inlineStr">
        <is>
          <t>OCKELBO</t>
        </is>
      </c>
      <c r="G6285" t="n">
        <v>0.1</v>
      </c>
      <c r="H6285" t="n">
        <v>0</v>
      </c>
      <c r="I6285" t="n">
        <v>0</v>
      </c>
      <c r="J6285" t="n">
        <v>0</v>
      </c>
      <c r="K6285" t="n">
        <v>0</v>
      </c>
      <c r="L6285" t="n">
        <v>0</v>
      </c>
      <c r="M6285" t="n">
        <v>0</v>
      </c>
      <c r="N6285" t="n">
        <v>0</v>
      </c>
      <c r="O6285" t="n">
        <v>0</v>
      </c>
      <c r="P6285" t="n">
        <v>0</v>
      </c>
      <c r="Q6285" t="n">
        <v>0</v>
      </c>
      <c r="R6285" s="2" t="inlineStr"/>
    </row>
    <row r="6286" ht="15" customHeight="1">
      <c r="A6286" t="inlineStr">
        <is>
          <t>A 55434-2022</t>
        </is>
      </c>
      <c r="B6286" s="1" t="n">
        <v>44887</v>
      </c>
      <c r="C6286" s="1" t="n">
        <v>45344</v>
      </c>
      <c r="D6286" t="inlineStr">
        <is>
          <t>GÄVLEBORGS LÄN</t>
        </is>
      </c>
      <c r="E6286" t="inlineStr">
        <is>
          <t>HUDIKSVALL</t>
        </is>
      </c>
      <c r="F6286" t="inlineStr">
        <is>
          <t>Holmen skog AB</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55487-2022</t>
        </is>
      </c>
      <c r="B6287" s="1" t="n">
        <v>44887</v>
      </c>
      <c r="C6287" s="1" t="n">
        <v>45344</v>
      </c>
      <c r="D6287" t="inlineStr">
        <is>
          <t>GÄVLEBORGS LÄN</t>
        </is>
      </c>
      <c r="E6287" t="inlineStr">
        <is>
          <t>NORDANSTIG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55411-2022</t>
        </is>
      </c>
      <c r="B6288" s="1" t="n">
        <v>44887</v>
      </c>
      <c r="C6288" s="1" t="n">
        <v>45344</v>
      </c>
      <c r="D6288" t="inlineStr">
        <is>
          <t>GÄVLEBORGS LÄN</t>
        </is>
      </c>
      <c r="E6288" t="inlineStr">
        <is>
          <t>SANDVIKEN</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56538-2022</t>
        </is>
      </c>
      <c r="B6289" s="1" t="n">
        <v>44887</v>
      </c>
      <c r="C6289" s="1" t="n">
        <v>45344</v>
      </c>
      <c r="D6289" t="inlineStr">
        <is>
          <t>GÄVLEBORGS LÄN</t>
        </is>
      </c>
      <c r="E6289" t="inlineStr">
        <is>
          <t>GÄVLE</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55477-2022</t>
        </is>
      </c>
      <c r="B6290" s="1" t="n">
        <v>44887</v>
      </c>
      <c r="C6290" s="1" t="n">
        <v>45344</v>
      </c>
      <c r="D6290" t="inlineStr">
        <is>
          <t>GÄVLEBORGS LÄN</t>
        </is>
      </c>
      <c r="E6290" t="inlineStr">
        <is>
          <t>OVANÅKER</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55705-2022</t>
        </is>
      </c>
      <c r="B6291" s="1" t="n">
        <v>44888</v>
      </c>
      <c r="C6291" s="1" t="n">
        <v>45344</v>
      </c>
      <c r="D6291" t="inlineStr">
        <is>
          <t>GÄVLEBORGS LÄN</t>
        </is>
      </c>
      <c r="E6291" t="inlineStr">
        <is>
          <t>NORDANSTIG</t>
        </is>
      </c>
      <c r="F6291" t="inlineStr">
        <is>
          <t>Holmen skog AB</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55709-2022</t>
        </is>
      </c>
      <c r="B6292" s="1" t="n">
        <v>44888</v>
      </c>
      <c r="C6292" s="1" t="n">
        <v>45344</v>
      </c>
      <c r="D6292" t="inlineStr">
        <is>
          <t>GÄVLEBORGS LÄN</t>
        </is>
      </c>
      <c r="E6292" t="inlineStr">
        <is>
          <t>NORDANSTIG</t>
        </is>
      </c>
      <c r="F6292" t="inlineStr">
        <is>
          <t>Holmen skog AB</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55766-2022</t>
        </is>
      </c>
      <c r="B6293" s="1" t="n">
        <v>44888</v>
      </c>
      <c r="C6293" s="1" t="n">
        <v>45344</v>
      </c>
      <c r="D6293" t="inlineStr">
        <is>
          <t>GÄVLEBORGS LÄN</t>
        </is>
      </c>
      <c r="E6293" t="inlineStr">
        <is>
          <t>NORDANSTIG</t>
        </is>
      </c>
      <c r="F6293" t="inlineStr">
        <is>
          <t>Holmen skog AB</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55711-2022</t>
        </is>
      </c>
      <c r="B6294" s="1" t="n">
        <v>44888</v>
      </c>
      <c r="C6294" s="1" t="n">
        <v>45344</v>
      </c>
      <c r="D6294" t="inlineStr">
        <is>
          <t>GÄVLEBORGS LÄN</t>
        </is>
      </c>
      <c r="E6294" t="inlineStr">
        <is>
          <t>NORDANSTIG</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55740-2022</t>
        </is>
      </c>
      <c r="B6295" s="1" t="n">
        <v>44888</v>
      </c>
      <c r="C6295" s="1" t="n">
        <v>45344</v>
      </c>
      <c r="D6295" t="inlineStr">
        <is>
          <t>GÄVLEBORGS LÄN</t>
        </is>
      </c>
      <c r="E6295" t="inlineStr">
        <is>
          <t>NORDANSTIG</t>
        </is>
      </c>
      <c r="F6295" t="inlineStr">
        <is>
          <t>Holmen skog AB</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55781-2022</t>
        </is>
      </c>
      <c r="B6296" s="1" t="n">
        <v>44888</v>
      </c>
      <c r="C6296" s="1" t="n">
        <v>45344</v>
      </c>
      <c r="D6296" t="inlineStr">
        <is>
          <t>GÄVLEBORGS LÄN</t>
        </is>
      </c>
      <c r="E6296" t="inlineStr">
        <is>
          <t>LJUSDAL</t>
        </is>
      </c>
      <c r="F6296" t="inlineStr">
        <is>
          <t>Kommuner</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56874-2022</t>
        </is>
      </c>
      <c r="B6297" s="1" t="n">
        <v>44888</v>
      </c>
      <c r="C6297" s="1" t="n">
        <v>45344</v>
      </c>
      <c r="D6297" t="inlineStr">
        <is>
          <t>GÄVLEBORGS LÄN</t>
        </is>
      </c>
      <c r="E6297" t="inlineStr">
        <is>
          <t>GÄVLE</t>
        </is>
      </c>
      <c r="F6297" t="inlineStr">
        <is>
          <t>Bergvik skog väst AB</t>
        </is>
      </c>
      <c r="G6297" t="n">
        <v>7.5</v>
      </c>
      <c r="H6297" t="n">
        <v>0</v>
      </c>
      <c r="I6297" t="n">
        <v>0</v>
      </c>
      <c r="J6297" t="n">
        <v>0</v>
      </c>
      <c r="K6297" t="n">
        <v>0</v>
      </c>
      <c r="L6297" t="n">
        <v>0</v>
      </c>
      <c r="M6297" t="n">
        <v>0</v>
      </c>
      <c r="N6297" t="n">
        <v>0</v>
      </c>
      <c r="O6297" t="n">
        <v>0</v>
      </c>
      <c r="P6297" t="n">
        <v>0</v>
      </c>
      <c r="Q6297" t="n">
        <v>0</v>
      </c>
      <c r="R6297" s="2" t="inlineStr"/>
    </row>
    <row r="6298" ht="15" customHeight="1">
      <c r="A6298" t="inlineStr">
        <is>
          <t>A 55997-2022</t>
        </is>
      </c>
      <c r="B6298" s="1" t="n">
        <v>44889</v>
      </c>
      <c r="C6298" s="1" t="n">
        <v>45344</v>
      </c>
      <c r="D6298" t="inlineStr">
        <is>
          <t>GÄVLEBORGS LÄN</t>
        </is>
      </c>
      <c r="E6298" t="inlineStr">
        <is>
          <t>LJUSDAL</t>
        </is>
      </c>
      <c r="F6298" t="inlineStr">
        <is>
          <t>Holmen skog AB</t>
        </is>
      </c>
      <c r="G6298" t="n">
        <v>5.6</v>
      </c>
      <c r="H6298" t="n">
        <v>0</v>
      </c>
      <c r="I6298" t="n">
        <v>0</v>
      </c>
      <c r="J6298" t="n">
        <v>0</v>
      </c>
      <c r="K6298" t="n">
        <v>0</v>
      </c>
      <c r="L6298" t="n">
        <v>0</v>
      </c>
      <c r="M6298" t="n">
        <v>0</v>
      </c>
      <c r="N6298" t="n">
        <v>0</v>
      </c>
      <c r="O6298" t="n">
        <v>0</v>
      </c>
      <c r="P6298" t="n">
        <v>0</v>
      </c>
      <c r="Q6298" t="n">
        <v>0</v>
      </c>
      <c r="R6298" s="2" t="inlineStr"/>
    </row>
    <row r="6299" ht="15" customHeight="1">
      <c r="A6299" t="inlineStr">
        <is>
          <t>A 56066-2022</t>
        </is>
      </c>
      <c r="B6299" s="1" t="n">
        <v>44889</v>
      </c>
      <c r="C6299" s="1" t="n">
        <v>45344</v>
      </c>
      <c r="D6299" t="inlineStr">
        <is>
          <t>GÄVLEBORGS LÄN</t>
        </is>
      </c>
      <c r="E6299" t="inlineStr">
        <is>
          <t>SANDVIKEN</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56070-2022</t>
        </is>
      </c>
      <c r="B6300" s="1" t="n">
        <v>44889</v>
      </c>
      <c r="C6300" s="1" t="n">
        <v>45344</v>
      </c>
      <c r="D6300" t="inlineStr">
        <is>
          <t>GÄVLEBORGS LÄN</t>
        </is>
      </c>
      <c r="E6300" t="inlineStr">
        <is>
          <t>OVANÅKER</t>
        </is>
      </c>
      <c r="G6300" t="n">
        <v>7.2</v>
      </c>
      <c r="H6300" t="n">
        <v>0</v>
      </c>
      <c r="I6300" t="n">
        <v>0</v>
      </c>
      <c r="J6300" t="n">
        <v>0</v>
      </c>
      <c r="K6300" t="n">
        <v>0</v>
      </c>
      <c r="L6300" t="n">
        <v>0</v>
      </c>
      <c r="M6300" t="n">
        <v>0</v>
      </c>
      <c r="N6300" t="n">
        <v>0</v>
      </c>
      <c r="O6300" t="n">
        <v>0</v>
      </c>
      <c r="P6300" t="n">
        <v>0</v>
      </c>
      <c r="Q6300" t="n">
        <v>0</v>
      </c>
      <c r="R6300" s="2" t="inlineStr"/>
    </row>
    <row r="6301" ht="15" customHeight="1">
      <c r="A6301" t="inlineStr">
        <is>
          <t>A 56075-2022</t>
        </is>
      </c>
      <c r="B6301" s="1" t="n">
        <v>44889</v>
      </c>
      <c r="C6301" s="1" t="n">
        <v>45344</v>
      </c>
      <c r="D6301" t="inlineStr">
        <is>
          <t>GÄVLEBORGS LÄN</t>
        </is>
      </c>
      <c r="E6301" t="inlineStr">
        <is>
          <t>OVANÅKER</t>
        </is>
      </c>
      <c r="G6301" t="n">
        <v>19.5</v>
      </c>
      <c r="H6301" t="n">
        <v>0</v>
      </c>
      <c r="I6301" t="n">
        <v>0</v>
      </c>
      <c r="J6301" t="n">
        <v>0</v>
      </c>
      <c r="K6301" t="n">
        <v>0</v>
      </c>
      <c r="L6301" t="n">
        <v>0</v>
      </c>
      <c r="M6301" t="n">
        <v>0</v>
      </c>
      <c r="N6301" t="n">
        <v>0</v>
      </c>
      <c r="O6301" t="n">
        <v>0</v>
      </c>
      <c r="P6301" t="n">
        <v>0</v>
      </c>
      <c r="Q6301" t="n">
        <v>0</v>
      </c>
      <c r="R6301" s="2" t="inlineStr"/>
    </row>
    <row r="6302" ht="15" customHeight="1">
      <c r="A6302" t="inlineStr">
        <is>
          <t>A 55989-2022</t>
        </is>
      </c>
      <c r="B6302" s="1" t="n">
        <v>44889</v>
      </c>
      <c r="C6302" s="1" t="n">
        <v>45344</v>
      </c>
      <c r="D6302" t="inlineStr">
        <is>
          <t>GÄVLEBORGS LÄN</t>
        </is>
      </c>
      <c r="E6302" t="inlineStr">
        <is>
          <t>GÄVLE</t>
        </is>
      </c>
      <c r="F6302" t="inlineStr">
        <is>
          <t>Kyrkan</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55976-2022</t>
        </is>
      </c>
      <c r="B6303" s="1" t="n">
        <v>44889</v>
      </c>
      <c r="C6303" s="1" t="n">
        <v>45344</v>
      </c>
      <c r="D6303" t="inlineStr">
        <is>
          <t>GÄVLEBORGS LÄN</t>
        </is>
      </c>
      <c r="E6303" t="inlineStr">
        <is>
          <t>GÄVLE</t>
        </is>
      </c>
      <c r="F6303" t="inlineStr">
        <is>
          <t>Kyrkan</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55992-2022</t>
        </is>
      </c>
      <c r="B6304" s="1" t="n">
        <v>44889</v>
      </c>
      <c r="C6304" s="1" t="n">
        <v>45344</v>
      </c>
      <c r="D6304" t="inlineStr">
        <is>
          <t>GÄVLEBORGS LÄN</t>
        </is>
      </c>
      <c r="E6304" t="inlineStr">
        <is>
          <t>OVANÅKER</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56162-2022</t>
        </is>
      </c>
      <c r="B6305" s="1" t="n">
        <v>44889</v>
      </c>
      <c r="C6305" s="1" t="n">
        <v>45344</v>
      </c>
      <c r="D6305" t="inlineStr">
        <is>
          <t>GÄVLEBORGS LÄN</t>
        </is>
      </c>
      <c r="E6305" t="inlineStr">
        <is>
          <t>SÖDERHAMN</t>
        </is>
      </c>
      <c r="G6305" t="n">
        <v>1.5</v>
      </c>
      <c r="H6305" t="n">
        <v>0</v>
      </c>
      <c r="I6305" t="n">
        <v>0</v>
      </c>
      <c r="J6305" t="n">
        <v>0</v>
      </c>
      <c r="K6305" t="n">
        <v>0</v>
      </c>
      <c r="L6305" t="n">
        <v>0</v>
      </c>
      <c r="M6305" t="n">
        <v>0</v>
      </c>
      <c r="N6305" t="n">
        <v>0</v>
      </c>
      <c r="O6305" t="n">
        <v>0</v>
      </c>
      <c r="P6305" t="n">
        <v>0</v>
      </c>
      <c r="Q6305" t="n">
        <v>0</v>
      </c>
      <c r="R6305" s="2" t="inlineStr"/>
    </row>
    <row r="6306" ht="15" customHeight="1">
      <c r="A6306" t="inlineStr">
        <is>
          <t>A 55996-2022</t>
        </is>
      </c>
      <c r="B6306" s="1" t="n">
        <v>44889</v>
      </c>
      <c r="C6306" s="1" t="n">
        <v>45344</v>
      </c>
      <c r="D6306" t="inlineStr">
        <is>
          <t>GÄVLEBORGS LÄN</t>
        </is>
      </c>
      <c r="E6306" t="inlineStr">
        <is>
          <t>GÄVLE</t>
        </is>
      </c>
      <c r="F6306" t="inlineStr">
        <is>
          <t>Kyrkan</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56160-2022</t>
        </is>
      </c>
      <c r="B6307" s="1" t="n">
        <v>44889</v>
      </c>
      <c r="C6307" s="1" t="n">
        <v>45344</v>
      </c>
      <c r="D6307" t="inlineStr">
        <is>
          <t>GÄVLEBORGS LÄN</t>
        </is>
      </c>
      <c r="E6307" t="inlineStr">
        <is>
          <t>SÖDERHAMN</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56188-2022</t>
        </is>
      </c>
      <c r="B6308" s="1" t="n">
        <v>44889</v>
      </c>
      <c r="C6308" s="1" t="n">
        <v>45344</v>
      </c>
      <c r="D6308" t="inlineStr">
        <is>
          <t>GÄVLEBORGS LÄN</t>
        </is>
      </c>
      <c r="E6308" t="inlineStr">
        <is>
          <t>SÖDERHAMN</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56161-2022</t>
        </is>
      </c>
      <c r="B6309" s="1" t="n">
        <v>44889</v>
      </c>
      <c r="C6309" s="1" t="n">
        <v>45344</v>
      </c>
      <c r="D6309" t="inlineStr">
        <is>
          <t>GÄVLEBORGS LÄN</t>
        </is>
      </c>
      <c r="E6309" t="inlineStr">
        <is>
          <t>SÖDERHAMN</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55952-2022</t>
        </is>
      </c>
      <c r="B6310" s="1" t="n">
        <v>44889</v>
      </c>
      <c r="C6310" s="1" t="n">
        <v>45344</v>
      </c>
      <c r="D6310" t="inlineStr">
        <is>
          <t>GÄVLEBORGS LÄN</t>
        </is>
      </c>
      <c r="E6310" t="inlineStr">
        <is>
          <t>OCKELBO</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55962-2022</t>
        </is>
      </c>
      <c r="B6311" s="1" t="n">
        <v>44889</v>
      </c>
      <c r="C6311" s="1" t="n">
        <v>45344</v>
      </c>
      <c r="D6311" t="inlineStr">
        <is>
          <t>GÄVLEBORGS LÄN</t>
        </is>
      </c>
      <c r="E6311" t="inlineStr">
        <is>
          <t>LJUSDAL</t>
        </is>
      </c>
      <c r="G6311" t="n">
        <v>0.1</v>
      </c>
      <c r="H6311" t="n">
        <v>0</v>
      </c>
      <c r="I6311" t="n">
        <v>0</v>
      </c>
      <c r="J6311" t="n">
        <v>0</v>
      </c>
      <c r="K6311" t="n">
        <v>0</v>
      </c>
      <c r="L6311" t="n">
        <v>0</v>
      </c>
      <c r="M6311" t="n">
        <v>0</v>
      </c>
      <c r="N6311" t="n">
        <v>0</v>
      </c>
      <c r="O6311" t="n">
        <v>0</v>
      </c>
      <c r="P6311" t="n">
        <v>0</v>
      </c>
      <c r="Q6311" t="n">
        <v>0</v>
      </c>
      <c r="R6311" s="2" t="inlineStr"/>
    </row>
    <row r="6312" ht="15" customHeight="1">
      <c r="A6312" t="inlineStr">
        <is>
          <t>A 56232-2022</t>
        </is>
      </c>
      <c r="B6312" s="1" t="n">
        <v>44890</v>
      </c>
      <c r="C6312" s="1" t="n">
        <v>45344</v>
      </c>
      <c r="D6312" t="inlineStr">
        <is>
          <t>GÄVLEBORGS LÄN</t>
        </is>
      </c>
      <c r="E6312" t="inlineStr">
        <is>
          <t>OCKELBO</t>
        </is>
      </c>
      <c r="G6312" t="n">
        <v>1.6</v>
      </c>
      <c r="H6312" t="n">
        <v>0</v>
      </c>
      <c r="I6312" t="n">
        <v>0</v>
      </c>
      <c r="J6312" t="n">
        <v>0</v>
      </c>
      <c r="K6312" t="n">
        <v>0</v>
      </c>
      <c r="L6312" t="n">
        <v>0</v>
      </c>
      <c r="M6312" t="n">
        <v>0</v>
      </c>
      <c r="N6312" t="n">
        <v>0</v>
      </c>
      <c r="O6312" t="n">
        <v>0</v>
      </c>
      <c r="P6312" t="n">
        <v>0</v>
      </c>
      <c r="Q6312" t="n">
        <v>0</v>
      </c>
      <c r="R6312" s="2" t="inlineStr"/>
    </row>
    <row r="6313" ht="15" customHeight="1">
      <c r="A6313" t="inlineStr">
        <is>
          <t>A 56358-2022</t>
        </is>
      </c>
      <c r="B6313" s="1" t="n">
        <v>44890</v>
      </c>
      <c r="C6313" s="1" t="n">
        <v>45344</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56455-2022</t>
        </is>
      </c>
      <c r="B6314" s="1" t="n">
        <v>44893</v>
      </c>
      <c r="C6314" s="1" t="n">
        <v>45344</v>
      </c>
      <c r="D6314" t="inlineStr">
        <is>
          <t>GÄVLEBORGS LÄN</t>
        </is>
      </c>
      <c r="E6314" t="inlineStr">
        <is>
          <t>OVANÅKER</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56637-2022</t>
        </is>
      </c>
      <c r="B6315" s="1" t="n">
        <v>44893</v>
      </c>
      <c r="C6315" s="1" t="n">
        <v>45344</v>
      </c>
      <c r="D6315" t="inlineStr">
        <is>
          <t>GÄVLEBORGS LÄN</t>
        </is>
      </c>
      <c r="E6315" t="inlineStr">
        <is>
          <t>HUDIKSVALL</t>
        </is>
      </c>
      <c r="F6315" t="inlineStr">
        <is>
          <t>Holmen skog AB</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56682-2022</t>
        </is>
      </c>
      <c r="B6316" s="1" t="n">
        <v>44893</v>
      </c>
      <c r="C6316" s="1" t="n">
        <v>45344</v>
      </c>
      <c r="D6316" t="inlineStr">
        <is>
          <t>GÄVLEBORGS LÄN</t>
        </is>
      </c>
      <c r="E6316" t="inlineStr">
        <is>
          <t>NORDANSTIG</t>
        </is>
      </c>
      <c r="F6316" t="inlineStr">
        <is>
          <t>Holmen skog AB</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56478-2022</t>
        </is>
      </c>
      <c r="B6317" s="1" t="n">
        <v>44893</v>
      </c>
      <c r="C6317" s="1" t="n">
        <v>45344</v>
      </c>
      <c r="D6317" t="inlineStr">
        <is>
          <t>GÄVLEBORGS LÄN</t>
        </is>
      </c>
      <c r="E6317" t="inlineStr">
        <is>
          <t>LJUSDAL</t>
        </is>
      </c>
      <c r="G6317" t="n">
        <v>5.9</v>
      </c>
      <c r="H6317" t="n">
        <v>0</v>
      </c>
      <c r="I6317" t="n">
        <v>0</v>
      </c>
      <c r="J6317" t="n">
        <v>0</v>
      </c>
      <c r="K6317" t="n">
        <v>0</v>
      </c>
      <c r="L6317" t="n">
        <v>0</v>
      </c>
      <c r="M6317" t="n">
        <v>0</v>
      </c>
      <c r="N6317" t="n">
        <v>0</v>
      </c>
      <c r="O6317" t="n">
        <v>0</v>
      </c>
      <c r="P6317" t="n">
        <v>0</v>
      </c>
      <c r="Q6317" t="n">
        <v>0</v>
      </c>
      <c r="R6317" s="2" t="inlineStr"/>
    </row>
    <row r="6318" ht="15" customHeight="1">
      <c r="A6318" t="inlineStr">
        <is>
          <t>A 56477-2022</t>
        </is>
      </c>
      <c r="B6318" s="1" t="n">
        <v>44893</v>
      </c>
      <c r="C6318" s="1" t="n">
        <v>45344</v>
      </c>
      <c r="D6318" t="inlineStr">
        <is>
          <t>GÄVLEBORGS LÄN</t>
        </is>
      </c>
      <c r="E6318" t="inlineStr">
        <is>
          <t>HUDIKSVALL</t>
        </is>
      </c>
      <c r="F6318" t="inlineStr">
        <is>
          <t>Holmen skog AB</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56516-2022</t>
        </is>
      </c>
      <c r="B6319" s="1" t="n">
        <v>44893</v>
      </c>
      <c r="C6319" s="1" t="n">
        <v>45344</v>
      </c>
      <c r="D6319" t="inlineStr">
        <is>
          <t>GÄVLEBORGS LÄN</t>
        </is>
      </c>
      <c r="E6319" t="inlineStr">
        <is>
          <t>HUDIKSVALL</t>
        </is>
      </c>
      <c r="F6319" t="inlineStr">
        <is>
          <t>Holmen skog AB</t>
        </is>
      </c>
      <c r="G6319" t="n">
        <v>11.2</v>
      </c>
      <c r="H6319" t="n">
        <v>0</v>
      </c>
      <c r="I6319" t="n">
        <v>0</v>
      </c>
      <c r="J6319" t="n">
        <v>0</v>
      </c>
      <c r="K6319" t="n">
        <v>0</v>
      </c>
      <c r="L6319" t="n">
        <v>0</v>
      </c>
      <c r="M6319" t="n">
        <v>0</v>
      </c>
      <c r="N6319" t="n">
        <v>0</v>
      </c>
      <c r="O6319" t="n">
        <v>0</v>
      </c>
      <c r="P6319" t="n">
        <v>0</v>
      </c>
      <c r="Q6319" t="n">
        <v>0</v>
      </c>
      <c r="R6319" s="2" t="inlineStr"/>
    </row>
    <row r="6320" ht="15" customHeight="1">
      <c r="A6320" t="inlineStr">
        <is>
          <t>A 56631-2022</t>
        </is>
      </c>
      <c r="B6320" s="1" t="n">
        <v>44893</v>
      </c>
      <c r="C6320" s="1" t="n">
        <v>45344</v>
      </c>
      <c r="D6320" t="inlineStr">
        <is>
          <t>GÄVLEBORGS LÄN</t>
        </is>
      </c>
      <c r="E6320" t="inlineStr">
        <is>
          <t>OCKELBO</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56677-2022</t>
        </is>
      </c>
      <c r="B6321" s="1" t="n">
        <v>44893</v>
      </c>
      <c r="C6321" s="1" t="n">
        <v>45344</v>
      </c>
      <c r="D6321" t="inlineStr">
        <is>
          <t>GÄVLEBORGS LÄN</t>
        </is>
      </c>
      <c r="E6321" t="inlineStr">
        <is>
          <t>NORDANSTIG</t>
        </is>
      </c>
      <c r="F6321" t="inlineStr">
        <is>
          <t>Holmen skog AB</t>
        </is>
      </c>
      <c r="G6321" t="n">
        <v>2.5</v>
      </c>
      <c r="H6321" t="n">
        <v>0</v>
      </c>
      <c r="I6321" t="n">
        <v>0</v>
      </c>
      <c r="J6321" t="n">
        <v>0</v>
      </c>
      <c r="K6321" t="n">
        <v>0</v>
      </c>
      <c r="L6321" t="n">
        <v>0</v>
      </c>
      <c r="M6321" t="n">
        <v>0</v>
      </c>
      <c r="N6321" t="n">
        <v>0</v>
      </c>
      <c r="O6321" t="n">
        <v>0</v>
      </c>
      <c r="P6321" t="n">
        <v>0</v>
      </c>
      <c r="Q6321" t="n">
        <v>0</v>
      </c>
      <c r="R6321" s="2" t="inlineStr"/>
    </row>
    <row r="6322" ht="15" customHeight="1">
      <c r="A6322" t="inlineStr">
        <is>
          <t>A 56639-2022</t>
        </is>
      </c>
      <c r="B6322" s="1" t="n">
        <v>44893</v>
      </c>
      <c r="C6322" s="1" t="n">
        <v>45344</v>
      </c>
      <c r="D6322" t="inlineStr">
        <is>
          <t>GÄVLEBORGS LÄN</t>
        </is>
      </c>
      <c r="E6322" t="inlineStr">
        <is>
          <t>BOLLNÄS</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56755-2022</t>
        </is>
      </c>
      <c r="B6323" s="1" t="n">
        <v>44894</v>
      </c>
      <c r="C6323" s="1" t="n">
        <v>45344</v>
      </c>
      <c r="D6323" t="inlineStr">
        <is>
          <t>GÄVLEBORGS LÄN</t>
        </is>
      </c>
      <c r="E6323" t="inlineStr">
        <is>
          <t>BOLLNÄS</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56752-2022</t>
        </is>
      </c>
      <c r="B6324" s="1" t="n">
        <v>44894</v>
      </c>
      <c r="C6324" s="1" t="n">
        <v>45344</v>
      </c>
      <c r="D6324" t="inlineStr">
        <is>
          <t>GÄVLEBORGS LÄN</t>
        </is>
      </c>
      <c r="E6324" t="inlineStr">
        <is>
          <t>OVANÅKER</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56808-2022</t>
        </is>
      </c>
      <c r="B6325" s="1" t="n">
        <v>44894</v>
      </c>
      <c r="C6325" s="1" t="n">
        <v>45344</v>
      </c>
      <c r="D6325" t="inlineStr">
        <is>
          <t>GÄVLEBORGS LÄN</t>
        </is>
      </c>
      <c r="E6325" t="inlineStr">
        <is>
          <t>HUDIKSVALL</t>
        </is>
      </c>
      <c r="F6325" t="inlineStr">
        <is>
          <t>Kommuner</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56813-2022</t>
        </is>
      </c>
      <c r="B6326" s="1" t="n">
        <v>44894</v>
      </c>
      <c r="C6326" s="1" t="n">
        <v>45344</v>
      </c>
      <c r="D6326" t="inlineStr">
        <is>
          <t>GÄVLEBORGS LÄN</t>
        </is>
      </c>
      <c r="E6326" t="inlineStr">
        <is>
          <t>HUDIKSVALL</t>
        </is>
      </c>
      <c r="F6326" t="inlineStr">
        <is>
          <t>Kommuner</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56958-2022</t>
        </is>
      </c>
      <c r="B6327" s="1" t="n">
        <v>44894</v>
      </c>
      <c r="C6327" s="1" t="n">
        <v>45344</v>
      </c>
      <c r="D6327" t="inlineStr">
        <is>
          <t>GÄVLEBORGS LÄN</t>
        </is>
      </c>
      <c r="E6327" t="inlineStr">
        <is>
          <t>SANDVIKEN</t>
        </is>
      </c>
      <c r="G6327" t="n">
        <v>5.7</v>
      </c>
      <c r="H6327" t="n">
        <v>0</v>
      </c>
      <c r="I6327" t="n">
        <v>0</v>
      </c>
      <c r="J6327" t="n">
        <v>0</v>
      </c>
      <c r="K6327" t="n">
        <v>0</v>
      </c>
      <c r="L6327" t="n">
        <v>0</v>
      </c>
      <c r="M6327" t="n">
        <v>0</v>
      </c>
      <c r="N6327" t="n">
        <v>0</v>
      </c>
      <c r="O6327" t="n">
        <v>0</v>
      </c>
      <c r="P6327" t="n">
        <v>0</v>
      </c>
      <c r="Q6327" t="n">
        <v>0</v>
      </c>
      <c r="R6327" s="2" t="inlineStr"/>
    </row>
    <row r="6328" ht="15" customHeight="1">
      <c r="A6328" t="inlineStr">
        <is>
          <t>A 56766-2022</t>
        </is>
      </c>
      <c r="B6328" s="1" t="n">
        <v>44894</v>
      </c>
      <c r="C6328" s="1" t="n">
        <v>45344</v>
      </c>
      <c r="D6328" t="inlineStr">
        <is>
          <t>GÄVLEBORGS LÄN</t>
        </is>
      </c>
      <c r="E6328" t="inlineStr">
        <is>
          <t>LJUSDAL</t>
        </is>
      </c>
      <c r="F6328" t="inlineStr">
        <is>
          <t>Holmen skog AB</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56820-2022</t>
        </is>
      </c>
      <c r="B6329" s="1" t="n">
        <v>44894</v>
      </c>
      <c r="C6329" s="1" t="n">
        <v>45344</v>
      </c>
      <c r="D6329" t="inlineStr">
        <is>
          <t>GÄVLEBORGS LÄN</t>
        </is>
      </c>
      <c r="E6329" t="inlineStr">
        <is>
          <t>HUDIKSVALL</t>
        </is>
      </c>
      <c r="F6329" t="inlineStr">
        <is>
          <t>Kommuner</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56754-2022</t>
        </is>
      </c>
      <c r="B6330" s="1" t="n">
        <v>44894</v>
      </c>
      <c r="C6330" s="1" t="n">
        <v>45344</v>
      </c>
      <c r="D6330" t="inlineStr">
        <is>
          <t>GÄVLEBORGS LÄN</t>
        </is>
      </c>
      <c r="E6330" t="inlineStr">
        <is>
          <t>HUDIKSVALL</t>
        </is>
      </c>
      <c r="F6330" t="inlineStr">
        <is>
          <t>Holmen skog AB</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56805-2022</t>
        </is>
      </c>
      <c r="B6331" s="1" t="n">
        <v>44894</v>
      </c>
      <c r="C6331" s="1" t="n">
        <v>45344</v>
      </c>
      <c r="D6331" t="inlineStr">
        <is>
          <t>GÄVLEBORGS LÄN</t>
        </is>
      </c>
      <c r="E6331" t="inlineStr">
        <is>
          <t>HUDIKSVALL</t>
        </is>
      </c>
      <c r="F6331" t="inlineStr">
        <is>
          <t>Holmen skog AB</t>
        </is>
      </c>
      <c r="G6331" t="n">
        <v>2.8</v>
      </c>
      <c r="H6331" t="n">
        <v>0</v>
      </c>
      <c r="I6331" t="n">
        <v>0</v>
      </c>
      <c r="J6331" t="n">
        <v>0</v>
      </c>
      <c r="K6331" t="n">
        <v>0</v>
      </c>
      <c r="L6331" t="n">
        <v>0</v>
      </c>
      <c r="M6331" t="n">
        <v>0</v>
      </c>
      <c r="N6331" t="n">
        <v>0</v>
      </c>
      <c r="O6331" t="n">
        <v>0</v>
      </c>
      <c r="P6331" t="n">
        <v>0</v>
      </c>
      <c r="Q6331" t="n">
        <v>0</v>
      </c>
      <c r="R6331" s="2" t="inlineStr"/>
    </row>
    <row r="6332" ht="15" customHeight="1">
      <c r="A6332" t="inlineStr">
        <is>
          <t>A 56953-2022</t>
        </is>
      </c>
      <c r="B6332" s="1" t="n">
        <v>44894</v>
      </c>
      <c r="C6332" s="1" t="n">
        <v>45344</v>
      </c>
      <c r="D6332" t="inlineStr">
        <is>
          <t>GÄVLEBORGS LÄN</t>
        </is>
      </c>
      <c r="E6332" t="inlineStr">
        <is>
          <t>HUDIKSVALL</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56891-2022</t>
        </is>
      </c>
      <c r="B6333" s="1" t="n">
        <v>44894</v>
      </c>
      <c r="C6333" s="1" t="n">
        <v>45344</v>
      </c>
      <c r="D6333" t="inlineStr">
        <is>
          <t>GÄVLEBORGS LÄN</t>
        </is>
      </c>
      <c r="E6333" t="inlineStr">
        <is>
          <t>HUDIKSVALL</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57013-2022</t>
        </is>
      </c>
      <c r="B6334" s="1" t="n">
        <v>44894</v>
      </c>
      <c r="C6334" s="1" t="n">
        <v>45344</v>
      </c>
      <c r="D6334" t="inlineStr">
        <is>
          <t>GÄVLEBORGS LÄN</t>
        </is>
      </c>
      <c r="E6334" t="inlineStr">
        <is>
          <t>NORDANSTIG</t>
        </is>
      </c>
      <c r="F6334" t="inlineStr">
        <is>
          <t>SCA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56870-2022</t>
        </is>
      </c>
      <c r="B6335" s="1" t="n">
        <v>44894</v>
      </c>
      <c r="C6335" s="1" t="n">
        <v>45344</v>
      </c>
      <c r="D6335" t="inlineStr">
        <is>
          <t>GÄVLEBORGS LÄN</t>
        </is>
      </c>
      <c r="E6335" t="inlineStr">
        <is>
          <t>NORDANSTIG</t>
        </is>
      </c>
      <c r="F6335" t="inlineStr">
        <is>
          <t>Holmen skog AB</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56924-2022</t>
        </is>
      </c>
      <c r="B6336" s="1" t="n">
        <v>44894</v>
      </c>
      <c r="C6336" s="1" t="n">
        <v>45344</v>
      </c>
      <c r="D6336" t="inlineStr">
        <is>
          <t>GÄVLEBORGS LÄN</t>
        </is>
      </c>
      <c r="E6336" t="inlineStr">
        <is>
          <t>BOLLNÄS</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57041-2022</t>
        </is>
      </c>
      <c r="B6337" s="1" t="n">
        <v>44895</v>
      </c>
      <c r="C6337" s="1" t="n">
        <v>45344</v>
      </c>
      <c r="D6337" t="inlineStr">
        <is>
          <t>GÄVLEBORGS LÄN</t>
        </is>
      </c>
      <c r="E6337" t="inlineStr">
        <is>
          <t>BOLLNÄS</t>
        </is>
      </c>
      <c r="G6337" t="n">
        <v>0.8</v>
      </c>
      <c r="H6337" t="n">
        <v>0</v>
      </c>
      <c r="I6337" t="n">
        <v>0</v>
      </c>
      <c r="J6337" t="n">
        <v>0</v>
      </c>
      <c r="K6337" t="n">
        <v>0</v>
      </c>
      <c r="L6337" t="n">
        <v>0</v>
      </c>
      <c r="M6337" t="n">
        <v>0</v>
      </c>
      <c r="N6337" t="n">
        <v>0</v>
      </c>
      <c r="O6337" t="n">
        <v>0</v>
      </c>
      <c r="P6337" t="n">
        <v>0</v>
      </c>
      <c r="Q6337" t="n">
        <v>0</v>
      </c>
      <c r="R6337" s="2" t="inlineStr"/>
    </row>
    <row r="6338" ht="15" customHeight="1">
      <c r="A6338" t="inlineStr">
        <is>
          <t>A 57044-2022</t>
        </is>
      </c>
      <c r="B6338" s="1" t="n">
        <v>44895</v>
      </c>
      <c r="C6338" s="1" t="n">
        <v>45344</v>
      </c>
      <c r="D6338" t="inlineStr">
        <is>
          <t>GÄVLEBORGS LÄN</t>
        </is>
      </c>
      <c r="E6338" t="inlineStr">
        <is>
          <t>SÖDERHAMN</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57040-2022</t>
        </is>
      </c>
      <c r="B6339" s="1" t="n">
        <v>44895</v>
      </c>
      <c r="C6339" s="1" t="n">
        <v>45344</v>
      </c>
      <c r="D6339" t="inlineStr">
        <is>
          <t>GÄVLEBORGS LÄN</t>
        </is>
      </c>
      <c r="E6339" t="inlineStr">
        <is>
          <t>GÄVLE</t>
        </is>
      </c>
      <c r="F6339" t="inlineStr">
        <is>
          <t>Kyrkan</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57050-2022</t>
        </is>
      </c>
      <c r="B6340" s="1" t="n">
        <v>44895</v>
      </c>
      <c r="C6340" s="1" t="n">
        <v>45344</v>
      </c>
      <c r="D6340" t="inlineStr">
        <is>
          <t>GÄVLEBORGS LÄN</t>
        </is>
      </c>
      <c r="E6340" t="inlineStr">
        <is>
          <t>SÖDERHAMN</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57110-2022</t>
        </is>
      </c>
      <c r="B6341" s="1" t="n">
        <v>44895</v>
      </c>
      <c r="C6341" s="1" t="n">
        <v>45344</v>
      </c>
      <c r="D6341" t="inlineStr">
        <is>
          <t>GÄVLEBORGS LÄN</t>
        </is>
      </c>
      <c r="E6341" t="inlineStr">
        <is>
          <t>LJUSDAL</t>
        </is>
      </c>
      <c r="G6341" t="n">
        <v>0.4</v>
      </c>
      <c r="H6341" t="n">
        <v>0</v>
      </c>
      <c r="I6341" t="n">
        <v>0</v>
      </c>
      <c r="J6341" t="n">
        <v>0</v>
      </c>
      <c r="K6341" t="n">
        <v>0</v>
      </c>
      <c r="L6341" t="n">
        <v>0</v>
      </c>
      <c r="M6341" t="n">
        <v>0</v>
      </c>
      <c r="N6341" t="n">
        <v>0</v>
      </c>
      <c r="O6341" t="n">
        <v>0</v>
      </c>
      <c r="P6341" t="n">
        <v>0</v>
      </c>
      <c r="Q6341" t="n">
        <v>0</v>
      </c>
      <c r="R6341" s="2" t="inlineStr"/>
    </row>
    <row r="6342" ht="15" customHeight="1">
      <c r="A6342" t="inlineStr">
        <is>
          <t>A 57104-2022</t>
        </is>
      </c>
      <c r="B6342" s="1" t="n">
        <v>44895</v>
      </c>
      <c r="C6342" s="1" t="n">
        <v>45344</v>
      </c>
      <c r="D6342" t="inlineStr">
        <is>
          <t>GÄVLEBORGS LÄN</t>
        </is>
      </c>
      <c r="E6342" t="inlineStr">
        <is>
          <t>SANDVIKEN</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57179-2022</t>
        </is>
      </c>
      <c r="B6343" s="1" t="n">
        <v>44895</v>
      </c>
      <c r="C6343" s="1" t="n">
        <v>45344</v>
      </c>
      <c r="D6343" t="inlineStr">
        <is>
          <t>GÄVLEBORGS LÄN</t>
        </is>
      </c>
      <c r="E6343" t="inlineStr">
        <is>
          <t>GÄVLE</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57196-2022</t>
        </is>
      </c>
      <c r="B6344" s="1" t="n">
        <v>44895</v>
      </c>
      <c r="C6344" s="1" t="n">
        <v>45344</v>
      </c>
      <c r="D6344" t="inlineStr">
        <is>
          <t>GÄVLEBORGS LÄN</t>
        </is>
      </c>
      <c r="E6344" t="inlineStr">
        <is>
          <t>NORDANSTIG</t>
        </is>
      </c>
      <c r="F6344" t="inlineStr">
        <is>
          <t>Holmen skog AB</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57199-2022</t>
        </is>
      </c>
      <c r="B6345" s="1" t="n">
        <v>44895</v>
      </c>
      <c r="C6345" s="1" t="n">
        <v>45344</v>
      </c>
      <c r="D6345" t="inlineStr">
        <is>
          <t>GÄVLEBORGS LÄN</t>
        </is>
      </c>
      <c r="E6345" t="inlineStr">
        <is>
          <t>HUDIKSVALL</t>
        </is>
      </c>
      <c r="G6345" t="n">
        <v>7.2</v>
      </c>
      <c r="H6345" t="n">
        <v>0</v>
      </c>
      <c r="I6345" t="n">
        <v>0</v>
      </c>
      <c r="J6345" t="n">
        <v>0</v>
      </c>
      <c r="K6345" t="n">
        <v>0</v>
      </c>
      <c r="L6345" t="n">
        <v>0</v>
      </c>
      <c r="M6345" t="n">
        <v>0</v>
      </c>
      <c r="N6345" t="n">
        <v>0</v>
      </c>
      <c r="O6345" t="n">
        <v>0</v>
      </c>
      <c r="P6345" t="n">
        <v>0</v>
      </c>
      <c r="Q6345" t="n">
        <v>0</v>
      </c>
      <c r="R6345" s="2" t="inlineStr"/>
    </row>
    <row r="6346" ht="15" customHeight="1">
      <c r="A6346" t="inlineStr">
        <is>
          <t>A 57269-2022</t>
        </is>
      </c>
      <c r="B6346" s="1" t="n">
        <v>44895</v>
      </c>
      <c r="C6346" s="1" t="n">
        <v>45344</v>
      </c>
      <c r="D6346" t="inlineStr">
        <is>
          <t>GÄVLEBORGS LÄN</t>
        </is>
      </c>
      <c r="E6346" t="inlineStr">
        <is>
          <t>LJUSDAL</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57338-2022</t>
        </is>
      </c>
      <c r="B6347" s="1" t="n">
        <v>44896</v>
      </c>
      <c r="C6347" s="1" t="n">
        <v>45344</v>
      </c>
      <c r="D6347" t="inlineStr">
        <is>
          <t>GÄVLEBORGS LÄN</t>
        </is>
      </c>
      <c r="E6347" t="inlineStr">
        <is>
          <t>OCKELBO</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57343-2022</t>
        </is>
      </c>
      <c r="B6348" s="1" t="n">
        <v>44896</v>
      </c>
      <c r="C6348" s="1" t="n">
        <v>45344</v>
      </c>
      <c r="D6348" t="inlineStr">
        <is>
          <t>GÄVLEBORGS LÄN</t>
        </is>
      </c>
      <c r="E6348" t="inlineStr">
        <is>
          <t>GÄVLE</t>
        </is>
      </c>
      <c r="F6348" t="inlineStr">
        <is>
          <t>Bergvik skog öst AB</t>
        </is>
      </c>
      <c r="G6348" t="n">
        <v>8.699999999999999</v>
      </c>
      <c r="H6348" t="n">
        <v>0</v>
      </c>
      <c r="I6348" t="n">
        <v>0</v>
      </c>
      <c r="J6348" t="n">
        <v>0</v>
      </c>
      <c r="K6348" t="n">
        <v>0</v>
      </c>
      <c r="L6348" t="n">
        <v>0</v>
      </c>
      <c r="M6348" t="n">
        <v>0</v>
      </c>
      <c r="N6348" t="n">
        <v>0</v>
      </c>
      <c r="O6348" t="n">
        <v>0</v>
      </c>
      <c r="P6348" t="n">
        <v>0</v>
      </c>
      <c r="Q6348" t="n">
        <v>0</v>
      </c>
      <c r="R6348" s="2" t="inlineStr"/>
    </row>
    <row r="6349" ht="15" customHeight="1">
      <c r="A6349" t="inlineStr">
        <is>
          <t>A 57345-2022</t>
        </is>
      </c>
      <c r="B6349" s="1" t="n">
        <v>44896</v>
      </c>
      <c r="C6349" s="1" t="n">
        <v>45344</v>
      </c>
      <c r="D6349" t="inlineStr">
        <is>
          <t>GÄVLEBORGS LÄN</t>
        </is>
      </c>
      <c r="E6349" t="inlineStr">
        <is>
          <t>GÄVLE</t>
        </is>
      </c>
      <c r="F6349" t="inlineStr">
        <is>
          <t>Bergvik skog öst AB</t>
        </is>
      </c>
      <c r="G6349" t="n">
        <v>19.1</v>
      </c>
      <c r="H6349" t="n">
        <v>0</v>
      </c>
      <c r="I6349" t="n">
        <v>0</v>
      </c>
      <c r="J6349" t="n">
        <v>0</v>
      </c>
      <c r="K6349" t="n">
        <v>0</v>
      </c>
      <c r="L6349" t="n">
        <v>0</v>
      </c>
      <c r="M6349" t="n">
        <v>0</v>
      </c>
      <c r="N6349" t="n">
        <v>0</v>
      </c>
      <c r="O6349" t="n">
        <v>0</v>
      </c>
      <c r="P6349" t="n">
        <v>0</v>
      </c>
      <c r="Q6349" t="n">
        <v>0</v>
      </c>
      <c r="R6349" s="2" t="inlineStr"/>
    </row>
    <row r="6350" ht="15" customHeight="1">
      <c r="A6350" t="inlineStr">
        <is>
          <t>A 57508-2022</t>
        </is>
      </c>
      <c r="B6350" s="1" t="n">
        <v>44896</v>
      </c>
      <c r="C6350" s="1" t="n">
        <v>45344</v>
      </c>
      <c r="D6350" t="inlineStr">
        <is>
          <t>GÄVLEBORGS LÄN</t>
        </is>
      </c>
      <c r="E6350" t="inlineStr">
        <is>
          <t>NORDANSTIG</t>
        </is>
      </c>
      <c r="F6350" t="inlineStr">
        <is>
          <t>Holmen skog AB</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57516-2022</t>
        </is>
      </c>
      <c r="B6351" s="1" t="n">
        <v>44896</v>
      </c>
      <c r="C6351" s="1" t="n">
        <v>45344</v>
      </c>
      <c r="D6351" t="inlineStr">
        <is>
          <t>GÄVLEBORGS LÄN</t>
        </is>
      </c>
      <c r="E6351" t="inlineStr">
        <is>
          <t>NORDANSTIG</t>
        </is>
      </c>
      <c r="F6351" t="inlineStr">
        <is>
          <t>Holmen skog AB</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57573-2022</t>
        </is>
      </c>
      <c r="B6352" s="1" t="n">
        <v>44896</v>
      </c>
      <c r="C6352" s="1" t="n">
        <v>45344</v>
      </c>
      <c r="D6352" t="inlineStr">
        <is>
          <t>GÄVLEBORGS LÄN</t>
        </is>
      </c>
      <c r="E6352" t="inlineStr">
        <is>
          <t>NORDANSTIG</t>
        </is>
      </c>
      <c r="G6352" t="n">
        <v>7.6</v>
      </c>
      <c r="H6352" t="n">
        <v>0</v>
      </c>
      <c r="I6352" t="n">
        <v>0</v>
      </c>
      <c r="J6352" t="n">
        <v>0</v>
      </c>
      <c r="K6352" t="n">
        <v>0</v>
      </c>
      <c r="L6352" t="n">
        <v>0</v>
      </c>
      <c r="M6352" t="n">
        <v>0</v>
      </c>
      <c r="N6352" t="n">
        <v>0</v>
      </c>
      <c r="O6352" t="n">
        <v>0</v>
      </c>
      <c r="P6352" t="n">
        <v>0</v>
      </c>
      <c r="Q6352" t="n">
        <v>0</v>
      </c>
      <c r="R6352" s="2" t="inlineStr"/>
    </row>
    <row r="6353" ht="15" customHeight="1">
      <c r="A6353" t="inlineStr">
        <is>
          <t>A 57650-2022</t>
        </is>
      </c>
      <c r="B6353" s="1" t="n">
        <v>44897</v>
      </c>
      <c r="C6353" s="1" t="n">
        <v>45344</v>
      </c>
      <c r="D6353" t="inlineStr">
        <is>
          <t>GÄVLEBORGS LÄN</t>
        </is>
      </c>
      <c r="E6353" t="inlineStr">
        <is>
          <t>HUDIKSVALL</t>
        </is>
      </c>
      <c r="F6353" t="inlineStr">
        <is>
          <t>Naturvårdsverket</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57681-2022</t>
        </is>
      </c>
      <c r="B6354" s="1" t="n">
        <v>44897</v>
      </c>
      <c r="C6354" s="1" t="n">
        <v>45344</v>
      </c>
      <c r="D6354" t="inlineStr">
        <is>
          <t>GÄVLEBORGS LÄN</t>
        </is>
      </c>
      <c r="E6354" t="inlineStr">
        <is>
          <t>GÄVLE</t>
        </is>
      </c>
      <c r="F6354" t="inlineStr">
        <is>
          <t>Kyrkan</t>
        </is>
      </c>
      <c r="G6354" t="n">
        <v>21.5</v>
      </c>
      <c r="H6354" t="n">
        <v>0</v>
      </c>
      <c r="I6354" t="n">
        <v>0</v>
      </c>
      <c r="J6354" t="n">
        <v>0</v>
      </c>
      <c r="K6354" t="n">
        <v>0</v>
      </c>
      <c r="L6354" t="n">
        <v>0</v>
      </c>
      <c r="M6354" t="n">
        <v>0</v>
      </c>
      <c r="N6354" t="n">
        <v>0</v>
      </c>
      <c r="O6354" t="n">
        <v>0</v>
      </c>
      <c r="P6354" t="n">
        <v>0</v>
      </c>
      <c r="Q6354" t="n">
        <v>0</v>
      </c>
      <c r="R6354" s="2" t="inlineStr"/>
    </row>
    <row r="6355" ht="15" customHeight="1">
      <c r="A6355" t="inlineStr">
        <is>
          <t>A 57689-2022</t>
        </is>
      </c>
      <c r="B6355" s="1" t="n">
        <v>44897</v>
      </c>
      <c r="C6355" s="1" t="n">
        <v>45344</v>
      </c>
      <c r="D6355" t="inlineStr">
        <is>
          <t>GÄVLEBORGS LÄN</t>
        </is>
      </c>
      <c r="E6355" t="inlineStr">
        <is>
          <t>BOLLNÄS</t>
        </is>
      </c>
      <c r="G6355" t="n">
        <v>6.7</v>
      </c>
      <c r="H6355" t="n">
        <v>0</v>
      </c>
      <c r="I6355" t="n">
        <v>0</v>
      </c>
      <c r="J6355" t="n">
        <v>0</v>
      </c>
      <c r="K6355" t="n">
        <v>0</v>
      </c>
      <c r="L6355" t="n">
        <v>0</v>
      </c>
      <c r="M6355" t="n">
        <v>0</v>
      </c>
      <c r="N6355" t="n">
        <v>0</v>
      </c>
      <c r="O6355" t="n">
        <v>0</v>
      </c>
      <c r="P6355" t="n">
        <v>0</v>
      </c>
      <c r="Q6355" t="n">
        <v>0</v>
      </c>
      <c r="R6355" s="2" t="inlineStr"/>
    </row>
    <row r="6356" ht="15" customHeight="1">
      <c r="A6356" t="inlineStr">
        <is>
          <t>A 57695-2022</t>
        </is>
      </c>
      <c r="B6356" s="1" t="n">
        <v>44897</v>
      </c>
      <c r="C6356" s="1" t="n">
        <v>45344</v>
      </c>
      <c r="D6356" t="inlineStr">
        <is>
          <t>GÄVLEBORGS LÄN</t>
        </is>
      </c>
      <c r="E6356" t="inlineStr">
        <is>
          <t>NORDANSTIG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57716-2022</t>
        </is>
      </c>
      <c r="B6357" s="1" t="n">
        <v>44897</v>
      </c>
      <c r="C6357" s="1" t="n">
        <v>45344</v>
      </c>
      <c r="D6357" t="inlineStr">
        <is>
          <t>GÄVLEBORGS LÄN</t>
        </is>
      </c>
      <c r="E6357" t="inlineStr">
        <is>
          <t>HUDIKSVALL</t>
        </is>
      </c>
      <c r="F6357" t="inlineStr">
        <is>
          <t>Holmen skog AB</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57679-2022</t>
        </is>
      </c>
      <c r="B6358" s="1" t="n">
        <v>44897</v>
      </c>
      <c r="C6358" s="1" t="n">
        <v>45344</v>
      </c>
      <c r="D6358" t="inlineStr">
        <is>
          <t>GÄVLEBORGS LÄN</t>
        </is>
      </c>
      <c r="E6358" t="inlineStr">
        <is>
          <t>HUDIKSVALL</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57694-2022</t>
        </is>
      </c>
      <c r="B6359" s="1" t="n">
        <v>44897</v>
      </c>
      <c r="C6359" s="1" t="n">
        <v>45344</v>
      </c>
      <c r="D6359" t="inlineStr">
        <is>
          <t>GÄVLEBORGS LÄN</t>
        </is>
      </c>
      <c r="E6359" t="inlineStr">
        <is>
          <t>SÖDERHAMN</t>
        </is>
      </c>
      <c r="G6359" t="n">
        <v>8.1</v>
      </c>
      <c r="H6359" t="n">
        <v>0</v>
      </c>
      <c r="I6359" t="n">
        <v>0</v>
      </c>
      <c r="J6359" t="n">
        <v>0</v>
      </c>
      <c r="K6359" t="n">
        <v>0</v>
      </c>
      <c r="L6359" t="n">
        <v>0</v>
      </c>
      <c r="M6359" t="n">
        <v>0</v>
      </c>
      <c r="N6359" t="n">
        <v>0</v>
      </c>
      <c r="O6359" t="n">
        <v>0</v>
      </c>
      <c r="P6359" t="n">
        <v>0</v>
      </c>
      <c r="Q6359" t="n">
        <v>0</v>
      </c>
      <c r="R6359" s="2" t="inlineStr"/>
    </row>
    <row r="6360" ht="15" customHeight="1">
      <c r="A6360" t="inlineStr">
        <is>
          <t>A 57776-2022</t>
        </is>
      </c>
      <c r="B6360" s="1" t="n">
        <v>44897</v>
      </c>
      <c r="C6360" s="1" t="n">
        <v>45344</v>
      </c>
      <c r="D6360" t="inlineStr">
        <is>
          <t>GÄVLEBORGS LÄN</t>
        </is>
      </c>
      <c r="E6360" t="inlineStr">
        <is>
          <t>OVANÅKER</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57814-2022</t>
        </is>
      </c>
      <c r="B6361" s="1" t="n">
        <v>44897</v>
      </c>
      <c r="C6361" s="1" t="n">
        <v>45344</v>
      </c>
      <c r="D6361" t="inlineStr">
        <is>
          <t>GÄVLEBORGS LÄN</t>
        </is>
      </c>
      <c r="E6361" t="inlineStr">
        <is>
          <t>SÖDERHAMN</t>
        </is>
      </c>
      <c r="G6361" t="n">
        <v>2.7</v>
      </c>
      <c r="H6361" t="n">
        <v>0</v>
      </c>
      <c r="I6361" t="n">
        <v>0</v>
      </c>
      <c r="J6361" t="n">
        <v>0</v>
      </c>
      <c r="K6361" t="n">
        <v>0</v>
      </c>
      <c r="L6361" t="n">
        <v>0</v>
      </c>
      <c r="M6361" t="n">
        <v>0</v>
      </c>
      <c r="N6361" t="n">
        <v>0</v>
      </c>
      <c r="O6361" t="n">
        <v>0</v>
      </c>
      <c r="P6361" t="n">
        <v>0</v>
      </c>
      <c r="Q6361" t="n">
        <v>0</v>
      </c>
      <c r="R6361" s="2" t="inlineStr"/>
    </row>
    <row r="6362" ht="15" customHeight="1">
      <c r="A6362" t="inlineStr">
        <is>
          <t>A 57905-2022</t>
        </is>
      </c>
      <c r="B6362" s="1" t="n">
        <v>44900</v>
      </c>
      <c r="C6362" s="1" t="n">
        <v>45344</v>
      </c>
      <c r="D6362" t="inlineStr">
        <is>
          <t>GÄVLEBORGS LÄN</t>
        </is>
      </c>
      <c r="E6362" t="inlineStr">
        <is>
          <t>LJUSDAL</t>
        </is>
      </c>
      <c r="F6362" t="inlineStr">
        <is>
          <t>Allmännings- och besparingsskogar</t>
        </is>
      </c>
      <c r="G6362" t="n">
        <v>11.5</v>
      </c>
      <c r="H6362" t="n">
        <v>0</v>
      </c>
      <c r="I6362" t="n">
        <v>0</v>
      </c>
      <c r="J6362" t="n">
        <v>0</v>
      </c>
      <c r="K6362" t="n">
        <v>0</v>
      </c>
      <c r="L6362" t="n">
        <v>0</v>
      </c>
      <c r="M6362" t="n">
        <v>0</v>
      </c>
      <c r="N6362" t="n">
        <v>0</v>
      </c>
      <c r="O6362" t="n">
        <v>0</v>
      </c>
      <c r="P6362" t="n">
        <v>0</v>
      </c>
      <c r="Q6362" t="n">
        <v>0</v>
      </c>
      <c r="R6362" s="2" t="inlineStr"/>
    </row>
    <row r="6363" ht="15" customHeight="1">
      <c r="A6363" t="inlineStr">
        <is>
          <t>A 57924-2022</t>
        </is>
      </c>
      <c r="B6363" s="1" t="n">
        <v>44900</v>
      </c>
      <c r="C6363" s="1" t="n">
        <v>45344</v>
      </c>
      <c r="D6363" t="inlineStr">
        <is>
          <t>GÄVLEBORGS LÄN</t>
        </is>
      </c>
      <c r="E6363" t="inlineStr">
        <is>
          <t>SÖDERHAMN</t>
        </is>
      </c>
      <c r="F6363" t="inlineStr">
        <is>
          <t>Kyrkan</t>
        </is>
      </c>
      <c r="G6363" t="n">
        <v>36.7</v>
      </c>
      <c r="H6363" t="n">
        <v>0</v>
      </c>
      <c r="I6363" t="n">
        <v>0</v>
      </c>
      <c r="J6363" t="n">
        <v>0</v>
      </c>
      <c r="K6363" t="n">
        <v>0</v>
      </c>
      <c r="L6363" t="n">
        <v>0</v>
      </c>
      <c r="M6363" t="n">
        <v>0</v>
      </c>
      <c r="N6363" t="n">
        <v>0</v>
      </c>
      <c r="O6363" t="n">
        <v>0</v>
      </c>
      <c r="P6363" t="n">
        <v>0</v>
      </c>
      <c r="Q6363" t="n">
        <v>0</v>
      </c>
      <c r="R6363" s="2" t="inlineStr"/>
    </row>
    <row r="6364" ht="15" customHeight="1">
      <c r="A6364" t="inlineStr">
        <is>
          <t>A 57970-2022</t>
        </is>
      </c>
      <c r="B6364" s="1" t="n">
        <v>44900</v>
      </c>
      <c r="C6364" s="1" t="n">
        <v>45344</v>
      </c>
      <c r="D6364" t="inlineStr">
        <is>
          <t>GÄVLEBORGS LÄN</t>
        </is>
      </c>
      <c r="E6364" t="inlineStr">
        <is>
          <t>NORDANSTIG</t>
        </is>
      </c>
      <c r="G6364" t="n">
        <v>5</v>
      </c>
      <c r="H6364" t="n">
        <v>0</v>
      </c>
      <c r="I6364" t="n">
        <v>0</v>
      </c>
      <c r="J6364" t="n">
        <v>0</v>
      </c>
      <c r="K6364" t="n">
        <v>0</v>
      </c>
      <c r="L6364" t="n">
        <v>0</v>
      </c>
      <c r="M6364" t="n">
        <v>0</v>
      </c>
      <c r="N6364" t="n">
        <v>0</v>
      </c>
      <c r="O6364" t="n">
        <v>0</v>
      </c>
      <c r="P6364" t="n">
        <v>0</v>
      </c>
      <c r="Q6364" t="n">
        <v>0</v>
      </c>
      <c r="R6364" s="2" t="inlineStr"/>
    </row>
    <row r="6365" ht="15" customHeight="1">
      <c r="A6365" t="inlineStr">
        <is>
          <t>A 57976-2022</t>
        </is>
      </c>
      <c r="B6365" s="1" t="n">
        <v>44900</v>
      </c>
      <c r="C6365" s="1" t="n">
        <v>45344</v>
      </c>
      <c r="D6365" t="inlineStr">
        <is>
          <t>GÄVLEBORGS LÄN</t>
        </is>
      </c>
      <c r="E6365" t="inlineStr">
        <is>
          <t>NORDANSTIG</t>
        </is>
      </c>
      <c r="F6365" t="inlineStr">
        <is>
          <t>Holmen skog AB</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58083-2022</t>
        </is>
      </c>
      <c r="B6366" s="1" t="n">
        <v>44900</v>
      </c>
      <c r="C6366" s="1" t="n">
        <v>45344</v>
      </c>
      <c r="D6366" t="inlineStr">
        <is>
          <t>GÄVLEBORGS LÄN</t>
        </is>
      </c>
      <c r="E6366" t="inlineStr">
        <is>
          <t>OCKELBO</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58113-2022</t>
        </is>
      </c>
      <c r="B6367" s="1" t="n">
        <v>44900</v>
      </c>
      <c r="C6367" s="1" t="n">
        <v>45344</v>
      </c>
      <c r="D6367" t="inlineStr">
        <is>
          <t>GÄVLEBORGS LÄN</t>
        </is>
      </c>
      <c r="E6367" t="inlineStr">
        <is>
          <t>LJUSDAL</t>
        </is>
      </c>
      <c r="F6367" t="inlineStr">
        <is>
          <t>Sveaskog</t>
        </is>
      </c>
      <c r="G6367" t="n">
        <v>3.1</v>
      </c>
      <c r="H6367" t="n">
        <v>0</v>
      </c>
      <c r="I6367" t="n">
        <v>0</v>
      </c>
      <c r="J6367" t="n">
        <v>0</v>
      </c>
      <c r="K6367" t="n">
        <v>0</v>
      </c>
      <c r="L6367" t="n">
        <v>0</v>
      </c>
      <c r="M6367" t="n">
        <v>0</v>
      </c>
      <c r="N6367" t="n">
        <v>0</v>
      </c>
      <c r="O6367" t="n">
        <v>0</v>
      </c>
      <c r="P6367" t="n">
        <v>0</v>
      </c>
      <c r="Q6367" t="n">
        <v>0</v>
      </c>
      <c r="R6367" s="2" t="inlineStr"/>
    </row>
    <row r="6368" ht="15" customHeight="1">
      <c r="A6368" t="inlineStr">
        <is>
          <t>A 57983-2022</t>
        </is>
      </c>
      <c r="B6368" s="1" t="n">
        <v>44900</v>
      </c>
      <c r="C6368" s="1" t="n">
        <v>45344</v>
      </c>
      <c r="D6368" t="inlineStr">
        <is>
          <t>GÄVLEBORGS LÄN</t>
        </is>
      </c>
      <c r="E6368" t="inlineStr">
        <is>
          <t>NORDANSTIG</t>
        </is>
      </c>
      <c r="F6368" t="inlineStr">
        <is>
          <t>Holmen skog AB</t>
        </is>
      </c>
      <c r="G6368" t="n">
        <v>1.2</v>
      </c>
      <c r="H6368" t="n">
        <v>0</v>
      </c>
      <c r="I6368" t="n">
        <v>0</v>
      </c>
      <c r="J6368" t="n">
        <v>0</v>
      </c>
      <c r="K6368" t="n">
        <v>0</v>
      </c>
      <c r="L6368" t="n">
        <v>0</v>
      </c>
      <c r="M6368" t="n">
        <v>0</v>
      </c>
      <c r="N6368" t="n">
        <v>0</v>
      </c>
      <c r="O6368" t="n">
        <v>0</v>
      </c>
      <c r="P6368" t="n">
        <v>0</v>
      </c>
      <c r="Q6368" t="n">
        <v>0</v>
      </c>
      <c r="R6368" s="2" t="inlineStr"/>
    </row>
    <row r="6369" ht="15" customHeight="1">
      <c r="A6369" t="inlineStr">
        <is>
          <t>A 57949-2022</t>
        </is>
      </c>
      <c r="B6369" s="1" t="n">
        <v>44900</v>
      </c>
      <c r="C6369" s="1" t="n">
        <v>45344</v>
      </c>
      <c r="D6369" t="inlineStr">
        <is>
          <t>GÄVLEBORGS LÄN</t>
        </is>
      </c>
      <c r="E6369" t="inlineStr">
        <is>
          <t>LJUSDAL</t>
        </is>
      </c>
      <c r="F6369" t="inlineStr">
        <is>
          <t>Holmen skog AB</t>
        </is>
      </c>
      <c r="G6369" t="n">
        <v>6.4</v>
      </c>
      <c r="H6369" t="n">
        <v>0</v>
      </c>
      <c r="I6369" t="n">
        <v>0</v>
      </c>
      <c r="J6369" t="n">
        <v>0</v>
      </c>
      <c r="K6369" t="n">
        <v>0</v>
      </c>
      <c r="L6369" t="n">
        <v>0</v>
      </c>
      <c r="M6369" t="n">
        <v>0</v>
      </c>
      <c r="N6369" t="n">
        <v>0</v>
      </c>
      <c r="O6369" t="n">
        <v>0</v>
      </c>
      <c r="P6369" t="n">
        <v>0</v>
      </c>
      <c r="Q6369" t="n">
        <v>0</v>
      </c>
      <c r="R6369" s="2" t="inlineStr"/>
    </row>
    <row r="6370" ht="15" customHeight="1">
      <c r="A6370" t="inlineStr">
        <is>
          <t>A 57967-2022</t>
        </is>
      </c>
      <c r="B6370" s="1" t="n">
        <v>44900</v>
      </c>
      <c r="C6370" s="1" t="n">
        <v>45344</v>
      </c>
      <c r="D6370" t="inlineStr">
        <is>
          <t>GÄVLEBORGS LÄN</t>
        </is>
      </c>
      <c r="E6370" t="inlineStr">
        <is>
          <t>HUDIKSVALL</t>
        </is>
      </c>
      <c r="F6370" t="inlineStr">
        <is>
          <t>Holmen skog AB</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57971-2022</t>
        </is>
      </c>
      <c r="B6371" s="1" t="n">
        <v>44900</v>
      </c>
      <c r="C6371" s="1" t="n">
        <v>45344</v>
      </c>
      <c r="D6371" t="inlineStr">
        <is>
          <t>GÄVLEBORGS LÄN</t>
        </is>
      </c>
      <c r="E6371" t="inlineStr">
        <is>
          <t>HOFORS</t>
        </is>
      </c>
      <c r="F6371" t="inlineStr">
        <is>
          <t>Sveaskog</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57977-2022</t>
        </is>
      </c>
      <c r="B6372" s="1" t="n">
        <v>44900</v>
      </c>
      <c r="C6372" s="1" t="n">
        <v>45344</v>
      </c>
      <c r="D6372" t="inlineStr">
        <is>
          <t>GÄVLEBORGS LÄN</t>
        </is>
      </c>
      <c r="E6372" t="inlineStr">
        <is>
          <t>LJUSDAL</t>
        </is>
      </c>
      <c r="F6372" t="inlineStr">
        <is>
          <t>Holmen skog AB</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58088-2022</t>
        </is>
      </c>
      <c r="B6373" s="1" t="n">
        <v>44900</v>
      </c>
      <c r="C6373" s="1" t="n">
        <v>45344</v>
      </c>
      <c r="D6373" t="inlineStr">
        <is>
          <t>GÄVLEBORGS LÄN</t>
        </is>
      </c>
      <c r="E6373" t="inlineStr">
        <is>
          <t>HUDIKSVALL</t>
        </is>
      </c>
      <c r="G6373" t="n">
        <v>7.5</v>
      </c>
      <c r="H6373" t="n">
        <v>0</v>
      </c>
      <c r="I6373" t="n">
        <v>0</v>
      </c>
      <c r="J6373" t="n">
        <v>0</v>
      </c>
      <c r="K6373" t="n">
        <v>0</v>
      </c>
      <c r="L6373" t="n">
        <v>0</v>
      </c>
      <c r="M6373" t="n">
        <v>0</v>
      </c>
      <c r="N6373" t="n">
        <v>0</v>
      </c>
      <c r="O6373" t="n">
        <v>0</v>
      </c>
      <c r="P6373" t="n">
        <v>0</v>
      </c>
      <c r="Q6373" t="n">
        <v>0</v>
      </c>
      <c r="R6373" s="2" t="inlineStr"/>
    </row>
    <row r="6374" ht="15" customHeight="1">
      <c r="A6374" t="inlineStr">
        <is>
          <t>A 58184-2022</t>
        </is>
      </c>
      <c r="B6374" s="1" t="n">
        <v>44900</v>
      </c>
      <c r="C6374" s="1" t="n">
        <v>45344</v>
      </c>
      <c r="D6374" t="inlineStr">
        <is>
          <t>GÄVLEBORGS LÄN</t>
        </is>
      </c>
      <c r="E6374" t="inlineStr">
        <is>
          <t>NORDANSTIG</t>
        </is>
      </c>
      <c r="F6374" t="inlineStr">
        <is>
          <t>SCA</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58075-2022</t>
        </is>
      </c>
      <c r="B6375" s="1" t="n">
        <v>44900</v>
      </c>
      <c r="C6375" s="1" t="n">
        <v>45344</v>
      </c>
      <c r="D6375" t="inlineStr">
        <is>
          <t>GÄVLEBORGS LÄN</t>
        </is>
      </c>
      <c r="E6375" t="inlineStr">
        <is>
          <t>OVANÅKER</t>
        </is>
      </c>
      <c r="F6375" t="inlineStr">
        <is>
          <t>Bergvik skog väst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58079-2022</t>
        </is>
      </c>
      <c r="B6376" s="1" t="n">
        <v>44900</v>
      </c>
      <c r="C6376" s="1" t="n">
        <v>45344</v>
      </c>
      <c r="D6376" t="inlineStr">
        <is>
          <t>GÄVLEBORGS LÄN</t>
        </is>
      </c>
      <c r="E6376" t="inlineStr">
        <is>
          <t>OCKELBO</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58307-2022</t>
        </is>
      </c>
      <c r="B6377" s="1" t="n">
        <v>44901</v>
      </c>
      <c r="C6377" s="1" t="n">
        <v>45344</v>
      </c>
      <c r="D6377" t="inlineStr">
        <is>
          <t>GÄVLEBORGS LÄN</t>
        </is>
      </c>
      <c r="E6377" t="inlineStr">
        <is>
          <t>OVANÅKER</t>
        </is>
      </c>
      <c r="G6377" t="n">
        <v>3.2</v>
      </c>
      <c r="H6377" t="n">
        <v>0</v>
      </c>
      <c r="I6377" t="n">
        <v>0</v>
      </c>
      <c r="J6377" t="n">
        <v>0</v>
      </c>
      <c r="K6377" t="n">
        <v>0</v>
      </c>
      <c r="L6377" t="n">
        <v>0</v>
      </c>
      <c r="M6377" t="n">
        <v>0</v>
      </c>
      <c r="N6377" t="n">
        <v>0</v>
      </c>
      <c r="O6377" t="n">
        <v>0</v>
      </c>
      <c r="P6377" t="n">
        <v>0</v>
      </c>
      <c r="Q6377" t="n">
        <v>0</v>
      </c>
      <c r="R6377" s="2" t="inlineStr"/>
    </row>
    <row r="6378" ht="15" customHeight="1">
      <c r="A6378" t="inlineStr">
        <is>
          <t>A 58350-2022</t>
        </is>
      </c>
      <c r="B6378" s="1" t="n">
        <v>44901</v>
      </c>
      <c r="C6378" s="1" t="n">
        <v>45344</v>
      </c>
      <c r="D6378" t="inlineStr">
        <is>
          <t>GÄVLEBORGS LÄN</t>
        </is>
      </c>
      <c r="E6378" t="inlineStr">
        <is>
          <t>SANDVIKEN</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58363-2022</t>
        </is>
      </c>
      <c r="B6379" s="1" t="n">
        <v>44901</v>
      </c>
      <c r="C6379" s="1" t="n">
        <v>45344</v>
      </c>
      <c r="D6379" t="inlineStr">
        <is>
          <t>GÄVLEBORGS LÄN</t>
        </is>
      </c>
      <c r="E6379" t="inlineStr">
        <is>
          <t>SANDVIKEN</t>
        </is>
      </c>
      <c r="G6379" t="n">
        <v>7.3</v>
      </c>
      <c r="H6379" t="n">
        <v>0</v>
      </c>
      <c r="I6379" t="n">
        <v>0</v>
      </c>
      <c r="J6379" t="n">
        <v>0</v>
      </c>
      <c r="K6379" t="n">
        <v>0</v>
      </c>
      <c r="L6379" t="n">
        <v>0</v>
      </c>
      <c r="M6379" t="n">
        <v>0</v>
      </c>
      <c r="N6379" t="n">
        <v>0</v>
      </c>
      <c r="O6379" t="n">
        <v>0</v>
      </c>
      <c r="P6379" t="n">
        <v>0</v>
      </c>
      <c r="Q6379" t="n">
        <v>0</v>
      </c>
      <c r="R6379" s="2" t="inlineStr"/>
    </row>
    <row r="6380" ht="15" customHeight="1">
      <c r="A6380" t="inlineStr">
        <is>
          <t>A 58239-2022</t>
        </is>
      </c>
      <c r="B6380" s="1" t="n">
        <v>44901</v>
      </c>
      <c r="C6380" s="1" t="n">
        <v>45344</v>
      </c>
      <c r="D6380" t="inlineStr">
        <is>
          <t>GÄVLEBORGS LÄN</t>
        </is>
      </c>
      <c r="E6380" t="inlineStr">
        <is>
          <t>LJUSDAL</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58280-2022</t>
        </is>
      </c>
      <c r="B6381" s="1" t="n">
        <v>44901</v>
      </c>
      <c r="C6381" s="1" t="n">
        <v>45344</v>
      </c>
      <c r="D6381" t="inlineStr">
        <is>
          <t>GÄVLEBORGS LÄN</t>
        </is>
      </c>
      <c r="E6381" t="inlineStr">
        <is>
          <t>LJUSDAL</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58354-2022</t>
        </is>
      </c>
      <c r="B6382" s="1" t="n">
        <v>44901</v>
      </c>
      <c r="C6382" s="1" t="n">
        <v>45344</v>
      </c>
      <c r="D6382" t="inlineStr">
        <is>
          <t>GÄVLEBORGS LÄN</t>
        </is>
      </c>
      <c r="E6382" t="inlineStr">
        <is>
          <t>SANDVIKEN</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58366-2022</t>
        </is>
      </c>
      <c r="B6383" s="1" t="n">
        <v>44901</v>
      </c>
      <c r="C6383" s="1" t="n">
        <v>45344</v>
      </c>
      <c r="D6383" t="inlineStr">
        <is>
          <t>GÄVLEBORGS LÄN</t>
        </is>
      </c>
      <c r="E6383" t="inlineStr">
        <is>
          <t>BOLLNÄS</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58435-2022</t>
        </is>
      </c>
      <c r="B6384" s="1" t="n">
        <v>44901</v>
      </c>
      <c r="C6384" s="1" t="n">
        <v>45344</v>
      </c>
      <c r="D6384" t="inlineStr">
        <is>
          <t>GÄVLEBORGS LÄN</t>
        </is>
      </c>
      <c r="E6384" t="inlineStr">
        <is>
          <t>SÖDERHAMN</t>
        </is>
      </c>
      <c r="G6384" t="n">
        <v>2.8</v>
      </c>
      <c r="H6384" t="n">
        <v>0</v>
      </c>
      <c r="I6384" t="n">
        <v>0</v>
      </c>
      <c r="J6384" t="n">
        <v>0</v>
      </c>
      <c r="K6384" t="n">
        <v>0</v>
      </c>
      <c r="L6384" t="n">
        <v>0</v>
      </c>
      <c r="M6384" t="n">
        <v>0</v>
      </c>
      <c r="N6384" t="n">
        <v>0</v>
      </c>
      <c r="O6384" t="n">
        <v>0</v>
      </c>
      <c r="P6384" t="n">
        <v>0</v>
      </c>
      <c r="Q6384" t="n">
        <v>0</v>
      </c>
      <c r="R6384" s="2" t="inlineStr"/>
    </row>
    <row r="6385" ht="15" customHeight="1">
      <c r="A6385" t="inlineStr">
        <is>
          <t>A 58371-2022</t>
        </is>
      </c>
      <c r="B6385" s="1" t="n">
        <v>44901</v>
      </c>
      <c r="C6385" s="1" t="n">
        <v>45344</v>
      </c>
      <c r="D6385" t="inlineStr">
        <is>
          <t>GÄVLEBORGS LÄN</t>
        </is>
      </c>
      <c r="E6385" t="inlineStr">
        <is>
          <t>SANDVIKEN</t>
        </is>
      </c>
      <c r="G6385" t="n">
        <v>7.8</v>
      </c>
      <c r="H6385" t="n">
        <v>0</v>
      </c>
      <c r="I6385" t="n">
        <v>0</v>
      </c>
      <c r="J6385" t="n">
        <v>0</v>
      </c>
      <c r="K6385" t="n">
        <v>0</v>
      </c>
      <c r="L6385" t="n">
        <v>0</v>
      </c>
      <c r="M6385" t="n">
        <v>0</v>
      </c>
      <c r="N6385" t="n">
        <v>0</v>
      </c>
      <c r="O6385" t="n">
        <v>0</v>
      </c>
      <c r="P6385" t="n">
        <v>0</v>
      </c>
      <c r="Q6385" t="n">
        <v>0</v>
      </c>
      <c r="R6385" s="2" t="inlineStr"/>
    </row>
    <row r="6386" ht="15" customHeight="1">
      <c r="A6386" t="inlineStr">
        <is>
          <t>A 58423-2022</t>
        </is>
      </c>
      <c r="B6386" s="1" t="n">
        <v>44901</v>
      </c>
      <c r="C6386" s="1" t="n">
        <v>45344</v>
      </c>
      <c r="D6386" t="inlineStr">
        <is>
          <t>GÄVLEBORGS LÄN</t>
        </is>
      </c>
      <c r="E6386" t="inlineStr">
        <is>
          <t>HUDIKSVALL</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58450-2022</t>
        </is>
      </c>
      <c r="B6387" s="1" t="n">
        <v>44901</v>
      </c>
      <c r="C6387" s="1" t="n">
        <v>45344</v>
      </c>
      <c r="D6387" t="inlineStr">
        <is>
          <t>GÄVLEBORGS LÄN</t>
        </is>
      </c>
      <c r="E6387" t="inlineStr">
        <is>
          <t>NORDANSTIG</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58550-2022</t>
        </is>
      </c>
      <c r="B6388" s="1" t="n">
        <v>44902</v>
      </c>
      <c r="C6388" s="1" t="n">
        <v>45344</v>
      </c>
      <c r="D6388" t="inlineStr">
        <is>
          <t>GÄVLEBORGS LÄN</t>
        </is>
      </c>
      <c r="E6388" t="inlineStr">
        <is>
          <t>SANDVIKEN</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58530-2022</t>
        </is>
      </c>
      <c r="B6389" s="1" t="n">
        <v>44902</v>
      </c>
      <c r="C6389" s="1" t="n">
        <v>45344</v>
      </c>
      <c r="D6389" t="inlineStr">
        <is>
          <t>GÄVLEBORGS LÄN</t>
        </is>
      </c>
      <c r="E6389" t="inlineStr">
        <is>
          <t>LJUSDAL</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58467-2022</t>
        </is>
      </c>
      <c r="B6390" s="1" t="n">
        <v>44902</v>
      </c>
      <c r="C6390" s="1" t="n">
        <v>45344</v>
      </c>
      <c r="D6390" t="inlineStr">
        <is>
          <t>GÄVLEBORGS LÄN</t>
        </is>
      </c>
      <c r="E6390" t="inlineStr">
        <is>
          <t>OVANÅKER</t>
        </is>
      </c>
      <c r="F6390" t="inlineStr">
        <is>
          <t>Bergvik skog väst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58602-2022</t>
        </is>
      </c>
      <c r="B6391" s="1" t="n">
        <v>44902</v>
      </c>
      <c r="C6391" s="1" t="n">
        <v>45344</v>
      </c>
      <c r="D6391" t="inlineStr">
        <is>
          <t>GÄVLEBORGS LÄN</t>
        </is>
      </c>
      <c r="E6391" t="inlineStr">
        <is>
          <t>OVANÅKER</t>
        </is>
      </c>
      <c r="F6391" t="inlineStr">
        <is>
          <t>Bergvik skog väst AB</t>
        </is>
      </c>
      <c r="G6391" t="n">
        <v>6.1</v>
      </c>
      <c r="H6391" t="n">
        <v>0</v>
      </c>
      <c r="I6391" t="n">
        <v>0</v>
      </c>
      <c r="J6391" t="n">
        <v>0</v>
      </c>
      <c r="K6391" t="n">
        <v>0</v>
      </c>
      <c r="L6391" t="n">
        <v>0</v>
      </c>
      <c r="M6391" t="n">
        <v>0</v>
      </c>
      <c r="N6391" t="n">
        <v>0</v>
      </c>
      <c r="O6391" t="n">
        <v>0</v>
      </c>
      <c r="P6391" t="n">
        <v>0</v>
      </c>
      <c r="Q6391" t="n">
        <v>0</v>
      </c>
      <c r="R6391" s="2" t="inlineStr"/>
    </row>
    <row r="6392" ht="15" customHeight="1">
      <c r="A6392" t="inlineStr">
        <is>
          <t>A 58600-2022</t>
        </is>
      </c>
      <c r="B6392" s="1" t="n">
        <v>44902</v>
      </c>
      <c r="C6392" s="1" t="n">
        <v>45344</v>
      </c>
      <c r="D6392" t="inlineStr">
        <is>
          <t>GÄVLEBORGS LÄN</t>
        </is>
      </c>
      <c r="E6392" t="inlineStr">
        <is>
          <t>LJUSDAL</t>
        </is>
      </c>
      <c r="G6392" t="n">
        <v>4.2</v>
      </c>
      <c r="H6392" t="n">
        <v>0</v>
      </c>
      <c r="I6392" t="n">
        <v>0</v>
      </c>
      <c r="J6392" t="n">
        <v>0</v>
      </c>
      <c r="K6392" t="n">
        <v>0</v>
      </c>
      <c r="L6392" t="n">
        <v>0</v>
      </c>
      <c r="M6392" t="n">
        <v>0</v>
      </c>
      <c r="N6392" t="n">
        <v>0</v>
      </c>
      <c r="O6392" t="n">
        <v>0</v>
      </c>
      <c r="P6392" t="n">
        <v>0</v>
      </c>
      <c r="Q6392" t="n">
        <v>0</v>
      </c>
      <c r="R6392" s="2" t="inlineStr"/>
    </row>
    <row r="6393" ht="15" customHeight="1">
      <c r="A6393" t="inlineStr">
        <is>
          <t>A 58611-2022</t>
        </is>
      </c>
      <c r="B6393" s="1" t="n">
        <v>44902</v>
      </c>
      <c r="C6393" s="1" t="n">
        <v>45344</v>
      </c>
      <c r="D6393" t="inlineStr">
        <is>
          <t>GÄVLEBORGS LÄN</t>
        </is>
      </c>
      <c r="E6393" t="inlineStr">
        <is>
          <t>LJUSDAL</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58723-2022</t>
        </is>
      </c>
      <c r="B6394" s="1" t="n">
        <v>44902</v>
      </c>
      <c r="C6394" s="1" t="n">
        <v>45344</v>
      </c>
      <c r="D6394" t="inlineStr">
        <is>
          <t>GÄVLEBORGS LÄN</t>
        </is>
      </c>
      <c r="E6394" t="inlineStr">
        <is>
          <t>HUDIKSVALL</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58785-2022</t>
        </is>
      </c>
      <c r="B6395" s="1" t="n">
        <v>44903</v>
      </c>
      <c r="C6395" s="1" t="n">
        <v>45344</v>
      </c>
      <c r="D6395" t="inlineStr">
        <is>
          <t>GÄVLEBORGS LÄN</t>
        </is>
      </c>
      <c r="E6395" t="inlineStr">
        <is>
          <t>SANDVIKEN</t>
        </is>
      </c>
      <c r="F6395" t="inlineStr">
        <is>
          <t>Bergvik skog öst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58918-2022</t>
        </is>
      </c>
      <c r="B6396" s="1" t="n">
        <v>44903</v>
      </c>
      <c r="C6396" s="1" t="n">
        <v>45344</v>
      </c>
      <c r="D6396" t="inlineStr">
        <is>
          <t>GÄVLEBORGS LÄN</t>
        </is>
      </c>
      <c r="E6396" t="inlineStr">
        <is>
          <t>OVANÅKER</t>
        </is>
      </c>
      <c r="F6396" t="inlineStr">
        <is>
          <t>Bergvik skog väst AB</t>
        </is>
      </c>
      <c r="G6396" t="n">
        <v>0.5</v>
      </c>
      <c r="H6396" t="n">
        <v>0</v>
      </c>
      <c r="I6396" t="n">
        <v>0</v>
      </c>
      <c r="J6396" t="n">
        <v>0</v>
      </c>
      <c r="K6396" t="n">
        <v>0</v>
      </c>
      <c r="L6396" t="n">
        <v>0</v>
      </c>
      <c r="M6396" t="n">
        <v>0</v>
      </c>
      <c r="N6396" t="n">
        <v>0</v>
      </c>
      <c r="O6396" t="n">
        <v>0</v>
      </c>
      <c r="P6396" t="n">
        <v>0</v>
      </c>
      <c r="Q6396" t="n">
        <v>0</v>
      </c>
      <c r="R6396" s="2" t="inlineStr"/>
    </row>
    <row r="6397" ht="15" customHeight="1">
      <c r="A6397" t="inlineStr">
        <is>
          <t>A 58783-2022</t>
        </is>
      </c>
      <c r="B6397" s="1" t="n">
        <v>44903</v>
      </c>
      <c r="C6397" s="1" t="n">
        <v>45344</v>
      </c>
      <c r="D6397" t="inlineStr">
        <is>
          <t>GÄVLEBORGS LÄN</t>
        </is>
      </c>
      <c r="E6397" t="inlineStr">
        <is>
          <t>LJUSDAL</t>
        </is>
      </c>
      <c r="F6397" t="inlineStr">
        <is>
          <t>Kyrkan</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58796-2022</t>
        </is>
      </c>
      <c r="B6398" s="1" t="n">
        <v>44903</v>
      </c>
      <c r="C6398" s="1" t="n">
        <v>45344</v>
      </c>
      <c r="D6398" t="inlineStr">
        <is>
          <t>GÄVLEBORGS LÄN</t>
        </is>
      </c>
      <c r="E6398" t="inlineStr">
        <is>
          <t>LJUSDAL</t>
        </is>
      </c>
      <c r="F6398" t="inlineStr">
        <is>
          <t>Kyrkan</t>
        </is>
      </c>
      <c r="G6398" t="n">
        <v>6.8</v>
      </c>
      <c r="H6398" t="n">
        <v>0</v>
      </c>
      <c r="I6398" t="n">
        <v>0</v>
      </c>
      <c r="J6398" t="n">
        <v>0</v>
      </c>
      <c r="K6398" t="n">
        <v>0</v>
      </c>
      <c r="L6398" t="n">
        <v>0</v>
      </c>
      <c r="M6398" t="n">
        <v>0</v>
      </c>
      <c r="N6398" t="n">
        <v>0</v>
      </c>
      <c r="O6398" t="n">
        <v>0</v>
      </c>
      <c r="P6398" t="n">
        <v>0</v>
      </c>
      <c r="Q6398" t="n">
        <v>0</v>
      </c>
      <c r="R6398" s="2" t="inlineStr"/>
      <c r="U6398">
        <f>HYPERLINK("https://klasma.github.io/Logging_2161/knärot/A 58796-2022 karta knärot.png", "A 58796-2022")</f>
        <v/>
      </c>
      <c r="V6398">
        <f>HYPERLINK("https://klasma.github.io/Logging_2161/klagomål/A 58796-2022 FSC-klagomål.docx", "A 58796-2022")</f>
        <v/>
      </c>
      <c r="W6398">
        <f>HYPERLINK("https://klasma.github.io/Logging_2161/klagomålsmail/A 58796-2022 FSC-klagomål mail.docx", "A 58796-2022")</f>
        <v/>
      </c>
      <c r="X6398">
        <f>HYPERLINK("https://klasma.github.io/Logging_2161/tillsyn/A 58796-2022 tillsynsbegäran.docx", "A 58796-2022")</f>
        <v/>
      </c>
      <c r="Y6398">
        <f>HYPERLINK("https://klasma.github.io/Logging_2161/tillsynsmail/A 58796-2022 tillsynsbegäran mail.docx", "A 58796-2022")</f>
        <v/>
      </c>
    </row>
    <row r="6399" ht="15" customHeight="1">
      <c r="A6399" t="inlineStr">
        <is>
          <t>A 58942-2022</t>
        </is>
      </c>
      <c r="B6399" s="1" t="n">
        <v>44903</v>
      </c>
      <c r="C6399" s="1" t="n">
        <v>45344</v>
      </c>
      <c r="D6399" t="inlineStr">
        <is>
          <t>GÄVLEBORGS LÄN</t>
        </is>
      </c>
      <c r="E6399" t="inlineStr">
        <is>
          <t>HUDIKSVALL</t>
        </is>
      </c>
      <c r="F6399" t="inlineStr">
        <is>
          <t>Holmen skog AB</t>
        </is>
      </c>
      <c r="G6399" t="n">
        <v>5.7</v>
      </c>
      <c r="H6399" t="n">
        <v>0</v>
      </c>
      <c r="I6399" t="n">
        <v>0</v>
      </c>
      <c r="J6399" t="n">
        <v>0</v>
      </c>
      <c r="K6399" t="n">
        <v>0</v>
      </c>
      <c r="L6399" t="n">
        <v>0</v>
      </c>
      <c r="M6399" t="n">
        <v>0</v>
      </c>
      <c r="N6399" t="n">
        <v>0</v>
      </c>
      <c r="O6399" t="n">
        <v>0</v>
      </c>
      <c r="P6399" t="n">
        <v>0</v>
      </c>
      <c r="Q6399" t="n">
        <v>0</v>
      </c>
      <c r="R6399" s="2" t="inlineStr"/>
    </row>
    <row r="6400" ht="15" customHeight="1">
      <c r="A6400" t="inlineStr">
        <is>
          <t>A 58820-2022</t>
        </is>
      </c>
      <c r="B6400" s="1" t="n">
        <v>44903</v>
      </c>
      <c r="C6400" s="1" t="n">
        <v>45344</v>
      </c>
      <c r="D6400" t="inlineStr">
        <is>
          <t>GÄVLEBORGS LÄN</t>
        </is>
      </c>
      <c r="E6400" t="inlineStr">
        <is>
          <t>LJUSDAL</t>
        </is>
      </c>
      <c r="F6400" t="inlineStr">
        <is>
          <t>Kyrkan</t>
        </is>
      </c>
      <c r="G6400" t="n">
        <v>13</v>
      </c>
      <c r="H6400" t="n">
        <v>0</v>
      </c>
      <c r="I6400" t="n">
        <v>0</v>
      </c>
      <c r="J6400" t="n">
        <v>0</v>
      </c>
      <c r="K6400" t="n">
        <v>0</v>
      </c>
      <c r="L6400" t="n">
        <v>0</v>
      </c>
      <c r="M6400" t="n">
        <v>0</v>
      </c>
      <c r="N6400" t="n">
        <v>0</v>
      </c>
      <c r="O6400" t="n">
        <v>0</v>
      </c>
      <c r="P6400" t="n">
        <v>0</v>
      </c>
      <c r="Q6400" t="n">
        <v>0</v>
      </c>
      <c r="R6400" s="2" t="inlineStr"/>
    </row>
    <row r="6401" ht="15" customHeight="1">
      <c r="A6401" t="inlineStr">
        <is>
          <t>A 58875-2022</t>
        </is>
      </c>
      <c r="B6401" s="1" t="n">
        <v>44903</v>
      </c>
      <c r="C6401" s="1" t="n">
        <v>45344</v>
      </c>
      <c r="D6401" t="inlineStr">
        <is>
          <t>GÄVLEBORGS LÄN</t>
        </is>
      </c>
      <c r="E6401" t="inlineStr">
        <is>
          <t>OVANÅKER</t>
        </is>
      </c>
      <c r="F6401" t="inlineStr">
        <is>
          <t>Bergvik skog väst AB</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58900-2022</t>
        </is>
      </c>
      <c r="B6402" s="1" t="n">
        <v>44903</v>
      </c>
      <c r="C6402" s="1" t="n">
        <v>45344</v>
      </c>
      <c r="D6402" t="inlineStr">
        <is>
          <t>GÄVLEBORGS LÄN</t>
        </is>
      </c>
      <c r="E6402" t="inlineStr">
        <is>
          <t>OVANÅKER</t>
        </is>
      </c>
      <c r="F6402" t="inlineStr">
        <is>
          <t>Bergvik skog väst AB</t>
        </is>
      </c>
      <c r="G6402" t="n">
        <v>6.7</v>
      </c>
      <c r="H6402" t="n">
        <v>0</v>
      </c>
      <c r="I6402" t="n">
        <v>0</v>
      </c>
      <c r="J6402" t="n">
        <v>0</v>
      </c>
      <c r="K6402" t="n">
        <v>0</v>
      </c>
      <c r="L6402" t="n">
        <v>0</v>
      </c>
      <c r="M6402" t="n">
        <v>0</v>
      </c>
      <c r="N6402" t="n">
        <v>0</v>
      </c>
      <c r="O6402" t="n">
        <v>0</v>
      </c>
      <c r="P6402" t="n">
        <v>0</v>
      </c>
      <c r="Q6402" t="n">
        <v>0</v>
      </c>
      <c r="R6402" s="2" t="inlineStr"/>
    </row>
    <row r="6403" ht="15" customHeight="1">
      <c r="A6403" t="inlineStr">
        <is>
          <t>A 59077-2022</t>
        </is>
      </c>
      <c r="B6403" s="1" t="n">
        <v>44904</v>
      </c>
      <c r="C6403" s="1" t="n">
        <v>45344</v>
      </c>
      <c r="D6403" t="inlineStr">
        <is>
          <t>GÄVLEBORGS LÄN</t>
        </is>
      </c>
      <c r="E6403" t="inlineStr">
        <is>
          <t>LJUSDAL</t>
        </is>
      </c>
      <c r="F6403" t="inlineStr">
        <is>
          <t>Holmen skog AB</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59118-2022</t>
        </is>
      </c>
      <c r="B6404" s="1" t="n">
        <v>44904</v>
      </c>
      <c r="C6404" s="1" t="n">
        <v>45344</v>
      </c>
      <c r="D6404" t="inlineStr">
        <is>
          <t>GÄVLEBORGS LÄN</t>
        </is>
      </c>
      <c r="E6404" t="inlineStr">
        <is>
          <t>HUDIKSVALL</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59064-2022</t>
        </is>
      </c>
      <c r="B6405" s="1" t="n">
        <v>44904</v>
      </c>
      <c r="C6405" s="1" t="n">
        <v>45344</v>
      </c>
      <c r="D6405" t="inlineStr">
        <is>
          <t>GÄVLEBORGS LÄN</t>
        </is>
      </c>
      <c r="E6405" t="inlineStr">
        <is>
          <t>HUDIKSVALL</t>
        </is>
      </c>
      <c r="F6405" t="inlineStr">
        <is>
          <t>Kyrkan</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59261-2022</t>
        </is>
      </c>
      <c r="B6406" s="1" t="n">
        <v>44904</v>
      </c>
      <c r="C6406" s="1" t="n">
        <v>45344</v>
      </c>
      <c r="D6406" t="inlineStr">
        <is>
          <t>GÄVLEBORGS LÄN</t>
        </is>
      </c>
      <c r="E6406" t="inlineStr">
        <is>
          <t>GÄVLE</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59211-2022</t>
        </is>
      </c>
      <c r="B6407" s="1" t="n">
        <v>44904</v>
      </c>
      <c r="C6407" s="1" t="n">
        <v>45344</v>
      </c>
      <c r="D6407" t="inlineStr">
        <is>
          <t>GÄVLEBORGS LÄN</t>
        </is>
      </c>
      <c r="E6407" t="inlineStr">
        <is>
          <t>NORDANSTIG</t>
        </is>
      </c>
      <c r="F6407" t="inlineStr">
        <is>
          <t>Holmen skog AB</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59331-2022</t>
        </is>
      </c>
      <c r="B6408" s="1" t="n">
        <v>44904</v>
      </c>
      <c r="C6408" s="1" t="n">
        <v>45344</v>
      </c>
      <c r="D6408" t="inlineStr">
        <is>
          <t>GÄVLEBORGS LÄN</t>
        </is>
      </c>
      <c r="E6408" t="inlineStr">
        <is>
          <t>BOLLNÄS</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59109-2022</t>
        </is>
      </c>
      <c r="B6409" s="1" t="n">
        <v>44904</v>
      </c>
      <c r="C6409" s="1" t="n">
        <v>45344</v>
      </c>
      <c r="D6409" t="inlineStr">
        <is>
          <t>GÄVLEBORGS LÄN</t>
        </is>
      </c>
      <c r="E6409" t="inlineStr">
        <is>
          <t>NORDANSTIG</t>
        </is>
      </c>
      <c r="F6409" t="inlineStr">
        <is>
          <t>Holmen skog AB</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59120-2022</t>
        </is>
      </c>
      <c r="B6410" s="1" t="n">
        <v>44904</v>
      </c>
      <c r="C6410" s="1" t="n">
        <v>45344</v>
      </c>
      <c r="D6410" t="inlineStr">
        <is>
          <t>GÄVLEBORGS LÄN</t>
        </is>
      </c>
      <c r="E6410" t="inlineStr">
        <is>
          <t>LJUSDAL</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59186-2022</t>
        </is>
      </c>
      <c r="B6411" s="1" t="n">
        <v>44904</v>
      </c>
      <c r="C6411" s="1" t="n">
        <v>45344</v>
      </c>
      <c r="D6411" t="inlineStr">
        <is>
          <t>GÄVLEBORGS LÄN</t>
        </is>
      </c>
      <c r="E6411" t="inlineStr">
        <is>
          <t>OVANÅKER</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59213-2022</t>
        </is>
      </c>
      <c r="B6412" s="1" t="n">
        <v>44904</v>
      </c>
      <c r="C6412" s="1" t="n">
        <v>45344</v>
      </c>
      <c r="D6412" t="inlineStr">
        <is>
          <t>GÄVLEBORGS LÄN</t>
        </is>
      </c>
      <c r="E6412" t="inlineStr">
        <is>
          <t>NORDANSTIG</t>
        </is>
      </c>
      <c r="F6412" t="inlineStr">
        <is>
          <t>Holmen skog AB</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59259-2022</t>
        </is>
      </c>
      <c r="B6413" s="1" t="n">
        <v>44904</v>
      </c>
      <c r="C6413" s="1" t="n">
        <v>45344</v>
      </c>
      <c r="D6413" t="inlineStr">
        <is>
          <t>GÄVLEBORGS LÄN</t>
        </is>
      </c>
      <c r="E6413" t="inlineStr">
        <is>
          <t>GÄVLE</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59313-2022</t>
        </is>
      </c>
      <c r="B6414" s="1" t="n">
        <v>44904</v>
      </c>
      <c r="C6414" s="1" t="n">
        <v>45344</v>
      </c>
      <c r="D6414" t="inlineStr">
        <is>
          <t>GÄVLEBORGS LÄN</t>
        </is>
      </c>
      <c r="E6414" t="inlineStr">
        <is>
          <t>GÄVLE</t>
        </is>
      </c>
      <c r="F6414" t="inlineStr">
        <is>
          <t>Bergvik skog öst AB</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59322-2022</t>
        </is>
      </c>
      <c r="B6415" s="1" t="n">
        <v>44904</v>
      </c>
      <c r="C6415" s="1" t="n">
        <v>45344</v>
      </c>
      <c r="D6415" t="inlineStr">
        <is>
          <t>GÄVLEBORGS LÄN</t>
        </is>
      </c>
      <c r="E6415" t="inlineStr">
        <is>
          <t>GÄVLE</t>
        </is>
      </c>
      <c r="F6415" t="inlineStr">
        <is>
          <t>Bergvik skog öst AB</t>
        </is>
      </c>
      <c r="G6415" t="n">
        <v>0.9</v>
      </c>
      <c r="H6415" t="n">
        <v>0</v>
      </c>
      <c r="I6415" t="n">
        <v>0</v>
      </c>
      <c r="J6415" t="n">
        <v>0</v>
      </c>
      <c r="K6415" t="n">
        <v>0</v>
      </c>
      <c r="L6415" t="n">
        <v>0</v>
      </c>
      <c r="M6415" t="n">
        <v>0</v>
      </c>
      <c r="N6415" t="n">
        <v>0</v>
      </c>
      <c r="O6415" t="n">
        <v>0</v>
      </c>
      <c r="P6415" t="n">
        <v>0</v>
      </c>
      <c r="Q6415" t="n">
        <v>0</v>
      </c>
      <c r="R6415" s="2" t="inlineStr"/>
    </row>
    <row r="6416" ht="15" customHeight="1">
      <c r="A6416" t="inlineStr">
        <is>
          <t>A 60822-2022</t>
        </is>
      </c>
      <c r="B6416" s="1" t="n">
        <v>44904</v>
      </c>
      <c r="C6416" s="1" t="n">
        <v>45344</v>
      </c>
      <c r="D6416" t="inlineStr">
        <is>
          <t>GÄVLEBORGS LÄN</t>
        </is>
      </c>
      <c r="E6416" t="inlineStr">
        <is>
          <t>LJUSDAL</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59451-2022</t>
        </is>
      </c>
      <c r="B6417" s="1" t="n">
        <v>44907</v>
      </c>
      <c r="C6417" s="1" t="n">
        <v>45344</v>
      </c>
      <c r="D6417" t="inlineStr">
        <is>
          <t>GÄVLEBORGS LÄN</t>
        </is>
      </c>
      <c r="E6417" t="inlineStr">
        <is>
          <t>SANDVIKEN</t>
        </is>
      </c>
      <c r="F6417" t="inlineStr">
        <is>
          <t>Bergvik skog öst AB</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59425-2022</t>
        </is>
      </c>
      <c r="B6418" s="1" t="n">
        <v>44907</v>
      </c>
      <c r="C6418" s="1" t="n">
        <v>45344</v>
      </c>
      <c r="D6418" t="inlineStr">
        <is>
          <t>GÄVLEBORGS LÄN</t>
        </is>
      </c>
      <c r="E6418" t="inlineStr">
        <is>
          <t>NORDANSTIG</t>
        </is>
      </c>
      <c r="F6418" t="inlineStr">
        <is>
          <t>Holmen skog AB</t>
        </is>
      </c>
      <c r="G6418" t="n">
        <v>3.5</v>
      </c>
      <c r="H6418" t="n">
        <v>0</v>
      </c>
      <c r="I6418" t="n">
        <v>0</v>
      </c>
      <c r="J6418" t="n">
        <v>0</v>
      </c>
      <c r="K6418" t="n">
        <v>0</v>
      </c>
      <c r="L6418" t="n">
        <v>0</v>
      </c>
      <c r="M6418" t="n">
        <v>0</v>
      </c>
      <c r="N6418" t="n">
        <v>0</v>
      </c>
      <c r="O6418" t="n">
        <v>0</v>
      </c>
      <c r="P6418" t="n">
        <v>0</v>
      </c>
      <c r="Q6418" t="n">
        <v>0</v>
      </c>
      <c r="R6418" s="2" t="inlineStr"/>
    </row>
    <row r="6419" ht="15" customHeight="1">
      <c r="A6419" t="inlineStr">
        <is>
          <t>A 59459-2022</t>
        </is>
      </c>
      <c r="B6419" s="1" t="n">
        <v>44907</v>
      </c>
      <c r="C6419" s="1" t="n">
        <v>45344</v>
      </c>
      <c r="D6419" t="inlineStr">
        <is>
          <t>GÄVLEBORGS LÄN</t>
        </is>
      </c>
      <c r="E6419" t="inlineStr">
        <is>
          <t>SANDVIKEN</t>
        </is>
      </c>
      <c r="F6419" t="inlineStr">
        <is>
          <t>Bergvik skog öst AB</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59476-2022</t>
        </is>
      </c>
      <c r="B6420" s="1" t="n">
        <v>44907</v>
      </c>
      <c r="C6420" s="1" t="n">
        <v>45344</v>
      </c>
      <c r="D6420" t="inlineStr">
        <is>
          <t>GÄVLEBORGS LÄN</t>
        </is>
      </c>
      <c r="E6420" t="inlineStr">
        <is>
          <t>SÖDERHAMN</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59522-2022</t>
        </is>
      </c>
      <c r="B6421" s="1" t="n">
        <v>44907</v>
      </c>
      <c r="C6421" s="1" t="n">
        <v>45344</v>
      </c>
      <c r="D6421" t="inlineStr">
        <is>
          <t>GÄVLEBORGS LÄN</t>
        </is>
      </c>
      <c r="E6421" t="inlineStr">
        <is>
          <t>HUDIKSVALL</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59422-2022</t>
        </is>
      </c>
      <c r="B6422" s="1" t="n">
        <v>44907</v>
      </c>
      <c r="C6422" s="1" t="n">
        <v>45344</v>
      </c>
      <c r="D6422" t="inlineStr">
        <is>
          <t>GÄVLEBORGS LÄN</t>
        </is>
      </c>
      <c r="E6422" t="inlineStr">
        <is>
          <t>NORDANSTIG</t>
        </is>
      </c>
      <c r="F6422" t="inlineStr">
        <is>
          <t>Holmen skog AB</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59478-2022</t>
        </is>
      </c>
      <c r="B6423" s="1" t="n">
        <v>44907</v>
      </c>
      <c r="C6423" s="1" t="n">
        <v>45344</v>
      </c>
      <c r="D6423" t="inlineStr">
        <is>
          <t>GÄVLEBORGS LÄN</t>
        </is>
      </c>
      <c r="E6423" t="inlineStr">
        <is>
          <t>SANDVIKEN</t>
        </is>
      </c>
      <c r="F6423" t="inlineStr">
        <is>
          <t>Bergvik skog öst AB</t>
        </is>
      </c>
      <c r="G6423" t="n">
        <v>4.7</v>
      </c>
      <c r="H6423" t="n">
        <v>0</v>
      </c>
      <c r="I6423" t="n">
        <v>0</v>
      </c>
      <c r="J6423" t="n">
        <v>0</v>
      </c>
      <c r="K6423" t="n">
        <v>0</v>
      </c>
      <c r="L6423" t="n">
        <v>0</v>
      </c>
      <c r="M6423" t="n">
        <v>0</v>
      </c>
      <c r="N6423" t="n">
        <v>0</v>
      </c>
      <c r="O6423" t="n">
        <v>0</v>
      </c>
      <c r="P6423" t="n">
        <v>0</v>
      </c>
      <c r="Q6423" t="n">
        <v>0</v>
      </c>
      <c r="R6423" s="2" t="inlineStr"/>
    </row>
    <row r="6424" ht="15" customHeight="1">
      <c r="A6424" t="inlineStr">
        <is>
          <t>A 59567-2022</t>
        </is>
      </c>
      <c r="B6424" s="1" t="n">
        <v>44907</v>
      </c>
      <c r="C6424" s="1" t="n">
        <v>45344</v>
      </c>
      <c r="D6424" t="inlineStr">
        <is>
          <t>GÄVLEBORGS LÄN</t>
        </is>
      </c>
      <c r="E6424" t="inlineStr">
        <is>
          <t>HOFORS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59511-2022</t>
        </is>
      </c>
      <c r="B6425" s="1" t="n">
        <v>44907</v>
      </c>
      <c r="C6425" s="1" t="n">
        <v>45344</v>
      </c>
      <c r="D6425" t="inlineStr">
        <is>
          <t>GÄVLEBORGS LÄN</t>
        </is>
      </c>
      <c r="E6425" t="inlineStr">
        <is>
          <t>OVANÅKER</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59546-2022</t>
        </is>
      </c>
      <c r="B6426" s="1" t="n">
        <v>44907</v>
      </c>
      <c r="C6426" s="1" t="n">
        <v>45344</v>
      </c>
      <c r="D6426" t="inlineStr">
        <is>
          <t>GÄVLEBORGS LÄN</t>
        </is>
      </c>
      <c r="E6426" t="inlineStr">
        <is>
          <t>GÄVLE</t>
        </is>
      </c>
      <c r="F6426" t="inlineStr">
        <is>
          <t>Bergvik skog väst AB</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59571-2022</t>
        </is>
      </c>
      <c r="B6427" s="1" t="n">
        <v>44907</v>
      </c>
      <c r="C6427" s="1" t="n">
        <v>45344</v>
      </c>
      <c r="D6427" t="inlineStr">
        <is>
          <t>GÄVLEBORGS LÄN</t>
        </is>
      </c>
      <c r="E6427" t="inlineStr">
        <is>
          <t>HUDIKSVALL</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60898-2022</t>
        </is>
      </c>
      <c r="B6428" s="1" t="n">
        <v>44907</v>
      </c>
      <c r="C6428" s="1" t="n">
        <v>45344</v>
      </c>
      <c r="D6428" t="inlineStr">
        <is>
          <t>GÄVLEBORGS LÄN</t>
        </is>
      </c>
      <c r="E6428" t="inlineStr">
        <is>
          <t>OCKELBO</t>
        </is>
      </c>
      <c r="G6428" t="n">
        <v>4.3</v>
      </c>
      <c r="H6428" t="n">
        <v>0</v>
      </c>
      <c r="I6428" t="n">
        <v>0</v>
      </c>
      <c r="J6428" t="n">
        <v>0</v>
      </c>
      <c r="K6428" t="n">
        <v>0</v>
      </c>
      <c r="L6428" t="n">
        <v>0</v>
      </c>
      <c r="M6428" t="n">
        <v>0</v>
      </c>
      <c r="N6428" t="n">
        <v>0</v>
      </c>
      <c r="O6428" t="n">
        <v>0</v>
      </c>
      <c r="P6428" t="n">
        <v>0</v>
      </c>
      <c r="Q6428" t="n">
        <v>0</v>
      </c>
      <c r="R6428" s="2" t="inlineStr"/>
    </row>
    <row r="6429" ht="15" customHeight="1">
      <c r="A6429" t="inlineStr">
        <is>
          <t>A 59729-2022</t>
        </is>
      </c>
      <c r="B6429" s="1" t="n">
        <v>44908</v>
      </c>
      <c r="C6429" s="1" t="n">
        <v>45344</v>
      </c>
      <c r="D6429" t="inlineStr">
        <is>
          <t>GÄVLEBORGS LÄN</t>
        </is>
      </c>
      <c r="E6429" t="inlineStr">
        <is>
          <t>BOLLNÄS</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59738-2022</t>
        </is>
      </c>
      <c r="B6430" s="1" t="n">
        <v>44908</v>
      </c>
      <c r="C6430" s="1" t="n">
        <v>45344</v>
      </c>
      <c r="D6430" t="inlineStr">
        <is>
          <t>GÄVLEBORGS LÄN</t>
        </is>
      </c>
      <c r="E6430" t="inlineStr">
        <is>
          <t>SANDVIKEN</t>
        </is>
      </c>
      <c r="G6430" t="n">
        <v>3.9</v>
      </c>
      <c r="H6430" t="n">
        <v>0</v>
      </c>
      <c r="I6430" t="n">
        <v>0</v>
      </c>
      <c r="J6430" t="n">
        <v>0</v>
      </c>
      <c r="K6430" t="n">
        <v>0</v>
      </c>
      <c r="L6430" t="n">
        <v>0</v>
      </c>
      <c r="M6430" t="n">
        <v>0</v>
      </c>
      <c r="N6430" t="n">
        <v>0</v>
      </c>
      <c r="O6430" t="n">
        <v>0</v>
      </c>
      <c r="P6430" t="n">
        <v>0</v>
      </c>
      <c r="Q6430" t="n">
        <v>0</v>
      </c>
      <c r="R6430" s="2" t="inlineStr"/>
    </row>
    <row r="6431" ht="15" customHeight="1">
      <c r="A6431" t="inlineStr">
        <is>
          <t>A 59743-2022</t>
        </is>
      </c>
      <c r="B6431" s="1" t="n">
        <v>44908</v>
      </c>
      <c r="C6431" s="1" t="n">
        <v>45344</v>
      </c>
      <c r="D6431" t="inlineStr">
        <is>
          <t>GÄVLEBORGS LÄN</t>
        </is>
      </c>
      <c r="E6431" t="inlineStr">
        <is>
          <t>SANDVIKEN</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59672-2022</t>
        </is>
      </c>
      <c r="B6432" s="1" t="n">
        <v>44908</v>
      </c>
      <c r="C6432" s="1" t="n">
        <v>45344</v>
      </c>
      <c r="D6432" t="inlineStr">
        <is>
          <t>GÄVLEBORGS LÄN</t>
        </is>
      </c>
      <c r="E6432" t="inlineStr">
        <is>
          <t>HUDIKSVALL</t>
        </is>
      </c>
      <c r="F6432" t="inlineStr">
        <is>
          <t>Holmen skog AB</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59742-2022</t>
        </is>
      </c>
      <c r="B6433" s="1" t="n">
        <v>44908</v>
      </c>
      <c r="C6433" s="1" t="n">
        <v>45344</v>
      </c>
      <c r="D6433" t="inlineStr">
        <is>
          <t>GÄVLEBORGS LÄN</t>
        </is>
      </c>
      <c r="E6433" t="inlineStr">
        <is>
          <t>HUDIKSVALL</t>
        </is>
      </c>
      <c r="F6433" t="inlineStr">
        <is>
          <t>Holmen skog AB</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59710-2022</t>
        </is>
      </c>
      <c r="B6434" s="1" t="n">
        <v>44908</v>
      </c>
      <c r="C6434" s="1" t="n">
        <v>45344</v>
      </c>
      <c r="D6434" t="inlineStr">
        <is>
          <t>GÄVLEBORGS LÄN</t>
        </is>
      </c>
      <c r="E6434" t="inlineStr">
        <is>
          <t>LJUSDAL</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59741-2022</t>
        </is>
      </c>
      <c r="B6435" s="1" t="n">
        <v>44908</v>
      </c>
      <c r="C6435" s="1" t="n">
        <v>45344</v>
      </c>
      <c r="D6435" t="inlineStr">
        <is>
          <t>GÄVLEBORGS LÄN</t>
        </is>
      </c>
      <c r="E6435" t="inlineStr">
        <is>
          <t>HUDIKSVALL</t>
        </is>
      </c>
      <c r="G6435" t="n">
        <v>7.3</v>
      </c>
      <c r="H6435" t="n">
        <v>0</v>
      </c>
      <c r="I6435" t="n">
        <v>0</v>
      </c>
      <c r="J6435" t="n">
        <v>0</v>
      </c>
      <c r="K6435" t="n">
        <v>0</v>
      </c>
      <c r="L6435" t="n">
        <v>0</v>
      </c>
      <c r="M6435" t="n">
        <v>0</v>
      </c>
      <c r="N6435" t="n">
        <v>0</v>
      </c>
      <c r="O6435" t="n">
        <v>0</v>
      </c>
      <c r="P6435" t="n">
        <v>0</v>
      </c>
      <c r="Q6435" t="n">
        <v>0</v>
      </c>
      <c r="R6435" s="2" t="inlineStr"/>
    </row>
    <row r="6436" ht="15" customHeight="1">
      <c r="A6436" t="inlineStr">
        <is>
          <t>A 59759-2022</t>
        </is>
      </c>
      <c r="B6436" s="1" t="n">
        <v>44908</v>
      </c>
      <c r="C6436" s="1" t="n">
        <v>45344</v>
      </c>
      <c r="D6436" t="inlineStr">
        <is>
          <t>GÄVLEBORGS LÄN</t>
        </is>
      </c>
      <c r="E6436" t="inlineStr">
        <is>
          <t>HUDIKSVALL</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59772-2022</t>
        </is>
      </c>
      <c r="B6437" s="1" t="n">
        <v>44908</v>
      </c>
      <c r="C6437" s="1" t="n">
        <v>45344</v>
      </c>
      <c r="D6437" t="inlineStr">
        <is>
          <t>GÄVLEBORGS LÄN</t>
        </is>
      </c>
      <c r="E6437" t="inlineStr">
        <is>
          <t>SANDVIKEN</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59790-2022</t>
        </is>
      </c>
      <c r="B6438" s="1" t="n">
        <v>44908</v>
      </c>
      <c r="C6438" s="1" t="n">
        <v>45344</v>
      </c>
      <c r="D6438" t="inlineStr">
        <is>
          <t>GÄVLEBORGS LÄN</t>
        </is>
      </c>
      <c r="E6438" t="inlineStr">
        <is>
          <t>HUDIKSVALL</t>
        </is>
      </c>
      <c r="F6438" t="inlineStr">
        <is>
          <t>Holmen skog AB</t>
        </is>
      </c>
      <c r="G6438" t="n">
        <v>5.2</v>
      </c>
      <c r="H6438" t="n">
        <v>0</v>
      </c>
      <c r="I6438" t="n">
        <v>0</v>
      </c>
      <c r="J6438" t="n">
        <v>0</v>
      </c>
      <c r="K6438" t="n">
        <v>0</v>
      </c>
      <c r="L6438" t="n">
        <v>0</v>
      </c>
      <c r="M6438" t="n">
        <v>0</v>
      </c>
      <c r="N6438" t="n">
        <v>0</v>
      </c>
      <c r="O6438" t="n">
        <v>0</v>
      </c>
      <c r="P6438" t="n">
        <v>0</v>
      </c>
      <c r="Q6438" t="n">
        <v>0</v>
      </c>
      <c r="R6438" s="2" t="inlineStr"/>
    </row>
    <row r="6439" ht="15" customHeight="1">
      <c r="A6439" t="inlineStr">
        <is>
          <t>A 59799-2022</t>
        </is>
      </c>
      <c r="B6439" s="1" t="n">
        <v>44908</v>
      </c>
      <c r="C6439" s="1" t="n">
        <v>45344</v>
      </c>
      <c r="D6439" t="inlineStr">
        <is>
          <t>GÄVLEBORGS LÄN</t>
        </is>
      </c>
      <c r="E6439" t="inlineStr">
        <is>
          <t>NORDANSTIG</t>
        </is>
      </c>
      <c r="F6439" t="inlineStr">
        <is>
          <t>Holmen skog AB</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59856-2022</t>
        </is>
      </c>
      <c r="B6440" s="1" t="n">
        <v>44908</v>
      </c>
      <c r="C6440" s="1" t="n">
        <v>45344</v>
      </c>
      <c r="D6440" t="inlineStr">
        <is>
          <t>GÄVLEBORGS LÄN</t>
        </is>
      </c>
      <c r="E6440" t="inlineStr">
        <is>
          <t>HUDIKSVALL</t>
        </is>
      </c>
      <c r="G6440" t="n">
        <v>2.8</v>
      </c>
      <c r="H6440" t="n">
        <v>0</v>
      </c>
      <c r="I6440" t="n">
        <v>0</v>
      </c>
      <c r="J6440" t="n">
        <v>0</v>
      </c>
      <c r="K6440" t="n">
        <v>0</v>
      </c>
      <c r="L6440" t="n">
        <v>0</v>
      </c>
      <c r="M6440" t="n">
        <v>0</v>
      </c>
      <c r="N6440" t="n">
        <v>0</v>
      </c>
      <c r="O6440" t="n">
        <v>0</v>
      </c>
      <c r="P6440" t="n">
        <v>0</v>
      </c>
      <c r="Q6440" t="n">
        <v>0</v>
      </c>
      <c r="R6440" s="2" t="inlineStr"/>
    </row>
    <row r="6441" ht="15" customHeight="1">
      <c r="A6441" t="inlineStr">
        <is>
          <t>A 59677-2022</t>
        </is>
      </c>
      <c r="B6441" s="1" t="n">
        <v>44908</v>
      </c>
      <c r="C6441" s="1" t="n">
        <v>45344</v>
      </c>
      <c r="D6441" t="inlineStr">
        <is>
          <t>GÄVLEBORGS LÄN</t>
        </is>
      </c>
      <c r="E6441" t="inlineStr">
        <is>
          <t>SANDVIKEN</t>
        </is>
      </c>
      <c r="F6441" t="inlineStr">
        <is>
          <t>Bergvik skog öst AB</t>
        </is>
      </c>
      <c r="G6441" t="n">
        <v>10.8</v>
      </c>
      <c r="H6441" t="n">
        <v>0</v>
      </c>
      <c r="I6441" t="n">
        <v>0</v>
      </c>
      <c r="J6441" t="n">
        <v>0</v>
      </c>
      <c r="K6441" t="n">
        <v>0</v>
      </c>
      <c r="L6441" t="n">
        <v>0</v>
      </c>
      <c r="M6441" t="n">
        <v>0</v>
      </c>
      <c r="N6441" t="n">
        <v>0</v>
      </c>
      <c r="O6441" t="n">
        <v>0</v>
      </c>
      <c r="P6441" t="n">
        <v>0</v>
      </c>
      <c r="Q6441" t="n">
        <v>0</v>
      </c>
      <c r="R6441" s="2" t="inlineStr"/>
    </row>
    <row r="6442" ht="15" customHeight="1">
      <c r="A6442" t="inlineStr">
        <is>
          <t>A 59901-2022</t>
        </is>
      </c>
      <c r="B6442" s="1" t="n">
        <v>44908</v>
      </c>
      <c r="C6442" s="1" t="n">
        <v>45344</v>
      </c>
      <c r="D6442" t="inlineStr">
        <is>
          <t>GÄVLEBORGS LÄN</t>
        </is>
      </c>
      <c r="E6442" t="inlineStr">
        <is>
          <t>LJUSDAL</t>
        </is>
      </c>
      <c r="G6442" t="n">
        <v>10.3</v>
      </c>
      <c r="H6442" t="n">
        <v>0</v>
      </c>
      <c r="I6442" t="n">
        <v>0</v>
      </c>
      <c r="J6442" t="n">
        <v>0</v>
      </c>
      <c r="K6442" t="n">
        <v>0</v>
      </c>
      <c r="L6442" t="n">
        <v>0</v>
      </c>
      <c r="M6442" t="n">
        <v>0</v>
      </c>
      <c r="N6442" t="n">
        <v>0</v>
      </c>
      <c r="O6442" t="n">
        <v>0</v>
      </c>
      <c r="P6442" t="n">
        <v>0</v>
      </c>
      <c r="Q6442" t="n">
        <v>0</v>
      </c>
      <c r="R6442" s="2" t="inlineStr"/>
    </row>
    <row r="6443" ht="15" customHeight="1">
      <c r="A6443" t="inlineStr">
        <is>
          <t>A 59798-2022</t>
        </is>
      </c>
      <c r="B6443" s="1" t="n">
        <v>44908</v>
      </c>
      <c r="C6443" s="1" t="n">
        <v>45344</v>
      </c>
      <c r="D6443" t="inlineStr">
        <is>
          <t>GÄVLEBORGS LÄN</t>
        </is>
      </c>
      <c r="E6443" t="inlineStr">
        <is>
          <t>HUDIKSVALL</t>
        </is>
      </c>
      <c r="G6443" t="n">
        <v>0.4</v>
      </c>
      <c r="H6443" t="n">
        <v>0</v>
      </c>
      <c r="I6443" t="n">
        <v>0</v>
      </c>
      <c r="J6443" t="n">
        <v>0</v>
      </c>
      <c r="K6443" t="n">
        <v>0</v>
      </c>
      <c r="L6443" t="n">
        <v>0</v>
      </c>
      <c r="M6443" t="n">
        <v>0</v>
      </c>
      <c r="N6443" t="n">
        <v>0</v>
      </c>
      <c r="O6443" t="n">
        <v>0</v>
      </c>
      <c r="P6443" t="n">
        <v>0</v>
      </c>
      <c r="Q6443" t="n">
        <v>0</v>
      </c>
      <c r="R6443" s="2" t="inlineStr"/>
    </row>
    <row r="6444" ht="15" customHeight="1">
      <c r="A6444" t="inlineStr">
        <is>
          <t>A 59808-2022</t>
        </is>
      </c>
      <c r="B6444" s="1" t="n">
        <v>44908</v>
      </c>
      <c r="C6444" s="1" t="n">
        <v>45344</v>
      </c>
      <c r="D6444" t="inlineStr">
        <is>
          <t>GÄVLEBORGS LÄN</t>
        </is>
      </c>
      <c r="E6444" t="inlineStr">
        <is>
          <t>HUDIKSVALL</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59826-2022</t>
        </is>
      </c>
      <c r="B6445" s="1" t="n">
        <v>44908</v>
      </c>
      <c r="C6445" s="1" t="n">
        <v>45344</v>
      </c>
      <c r="D6445" t="inlineStr">
        <is>
          <t>GÄVLEBORGS LÄN</t>
        </is>
      </c>
      <c r="E6445" t="inlineStr">
        <is>
          <t>LJUSDAL</t>
        </is>
      </c>
      <c r="F6445" t="inlineStr">
        <is>
          <t>Kommuner</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59906-2022</t>
        </is>
      </c>
      <c r="B6446" s="1" t="n">
        <v>44908</v>
      </c>
      <c r="C6446" s="1" t="n">
        <v>45344</v>
      </c>
      <c r="D6446" t="inlineStr">
        <is>
          <t>GÄVLEBORGS LÄN</t>
        </is>
      </c>
      <c r="E6446" t="inlineStr">
        <is>
          <t>SÖDERHAMN</t>
        </is>
      </c>
      <c r="G6446" t="n">
        <v>4</v>
      </c>
      <c r="H6446" t="n">
        <v>0</v>
      </c>
      <c r="I6446" t="n">
        <v>0</v>
      </c>
      <c r="J6446" t="n">
        <v>0</v>
      </c>
      <c r="K6446" t="n">
        <v>0</v>
      </c>
      <c r="L6446" t="n">
        <v>0</v>
      </c>
      <c r="M6446" t="n">
        <v>0</v>
      </c>
      <c r="N6446" t="n">
        <v>0</v>
      </c>
      <c r="O6446" t="n">
        <v>0</v>
      </c>
      <c r="P6446" t="n">
        <v>0</v>
      </c>
      <c r="Q6446" t="n">
        <v>0</v>
      </c>
      <c r="R6446" s="2" t="inlineStr"/>
    </row>
    <row r="6447" ht="15" customHeight="1">
      <c r="A6447" t="inlineStr">
        <is>
          <t>A 60099-2022</t>
        </is>
      </c>
      <c r="B6447" s="1" t="n">
        <v>44909</v>
      </c>
      <c r="C6447" s="1" t="n">
        <v>45344</v>
      </c>
      <c r="D6447" t="inlineStr">
        <is>
          <t>GÄVLEBORGS LÄN</t>
        </is>
      </c>
      <c r="E6447" t="inlineStr">
        <is>
          <t>LJUSDAL</t>
        </is>
      </c>
      <c r="F6447" t="inlineStr">
        <is>
          <t>Bergvik skog väst AB</t>
        </is>
      </c>
      <c r="G6447" t="n">
        <v>2.7</v>
      </c>
      <c r="H6447" t="n">
        <v>0</v>
      </c>
      <c r="I6447" t="n">
        <v>0</v>
      </c>
      <c r="J6447" t="n">
        <v>0</v>
      </c>
      <c r="K6447" t="n">
        <v>0</v>
      </c>
      <c r="L6447" t="n">
        <v>0</v>
      </c>
      <c r="M6447" t="n">
        <v>0</v>
      </c>
      <c r="N6447" t="n">
        <v>0</v>
      </c>
      <c r="O6447" t="n">
        <v>0</v>
      </c>
      <c r="P6447" t="n">
        <v>0</v>
      </c>
      <c r="Q6447" t="n">
        <v>0</v>
      </c>
      <c r="R6447" s="2" t="inlineStr"/>
    </row>
    <row r="6448" ht="15" customHeight="1">
      <c r="A6448" t="inlineStr">
        <is>
          <t>A 60118-2022</t>
        </is>
      </c>
      <c r="B6448" s="1" t="n">
        <v>44909</v>
      </c>
      <c r="C6448" s="1" t="n">
        <v>45344</v>
      </c>
      <c r="D6448" t="inlineStr">
        <is>
          <t>GÄVLEBORGS LÄN</t>
        </is>
      </c>
      <c r="E6448" t="inlineStr">
        <is>
          <t>LJUSDAL</t>
        </is>
      </c>
      <c r="F6448" t="inlineStr">
        <is>
          <t>Bergvik skog väst AB</t>
        </is>
      </c>
      <c r="G6448" t="n">
        <v>4.2</v>
      </c>
      <c r="H6448" t="n">
        <v>0</v>
      </c>
      <c r="I6448" t="n">
        <v>0</v>
      </c>
      <c r="J6448" t="n">
        <v>0</v>
      </c>
      <c r="K6448" t="n">
        <v>0</v>
      </c>
      <c r="L6448" t="n">
        <v>0</v>
      </c>
      <c r="M6448" t="n">
        <v>0</v>
      </c>
      <c r="N6448" t="n">
        <v>0</v>
      </c>
      <c r="O6448" t="n">
        <v>0</v>
      </c>
      <c r="P6448" t="n">
        <v>0</v>
      </c>
      <c r="Q6448" t="n">
        <v>0</v>
      </c>
      <c r="R6448" s="2" t="inlineStr"/>
    </row>
    <row r="6449" ht="15" customHeight="1">
      <c r="A6449" t="inlineStr">
        <is>
          <t>A 60111-2022</t>
        </is>
      </c>
      <c r="B6449" s="1" t="n">
        <v>44909</v>
      </c>
      <c r="C6449" s="1" t="n">
        <v>45344</v>
      </c>
      <c r="D6449" t="inlineStr">
        <is>
          <t>GÄVLEBORGS LÄN</t>
        </is>
      </c>
      <c r="E6449" t="inlineStr">
        <is>
          <t>HUDIKSVALL</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60125-2022</t>
        </is>
      </c>
      <c r="B6450" s="1" t="n">
        <v>44909</v>
      </c>
      <c r="C6450" s="1" t="n">
        <v>45344</v>
      </c>
      <c r="D6450" t="inlineStr">
        <is>
          <t>GÄVLEBORGS LÄN</t>
        </is>
      </c>
      <c r="E6450" t="inlineStr">
        <is>
          <t>LJUSDAL</t>
        </is>
      </c>
      <c r="F6450" t="inlineStr">
        <is>
          <t>Bergvik skog väst AB</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60032-2022</t>
        </is>
      </c>
      <c r="B6451" s="1" t="n">
        <v>44909</v>
      </c>
      <c r="C6451" s="1" t="n">
        <v>45344</v>
      </c>
      <c r="D6451" t="inlineStr">
        <is>
          <t>GÄVLEBORGS LÄN</t>
        </is>
      </c>
      <c r="E6451" t="inlineStr">
        <is>
          <t>BOLLNÄS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60142-2022</t>
        </is>
      </c>
      <c r="B6452" s="1" t="n">
        <v>44909</v>
      </c>
      <c r="C6452" s="1" t="n">
        <v>45344</v>
      </c>
      <c r="D6452" t="inlineStr">
        <is>
          <t>GÄVLEBORGS LÄN</t>
        </is>
      </c>
      <c r="E6452" t="inlineStr">
        <is>
          <t>SANDVIKEN</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60121-2022</t>
        </is>
      </c>
      <c r="B6453" s="1" t="n">
        <v>44909</v>
      </c>
      <c r="C6453" s="1" t="n">
        <v>45344</v>
      </c>
      <c r="D6453" t="inlineStr">
        <is>
          <t>GÄVLEBORGS LÄN</t>
        </is>
      </c>
      <c r="E6453" t="inlineStr">
        <is>
          <t>LJUSDAL</t>
        </is>
      </c>
      <c r="F6453" t="inlineStr">
        <is>
          <t>Bergvik skog väst AB</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60130-2022</t>
        </is>
      </c>
      <c r="B6454" s="1" t="n">
        <v>44909</v>
      </c>
      <c r="C6454" s="1" t="n">
        <v>45344</v>
      </c>
      <c r="D6454" t="inlineStr">
        <is>
          <t>GÄVLEBORGS LÄN</t>
        </is>
      </c>
      <c r="E6454" t="inlineStr">
        <is>
          <t>BOLLNÄS</t>
        </is>
      </c>
      <c r="G6454" t="n">
        <v>7.4</v>
      </c>
      <c r="H6454" t="n">
        <v>0</v>
      </c>
      <c r="I6454" t="n">
        <v>0</v>
      </c>
      <c r="J6454" t="n">
        <v>0</v>
      </c>
      <c r="K6454" t="n">
        <v>0</v>
      </c>
      <c r="L6454" t="n">
        <v>0</v>
      </c>
      <c r="M6454" t="n">
        <v>0</v>
      </c>
      <c r="N6454" t="n">
        <v>0</v>
      </c>
      <c r="O6454" t="n">
        <v>0</v>
      </c>
      <c r="P6454" t="n">
        <v>0</v>
      </c>
      <c r="Q6454" t="n">
        <v>0</v>
      </c>
      <c r="R6454" s="2" t="inlineStr"/>
    </row>
    <row r="6455" ht="15" customHeight="1">
      <c r="A6455" t="inlineStr">
        <is>
          <t>A 59973-2022</t>
        </is>
      </c>
      <c r="B6455" s="1" t="n">
        <v>44909</v>
      </c>
      <c r="C6455" s="1" t="n">
        <v>45344</v>
      </c>
      <c r="D6455" t="inlineStr">
        <is>
          <t>GÄVLEBORGS LÄN</t>
        </is>
      </c>
      <c r="E6455" t="inlineStr">
        <is>
          <t>HUDIKSVALL</t>
        </is>
      </c>
      <c r="F6455" t="inlineStr">
        <is>
          <t>Kyrkan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59998-2022</t>
        </is>
      </c>
      <c r="B6456" s="1" t="n">
        <v>44909</v>
      </c>
      <c r="C6456" s="1" t="n">
        <v>45344</v>
      </c>
      <c r="D6456" t="inlineStr">
        <is>
          <t>GÄVLEBORGS LÄN</t>
        </is>
      </c>
      <c r="E6456" t="inlineStr">
        <is>
          <t>OVANÅKER</t>
        </is>
      </c>
      <c r="F6456" t="inlineStr">
        <is>
          <t>Bergvik skog väst AB</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60197-2022</t>
        </is>
      </c>
      <c r="B6457" s="1" t="n">
        <v>44910</v>
      </c>
      <c r="C6457" s="1" t="n">
        <v>45344</v>
      </c>
      <c r="D6457" t="inlineStr">
        <is>
          <t>GÄVLEBORGS LÄN</t>
        </is>
      </c>
      <c r="E6457" t="inlineStr">
        <is>
          <t>HUDIKSVALL</t>
        </is>
      </c>
      <c r="G6457" t="n">
        <v>3.3</v>
      </c>
      <c r="H6457" t="n">
        <v>0</v>
      </c>
      <c r="I6457" t="n">
        <v>0</v>
      </c>
      <c r="J6457" t="n">
        <v>0</v>
      </c>
      <c r="K6457" t="n">
        <v>0</v>
      </c>
      <c r="L6457" t="n">
        <v>0</v>
      </c>
      <c r="M6457" t="n">
        <v>0</v>
      </c>
      <c r="N6457" t="n">
        <v>0</v>
      </c>
      <c r="O6457" t="n">
        <v>0</v>
      </c>
      <c r="P6457" t="n">
        <v>0</v>
      </c>
      <c r="Q6457" t="n">
        <v>0</v>
      </c>
      <c r="R6457" s="2" t="inlineStr"/>
    </row>
    <row r="6458" ht="15" customHeight="1">
      <c r="A6458" t="inlineStr">
        <is>
          <t>A 60229-2022</t>
        </is>
      </c>
      <c r="B6458" s="1" t="n">
        <v>44910</v>
      </c>
      <c r="C6458" s="1" t="n">
        <v>45344</v>
      </c>
      <c r="D6458" t="inlineStr">
        <is>
          <t>GÄVLEBORGS LÄN</t>
        </is>
      </c>
      <c r="E6458" t="inlineStr">
        <is>
          <t>HUDIKSVALL</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60183-2022</t>
        </is>
      </c>
      <c r="B6459" s="1" t="n">
        <v>44910</v>
      </c>
      <c r="C6459" s="1" t="n">
        <v>45344</v>
      </c>
      <c r="D6459" t="inlineStr">
        <is>
          <t>GÄVLEBORGS LÄN</t>
        </is>
      </c>
      <c r="E6459" t="inlineStr">
        <is>
          <t>LJUSDAL</t>
        </is>
      </c>
      <c r="F6459" t="inlineStr">
        <is>
          <t>Holmen skog AB</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60209-2022</t>
        </is>
      </c>
      <c r="B6460" s="1" t="n">
        <v>44910</v>
      </c>
      <c r="C6460" s="1" t="n">
        <v>45344</v>
      </c>
      <c r="D6460" t="inlineStr">
        <is>
          <t>GÄVLEBORGS LÄN</t>
        </is>
      </c>
      <c r="E6460" t="inlineStr">
        <is>
          <t>HUDIKSVALL</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60208-2022</t>
        </is>
      </c>
      <c r="B6461" s="1" t="n">
        <v>44910</v>
      </c>
      <c r="C6461" s="1" t="n">
        <v>45344</v>
      </c>
      <c r="D6461" t="inlineStr">
        <is>
          <t>GÄVLEBORGS LÄN</t>
        </is>
      </c>
      <c r="E6461" t="inlineStr">
        <is>
          <t>HUDIKSVALL</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60275-2022</t>
        </is>
      </c>
      <c r="B6462" s="1" t="n">
        <v>44910</v>
      </c>
      <c r="C6462" s="1" t="n">
        <v>45344</v>
      </c>
      <c r="D6462" t="inlineStr">
        <is>
          <t>GÄVLEBORGS LÄN</t>
        </is>
      </c>
      <c r="E6462" t="inlineStr">
        <is>
          <t>OVANÅKER</t>
        </is>
      </c>
      <c r="F6462" t="inlineStr">
        <is>
          <t>Sveaskog</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60273-2022</t>
        </is>
      </c>
      <c r="B6463" s="1" t="n">
        <v>44910</v>
      </c>
      <c r="C6463" s="1" t="n">
        <v>45344</v>
      </c>
      <c r="D6463" t="inlineStr">
        <is>
          <t>GÄVLEBORGS LÄN</t>
        </is>
      </c>
      <c r="E6463" t="inlineStr">
        <is>
          <t>LJUSDAL</t>
        </is>
      </c>
      <c r="F6463" t="inlineStr">
        <is>
          <t>Bergvik skog väst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60283-2022</t>
        </is>
      </c>
      <c r="B6464" s="1" t="n">
        <v>44910</v>
      </c>
      <c r="C6464" s="1" t="n">
        <v>45344</v>
      </c>
      <c r="D6464" t="inlineStr">
        <is>
          <t>GÄVLEBORGS LÄN</t>
        </is>
      </c>
      <c r="E6464" t="inlineStr">
        <is>
          <t>HUDIKSVALL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60335-2022</t>
        </is>
      </c>
      <c r="B6465" s="1" t="n">
        <v>44910</v>
      </c>
      <c r="C6465" s="1" t="n">
        <v>45344</v>
      </c>
      <c r="D6465" t="inlineStr">
        <is>
          <t>GÄVLEBORGS LÄN</t>
        </is>
      </c>
      <c r="E6465" t="inlineStr">
        <is>
          <t>BOLLNÄS</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60371-2022</t>
        </is>
      </c>
      <c r="B6466" s="1" t="n">
        <v>44910</v>
      </c>
      <c r="C6466" s="1" t="n">
        <v>45344</v>
      </c>
      <c r="D6466" t="inlineStr">
        <is>
          <t>GÄVLEBORGS LÄN</t>
        </is>
      </c>
      <c r="E6466" t="inlineStr">
        <is>
          <t>GÄVLE</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60375-2022</t>
        </is>
      </c>
      <c r="B6467" s="1" t="n">
        <v>44910</v>
      </c>
      <c r="C6467" s="1" t="n">
        <v>45344</v>
      </c>
      <c r="D6467" t="inlineStr">
        <is>
          <t>GÄVLEBORGS LÄN</t>
        </is>
      </c>
      <c r="E6467" t="inlineStr">
        <is>
          <t>HUDIKSVALL</t>
        </is>
      </c>
      <c r="G6467" t="n">
        <v>15.2</v>
      </c>
      <c r="H6467" t="n">
        <v>0</v>
      </c>
      <c r="I6467" t="n">
        <v>0</v>
      </c>
      <c r="J6467" t="n">
        <v>0</v>
      </c>
      <c r="K6467" t="n">
        <v>0</v>
      </c>
      <c r="L6467" t="n">
        <v>0</v>
      </c>
      <c r="M6467" t="n">
        <v>0</v>
      </c>
      <c r="N6467" t="n">
        <v>0</v>
      </c>
      <c r="O6467" t="n">
        <v>0</v>
      </c>
      <c r="P6467" t="n">
        <v>0</v>
      </c>
      <c r="Q6467" t="n">
        <v>0</v>
      </c>
      <c r="R6467" s="2" t="inlineStr"/>
    </row>
    <row r="6468" ht="15" customHeight="1">
      <c r="A6468" t="inlineStr">
        <is>
          <t>A 60396-2022</t>
        </is>
      </c>
      <c r="B6468" s="1" t="n">
        <v>44910</v>
      </c>
      <c r="C6468" s="1" t="n">
        <v>45344</v>
      </c>
      <c r="D6468" t="inlineStr">
        <is>
          <t>GÄVLEBORGS LÄN</t>
        </is>
      </c>
      <c r="E6468" t="inlineStr">
        <is>
          <t>GÄVLE</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60287-2022</t>
        </is>
      </c>
      <c r="B6469" s="1" t="n">
        <v>44910</v>
      </c>
      <c r="C6469" s="1" t="n">
        <v>45344</v>
      </c>
      <c r="D6469" t="inlineStr">
        <is>
          <t>GÄVLEBORGS LÄN</t>
        </is>
      </c>
      <c r="E6469" t="inlineStr">
        <is>
          <t>OVANÅKER</t>
        </is>
      </c>
      <c r="F6469" t="inlineStr">
        <is>
          <t>Sveaskog</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60291-2022</t>
        </is>
      </c>
      <c r="B6470" s="1" t="n">
        <v>44910</v>
      </c>
      <c r="C6470" s="1" t="n">
        <v>45344</v>
      </c>
      <c r="D6470" t="inlineStr">
        <is>
          <t>GÄVLEBORGS LÄN</t>
        </is>
      </c>
      <c r="E6470" t="inlineStr">
        <is>
          <t>OVANÅKER</t>
        </is>
      </c>
      <c r="F6470" t="inlineStr">
        <is>
          <t>Sveaskog</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60349-2022</t>
        </is>
      </c>
      <c r="B6471" s="1" t="n">
        <v>44910</v>
      </c>
      <c r="C6471" s="1" t="n">
        <v>45344</v>
      </c>
      <c r="D6471" t="inlineStr">
        <is>
          <t>GÄVLEBORGS LÄN</t>
        </is>
      </c>
      <c r="E6471" t="inlineStr">
        <is>
          <t>GÄVLE</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60376-2022</t>
        </is>
      </c>
      <c r="B6472" s="1" t="n">
        <v>44910</v>
      </c>
      <c r="C6472" s="1" t="n">
        <v>45344</v>
      </c>
      <c r="D6472" t="inlineStr">
        <is>
          <t>GÄVLEBORGS LÄN</t>
        </is>
      </c>
      <c r="E6472" t="inlineStr">
        <is>
          <t>GÄVLE</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60370-2022</t>
        </is>
      </c>
      <c r="B6473" s="1" t="n">
        <v>44910</v>
      </c>
      <c r="C6473" s="1" t="n">
        <v>45344</v>
      </c>
      <c r="D6473" t="inlineStr">
        <is>
          <t>GÄVLEBORGS LÄN</t>
        </is>
      </c>
      <c r="E6473" t="inlineStr">
        <is>
          <t>HUDIKSVALL</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60442-2022</t>
        </is>
      </c>
      <c r="B6474" s="1" t="n">
        <v>44911</v>
      </c>
      <c r="C6474" s="1" t="n">
        <v>45344</v>
      </c>
      <c r="D6474" t="inlineStr">
        <is>
          <t>GÄVLEBORGS LÄN</t>
        </is>
      </c>
      <c r="E6474" t="inlineStr">
        <is>
          <t>GÄVLE</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60588-2022</t>
        </is>
      </c>
      <c r="B6475" s="1" t="n">
        <v>44911</v>
      </c>
      <c r="C6475" s="1" t="n">
        <v>45344</v>
      </c>
      <c r="D6475" t="inlineStr">
        <is>
          <t>GÄVLEBORGS LÄN</t>
        </is>
      </c>
      <c r="E6475" t="inlineStr">
        <is>
          <t>HUDIKSVALL</t>
        </is>
      </c>
      <c r="F6475" t="inlineStr">
        <is>
          <t>Holmen skog AB</t>
        </is>
      </c>
      <c r="G6475" t="n">
        <v>6.4</v>
      </c>
      <c r="H6475" t="n">
        <v>0</v>
      </c>
      <c r="I6475" t="n">
        <v>0</v>
      </c>
      <c r="J6475" t="n">
        <v>0</v>
      </c>
      <c r="K6475" t="n">
        <v>0</v>
      </c>
      <c r="L6475" t="n">
        <v>0</v>
      </c>
      <c r="M6475" t="n">
        <v>0</v>
      </c>
      <c r="N6475" t="n">
        <v>0</v>
      </c>
      <c r="O6475" t="n">
        <v>0</v>
      </c>
      <c r="P6475" t="n">
        <v>0</v>
      </c>
      <c r="Q6475" t="n">
        <v>0</v>
      </c>
      <c r="R6475" s="2" t="inlineStr"/>
    </row>
    <row r="6476" ht="15" customHeight="1">
      <c r="A6476" t="inlineStr">
        <is>
          <t>A 60517-2022</t>
        </is>
      </c>
      <c r="B6476" s="1" t="n">
        <v>44911</v>
      </c>
      <c r="C6476" s="1" t="n">
        <v>45344</v>
      </c>
      <c r="D6476" t="inlineStr">
        <is>
          <t>GÄVLEBORGS LÄN</t>
        </is>
      </c>
      <c r="E6476" t="inlineStr">
        <is>
          <t>HUDIKSVALL</t>
        </is>
      </c>
      <c r="F6476" t="inlineStr">
        <is>
          <t>Holmen skog AB</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60541-2022</t>
        </is>
      </c>
      <c r="B6477" s="1" t="n">
        <v>44911</v>
      </c>
      <c r="C6477" s="1" t="n">
        <v>45344</v>
      </c>
      <c r="D6477" t="inlineStr">
        <is>
          <t>GÄVLEBORGS LÄN</t>
        </is>
      </c>
      <c r="E6477" t="inlineStr">
        <is>
          <t>LJUSDAL</t>
        </is>
      </c>
      <c r="F6477" t="inlineStr">
        <is>
          <t>Bergvik skog väst AB</t>
        </is>
      </c>
      <c r="G6477" t="n">
        <v>5.4</v>
      </c>
      <c r="H6477" t="n">
        <v>0</v>
      </c>
      <c r="I6477" t="n">
        <v>0</v>
      </c>
      <c r="J6477" t="n">
        <v>0</v>
      </c>
      <c r="K6477" t="n">
        <v>0</v>
      </c>
      <c r="L6477" t="n">
        <v>0</v>
      </c>
      <c r="M6477" t="n">
        <v>0</v>
      </c>
      <c r="N6477" t="n">
        <v>0</v>
      </c>
      <c r="O6477" t="n">
        <v>0</v>
      </c>
      <c r="P6477" t="n">
        <v>0</v>
      </c>
      <c r="Q6477" t="n">
        <v>0</v>
      </c>
      <c r="R6477" s="2" t="inlineStr"/>
    </row>
    <row r="6478" ht="15" customHeight="1">
      <c r="A6478" t="inlineStr">
        <is>
          <t>A 60500-2022</t>
        </is>
      </c>
      <c r="B6478" s="1" t="n">
        <v>44911</v>
      </c>
      <c r="C6478" s="1" t="n">
        <v>45344</v>
      </c>
      <c r="D6478" t="inlineStr">
        <is>
          <t>GÄVLEBORGS LÄN</t>
        </is>
      </c>
      <c r="E6478" t="inlineStr">
        <is>
          <t>HUDIKSVALL</t>
        </is>
      </c>
      <c r="F6478" t="inlineStr">
        <is>
          <t>Holmen skog AB</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60449-2022</t>
        </is>
      </c>
      <c r="B6479" s="1" t="n">
        <v>44911</v>
      </c>
      <c r="C6479" s="1" t="n">
        <v>45344</v>
      </c>
      <c r="D6479" t="inlineStr">
        <is>
          <t>GÄVLEBORGS LÄN</t>
        </is>
      </c>
      <c r="E6479" t="inlineStr">
        <is>
          <t>OVANÅKER</t>
        </is>
      </c>
      <c r="F6479" t="inlineStr">
        <is>
          <t>Sveaskog</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60553-2022</t>
        </is>
      </c>
      <c r="B6480" s="1" t="n">
        <v>44911</v>
      </c>
      <c r="C6480" s="1" t="n">
        <v>45344</v>
      </c>
      <c r="D6480" t="inlineStr">
        <is>
          <t>GÄVLEBORGS LÄN</t>
        </is>
      </c>
      <c r="E6480" t="inlineStr">
        <is>
          <t>LJUSDAL</t>
        </is>
      </c>
      <c r="F6480" t="inlineStr">
        <is>
          <t>Bergvik skog väst AB</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60778-2022</t>
        </is>
      </c>
      <c r="B6481" s="1" t="n">
        <v>44914</v>
      </c>
      <c r="C6481" s="1" t="n">
        <v>45344</v>
      </c>
      <c r="D6481" t="inlineStr">
        <is>
          <t>GÄVLEBORGS LÄN</t>
        </is>
      </c>
      <c r="E6481" t="inlineStr">
        <is>
          <t>OVANÅKER</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60839-2022</t>
        </is>
      </c>
      <c r="B6482" s="1" t="n">
        <v>44914</v>
      </c>
      <c r="C6482" s="1" t="n">
        <v>45344</v>
      </c>
      <c r="D6482" t="inlineStr">
        <is>
          <t>GÄVLEBORGS LÄN</t>
        </is>
      </c>
      <c r="E6482" t="inlineStr">
        <is>
          <t>HUDIKSVALL</t>
        </is>
      </c>
      <c r="F6482" t="inlineStr">
        <is>
          <t>Holmen skog AB</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60779-2022</t>
        </is>
      </c>
      <c r="B6483" s="1" t="n">
        <v>44914</v>
      </c>
      <c r="C6483" s="1" t="n">
        <v>45344</v>
      </c>
      <c r="D6483" t="inlineStr">
        <is>
          <t>GÄVLEBORGS LÄN</t>
        </is>
      </c>
      <c r="E6483" t="inlineStr">
        <is>
          <t>OVANÅKER</t>
        </is>
      </c>
      <c r="G6483" t="n">
        <v>1.4</v>
      </c>
      <c r="H6483" t="n">
        <v>0</v>
      </c>
      <c r="I6483" t="n">
        <v>0</v>
      </c>
      <c r="J6483" t="n">
        <v>0</v>
      </c>
      <c r="K6483" t="n">
        <v>0</v>
      </c>
      <c r="L6483" t="n">
        <v>0</v>
      </c>
      <c r="M6483" t="n">
        <v>0</v>
      </c>
      <c r="N6483" t="n">
        <v>0</v>
      </c>
      <c r="O6483" t="n">
        <v>0</v>
      </c>
      <c r="P6483" t="n">
        <v>0</v>
      </c>
      <c r="Q6483" t="n">
        <v>0</v>
      </c>
      <c r="R6483" s="2" t="inlineStr"/>
    </row>
    <row r="6484" ht="15" customHeight="1">
      <c r="A6484" t="inlineStr">
        <is>
          <t>A 60847-2022</t>
        </is>
      </c>
      <c r="B6484" s="1" t="n">
        <v>44914</v>
      </c>
      <c r="C6484" s="1" t="n">
        <v>45344</v>
      </c>
      <c r="D6484" t="inlineStr">
        <is>
          <t>GÄVLEBORGS LÄN</t>
        </is>
      </c>
      <c r="E6484" t="inlineStr">
        <is>
          <t>HUDIKSVALL</t>
        </is>
      </c>
      <c r="G6484" t="n">
        <v>0.4</v>
      </c>
      <c r="H6484" t="n">
        <v>0</v>
      </c>
      <c r="I6484" t="n">
        <v>0</v>
      </c>
      <c r="J6484" t="n">
        <v>0</v>
      </c>
      <c r="K6484" t="n">
        <v>0</v>
      </c>
      <c r="L6484" t="n">
        <v>0</v>
      </c>
      <c r="M6484" t="n">
        <v>0</v>
      </c>
      <c r="N6484" t="n">
        <v>0</v>
      </c>
      <c r="O6484" t="n">
        <v>0</v>
      </c>
      <c r="P6484" t="n">
        <v>0</v>
      </c>
      <c r="Q6484" t="n">
        <v>0</v>
      </c>
      <c r="R6484" s="2" t="inlineStr"/>
    </row>
    <row r="6485" ht="15" customHeight="1">
      <c r="A6485" t="inlineStr">
        <is>
          <t>A 60872-2022</t>
        </is>
      </c>
      <c r="B6485" s="1" t="n">
        <v>44914</v>
      </c>
      <c r="C6485" s="1" t="n">
        <v>45344</v>
      </c>
      <c r="D6485" t="inlineStr">
        <is>
          <t>GÄVLEBORGS LÄN</t>
        </is>
      </c>
      <c r="E6485" t="inlineStr">
        <is>
          <t>BOLLNÄS</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60884-2022</t>
        </is>
      </c>
      <c r="B6486" s="1" t="n">
        <v>44914</v>
      </c>
      <c r="C6486" s="1" t="n">
        <v>45344</v>
      </c>
      <c r="D6486" t="inlineStr">
        <is>
          <t>GÄVLEBORGS LÄN</t>
        </is>
      </c>
      <c r="E6486" t="inlineStr">
        <is>
          <t>BOLLNÄS</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60908-2022</t>
        </is>
      </c>
      <c r="B6487" s="1" t="n">
        <v>44914</v>
      </c>
      <c r="C6487" s="1" t="n">
        <v>45344</v>
      </c>
      <c r="D6487" t="inlineStr">
        <is>
          <t>GÄVLEBORGS LÄN</t>
        </is>
      </c>
      <c r="E6487" t="inlineStr">
        <is>
          <t>SANDVIKEN</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60945-2022</t>
        </is>
      </c>
      <c r="B6488" s="1" t="n">
        <v>44914</v>
      </c>
      <c r="C6488" s="1" t="n">
        <v>45344</v>
      </c>
      <c r="D6488" t="inlineStr">
        <is>
          <t>GÄVLEBORGS LÄN</t>
        </is>
      </c>
      <c r="E6488" t="inlineStr">
        <is>
          <t>HUDIKSVALL</t>
        </is>
      </c>
      <c r="F6488" t="inlineStr">
        <is>
          <t>Holmen skog AB</t>
        </is>
      </c>
      <c r="G6488" t="n">
        <v>9</v>
      </c>
      <c r="H6488" t="n">
        <v>0</v>
      </c>
      <c r="I6488" t="n">
        <v>0</v>
      </c>
      <c r="J6488" t="n">
        <v>0</v>
      </c>
      <c r="K6488" t="n">
        <v>0</v>
      </c>
      <c r="L6488" t="n">
        <v>0</v>
      </c>
      <c r="M6488" t="n">
        <v>0</v>
      </c>
      <c r="N6488" t="n">
        <v>0</v>
      </c>
      <c r="O6488" t="n">
        <v>0</v>
      </c>
      <c r="P6488" t="n">
        <v>0</v>
      </c>
      <c r="Q6488" t="n">
        <v>0</v>
      </c>
      <c r="R6488" s="2" t="inlineStr"/>
    </row>
    <row r="6489" ht="15" customHeight="1">
      <c r="A6489" t="inlineStr">
        <is>
          <t>A 60956-2022</t>
        </is>
      </c>
      <c r="B6489" s="1" t="n">
        <v>44914</v>
      </c>
      <c r="C6489" s="1" t="n">
        <v>45344</v>
      </c>
      <c r="D6489" t="inlineStr">
        <is>
          <t>GÄVLEBORGS LÄN</t>
        </is>
      </c>
      <c r="E6489" t="inlineStr">
        <is>
          <t>BOLLNÄS</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60886-2022</t>
        </is>
      </c>
      <c r="B6490" s="1" t="n">
        <v>44914</v>
      </c>
      <c r="C6490" s="1" t="n">
        <v>45344</v>
      </c>
      <c r="D6490" t="inlineStr">
        <is>
          <t>GÄVLEBORGS LÄN</t>
        </is>
      </c>
      <c r="E6490" t="inlineStr">
        <is>
          <t>HUDIKSVALL</t>
        </is>
      </c>
      <c r="F6490" t="inlineStr">
        <is>
          <t>Holmen skog AB</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60893-2022</t>
        </is>
      </c>
      <c r="B6491" s="1" t="n">
        <v>44914</v>
      </c>
      <c r="C6491" s="1" t="n">
        <v>45344</v>
      </c>
      <c r="D6491" t="inlineStr">
        <is>
          <t>GÄVLEBORGS LÄN</t>
        </is>
      </c>
      <c r="E6491" t="inlineStr">
        <is>
          <t>BOLLNÄS</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60936-2022</t>
        </is>
      </c>
      <c r="B6492" s="1" t="n">
        <v>44914</v>
      </c>
      <c r="C6492" s="1" t="n">
        <v>45344</v>
      </c>
      <c r="D6492" t="inlineStr">
        <is>
          <t>GÄVLEBORGS LÄN</t>
        </is>
      </c>
      <c r="E6492" t="inlineStr">
        <is>
          <t>SANDVIKEN</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60903-2022</t>
        </is>
      </c>
      <c r="B6493" s="1" t="n">
        <v>44914</v>
      </c>
      <c r="C6493" s="1" t="n">
        <v>45344</v>
      </c>
      <c r="D6493" t="inlineStr">
        <is>
          <t>GÄVLEBORGS LÄN</t>
        </is>
      </c>
      <c r="E6493" t="inlineStr">
        <is>
          <t>HUDIKSVALL</t>
        </is>
      </c>
      <c r="F6493" t="inlineStr">
        <is>
          <t>Holmen skog AB</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60912-2022</t>
        </is>
      </c>
      <c r="B6494" s="1" t="n">
        <v>44914</v>
      </c>
      <c r="C6494" s="1" t="n">
        <v>45344</v>
      </c>
      <c r="D6494" t="inlineStr">
        <is>
          <t>GÄVLEBORGS LÄN</t>
        </is>
      </c>
      <c r="E6494" t="inlineStr">
        <is>
          <t>BOLLNÄS</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61065-2022</t>
        </is>
      </c>
      <c r="B6495" s="1" t="n">
        <v>44915</v>
      </c>
      <c r="C6495" s="1" t="n">
        <v>45344</v>
      </c>
      <c r="D6495" t="inlineStr">
        <is>
          <t>GÄVLEBORGS LÄN</t>
        </is>
      </c>
      <c r="E6495" t="inlineStr">
        <is>
          <t>OVANÅKER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61157-2022</t>
        </is>
      </c>
      <c r="B6496" s="1" t="n">
        <v>44915</v>
      </c>
      <c r="C6496" s="1" t="n">
        <v>45344</v>
      </c>
      <c r="D6496" t="inlineStr">
        <is>
          <t>GÄVLEBORGS LÄN</t>
        </is>
      </c>
      <c r="E6496" t="inlineStr">
        <is>
          <t>LJUSDAL</t>
        </is>
      </c>
      <c r="F6496" t="inlineStr">
        <is>
          <t>Kommuner</t>
        </is>
      </c>
      <c r="G6496" t="n">
        <v>4.6</v>
      </c>
      <c r="H6496" t="n">
        <v>0</v>
      </c>
      <c r="I6496" t="n">
        <v>0</v>
      </c>
      <c r="J6496" t="n">
        <v>0</v>
      </c>
      <c r="K6496" t="n">
        <v>0</v>
      </c>
      <c r="L6496" t="n">
        <v>0</v>
      </c>
      <c r="M6496" t="n">
        <v>0</v>
      </c>
      <c r="N6496" t="n">
        <v>0</v>
      </c>
      <c r="O6496" t="n">
        <v>0</v>
      </c>
      <c r="P6496" t="n">
        <v>0</v>
      </c>
      <c r="Q6496" t="n">
        <v>0</v>
      </c>
      <c r="R6496" s="2" t="inlineStr"/>
    </row>
    <row r="6497" ht="15" customHeight="1">
      <c r="A6497" t="inlineStr">
        <is>
          <t>A 61207-2022</t>
        </is>
      </c>
      <c r="B6497" s="1" t="n">
        <v>44915</v>
      </c>
      <c r="C6497" s="1" t="n">
        <v>45344</v>
      </c>
      <c r="D6497" t="inlineStr">
        <is>
          <t>GÄVLEBORGS LÄN</t>
        </is>
      </c>
      <c r="E6497" t="inlineStr">
        <is>
          <t>HUDIKSVALL</t>
        </is>
      </c>
      <c r="F6497" t="inlineStr">
        <is>
          <t>Holmen skog AB</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61224-2022</t>
        </is>
      </c>
      <c r="B6498" s="1" t="n">
        <v>44915</v>
      </c>
      <c r="C6498" s="1" t="n">
        <v>45344</v>
      </c>
      <c r="D6498" t="inlineStr">
        <is>
          <t>GÄVLEBORGS LÄN</t>
        </is>
      </c>
      <c r="E6498" t="inlineStr">
        <is>
          <t>NORDANSTIG</t>
        </is>
      </c>
      <c r="F6498" t="inlineStr">
        <is>
          <t>Holmen skog AB</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61166-2022</t>
        </is>
      </c>
      <c r="B6499" s="1" t="n">
        <v>44915</v>
      </c>
      <c r="C6499" s="1" t="n">
        <v>45344</v>
      </c>
      <c r="D6499" t="inlineStr">
        <is>
          <t>GÄVLEBORGS LÄN</t>
        </is>
      </c>
      <c r="E6499" t="inlineStr">
        <is>
          <t>SANDVIKEN</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61227-2022</t>
        </is>
      </c>
      <c r="B6500" s="1" t="n">
        <v>44915</v>
      </c>
      <c r="C6500" s="1" t="n">
        <v>45344</v>
      </c>
      <c r="D6500" t="inlineStr">
        <is>
          <t>GÄVLEBORGS LÄN</t>
        </is>
      </c>
      <c r="E6500" t="inlineStr">
        <is>
          <t>BOLLNÄS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61258-2022</t>
        </is>
      </c>
      <c r="B6501" s="1" t="n">
        <v>44915</v>
      </c>
      <c r="C6501" s="1" t="n">
        <v>45344</v>
      </c>
      <c r="D6501" t="inlineStr">
        <is>
          <t>GÄVLEBORGS LÄN</t>
        </is>
      </c>
      <c r="E6501" t="inlineStr">
        <is>
          <t>HUDIKSVALL</t>
        </is>
      </c>
      <c r="G6501" t="n">
        <v>10.3</v>
      </c>
      <c r="H6501" t="n">
        <v>0</v>
      </c>
      <c r="I6501" t="n">
        <v>0</v>
      </c>
      <c r="J6501" t="n">
        <v>0</v>
      </c>
      <c r="K6501" t="n">
        <v>0</v>
      </c>
      <c r="L6501" t="n">
        <v>0</v>
      </c>
      <c r="M6501" t="n">
        <v>0</v>
      </c>
      <c r="N6501" t="n">
        <v>0</v>
      </c>
      <c r="O6501" t="n">
        <v>0</v>
      </c>
      <c r="P6501" t="n">
        <v>0</v>
      </c>
      <c r="Q6501" t="n">
        <v>0</v>
      </c>
      <c r="R6501" s="2" t="inlineStr"/>
    </row>
    <row r="6502" ht="15" customHeight="1">
      <c r="A6502" t="inlineStr">
        <is>
          <t>A 61276-2022</t>
        </is>
      </c>
      <c r="B6502" s="1" t="n">
        <v>44915</v>
      </c>
      <c r="C6502" s="1" t="n">
        <v>45344</v>
      </c>
      <c r="D6502" t="inlineStr">
        <is>
          <t>GÄVLEBORGS LÄN</t>
        </is>
      </c>
      <c r="E6502" t="inlineStr">
        <is>
          <t>NORDANSTIG</t>
        </is>
      </c>
      <c r="F6502" t="inlineStr">
        <is>
          <t>Holmen skog AB</t>
        </is>
      </c>
      <c r="G6502" t="n">
        <v>4.2</v>
      </c>
      <c r="H6502" t="n">
        <v>0</v>
      </c>
      <c r="I6502" t="n">
        <v>0</v>
      </c>
      <c r="J6502" t="n">
        <v>0</v>
      </c>
      <c r="K6502" t="n">
        <v>0</v>
      </c>
      <c r="L6502" t="n">
        <v>0</v>
      </c>
      <c r="M6502" t="n">
        <v>0</v>
      </c>
      <c r="N6502" t="n">
        <v>0</v>
      </c>
      <c r="O6502" t="n">
        <v>0</v>
      </c>
      <c r="P6502" t="n">
        <v>0</v>
      </c>
      <c r="Q6502" t="n">
        <v>0</v>
      </c>
      <c r="R6502" s="2" t="inlineStr"/>
    </row>
    <row r="6503" ht="15" customHeight="1">
      <c r="A6503" t="inlineStr">
        <is>
          <t>A 61124-2022</t>
        </is>
      </c>
      <c r="B6503" s="1" t="n">
        <v>44915</v>
      </c>
      <c r="C6503" s="1" t="n">
        <v>45344</v>
      </c>
      <c r="D6503" t="inlineStr">
        <is>
          <t>GÄVLEBORGS LÄN</t>
        </is>
      </c>
      <c r="E6503" t="inlineStr">
        <is>
          <t>LJUSDAL</t>
        </is>
      </c>
      <c r="F6503" t="inlineStr">
        <is>
          <t>Holmen skog AB</t>
        </is>
      </c>
      <c r="G6503" t="n">
        <v>12.1</v>
      </c>
      <c r="H6503" t="n">
        <v>0</v>
      </c>
      <c r="I6503" t="n">
        <v>0</v>
      </c>
      <c r="J6503" t="n">
        <v>0</v>
      </c>
      <c r="K6503" t="n">
        <v>0</v>
      </c>
      <c r="L6503" t="n">
        <v>0</v>
      </c>
      <c r="M6503" t="n">
        <v>0</v>
      </c>
      <c r="N6503" t="n">
        <v>0</v>
      </c>
      <c r="O6503" t="n">
        <v>0</v>
      </c>
      <c r="P6503" t="n">
        <v>0</v>
      </c>
      <c r="Q6503" t="n">
        <v>0</v>
      </c>
      <c r="R6503" s="2" t="inlineStr"/>
    </row>
    <row r="6504" ht="15" customHeight="1">
      <c r="A6504" t="inlineStr">
        <is>
          <t>A 61120-2022</t>
        </is>
      </c>
      <c r="B6504" s="1" t="n">
        <v>44915</v>
      </c>
      <c r="C6504" s="1" t="n">
        <v>45344</v>
      </c>
      <c r="D6504" t="inlineStr">
        <is>
          <t>GÄVLEBORGS LÄN</t>
        </is>
      </c>
      <c r="E6504" t="inlineStr">
        <is>
          <t>NORDANSTIG</t>
        </is>
      </c>
      <c r="G6504" t="n">
        <v>1.9</v>
      </c>
      <c r="H6504" t="n">
        <v>0</v>
      </c>
      <c r="I6504" t="n">
        <v>0</v>
      </c>
      <c r="J6504" t="n">
        <v>0</v>
      </c>
      <c r="K6504" t="n">
        <v>0</v>
      </c>
      <c r="L6504" t="n">
        <v>0</v>
      </c>
      <c r="M6504" t="n">
        <v>0</v>
      </c>
      <c r="N6504" t="n">
        <v>0</v>
      </c>
      <c r="O6504" t="n">
        <v>0</v>
      </c>
      <c r="P6504" t="n">
        <v>0</v>
      </c>
      <c r="Q6504" t="n">
        <v>0</v>
      </c>
      <c r="R6504" s="2" t="inlineStr"/>
    </row>
    <row r="6505" ht="15" customHeight="1">
      <c r="A6505" t="inlineStr">
        <is>
          <t>A 61214-2022</t>
        </is>
      </c>
      <c r="B6505" s="1" t="n">
        <v>44915</v>
      </c>
      <c r="C6505" s="1" t="n">
        <v>45344</v>
      </c>
      <c r="D6505" t="inlineStr">
        <is>
          <t>GÄVLEBORGS LÄN</t>
        </is>
      </c>
      <c r="E6505" t="inlineStr">
        <is>
          <t>BOLLNÄS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61280-2022</t>
        </is>
      </c>
      <c r="B6506" s="1" t="n">
        <v>44915</v>
      </c>
      <c r="C6506" s="1" t="n">
        <v>45344</v>
      </c>
      <c r="D6506" t="inlineStr">
        <is>
          <t>GÄVLEBORGS LÄN</t>
        </is>
      </c>
      <c r="E6506" t="inlineStr">
        <is>
          <t>NORDANSTIG</t>
        </is>
      </c>
      <c r="G6506" t="n">
        <v>7.9</v>
      </c>
      <c r="H6506" t="n">
        <v>0</v>
      </c>
      <c r="I6506" t="n">
        <v>0</v>
      </c>
      <c r="J6506" t="n">
        <v>0</v>
      </c>
      <c r="K6506" t="n">
        <v>0</v>
      </c>
      <c r="L6506" t="n">
        <v>0</v>
      </c>
      <c r="M6506" t="n">
        <v>0</v>
      </c>
      <c r="N6506" t="n">
        <v>0</v>
      </c>
      <c r="O6506" t="n">
        <v>0</v>
      </c>
      <c r="P6506" t="n">
        <v>0</v>
      </c>
      <c r="Q6506" t="n">
        <v>0</v>
      </c>
      <c r="R6506" s="2" t="inlineStr"/>
    </row>
    <row r="6507" ht="15" customHeight="1">
      <c r="A6507" t="inlineStr">
        <is>
          <t>A 61366-2022</t>
        </is>
      </c>
      <c r="B6507" s="1" t="n">
        <v>44915</v>
      </c>
      <c r="C6507" s="1" t="n">
        <v>45344</v>
      </c>
      <c r="D6507" t="inlineStr">
        <is>
          <t>GÄVLEBORGS LÄN</t>
        </is>
      </c>
      <c r="E6507" t="inlineStr">
        <is>
          <t>NORDANSTIG</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61130-2022</t>
        </is>
      </c>
      <c r="B6508" s="1" t="n">
        <v>44915</v>
      </c>
      <c r="C6508" s="1" t="n">
        <v>45344</v>
      </c>
      <c r="D6508" t="inlineStr">
        <is>
          <t>GÄVLEBORGS LÄN</t>
        </is>
      </c>
      <c r="E6508" t="inlineStr">
        <is>
          <t>OCKELBO</t>
        </is>
      </c>
      <c r="G6508" t="n">
        <v>5.5</v>
      </c>
      <c r="H6508" t="n">
        <v>0</v>
      </c>
      <c r="I6508" t="n">
        <v>0</v>
      </c>
      <c r="J6508" t="n">
        <v>0</v>
      </c>
      <c r="K6508" t="n">
        <v>0</v>
      </c>
      <c r="L6508" t="n">
        <v>0</v>
      </c>
      <c r="M6508" t="n">
        <v>0</v>
      </c>
      <c r="N6508" t="n">
        <v>0</v>
      </c>
      <c r="O6508" t="n">
        <v>0</v>
      </c>
      <c r="P6508" t="n">
        <v>0</v>
      </c>
      <c r="Q6508" t="n">
        <v>0</v>
      </c>
      <c r="R6508" s="2" t="inlineStr"/>
    </row>
    <row r="6509" ht="15" customHeight="1">
      <c r="A6509" t="inlineStr">
        <is>
          <t>A 61141-2022</t>
        </is>
      </c>
      <c r="B6509" s="1" t="n">
        <v>44915</v>
      </c>
      <c r="C6509" s="1" t="n">
        <v>45344</v>
      </c>
      <c r="D6509" t="inlineStr">
        <is>
          <t>GÄVLEBORGS LÄN</t>
        </is>
      </c>
      <c r="E6509" t="inlineStr">
        <is>
          <t>NORDANSTIG</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61167-2022</t>
        </is>
      </c>
      <c r="B6510" s="1" t="n">
        <v>44915</v>
      </c>
      <c r="C6510" s="1" t="n">
        <v>45344</v>
      </c>
      <c r="D6510" t="inlineStr">
        <is>
          <t>GÄVLEBORGS LÄN</t>
        </is>
      </c>
      <c r="E6510" t="inlineStr">
        <is>
          <t>SANDVIKEN</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61220-2022</t>
        </is>
      </c>
      <c r="B6511" s="1" t="n">
        <v>44915</v>
      </c>
      <c r="C6511" s="1" t="n">
        <v>45344</v>
      </c>
      <c r="D6511" t="inlineStr">
        <is>
          <t>GÄVLEBORGS LÄN</t>
        </is>
      </c>
      <c r="E6511" t="inlineStr">
        <is>
          <t>BOLLNÄS</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61335-2022</t>
        </is>
      </c>
      <c r="B6512" s="1" t="n">
        <v>44915</v>
      </c>
      <c r="C6512" s="1" t="n">
        <v>45344</v>
      </c>
      <c r="D6512" t="inlineStr">
        <is>
          <t>GÄVLEBORGS LÄN</t>
        </is>
      </c>
      <c r="E6512" t="inlineStr">
        <is>
          <t>OCKELBO</t>
        </is>
      </c>
      <c r="G6512" t="n">
        <v>8.5</v>
      </c>
      <c r="H6512" t="n">
        <v>0</v>
      </c>
      <c r="I6512" t="n">
        <v>0</v>
      </c>
      <c r="J6512" t="n">
        <v>0</v>
      </c>
      <c r="K6512" t="n">
        <v>0</v>
      </c>
      <c r="L6512" t="n">
        <v>0</v>
      </c>
      <c r="M6512" t="n">
        <v>0</v>
      </c>
      <c r="N6512" t="n">
        <v>0</v>
      </c>
      <c r="O6512" t="n">
        <v>0</v>
      </c>
      <c r="P6512" t="n">
        <v>0</v>
      </c>
      <c r="Q6512" t="n">
        <v>0</v>
      </c>
      <c r="R6512" s="2" t="inlineStr"/>
    </row>
    <row r="6513" ht="15" customHeight="1">
      <c r="A6513" t="inlineStr">
        <is>
          <t>A 61561-2022</t>
        </is>
      </c>
      <c r="B6513" s="1" t="n">
        <v>44916</v>
      </c>
      <c r="C6513" s="1" t="n">
        <v>45344</v>
      </c>
      <c r="D6513" t="inlineStr">
        <is>
          <t>GÄVLEBORGS LÄN</t>
        </is>
      </c>
      <c r="E6513" t="inlineStr">
        <is>
          <t>NORDANSTIG</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61512-2022</t>
        </is>
      </c>
      <c r="B6514" s="1" t="n">
        <v>44916</v>
      </c>
      <c r="C6514" s="1" t="n">
        <v>45344</v>
      </c>
      <c r="D6514" t="inlineStr">
        <is>
          <t>GÄVLEBORGS LÄN</t>
        </is>
      </c>
      <c r="E6514" t="inlineStr">
        <is>
          <t>GÄVLE</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61592-2022</t>
        </is>
      </c>
      <c r="B6515" s="1" t="n">
        <v>44916</v>
      </c>
      <c r="C6515" s="1" t="n">
        <v>45344</v>
      </c>
      <c r="D6515" t="inlineStr">
        <is>
          <t>GÄVLEBORGS LÄN</t>
        </is>
      </c>
      <c r="E6515" t="inlineStr">
        <is>
          <t>BOLLNÄS</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61536-2022</t>
        </is>
      </c>
      <c r="B6516" s="1" t="n">
        <v>44916</v>
      </c>
      <c r="C6516" s="1" t="n">
        <v>45344</v>
      </c>
      <c r="D6516" t="inlineStr">
        <is>
          <t>GÄVLEBORGS LÄN</t>
        </is>
      </c>
      <c r="E6516" t="inlineStr">
        <is>
          <t>HUDIKSVALL</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61603-2022</t>
        </is>
      </c>
      <c r="B6517" s="1" t="n">
        <v>44916</v>
      </c>
      <c r="C6517" s="1" t="n">
        <v>45344</v>
      </c>
      <c r="D6517" t="inlineStr">
        <is>
          <t>GÄVLEBORGS LÄN</t>
        </is>
      </c>
      <c r="E6517" t="inlineStr">
        <is>
          <t>LJUSDAL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61639-2022</t>
        </is>
      </c>
      <c r="B6518" s="1" t="n">
        <v>44916</v>
      </c>
      <c r="C6518" s="1" t="n">
        <v>45344</v>
      </c>
      <c r="D6518" t="inlineStr">
        <is>
          <t>GÄVLEBORGS LÄN</t>
        </is>
      </c>
      <c r="E6518" t="inlineStr">
        <is>
          <t>NORDANSTIG</t>
        </is>
      </c>
      <c r="F6518" t="inlineStr">
        <is>
          <t>Holmen skog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61827-2022</t>
        </is>
      </c>
      <c r="B6519" s="1" t="n">
        <v>44917</v>
      </c>
      <c r="C6519" s="1" t="n">
        <v>45344</v>
      </c>
      <c r="D6519" t="inlineStr">
        <is>
          <t>GÄVLEBORGS LÄN</t>
        </is>
      </c>
      <c r="E6519" t="inlineStr">
        <is>
          <t>OVANÅKER</t>
        </is>
      </c>
      <c r="G6519" t="n">
        <v>15.9</v>
      </c>
      <c r="H6519" t="n">
        <v>0</v>
      </c>
      <c r="I6519" t="n">
        <v>0</v>
      </c>
      <c r="J6519" t="n">
        <v>0</v>
      </c>
      <c r="K6519" t="n">
        <v>0</v>
      </c>
      <c r="L6519" t="n">
        <v>0</v>
      </c>
      <c r="M6519" t="n">
        <v>0</v>
      </c>
      <c r="N6519" t="n">
        <v>0</v>
      </c>
      <c r="O6519" t="n">
        <v>0</v>
      </c>
      <c r="P6519" t="n">
        <v>0</v>
      </c>
      <c r="Q6519" t="n">
        <v>0</v>
      </c>
      <c r="R6519" s="2" t="inlineStr"/>
    </row>
    <row r="6520" ht="15" customHeight="1">
      <c r="A6520" t="inlineStr">
        <is>
          <t>A 61754-2022</t>
        </is>
      </c>
      <c r="B6520" s="1" t="n">
        <v>44917</v>
      </c>
      <c r="C6520" s="1" t="n">
        <v>45344</v>
      </c>
      <c r="D6520" t="inlineStr">
        <is>
          <t>GÄVLEBORGS LÄN</t>
        </is>
      </c>
      <c r="E6520" t="inlineStr">
        <is>
          <t>OCKELBO</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61928-2022</t>
        </is>
      </c>
      <c r="B6521" s="1" t="n">
        <v>44917</v>
      </c>
      <c r="C6521" s="1" t="n">
        <v>45344</v>
      </c>
      <c r="D6521" t="inlineStr">
        <is>
          <t>GÄVLEBORGS LÄN</t>
        </is>
      </c>
      <c r="E6521" t="inlineStr">
        <is>
          <t>SÖDERHAMN</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61900-2022</t>
        </is>
      </c>
      <c r="B6522" s="1" t="n">
        <v>44917</v>
      </c>
      <c r="C6522" s="1" t="n">
        <v>45344</v>
      </c>
      <c r="D6522" t="inlineStr">
        <is>
          <t>GÄVLEBORGS LÄN</t>
        </is>
      </c>
      <c r="E6522" t="inlineStr">
        <is>
          <t>BOLLNÄS</t>
        </is>
      </c>
      <c r="G6522" t="n">
        <v>5.2</v>
      </c>
      <c r="H6522" t="n">
        <v>0</v>
      </c>
      <c r="I6522" t="n">
        <v>0</v>
      </c>
      <c r="J6522" t="n">
        <v>0</v>
      </c>
      <c r="K6522" t="n">
        <v>0</v>
      </c>
      <c r="L6522" t="n">
        <v>0</v>
      </c>
      <c r="M6522" t="n">
        <v>0</v>
      </c>
      <c r="N6522" t="n">
        <v>0</v>
      </c>
      <c r="O6522" t="n">
        <v>0</v>
      </c>
      <c r="P6522" t="n">
        <v>0</v>
      </c>
      <c r="Q6522" t="n">
        <v>0</v>
      </c>
      <c r="R6522" s="2" t="inlineStr"/>
    </row>
    <row r="6523" ht="15" customHeight="1">
      <c r="A6523" t="inlineStr">
        <is>
          <t>A 61927-2022</t>
        </is>
      </c>
      <c r="B6523" s="1" t="n">
        <v>44917</v>
      </c>
      <c r="C6523" s="1" t="n">
        <v>45344</v>
      </c>
      <c r="D6523" t="inlineStr">
        <is>
          <t>GÄVLEBORGS LÄN</t>
        </is>
      </c>
      <c r="E6523" t="inlineStr">
        <is>
          <t>SÖDERHAMN</t>
        </is>
      </c>
      <c r="G6523" t="n">
        <v>8.1</v>
      </c>
      <c r="H6523" t="n">
        <v>0</v>
      </c>
      <c r="I6523" t="n">
        <v>0</v>
      </c>
      <c r="J6523" t="n">
        <v>0</v>
      </c>
      <c r="K6523" t="n">
        <v>0</v>
      </c>
      <c r="L6523" t="n">
        <v>0</v>
      </c>
      <c r="M6523" t="n">
        <v>0</v>
      </c>
      <c r="N6523" t="n">
        <v>0</v>
      </c>
      <c r="O6523" t="n">
        <v>0</v>
      </c>
      <c r="P6523" t="n">
        <v>0</v>
      </c>
      <c r="Q6523" t="n">
        <v>0</v>
      </c>
      <c r="R6523" s="2" t="inlineStr"/>
    </row>
    <row r="6524" ht="15" customHeight="1">
      <c r="A6524" t="inlineStr">
        <is>
          <t>A 62024-2022</t>
        </is>
      </c>
      <c r="B6524" s="1" t="n">
        <v>44918</v>
      </c>
      <c r="C6524" s="1" t="n">
        <v>45344</v>
      </c>
      <c r="D6524" t="inlineStr">
        <is>
          <t>GÄVLEBORGS LÄN</t>
        </is>
      </c>
      <c r="E6524" t="inlineStr">
        <is>
          <t>LJUSDAL</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62056-2022</t>
        </is>
      </c>
      <c r="B6525" s="1" t="n">
        <v>44918</v>
      </c>
      <c r="C6525" s="1" t="n">
        <v>45344</v>
      </c>
      <c r="D6525" t="inlineStr">
        <is>
          <t>GÄVLEBORGS LÄN</t>
        </is>
      </c>
      <c r="E6525" t="inlineStr">
        <is>
          <t>SANDVIKEN</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62047-2022</t>
        </is>
      </c>
      <c r="B6526" s="1" t="n">
        <v>44918</v>
      </c>
      <c r="C6526" s="1" t="n">
        <v>45344</v>
      </c>
      <c r="D6526" t="inlineStr">
        <is>
          <t>GÄVLEBORGS LÄN</t>
        </is>
      </c>
      <c r="E6526" t="inlineStr">
        <is>
          <t>SANDVIKEN</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61938-2022</t>
        </is>
      </c>
      <c r="B6527" s="1" t="n">
        <v>44918</v>
      </c>
      <c r="C6527" s="1" t="n">
        <v>45344</v>
      </c>
      <c r="D6527" t="inlineStr">
        <is>
          <t>GÄVLEBORGS LÄN</t>
        </is>
      </c>
      <c r="E6527" t="inlineStr">
        <is>
          <t>HUDIKSVALL</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61977-2022</t>
        </is>
      </c>
      <c r="B6528" s="1" t="n">
        <v>44918</v>
      </c>
      <c r="C6528" s="1" t="n">
        <v>45344</v>
      </c>
      <c r="D6528" t="inlineStr">
        <is>
          <t>GÄVLEBORGS LÄN</t>
        </is>
      </c>
      <c r="E6528" t="inlineStr">
        <is>
          <t>HUDIKSVALL</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62030-2022</t>
        </is>
      </c>
      <c r="B6529" s="1" t="n">
        <v>44918</v>
      </c>
      <c r="C6529" s="1" t="n">
        <v>45344</v>
      </c>
      <c r="D6529" t="inlineStr">
        <is>
          <t>GÄVLEBORGS LÄN</t>
        </is>
      </c>
      <c r="E6529" t="inlineStr">
        <is>
          <t>LJUSDAL</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62130-2022</t>
        </is>
      </c>
      <c r="B6530" s="1" t="n">
        <v>44922</v>
      </c>
      <c r="C6530" s="1" t="n">
        <v>45344</v>
      </c>
      <c r="D6530" t="inlineStr">
        <is>
          <t>GÄVLEBORGS LÄN</t>
        </is>
      </c>
      <c r="E6530" t="inlineStr">
        <is>
          <t>GÄVLE</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62255-2022</t>
        </is>
      </c>
      <c r="B6531" s="1" t="n">
        <v>44922</v>
      </c>
      <c r="C6531" s="1" t="n">
        <v>45344</v>
      </c>
      <c r="D6531" t="inlineStr">
        <is>
          <t>GÄVLEBORGS LÄN</t>
        </is>
      </c>
      <c r="E6531" t="inlineStr">
        <is>
          <t>GÄVLE</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62128-2022</t>
        </is>
      </c>
      <c r="B6532" s="1" t="n">
        <v>44922</v>
      </c>
      <c r="C6532" s="1" t="n">
        <v>45344</v>
      </c>
      <c r="D6532" t="inlineStr">
        <is>
          <t>GÄVLEBORGS LÄN</t>
        </is>
      </c>
      <c r="E6532" t="inlineStr">
        <is>
          <t>GÄVLE</t>
        </is>
      </c>
      <c r="G6532" t="n">
        <v>3.4</v>
      </c>
      <c r="H6532" t="n">
        <v>0</v>
      </c>
      <c r="I6532" t="n">
        <v>0</v>
      </c>
      <c r="J6532" t="n">
        <v>0</v>
      </c>
      <c r="K6532" t="n">
        <v>0</v>
      </c>
      <c r="L6532" t="n">
        <v>0</v>
      </c>
      <c r="M6532" t="n">
        <v>0</v>
      </c>
      <c r="N6532" t="n">
        <v>0</v>
      </c>
      <c r="O6532" t="n">
        <v>0</v>
      </c>
      <c r="P6532" t="n">
        <v>0</v>
      </c>
      <c r="Q6532" t="n">
        <v>0</v>
      </c>
      <c r="R6532" s="2" t="inlineStr"/>
    </row>
    <row r="6533" ht="15" customHeight="1">
      <c r="A6533" t="inlineStr">
        <is>
          <t>A 62215-2022</t>
        </is>
      </c>
      <c r="B6533" s="1" t="n">
        <v>44922</v>
      </c>
      <c r="C6533" s="1" t="n">
        <v>45344</v>
      </c>
      <c r="D6533" t="inlineStr">
        <is>
          <t>GÄVLEBORGS LÄN</t>
        </is>
      </c>
      <c r="E6533" t="inlineStr">
        <is>
          <t>OVANÅKER</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62200-2022</t>
        </is>
      </c>
      <c r="B6534" s="1" t="n">
        <v>44922</v>
      </c>
      <c r="C6534" s="1" t="n">
        <v>45344</v>
      </c>
      <c r="D6534" t="inlineStr">
        <is>
          <t>GÄVLEBORGS LÄN</t>
        </is>
      </c>
      <c r="E6534" t="inlineStr">
        <is>
          <t>LJUSDAL</t>
        </is>
      </c>
      <c r="F6534" t="inlineStr">
        <is>
          <t>Holmen skog AB</t>
        </is>
      </c>
      <c r="G6534" t="n">
        <v>10.8</v>
      </c>
      <c r="H6534" t="n">
        <v>0</v>
      </c>
      <c r="I6534" t="n">
        <v>0</v>
      </c>
      <c r="J6534" t="n">
        <v>0</v>
      </c>
      <c r="K6534" t="n">
        <v>0</v>
      </c>
      <c r="L6534" t="n">
        <v>0</v>
      </c>
      <c r="M6534" t="n">
        <v>0</v>
      </c>
      <c r="N6534" t="n">
        <v>0</v>
      </c>
      <c r="O6534" t="n">
        <v>0</v>
      </c>
      <c r="P6534" t="n">
        <v>0</v>
      </c>
      <c r="Q6534" t="n">
        <v>0</v>
      </c>
      <c r="R6534" s="2" t="inlineStr"/>
    </row>
    <row r="6535" ht="15" customHeight="1">
      <c r="A6535" t="inlineStr">
        <is>
          <t>A 62213-2022</t>
        </is>
      </c>
      <c r="B6535" s="1" t="n">
        <v>44922</v>
      </c>
      <c r="C6535" s="1" t="n">
        <v>45344</v>
      </c>
      <c r="D6535" t="inlineStr">
        <is>
          <t>GÄVLEBORGS LÄN</t>
        </is>
      </c>
      <c r="E6535" t="inlineStr">
        <is>
          <t>HUDIKSVALL</t>
        </is>
      </c>
      <c r="F6535" t="inlineStr">
        <is>
          <t>Holmen skog AB</t>
        </is>
      </c>
      <c r="G6535" t="n">
        <v>9.1</v>
      </c>
      <c r="H6535" t="n">
        <v>0</v>
      </c>
      <c r="I6535" t="n">
        <v>0</v>
      </c>
      <c r="J6535" t="n">
        <v>0</v>
      </c>
      <c r="K6535" t="n">
        <v>0</v>
      </c>
      <c r="L6535" t="n">
        <v>0</v>
      </c>
      <c r="M6535" t="n">
        <v>0</v>
      </c>
      <c r="N6535" t="n">
        <v>0</v>
      </c>
      <c r="O6535" t="n">
        <v>0</v>
      </c>
      <c r="P6535" t="n">
        <v>0</v>
      </c>
      <c r="Q6535" t="n">
        <v>0</v>
      </c>
      <c r="R6535" s="2" t="inlineStr"/>
    </row>
    <row r="6536" ht="15" customHeight="1">
      <c r="A6536" t="inlineStr">
        <is>
          <t>A 62362-2022</t>
        </is>
      </c>
      <c r="B6536" s="1" t="n">
        <v>44923</v>
      </c>
      <c r="C6536" s="1" t="n">
        <v>45344</v>
      </c>
      <c r="D6536" t="inlineStr">
        <is>
          <t>GÄVLEBORGS LÄN</t>
        </is>
      </c>
      <c r="E6536" t="inlineStr">
        <is>
          <t>OVANÅKER</t>
        </is>
      </c>
      <c r="G6536" t="n">
        <v>1.1</v>
      </c>
      <c r="H6536" t="n">
        <v>0</v>
      </c>
      <c r="I6536" t="n">
        <v>0</v>
      </c>
      <c r="J6536" t="n">
        <v>0</v>
      </c>
      <c r="K6536" t="n">
        <v>0</v>
      </c>
      <c r="L6536" t="n">
        <v>0</v>
      </c>
      <c r="M6536" t="n">
        <v>0</v>
      </c>
      <c r="N6536" t="n">
        <v>0</v>
      </c>
      <c r="O6536" t="n">
        <v>0</v>
      </c>
      <c r="P6536" t="n">
        <v>0</v>
      </c>
      <c r="Q6536" t="n">
        <v>0</v>
      </c>
      <c r="R6536" s="2" t="inlineStr"/>
    </row>
    <row r="6537" ht="15" customHeight="1">
      <c r="A6537" t="inlineStr">
        <is>
          <t>A 62420-2022</t>
        </is>
      </c>
      <c r="B6537" s="1" t="n">
        <v>44924</v>
      </c>
      <c r="C6537" s="1" t="n">
        <v>45344</v>
      </c>
      <c r="D6537" t="inlineStr">
        <is>
          <t>GÄVLEBORGS LÄN</t>
        </is>
      </c>
      <c r="E6537" t="inlineStr">
        <is>
          <t>LJUSDAL</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62489-2022</t>
        </is>
      </c>
      <c r="B6538" s="1" t="n">
        <v>44924</v>
      </c>
      <c r="C6538" s="1" t="n">
        <v>45344</v>
      </c>
      <c r="D6538" t="inlineStr">
        <is>
          <t>GÄVLEBORGS LÄN</t>
        </is>
      </c>
      <c r="E6538" t="inlineStr">
        <is>
          <t>LJUSDAL</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62620-2022</t>
        </is>
      </c>
      <c r="B6539" s="1" t="n">
        <v>44925</v>
      </c>
      <c r="C6539" s="1" t="n">
        <v>45344</v>
      </c>
      <c r="D6539" t="inlineStr">
        <is>
          <t>GÄVLEBORGS LÄN</t>
        </is>
      </c>
      <c r="E6539" t="inlineStr">
        <is>
          <t>LJUSDAL</t>
        </is>
      </c>
      <c r="G6539" t="n">
        <v>11.6</v>
      </c>
      <c r="H6539" t="n">
        <v>0</v>
      </c>
      <c r="I6539" t="n">
        <v>0</v>
      </c>
      <c r="J6539" t="n">
        <v>0</v>
      </c>
      <c r="K6539" t="n">
        <v>0</v>
      </c>
      <c r="L6539" t="n">
        <v>0</v>
      </c>
      <c r="M6539" t="n">
        <v>0</v>
      </c>
      <c r="N6539" t="n">
        <v>0</v>
      </c>
      <c r="O6539" t="n">
        <v>0</v>
      </c>
      <c r="P6539" t="n">
        <v>0</v>
      </c>
      <c r="Q6539" t="n">
        <v>0</v>
      </c>
      <c r="R6539" s="2" t="inlineStr"/>
    </row>
    <row r="6540" ht="15" customHeight="1">
      <c r="A6540" t="inlineStr">
        <is>
          <t>A 62631-2022</t>
        </is>
      </c>
      <c r="B6540" s="1" t="n">
        <v>44925</v>
      </c>
      <c r="C6540" s="1" t="n">
        <v>45344</v>
      </c>
      <c r="D6540" t="inlineStr">
        <is>
          <t>GÄVLEBORGS LÄN</t>
        </is>
      </c>
      <c r="E6540" t="inlineStr">
        <is>
          <t>LJUSDAL</t>
        </is>
      </c>
      <c r="G6540" t="n">
        <v>13.8</v>
      </c>
      <c r="H6540" t="n">
        <v>0</v>
      </c>
      <c r="I6540" t="n">
        <v>0</v>
      </c>
      <c r="J6540" t="n">
        <v>0</v>
      </c>
      <c r="K6540" t="n">
        <v>0</v>
      </c>
      <c r="L6540" t="n">
        <v>0</v>
      </c>
      <c r="M6540" t="n">
        <v>0</v>
      </c>
      <c r="N6540" t="n">
        <v>0</v>
      </c>
      <c r="O6540" t="n">
        <v>0</v>
      </c>
      <c r="P6540" t="n">
        <v>0</v>
      </c>
      <c r="Q6540" t="n">
        <v>0</v>
      </c>
      <c r="R6540" s="2" t="inlineStr"/>
    </row>
    <row r="6541" ht="15" customHeight="1">
      <c r="A6541" t="inlineStr">
        <is>
          <t>A 62602-2022</t>
        </is>
      </c>
      <c r="B6541" s="1" t="n">
        <v>44925</v>
      </c>
      <c r="C6541" s="1" t="n">
        <v>45344</v>
      </c>
      <c r="D6541" t="inlineStr">
        <is>
          <t>GÄVLEBORGS LÄN</t>
        </is>
      </c>
      <c r="E6541" t="inlineStr">
        <is>
          <t>SÖDERHAMN</t>
        </is>
      </c>
      <c r="G6541" t="n">
        <v>3.3</v>
      </c>
      <c r="H6541" t="n">
        <v>0</v>
      </c>
      <c r="I6541" t="n">
        <v>0</v>
      </c>
      <c r="J6541" t="n">
        <v>0</v>
      </c>
      <c r="K6541" t="n">
        <v>0</v>
      </c>
      <c r="L6541" t="n">
        <v>0</v>
      </c>
      <c r="M6541" t="n">
        <v>0</v>
      </c>
      <c r="N6541" t="n">
        <v>0</v>
      </c>
      <c r="O6541" t="n">
        <v>0</v>
      </c>
      <c r="P6541" t="n">
        <v>0</v>
      </c>
      <c r="Q6541" t="n">
        <v>0</v>
      </c>
      <c r="R6541" s="2" t="inlineStr"/>
    </row>
    <row r="6542" ht="15" customHeight="1">
      <c r="A6542" t="inlineStr">
        <is>
          <t>A 11-2023</t>
        </is>
      </c>
      <c r="B6542" s="1" t="n">
        <v>44927</v>
      </c>
      <c r="C6542" s="1" t="n">
        <v>45344</v>
      </c>
      <c r="D6542" t="inlineStr">
        <is>
          <t>GÄVLEBORGS LÄN</t>
        </is>
      </c>
      <c r="E6542" t="inlineStr">
        <is>
          <t>GÄVLE</t>
        </is>
      </c>
      <c r="G6542" t="n">
        <v>4.4</v>
      </c>
      <c r="H6542" t="n">
        <v>0</v>
      </c>
      <c r="I6542" t="n">
        <v>0</v>
      </c>
      <c r="J6542" t="n">
        <v>0</v>
      </c>
      <c r="K6542" t="n">
        <v>0</v>
      </c>
      <c r="L6542" t="n">
        <v>0</v>
      </c>
      <c r="M6542" t="n">
        <v>0</v>
      </c>
      <c r="N6542" t="n">
        <v>0</v>
      </c>
      <c r="O6542" t="n">
        <v>0</v>
      </c>
      <c r="P6542" t="n">
        <v>0</v>
      </c>
      <c r="Q6542" t="n">
        <v>0</v>
      </c>
      <c r="R6542" s="2" t="inlineStr"/>
    </row>
    <row r="6543" ht="15" customHeight="1">
      <c r="A6543" t="inlineStr">
        <is>
          <t>A 234-2023</t>
        </is>
      </c>
      <c r="B6543" s="1" t="n">
        <v>44928</v>
      </c>
      <c r="C6543" s="1" t="n">
        <v>45344</v>
      </c>
      <c r="D6543" t="inlineStr">
        <is>
          <t>GÄVLEBORGS LÄN</t>
        </is>
      </c>
      <c r="E6543" t="inlineStr">
        <is>
          <t>HOFORS</t>
        </is>
      </c>
      <c r="F6543" t="inlineStr">
        <is>
          <t>Sveaskog</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104-2023</t>
        </is>
      </c>
      <c r="B6544" s="1" t="n">
        <v>44928</v>
      </c>
      <c r="C6544" s="1" t="n">
        <v>45344</v>
      </c>
      <c r="D6544" t="inlineStr">
        <is>
          <t>GÄVLEBORGS LÄN</t>
        </is>
      </c>
      <c r="E6544" t="inlineStr">
        <is>
          <t>HUDIKSVALL</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138-2023</t>
        </is>
      </c>
      <c r="B6545" s="1" t="n">
        <v>44928</v>
      </c>
      <c r="C6545" s="1" t="n">
        <v>45344</v>
      </c>
      <c r="D6545" t="inlineStr">
        <is>
          <t>GÄVLEBORGS LÄN</t>
        </is>
      </c>
      <c r="E6545" t="inlineStr">
        <is>
          <t>GÄVLE</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300-2023</t>
        </is>
      </c>
      <c r="B6546" s="1" t="n">
        <v>44929</v>
      </c>
      <c r="C6546" s="1" t="n">
        <v>45344</v>
      </c>
      <c r="D6546" t="inlineStr">
        <is>
          <t>GÄVLEBORGS LÄN</t>
        </is>
      </c>
      <c r="E6546" t="inlineStr">
        <is>
          <t>NORDANSTIG</t>
        </is>
      </c>
      <c r="F6546" t="inlineStr">
        <is>
          <t>Holmen skog AB</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313-2023</t>
        </is>
      </c>
      <c r="B6547" s="1" t="n">
        <v>44929</v>
      </c>
      <c r="C6547" s="1" t="n">
        <v>45344</v>
      </c>
      <c r="D6547" t="inlineStr">
        <is>
          <t>GÄVLEBORGS LÄN</t>
        </is>
      </c>
      <c r="E6547" t="inlineStr">
        <is>
          <t>HUDIKSVALL</t>
        </is>
      </c>
      <c r="G6547" t="n">
        <v>3</v>
      </c>
      <c r="H6547" t="n">
        <v>0</v>
      </c>
      <c r="I6547" t="n">
        <v>0</v>
      </c>
      <c r="J6547" t="n">
        <v>0</v>
      </c>
      <c r="K6547" t="n">
        <v>0</v>
      </c>
      <c r="L6547" t="n">
        <v>0</v>
      </c>
      <c r="M6547" t="n">
        <v>0</v>
      </c>
      <c r="N6547" t="n">
        <v>0</v>
      </c>
      <c r="O6547" t="n">
        <v>0</v>
      </c>
      <c r="P6547" t="n">
        <v>0</v>
      </c>
      <c r="Q6547" t="n">
        <v>0</v>
      </c>
      <c r="R6547" s="2" t="inlineStr"/>
    </row>
    <row r="6548" ht="15" customHeight="1">
      <c r="A6548" t="inlineStr">
        <is>
          <t>A 317-2023</t>
        </is>
      </c>
      <c r="B6548" s="1" t="n">
        <v>44929</v>
      </c>
      <c r="C6548" s="1" t="n">
        <v>45344</v>
      </c>
      <c r="D6548" t="inlineStr">
        <is>
          <t>GÄVLEBORGS LÄN</t>
        </is>
      </c>
      <c r="E6548" t="inlineStr">
        <is>
          <t>OCKELBO</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314-2023</t>
        </is>
      </c>
      <c r="B6549" s="1" t="n">
        <v>44929</v>
      </c>
      <c r="C6549" s="1" t="n">
        <v>45344</v>
      </c>
      <c r="D6549" t="inlineStr">
        <is>
          <t>GÄVLEBORGS LÄN</t>
        </is>
      </c>
      <c r="E6549" t="inlineStr">
        <is>
          <t>HUDIKSVALL</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298-2023</t>
        </is>
      </c>
      <c r="B6550" s="1" t="n">
        <v>44929</v>
      </c>
      <c r="C6550" s="1" t="n">
        <v>45344</v>
      </c>
      <c r="D6550" t="inlineStr">
        <is>
          <t>GÄVLEBORGS LÄN</t>
        </is>
      </c>
      <c r="E6550" t="inlineStr">
        <is>
          <t>NORDANSTIG</t>
        </is>
      </c>
      <c r="F6550" t="inlineStr">
        <is>
          <t>Holmen skog AB</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310-2023</t>
        </is>
      </c>
      <c r="B6551" s="1" t="n">
        <v>44929</v>
      </c>
      <c r="C6551" s="1" t="n">
        <v>45344</v>
      </c>
      <c r="D6551" t="inlineStr">
        <is>
          <t>GÄVLEBORGS LÄN</t>
        </is>
      </c>
      <c r="E6551" t="inlineStr">
        <is>
          <t>HUDIKSVALL</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327-2023</t>
        </is>
      </c>
      <c r="B6552" s="1" t="n">
        <v>44929</v>
      </c>
      <c r="C6552" s="1" t="n">
        <v>45344</v>
      </c>
      <c r="D6552" t="inlineStr">
        <is>
          <t>GÄVLEBORGS LÄN</t>
        </is>
      </c>
      <c r="E6552" t="inlineStr">
        <is>
          <t>NORDANSTIG</t>
        </is>
      </c>
      <c r="G6552" t="n">
        <v>4.8</v>
      </c>
      <c r="H6552" t="n">
        <v>0</v>
      </c>
      <c r="I6552" t="n">
        <v>0</v>
      </c>
      <c r="J6552" t="n">
        <v>0</v>
      </c>
      <c r="K6552" t="n">
        <v>0</v>
      </c>
      <c r="L6552" t="n">
        <v>0</v>
      </c>
      <c r="M6552" t="n">
        <v>0</v>
      </c>
      <c r="N6552" t="n">
        <v>0</v>
      </c>
      <c r="O6552" t="n">
        <v>0</v>
      </c>
      <c r="P6552" t="n">
        <v>0</v>
      </c>
      <c r="Q6552" t="n">
        <v>0</v>
      </c>
      <c r="R6552" s="2" t="inlineStr"/>
    </row>
    <row r="6553" ht="15" customHeight="1">
      <c r="A6553" t="inlineStr">
        <is>
          <t>A 386-2023</t>
        </is>
      </c>
      <c r="B6553" s="1" t="n">
        <v>44929</v>
      </c>
      <c r="C6553" s="1" t="n">
        <v>45344</v>
      </c>
      <c r="D6553" t="inlineStr">
        <is>
          <t>GÄVLEBORGS LÄN</t>
        </is>
      </c>
      <c r="E6553" t="inlineStr">
        <is>
          <t>HUDIKSVALL</t>
        </is>
      </c>
      <c r="F6553" t="inlineStr">
        <is>
          <t>Holmen skog AB</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468-2023</t>
        </is>
      </c>
      <c r="B6554" s="1" t="n">
        <v>44929</v>
      </c>
      <c r="C6554" s="1" t="n">
        <v>45344</v>
      </c>
      <c r="D6554" t="inlineStr">
        <is>
          <t>GÄVLEBORGS LÄN</t>
        </is>
      </c>
      <c r="E6554" t="inlineStr">
        <is>
          <t>BOLLNÄS</t>
        </is>
      </c>
      <c r="G6554" t="n">
        <v>8.4</v>
      </c>
      <c r="H6554" t="n">
        <v>0</v>
      </c>
      <c r="I6554" t="n">
        <v>0</v>
      </c>
      <c r="J6554" t="n">
        <v>0</v>
      </c>
      <c r="K6554" t="n">
        <v>0</v>
      </c>
      <c r="L6554" t="n">
        <v>0</v>
      </c>
      <c r="M6554" t="n">
        <v>0</v>
      </c>
      <c r="N6554" t="n">
        <v>0</v>
      </c>
      <c r="O6554" t="n">
        <v>0</v>
      </c>
      <c r="P6554" t="n">
        <v>0</v>
      </c>
      <c r="Q6554" t="n">
        <v>0</v>
      </c>
      <c r="R6554" s="2" t="inlineStr"/>
    </row>
    <row r="6555" ht="15" customHeight="1">
      <c r="A6555" t="inlineStr">
        <is>
          <t>A 474-2023</t>
        </is>
      </c>
      <c r="B6555" s="1" t="n">
        <v>44929</v>
      </c>
      <c r="C6555" s="1" t="n">
        <v>45344</v>
      </c>
      <c r="D6555" t="inlineStr">
        <is>
          <t>GÄVLEBORGS LÄN</t>
        </is>
      </c>
      <c r="E6555" t="inlineStr">
        <is>
          <t>LJUSDAL</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533-2023</t>
        </is>
      </c>
      <c r="B6556" s="1" t="n">
        <v>44930</v>
      </c>
      <c r="C6556" s="1" t="n">
        <v>45344</v>
      </c>
      <c r="D6556" t="inlineStr">
        <is>
          <t>GÄVLEBORGS LÄN</t>
        </is>
      </c>
      <c r="E6556" t="inlineStr">
        <is>
          <t>OVANÅKER</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540-2023</t>
        </is>
      </c>
      <c r="B6557" s="1" t="n">
        <v>44930</v>
      </c>
      <c r="C6557" s="1" t="n">
        <v>45344</v>
      </c>
      <c r="D6557" t="inlineStr">
        <is>
          <t>GÄVLEBORGS LÄN</t>
        </is>
      </c>
      <c r="E6557" t="inlineStr">
        <is>
          <t>OVANÅKER</t>
        </is>
      </c>
      <c r="G6557" t="n">
        <v>4.9</v>
      </c>
      <c r="H6557" t="n">
        <v>0</v>
      </c>
      <c r="I6557" t="n">
        <v>0</v>
      </c>
      <c r="J6557" t="n">
        <v>0</v>
      </c>
      <c r="K6557" t="n">
        <v>0</v>
      </c>
      <c r="L6557" t="n">
        <v>0</v>
      </c>
      <c r="M6557" t="n">
        <v>0</v>
      </c>
      <c r="N6557" t="n">
        <v>0</v>
      </c>
      <c r="O6557" t="n">
        <v>0</v>
      </c>
      <c r="P6557" t="n">
        <v>0</v>
      </c>
      <c r="Q6557" t="n">
        <v>0</v>
      </c>
      <c r="R6557" s="2" t="inlineStr"/>
    </row>
    <row r="6558" ht="15" customHeight="1">
      <c r="A6558" t="inlineStr">
        <is>
          <t>A 619-2023</t>
        </is>
      </c>
      <c r="B6558" s="1" t="n">
        <v>44930</v>
      </c>
      <c r="C6558" s="1" t="n">
        <v>45344</v>
      </c>
      <c r="D6558" t="inlineStr">
        <is>
          <t>GÄVLEBORGS LÄN</t>
        </is>
      </c>
      <c r="E6558" t="inlineStr">
        <is>
          <t>LJUSDAL</t>
        </is>
      </c>
      <c r="G6558" t="n">
        <v>3.7</v>
      </c>
      <c r="H6558" t="n">
        <v>0</v>
      </c>
      <c r="I6558" t="n">
        <v>0</v>
      </c>
      <c r="J6558" t="n">
        <v>0</v>
      </c>
      <c r="K6558" t="n">
        <v>0</v>
      </c>
      <c r="L6558" t="n">
        <v>0</v>
      </c>
      <c r="M6558" t="n">
        <v>0</v>
      </c>
      <c r="N6558" t="n">
        <v>0</v>
      </c>
      <c r="O6558" t="n">
        <v>0</v>
      </c>
      <c r="P6558" t="n">
        <v>0</v>
      </c>
      <c r="Q6558" t="n">
        <v>0</v>
      </c>
      <c r="R6558" s="2" t="inlineStr"/>
    </row>
    <row r="6559" ht="15" customHeight="1">
      <c r="A6559" t="inlineStr">
        <is>
          <t>A 673-2023</t>
        </is>
      </c>
      <c r="B6559" s="1" t="n">
        <v>44930</v>
      </c>
      <c r="C6559" s="1" t="n">
        <v>45344</v>
      </c>
      <c r="D6559" t="inlineStr">
        <is>
          <t>GÄVLEBORGS LÄN</t>
        </is>
      </c>
      <c r="E6559" t="inlineStr">
        <is>
          <t>NORDANSTIG</t>
        </is>
      </c>
      <c r="F6559" t="inlineStr">
        <is>
          <t>Holmen skog AB</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599-2023</t>
        </is>
      </c>
      <c r="B6560" s="1" t="n">
        <v>44930</v>
      </c>
      <c r="C6560" s="1" t="n">
        <v>45344</v>
      </c>
      <c r="D6560" t="inlineStr">
        <is>
          <t>GÄVLEBORGS LÄN</t>
        </is>
      </c>
      <c r="E6560" t="inlineStr">
        <is>
          <t>LJUSDAL</t>
        </is>
      </c>
      <c r="F6560" t="inlineStr">
        <is>
          <t>Holmen skog AB</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565-2023</t>
        </is>
      </c>
      <c r="B6561" s="1" t="n">
        <v>44930</v>
      </c>
      <c r="C6561" s="1" t="n">
        <v>45344</v>
      </c>
      <c r="D6561" t="inlineStr">
        <is>
          <t>GÄVLEBORGS LÄN</t>
        </is>
      </c>
      <c r="E6561" t="inlineStr">
        <is>
          <t>OCKELBO</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572-2023</t>
        </is>
      </c>
      <c r="B6562" s="1" t="n">
        <v>44930</v>
      </c>
      <c r="C6562" s="1" t="n">
        <v>45344</v>
      </c>
      <c r="D6562" t="inlineStr">
        <is>
          <t>GÄVLEBORGS LÄN</t>
        </is>
      </c>
      <c r="E6562" t="inlineStr">
        <is>
          <t>HUDIKSVALL</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675-2023</t>
        </is>
      </c>
      <c r="B6563" s="1" t="n">
        <v>44930</v>
      </c>
      <c r="C6563" s="1" t="n">
        <v>45344</v>
      </c>
      <c r="D6563" t="inlineStr">
        <is>
          <t>GÄVLEBORGS LÄN</t>
        </is>
      </c>
      <c r="E6563" t="inlineStr">
        <is>
          <t>NORDANSTIG</t>
        </is>
      </c>
      <c r="F6563" t="inlineStr">
        <is>
          <t>Holmen skog AB</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766-2023</t>
        </is>
      </c>
      <c r="B6564" s="1" t="n">
        <v>44931</v>
      </c>
      <c r="C6564" s="1" t="n">
        <v>45344</v>
      </c>
      <c r="D6564" t="inlineStr">
        <is>
          <t>GÄVLEBORGS LÄN</t>
        </is>
      </c>
      <c r="E6564" t="inlineStr">
        <is>
          <t>LJUSDAL</t>
        </is>
      </c>
      <c r="F6564" t="inlineStr">
        <is>
          <t>Bergvik skog väst AB</t>
        </is>
      </c>
      <c r="G6564" t="n">
        <v>7</v>
      </c>
      <c r="H6564" t="n">
        <v>0</v>
      </c>
      <c r="I6564" t="n">
        <v>0</v>
      </c>
      <c r="J6564" t="n">
        <v>0</v>
      </c>
      <c r="K6564" t="n">
        <v>0</v>
      </c>
      <c r="L6564" t="n">
        <v>0</v>
      </c>
      <c r="M6564" t="n">
        <v>0</v>
      </c>
      <c r="N6564" t="n">
        <v>0</v>
      </c>
      <c r="O6564" t="n">
        <v>0</v>
      </c>
      <c r="P6564" t="n">
        <v>0</v>
      </c>
      <c r="Q6564" t="n">
        <v>0</v>
      </c>
      <c r="R6564" s="2" t="inlineStr"/>
    </row>
    <row r="6565" ht="15" customHeight="1">
      <c r="A6565" t="inlineStr">
        <is>
          <t>A 835-2023</t>
        </is>
      </c>
      <c r="B6565" s="1" t="n">
        <v>44931</v>
      </c>
      <c r="C6565" s="1" t="n">
        <v>45344</v>
      </c>
      <c r="D6565" t="inlineStr">
        <is>
          <t>GÄVLEBORGS LÄN</t>
        </is>
      </c>
      <c r="E6565" t="inlineStr">
        <is>
          <t>LJUSDAL</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846-2023</t>
        </is>
      </c>
      <c r="B6566" s="1" t="n">
        <v>44931</v>
      </c>
      <c r="C6566" s="1" t="n">
        <v>45344</v>
      </c>
      <c r="D6566" t="inlineStr">
        <is>
          <t>GÄVLEBORGS LÄN</t>
        </is>
      </c>
      <c r="E6566" t="inlineStr">
        <is>
          <t>LJUSDAL</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1007-2023</t>
        </is>
      </c>
      <c r="B6567" s="1" t="n">
        <v>44935</v>
      </c>
      <c r="C6567" s="1" t="n">
        <v>45344</v>
      </c>
      <c r="D6567" t="inlineStr">
        <is>
          <t>GÄVLEBORGS LÄN</t>
        </is>
      </c>
      <c r="E6567" t="inlineStr">
        <is>
          <t>GÄVLE</t>
        </is>
      </c>
      <c r="F6567" t="inlineStr">
        <is>
          <t>Bergvik skog väst AB</t>
        </is>
      </c>
      <c r="G6567" t="n">
        <v>19.3</v>
      </c>
      <c r="H6567" t="n">
        <v>0</v>
      </c>
      <c r="I6567" t="n">
        <v>0</v>
      </c>
      <c r="J6567" t="n">
        <v>0</v>
      </c>
      <c r="K6567" t="n">
        <v>0</v>
      </c>
      <c r="L6567" t="n">
        <v>0</v>
      </c>
      <c r="M6567" t="n">
        <v>0</v>
      </c>
      <c r="N6567" t="n">
        <v>0</v>
      </c>
      <c r="O6567" t="n">
        <v>0</v>
      </c>
      <c r="P6567" t="n">
        <v>0</v>
      </c>
      <c r="Q6567" t="n">
        <v>0</v>
      </c>
      <c r="R6567" s="2" t="inlineStr"/>
    </row>
    <row r="6568" ht="15" customHeight="1">
      <c r="A6568" t="inlineStr">
        <is>
          <t>A 989-2023</t>
        </is>
      </c>
      <c r="B6568" s="1" t="n">
        <v>44935</v>
      </c>
      <c r="C6568" s="1" t="n">
        <v>45344</v>
      </c>
      <c r="D6568" t="inlineStr">
        <is>
          <t>GÄVLEBORGS LÄN</t>
        </is>
      </c>
      <c r="E6568" t="inlineStr">
        <is>
          <t>GÄVLE</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1019-2023</t>
        </is>
      </c>
      <c r="B6569" s="1" t="n">
        <v>44935</v>
      </c>
      <c r="C6569" s="1" t="n">
        <v>45344</v>
      </c>
      <c r="D6569" t="inlineStr">
        <is>
          <t>GÄVLEBORGS LÄN</t>
        </is>
      </c>
      <c r="E6569" t="inlineStr">
        <is>
          <t>GÄVLE</t>
        </is>
      </c>
      <c r="F6569" t="inlineStr">
        <is>
          <t>Bergvik skog väst AB</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1078-2023</t>
        </is>
      </c>
      <c r="B6570" s="1" t="n">
        <v>44935</v>
      </c>
      <c r="C6570" s="1" t="n">
        <v>45344</v>
      </c>
      <c r="D6570" t="inlineStr">
        <is>
          <t>GÄVLEBORGS LÄN</t>
        </is>
      </c>
      <c r="E6570" t="inlineStr">
        <is>
          <t>BOLLNÄS</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1067-2023</t>
        </is>
      </c>
      <c r="B6571" s="1" t="n">
        <v>44935</v>
      </c>
      <c r="C6571" s="1" t="n">
        <v>45344</v>
      </c>
      <c r="D6571" t="inlineStr">
        <is>
          <t>GÄVLEBORGS LÄN</t>
        </is>
      </c>
      <c r="E6571" t="inlineStr">
        <is>
          <t>LJUSDAL</t>
        </is>
      </c>
      <c r="G6571" t="n">
        <v>3.3</v>
      </c>
      <c r="H6571" t="n">
        <v>0</v>
      </c>
      <c r="I6571" t="n">
        <v>0</v>
      </c>
      <c r="J6571" t="n">
        <v>0</v>
      </c>
      <c r="K6571" t="n">
        <v>0</v>
      </c>
      <c r="L6571" t="n">
        <v>0</v>
      </c>
      <c r="M6571" t="n">
        <v>0</v>
      </c>
      <c r="N6571" t="n">
        <v>0</v>
      </c>
      <c r="O6571" t="n">
        <v>0</v>
      </c>
      <c r="P6571" t="n">
        <v>0</v>
      </c>
      <c r="Q6571" t="n">
        <v>0</v>
      </c>
      <c r="R6571" s="2" t="inlineStr"/>
    </row>
    <row r="6572" ht="15" customHeight="1">
      <c r="A6572" t="inlineStr">
        <is>
          <t>A 1005-2023</t>
        </is>
      </c>
      <c r="B6572" s="1" t="n">
        <v>44935</v>
      </c>
      <c r="C6572" s="1" t="n">
        <v>45344</v>
      </c>
      <c r="D6572" t="inlineStr">
        <is>
          <t>GÄVLEBORGS LÄN</t>
        </is>
      </c>
      <c r="E6572" t="inlineStr">
        <is>
          <t>LJUSDAL</t>
        </is>
      </c>
      <c r="F6572" t="inlineStr">
        <is>
          <t>Holmen skog AB</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1139-2023</t>
        </is>
      </c>
      <c r="B6573" s="1" t="n">
        <v>44935</v>
      </c>
      <c r="C6573" s="1" t="n">
        <v>45344</v>
      </c>
      <c r="D6573" t="inlineStr">
        <is>
          <t>GÄVLEBORGS LÄN</t>
        </is>
      </c>
      <c r="E6573" t="inlineStr">
        <is>
          <t>BOLLNÄS</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1085-2023</t>
        </is>
      </c>
      <c r="B6574" s="1" t="n">
        <v>44935</v>
      </c>
      <c r="C6574" s="1" t="n">
        <v>45344</v>
      </c>
      <c r="D6574" t="inlineStr">
        <is>
          <t>GÄVLEBORGS LÄN</t>
        </is>
      </c>
      <c r="E6574" t="inlineStr">
        <is>
          <t>BOLLNÄS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1150-2023</t>
        </is>
      </c>
      <c r="B6575" s="1" t="n">
        <v>44935</v>
      </c>
      <c r="C6575" s="1" t="n">
        <v>45344</v>
      </c>
      <c r="D6575" t="inlineStr">
        <is>
          <t>GÄVLEBORGS LÄN</t>
        </is>
      </c>
      <c r="E6575" t="inlineStr">
        <is>
          <t>OVANÅKER</t>
        </is>
      </c>
      <c r="G6575" t="n">
        <v>6</v>
      </c>
      <c r="H6575" t="n">
        <v>0</v>
      </c>
      <c r="I6575" t="n">
        <v>0</v>
      </c>
      <c r="J6575" t="n">
        <v>0</v>
      </c>
      <c r="K6575" t="n">
        <v>0</v>
      </c>
      <c r="L6575" t="n">
        <v>0</v>
      </c>
      <c r="M6575" t="n">
        <v>0</v>
      </c>
      <c r="N6575" t="n">
        <v>0</v>
      </c>
      <c r="O6575" t="n">
        <v>0</v>
      </c>
      <c r="P6575" t="n">
        <v>0</v>
      </c>
      <c r="Q6575" t="n">
        <v>0</v>
      </c>
      <c r="R6575" s="2" t="inlineStr"/>
    </row>
    <row r="6576" ht="15" customHeight="1">
      <c r="A6576" t="inlineStr">
        <is>
          <t>A 1259-2023</t>
        </is>
      </c>
      <c r="B6576" s="1" t="n">
        <v>44936</v>
      </c>
      <c r="C6576" s="1" t="n">
        <v>45344</v>
      </c>
      <c r="D6576" t="inlineStr">
        <is>
          <t>GÄVLEBORGS LÄN</t>
        </is>
      </c>
      <c r="E6576" t="inlineStr">
        <is>
          <t>LJUSDAL</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1238-2023</t>
        </is>
      </c>
      <c r="B6577" s="1" t="n">
        <v>44936</v>
      </c>
      <c r="C6577" s="1" t="n">
        <v>45344</v>
      </c>
      <c r="D6577" t="inlineStr">
        <is>
          <t>GÄVLEBORGS LÄN</t>
        </is>
      </c>
      <c r="E6577" t="inlineStr">
        <is>
          <t>GÄVLE</t>
        </is>
      </c>
      <c r="G6577" t="n">
        <v>4.1</v>
      </c>
      <c r="H6577" t="n">
        <v>0</v>
      </c>
      <c r="I6577" t="n">
        <v>0</v>
      </c>
      <c r="J6577" t="n">
        <v>0</v>
      </c>
      <c r="K6577" t="n">
        <v>0</v>
      </c>
      <c r="L6577" t="n">
        <v>0</v>
      </c>
      <c r="M6577" t="n">
        <v>0</v>
      </c>
      <c r="N6577" t="n">
        <v>0</v>
      </c>
      <c r="O6577" t="n">
        <v>0</v>
      </c>
      <c r="P6577" t="n">
        <v>0</v>
      </c>
      <c r="Q6577" t="n">
        <v>0</v>
      </c>
      <c r="R6577" s="2" t="inlineStr"/>
    </row>
    <row r="6578" ht="15" customHeight="1">
      <c r="A6578" t="inlineStr">
        <is>
          <t>A 1244-2023</t>
        </is>
      </c>
      <c r="B6578" s="1" t="n">
        <v>44936</v>
      </c>
      <c r="C6578" s="1" t="n">
        <v>45344</v>
      </c>
      <c r="D6578" t="inlineStr">
        <is>
          <t>GÄVLEBORGS LÄN</t>
        </is>
      </c>
      <c r="E6578" t="inlineStr">
        <is>
          <t>GÄVLE</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1253-2023</t>
        </is>
      </c>
      <c r="B6579" s="1" t="n">
        <v>44936</v>
      </c>
      <c r="C6579" s="1" t="n">
        <v>45344</v>
      </c>
      <c r="D6579" t="inlineStr">
        <is>
          <t>GÄVLEBORGS LÄN</t>
        </is>
      </c>
      <c r="E6579" t="inlineStr">
        <is>
          <t>LJUSDAL</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1406-2023</t>
        </is>
      </c>
      <c r="B6580" s="1" t="n">
        <v>44936</v>
      </c>
      <c r="C6580" s="1" t="n">
        <v>45344</v>
      </c>
      <c r="D6580" t="inlineStr">
        <is>
          <t>GÄVLEBORGS LÄN</t>
        </is>
      </c>
      <c r="E6580" t="inlineStr">
        <is>
          <t>HUDIKSVALL</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1404-2023</t>
        </is>
      </c>
      <c r="B6581" s="1" t="n">
        <v>44936</v>
      </c>
      <c r="C6581" s="1" t="n">
        <v>45344</v>
      </c>
      <c r="D6581" t="inlineStr">
        <is>
          <t>GÄVLEBORGS LÄN</t>
        </is>
      </c>
      <c r="E6581" t="inlineStr">
        <is>
          <t>HUDIKSVALL</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1812-2023</t>
        </is>
      </c>
      <c r="B6582" s="1" t="n">
        <v>44936</v>
      </c>
      <c r="C6582" s="1" t="n">
        <v>45344</v>
      </c>
      <c r="D6582" t="inlineStr">
        <is>
          <t>GÄVLEBORGS LÄN</t>
        </is>
      </c>
      <c r="E6582" t="inlineStr">
        <is>
          <t>SANDVIKEN</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1453-2023</t>
        </is>
      </c>
      <c r="B6583" s="1" t="n">
        <v>44937</v>
      </c>
      <c r="C6583" s="1" t="n">
        <v>45344</v>
      </c>
      <c r="D6583" t="inlineStr">
        <is>
          <t>GÄVLEBORGS LÄN</t>
        </is>
      </c>
      <c r="E6583" t="inlineStr">
        <is>
          <t>HUDIKSVALL</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1458-2023</t>
        </is>
      </c>
      <c r="B6584" s="1" t="n">
        <v>44937</v>
      </c>
      <c r="C6584" s="1" t="n">
        <v>45344</v>
      </c>
      <c r="D6584" t="inlineStr">
        <is>
          <t>GÄVLEBORGS LÄN</t>
        </is>
      </c>
      <c r="E6584" t="inlineStr">
        <is>
          <t>SÖDERHAMN</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1441-2023</t>
        </is>
      </c>
      <c r="B6585" s="1" t="n">
        <v>44937</v>
      </c>
      <c r="C6585" s="1" t="n">
        <v>45344</v>
      </c>
      <c r="D6585" t="inlineStr">
        <is>
          <t>GÄVLEBORGS LÄN</t>
        </is>
      </c>
      <c r="E6585" t="inlineStr">
        <is>
          <t>GÄVLE</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1471-2023</t>
        </is>
      </c>
      <c r="B6586" s="1" t="n">
        <v>44937</v>
      </c>
      <c r="C6586" s="1" t="n">
        <v>45344</v>
      </c>
      <c r="D6586" t="inlineStr">
        <is>
          <t>GÄVLEBORGS LÄN</t>
        </is>
      </c>
      <c r="E6586" t="inlineStr">
        <is>
          <t>LJUSDAL</t>
        </is>
      </c>
      <c r="F6586" t="inlineStr">
        <is>
          <t>Bergvik skog väst AB</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1452-2023</t>
        </is>
      </c>
      <c r="B6587" s="1" t="n">
        <v>44937</v>
      </c>
      <c r="C6587" s="1" t="n">
        <v>45344</v>
      </c>
      <c r="D6587" t="inlineStr">
        <is>
          <t>GÄVLEBORGS LÄN</t>
        </is>
      </c>
      <c r="E6587" t="inlineStr">
        <is>
          <t>NORDANSTIG</t>
        </is>
      </c>
      <c r="F6587" t="inlineStr">
        <is>
          <t>Holmen skog AB</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1507-2023</t>
        </is>
      </c>
      <c r="B6588" s="1" t="n">
        <v>44937</v>
      </c>
      <c r="C6588" s="1" t="n">
        <v>45344</v>
      </c>
      <c r="D6588" t="inlineStr">
        <is>
          <t>GÄVLEBORGS LÄN</t>
        </is>
      </c>
      <c r="E6588" t="inlineStr">
        <is>
          <t>BOLLNÄS</t>
        </is>
      </c>
      <c r="F6588" t="inlineStr">
        <is>
          <t>Holmen skog AB</t>
        </is>
      </c>
      <c r="G6588" t="n">
        <v>9.4</v>
      </c>
      <c r="H6588" t="n">
        <v>0</v>
      </c>
      <c r="I6588" t="n">
        <v>0</v>
      </c>
      <c r="J6588" t="n">
        <v>0</v>
      </c>
      <c r="K6588" t="n">
        <v>0</v>
      </c>
      <c r="L6588" t="n">
        <v>0</v>
      </c>
      <c r="M6588" t="n">
        <v>0</v>
      </c>
      <c r="N6588" t="n">
        <v>0</v>
      </c>
      <c r="O6588" t="n">
        <v>0</v>
      </c>
      <c r="P6588" t="n">
        <v>0</v>
      </c>
      <c r="Q6588" t="n">
        <v>0</v>
      </c>
      <c r="R6588" s="2" t="inlineStr"/>
    </row>
    <row r="6589" ht="15" customHeight="1">
      <c r="A6589" t="inlineStr">
        <is>
          <t>A 1485-2023</t>
        </is>
      </c>
      <c r="B6589" s="1" t="n">
        <v>44937</v>
      </c>
      <c r="C6589" s="1" t="n">
        <v>45344</v>
      </c>
      <c r="D6589" t="inlineStr">
        <is>
          <t>GÄVLEBORGS LÄN</t>
        </is>
      </c>
      <c r="E6589" t="inlineStr">
        <is>
          <t>HUDIKSVALL</t>
        </is>
      </c>
      <c r="G6589" t="n">
        <v>9.9</v>
      </c>
      <c r="H6589" t="n">
        <v>0</v>
      </c>
      <c r="I6589" t="n">
        <v>0</v>
      </c>
      <c r="J6589" t="n">
        <v>0</v>
      </c>
      <c r="K6589" t="n">
        <v>0</v>
      </c>
      <c r="L6589" t="n">
        <v>0</v>
      </c>
      <c r="M6589" t="n">
        <v>0</v>
      </c>
      <c r="N6589" t="n">
        <v>0</v>
      </c>
      <c r="O6589" t="n">
        <v>0</v>
      </c>
      <c r="P6589" t="n">
        <v>0</v>
      </c>
      <c r="Q6589" t="n">
        <v>0</v>
      </c>
      <c r="R6589" s="2" t="inlineStr"/>
    </row>
    <row r="6590" ht="15" customHeight="1">
      <c r="A6590" t="inlineStr">
        <is>
          <t>A 1436-2023</t>
        </is>
      </c>
      <c r="B6590" s="1" t="n">
        <v>44937</v>
      </c>
      <c r="C6590" s="1" t="n">
        <v>45344</v>
      </c>
      <c r="D6590" t="inlineStr">
        <is>
          <t>GÄVLEBORGS LÄN</t>
        </is>
      </c>
      <c r="E6590" t="inlineStr">
        <is>
          <t>GÄVLE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1445-2023</t>
        </is>
      </c>
      <c r="B6591" s="1" t="n">
        <v>44937</v>
      </c>
      <c r="C6591" s="1" t="n">
        <v>45344</v>
      </c>
      <c r="D6591" t="inlineStr">
        <is>
          <t>GÄVLEBORGS LÄN</t>
        </is>
      </c>
      <c r="E6591" t="inlineStr">
        <is>
          <t>LJUSDAL</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1508-2023</t>
        </is>
      </c>
      <c r="B6592" s="1" t="n">
        <v>44937</v>
      </c>
      <c r="C6592" s="1" t="n">
        <v>45344</v>
      </c>
      <c r="D6592" t="inlineStr">
        <is>
          <t>GÄVLEBORGS LÄN</t>
        </is>
      </c>
      <c r="E6592" t="inlineStr">
        <is>
          <t>NORDANSTIG</t>
        </is>
      </c>
      <c r="F6592" t="inlineStr">
        <is>
          <t>Holmen skog AB</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1584-2023</t>
        </is>
      </c>
      <c r="B6593" s="1" t="n">
        <v>44937</v>
      </c>
      <c r="C6593" s="1" t="n">
        <v>45344</v>
      </c>
      <c r="D6593" t="inlineStr">
        <is>
          <t>GÄVLEBORGS LÄN</t>
        </is>
      </c>
      <c r="E6593" t="inlineStr">
        <is>
          <t>LJUSDAL</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1537-2023</t>
        </is>
      </c>
      <c r="B6594" s="1" t="n">
        <v>44937</v>
      </c>
      <c r="C6594" s="1" t="n">
        <v>45344</v>
      </c>
      <c r="D6594" t="inlineStr">
        <is>
          <t>GÄVLEBORGS LÄN</t>
        </is>
      </c>
      <c r="E6594" t="inlineStr">
        <is>
          <t>HUDIKSVALL</t>
        </is>
      </c>
      <c r="F6594" t="inlineStr">
        <is>
          <t>Holmen skog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1654-2023</t>
        </is>
      </c>
      <c r="B6595" s="1" t="n">
        <v>44938</v>
      </c>
      <c r="C6595" s="1" t="n">
        <v>45344</v>
      </c>
      <c r="D6595" t="inlineStr">
        <is>
          <t>GÄVLEBORGS LÄN</t>
        </is>
      </c>
      <c r="E6595" t="inlineStr">
        <is>
          <t>OCKELBO</t>
        </is>
      </c>
      <c r="F6595" t="inlineStr">
        <is>
          <t>Bergvik skog väst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1708-2023</t>
        </is>
      </c>
      <c r="B6596" s="1" t="n">
        <v>44938</v>
      </c>
      <c r="C6596" s="1" t="n">
        <v>45344</v>
      </c>
      <c r="D6596" t="inlineStr">
        <is>
          <t>GÄVLEBORGS LÄN</t>
        </is>
      </c>
      <c r="E6596" t="inlineStr">
        <is>
          <t>NORDANSTIG</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1782-2023</t>
        </is>
      </c>
      <c r="B6597" s="1" t="n">
        <v>44938</v>
      </c>
      <c r="C6597" s="1" t="n">
        <v>45344</v>
      </c>
      <c r="D6597" t="inlineStr">
        <is>
          <t>GÄVLEBORGS LÄN</t>
        </is>
      </c>
      <c r="E6597" t="inlineStr">
        <is>
          <t>SÖDERHAMN</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1809-2023</t>
        </is>
      </c>
      <c r="B6598" s="1" t="n">
        <v>44938</v>
      </c>
      <c r="C6598" s="1" t="n">
        <v>45344</v>
      </c>
      <c r="D6598" t="inlineStr">
        <is>
          <t>GÄVLEBORGS LÄN</t>
        </is>
      </c>
      <c r="E6598" t="inlineStr">
        <is>
          <t>HUDIKSVALL</t>
        </is>
      </c>
      <c r="F6598" t="inlineStr">
        <is>
          <t>Holmen skog AB</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1802-2023</t>
        </is>
      </c>
      <c r="B6599" s="1" t="n">
        <v>44938</v>
      </c>
      <c r="C6599" s="1" t="n">
        <v>45344</v>
      </c>
      <c r="D6599" t="inlineStr">
        <is>
          <t>GÄVLEBORGS LÄN</t>
        </is>
      </c>
      <c r="E6599" t="inlineStr">
        <is>
          <t>NORDANSTIG</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2010-2023</t>
        </is>
      </c>
      <c r="B6600" s="1" t="n">
        <v>44939</v>
      </c>
      <c r="C6600" s="1" t="n">
        <v>45344</v>
      </c>
      <c r="D6600" t="inlineStr">
        <is>
          <t>GÄVLEBORGS LÄN</t>
        </is>
      </c>
      <c r="E6600" t="inlineStr">
        <is>
          <t>HUDIKSVALL</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1891-2023</t>
        </is>
      </c>
      <c r="B6601" s="1" t="n">
        <v>44939</v>
      </c>
      <c r="C6601" s="1" t="n">
        <v>45344</v>
      </c>
      <c r="D6601" t="inlineStr">
        <is>
          <t>GÄVLEBORGS LÄN</t>
        </is>
      </c>
      <c r="E6601" t="inlineStr">
        <is>
          <t>HUDIKSVALL</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1902-2023</t>
        </is>
      </c>
      <c r="B6602" s="1" t="n">
        <v>44939</v>
      </c>
      <c r="C6602" s="1" t="n">
        <v>45344</v>
      </c>
      <c r="D6602" t="inlineStr">
        <is>
          <t>GÄVLEBORGS LÄN</t>
        </is>
      </c>
      <c r="E6602" t="inlineStr">
        <is>
          <t>NORDANSTIG</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2013-2023</t>
        </is>
      </c>
      <c r="B6603" s="1" t="n">
        <v>44939</v>
      </c>
      <c r="C6603" s="1" t="n">
        <v>45344</v>
      </c>
      <c r="D6603" t="inlineStr">
        <is>
          <t>GÄVLEBORGS LÄN</t>
        </is>
      </c>
      <c r="E6603" t="inlineStr">
        <is>
          <t>LJUSDAL</t>
        </is>
      </c>
      <c r="F6603" t="inlineStr">
        <is>
          <t>Sveaskog</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2035-2023</t>
        </is>
      </c>
      <c r="B6604" s="1" t="n">
        <v>44939</v>
      </c>
      <c r="C6604" s="1" t="n">
        <v>45344</v>
      </c>
      <c r="D6604" t="inlineStr">
        <is>
          <t>GÄVLEBORGS LÄN</t>
        </is>
      </c>
      <c r="E6604" t="inlineStr">
        <is>
          <t>NORDANSTIG</t>
        </is>
      </c>
      <c r="F6604" t="inlineStr">
        <is>
          <t>Holmen skog AB</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2105-2023</t>
        </is>
      </c>
      <c r="B6605" s="1" t="n">
        <v>44939</v>
      </c>
      <c r="C6605" s="1" t="n">
        <v>45344</v>
      </c>
      <c r="D6605" t="inlineStr">
        <is>
          <t>GÄVLEBORGS LÄN</t>
        </is>
      </c>
      <c r="E6605" t="inlineStr">
        <is>
          <t>NORDANSTIG</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2215-2023</t>
        </is>
      </c>
      <c r="B6606" s="1" t="n">
        <v>44942</v>
      </c>
      <c r="C6606" s="1" t="n">
        <v>45344</v>
      </c>
      <c r="D6606" t="inlineStr">
        <is>
          <t>GÄVLEBORGS LÄN</t>
        </is>
      </c>
      <c r="E6606" t="inlineStr">
        <is>
          <t>HUDIKSVALL</t>
        </is>
      </c>
      <c r="F6606" t="inlineStr">
        <is>
          <t>Holmen skog AB</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2226-2023</t>
        </is>
      </c>
      <c r="B6607" s="1" t="n">
        <v>44942</v>
      </c>
      <c r="C6607" s="1" t="n">
        <v>45344</v>
      </c>
      <c r="D6607" t="inlineStr">
        <is>
          <t>GÄVLEBORGS LÄN</t>
        </is>
      </c>
      <c r="E6607" t="inlineStr">
        <is>
          <t>HUDIKSVALL</t>
        </is>
      </c>
      <c r="F6607" t="inlineStr">
        <is>
          <t>Holmen skog AB</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2217-2023</t>
        </is>
      </c>
      <c r="B6608" s="1" t="n">
        <v>44942</v>
      </c>
      <c r="C6608" s="1" t="n">
        <v>45344</v>
      </c>
      <c r="D6608" t="inlineStr">
        <is>
          <t>GÄVLEBORGS LÄN</t>
        </is>
      </c>
      <c r="E6608" t="inlineStr">
        <is>
          <t>NORDANSTIG</t>
        </is>
      </c>
      <c r="G6608" t="n">
        <v>7.2</v>
      </c>
      <c r="H6608" t="n">
        <v>0</v>
      </c>
      <c r="I6608" t="n">
        <v>0</v>
      </c>
      <c r="J6608" t="n">
        <v>0</v>
      </c>
      <c r="K6608" t="n">
        <v>0</v>
      </c>
      <c r="L6608" t="n">
        <v>0</v>
      </c>
      <c r="M6608" t="n">
        <v>0</v>
      </c>
      <c r="N6608" t="n">
        <v>0</v>
      </c>
      <c r="O6608" t="n">
        <v>0</v>
      </c>
      <c r="P6608" t="n">
        <v>0</v>
      </c>
      <c r="Q6608" t="n">
        <v>0</v>
      </c>
      <c r="R6608" s="2" t="inlineStr"/>
    </row>
    <row r="6609" ht="15" customHeight="1">
      <c r="A6609" t="inlineStr">
        <is>
          <t>A 2247-2023</t>
        </is>
      </c>
      <c r="B6609" s="1" t="n">
        <v>44942</v>
      </c>
      <c r="C6609" s="1" t="n">
        <v>45344</v>
      </c>
      <c r="D6609" t="inlineStr">
        <is>
          <t>GÄVLEBORGS LÄN</t>
        </is>
      </c>
      <c r="E6609" t="inlineStr">
        <is>
          <t>GÄVLE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2248-2023</t>
        </is>
      </c>
      <c r="B6610" s="1" t="n">
        <v>44942</v>
      </c>
      <c r="C6610" s="1" t="n">
        <v>45344</v>
      </c>
      <c r="D6610" t="inlineStr">
        <is>
          <t>GÄVLEBORGS LÄN</t>
        </is>
      </c>
      <c r="E6610" t="inlineStr">
        <is>
          <t>LJUSDAL</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2330-2023</t>
        </is>
      </c>
      <c r="B6611" s="1" t="n">
        <v>44942</v>
      </c>
      <c r="C6611" s="1" t="n">
        <v>45344</v>
      </c>
      <c r="D6611" t="inlineStr">
        <is>
          <t>GÄVLEBORGS LÄN</t>
        </is>
      </c>
      <c r="E6611" t="inlineStr">
        <is>
          <t>LJUSDAL</t>
        </is>
      </c>
      <c r="G6611" t="n">
        <v>1.8</v>
      </c>
      <c r="H6611" t="n">
        <v>0</v>
      </c>
      <c r="I6611" t="n">
        <v>0</v>
      </c>
      <c r="J6611" t="n">
        <v>0</v>
      </c>
      <c r="K6611" t="n">
        <v>0</v>
      </c>
      <c r="L6611" t="n">
        <v>0</v>
      </c>
      <c r="M6611" t="n">
        <v>0</v>
      </c>
      <c r="N6611" t="n">
        <v>0</v>
      </c>
      <c r="O6611" t="n">
        <v>0</v>
      </c>
      <c r="P6611" t="n">
        <v>0</v>
      </c>
      <c r="Q6611" t="n">
        <v>0</v>
      </c>
      <c r="R6611" s="2" t="inlineStr"/>
    </row>
    <row r="6612" ht="15" customHeight="1">
      <c r="A6612" t="inlineStr">
        <is>
          <t>A 2378-2023</t>
        </is>
      </c>
      <c r="B6612" s="1" t="n">
        <v>44942</v>
      </c>
      <c r="C6612" s="1" t="n">
        <v>45344</v>
      </c>
      <c r="D6612" t="inlineStr">
        <is>
          <t>GÄVLEBORGS LÄN</t>
        </is>
      </c>
      <c r="E6612" t="inlineStr">
        <is>
          <t>LJUSDAL</t>
        </is>
      </c>
      <c r="G6612" t="n">
        <v>4.8</v>
      </c>
      <c r="H6612" t="n">
        <v>0</v>
      </c>
      <c r="I6612" t="n">
        <v>0</v>
      </c>
      <c r="J6612" t="n">
        <v>0</v>
      </c>
      <c r="K6612" t="n">
        <v>0</v>
      </c>
      <c r="L6612" t="n">
        <v>0</v>
      </c>
      <c r="M6612" t="n">
        <v>0</v>
      </c>
      <c r="N6612" t="n">
        <v>0</v>
      </c>
      <c r="O6612" t="n">
        <v>0</v>
      </c>
      <c r="P6612" t="n">
        <v>0</v>
      </c>
      <c r="Q6612" t="n">
        <v>0</v>
      </c>
      <c r="R6612" s="2" t="inlineStr"/>
    </row>
    <row r="6613" ht="15" customHeight="1">
      <c r="A6613" t="inlineStr">
        <is>
          <t>A 2249-2023</t>
        </is>
      </c>
      <c r="B6613" s="1" t="n">
        <v>44942</v>
      </c>
      <c r="C6613" s="1" t="n">
        <v>45344</v>
      </c>
      <c r="D6613" t="inlineStr">
        <is>
          <t>GÄVLEBORGS LÄN</t>
        </is>
      </c>
      <c r="E6613" t="inlineStr">
        <is>
          <t>HUDIKSVALL</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2370-2023</t>
        </is>
      </c>
      <c r="B6614" s="1" t="n">
        <v>44942</v>
      </c>
      <c r="C6614" s="1" t="n">
        <v>45344</v>
      </c>
      <c r="D6614" t="inlineStr">
        <is>
          <t>GÄVLEBORGS LÄN</t>
        </is>
      </c>
      <c r="E6614" t="inlineStr">
        <is>
          <t>LJUSDAL</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2400-2023</t>
        </is>
      </c>
      <c r="B6615" s="1" t="n">
        <v>44942</v>
      </c>
      <c r="C6615" s="1" t="n">
        <v>45344</v>
      </c>
      <c r="D6615" t="inlineStr">
        <is>
          <t>GÄVLEBORGS LÄN</t>
        </is>
      </c>
      <c r="E6615" t="inlineStr">
        <is>
          <t>GÄVLE</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2425-2023</t>
        </is>
      </c>
      <c r="B6616" s="1" t="n">
        <v>44943</v>
      </c>
      <c r="C6616" s="1" t="n">
        <v>45344</v>
      </c>
      <c r="D6616" t="inlineStr">
        <is>
          <t>GÄVLEBORGS LÄN</t>
        </is>
      </c>
      <c r="E6616" t="inlineStr">
        <is>
          <t>GÄVLE</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2478-2023</t>
        </is>
      </c>
      <c r="B6617" s="1" t="n">
        <v>44943</v>
      </c>
      <c r="C6617" s="1" t="n">
        <v>45344</v>
      </c>
      <c r="D6617" t="inlineStr">
        <is>
          <t>GÄVLEBORGS LÄN</t>
        </is>
      </c>
      <c r="E6617" t="inlineStr">
        <is>
          <t>OVANÅKER</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2467-2023</t>
        </is>
      </c>
      <c r="B6618" s="1" t="n">
        <v>44943</v>
      </c>
      <c r="C6618" s="1" t="n">
        <v>45344</v>
      </c>
      <c r="D6618" t="inlineStr">
        <is>
          <t>GÄVLEBORGS LÄN</t>
        </is>
      </c>
      <c r="E6618" t="inlineStr">
        <is>
          <t>OVANÅKER</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2465-2023</t>
        </is>
      </c>
      <c r="B6619" s="1" t="n">
        <v>44943</v>
      </c>
      <c r="C6619" s="1" t="n">
        <v>45344</v>
      </c>
      <c r="D6619" t="inlineStr">
        <is>
          <t>GÄVLEBORGS LÄN</t>
        </is>
      </c>
      <c r="E6619" t="inlineStr">
        <is>
          <t>OVANÅKER</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2546-2023</t>
        </is>
      </c>
      <c r="B6620" s="1" t="n">
        <v>44943</v>
      </c>
      <c r="C6620" s="1" t="n">
        <v>45344</v>
      </c>
      <c r="D6620" t="inlineStr">
        <is>
          <t>GÄVLEBORGS LÄN</t>
        </is>
      </c>
      <c r="E6620" t="inlineStr">
        <is>
          <t>OVANÅKER</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2592-2023</t>
        </is>
      </c>
      <c r="B6621" s="1" t="n">
        <v>44943</v>
      </c>
      <c r="C6621" s="1" t="n">
        <v>45344</v>
      </c>
      <c r="D6621" t="inlineStr">
        <is>
          <t>GÄVLEBORGS LÄN</t>
        </is>
      </c>
      <c r="E6621" t="inlineStr">
        <is>
          <t>NORDANSTIG</t>
        </is>
      </c>
      <c r="G6621" t="n">
        <v>4.1</v>
      </c>
      <c r="H6621" t="n">
        <v>0</v>
      </c>
      <c r="I6621" t="n">
        <v>0</v>
      </c>
      <c r="J6621" t="n">
        <v>0</v>
      </c>
      <c r="K6621" t="n">
        <v>0</v>
      </c>
      <c r="L6621" t="n">
        <v>0</v>
      </c>
      <c r="M6621" t="n">
        <v>0</v>
      </c>
      <c r="N6621" t="n">
        <v>0</v>
      </c>
      <c r="O6621" t="n">
        <v>0</v>
      </c>
      <c r="P6621" t="n">
        <v>0</v>
      </c>
      <c r="Q6621" t="n">
        <v>0</v>
      </c>
      <c r="R6621" s="2" t="inlineStr"/>
    </row>
    <row r="6622" ht="15" customHeight="1">
      <c r="A6622" t="inlineStr">
        <is>
          <t>A 2591-2023</t>
        </is>
      </c>
      <c r="B6622" s="1" t="n">
        <v>44943</v>
      </c>
      <c r="C6622" s="1" t="n">
        <v>45344</v>
      </c>
      <c r="D6622" t="inlineStr">
        <is>
          <t>GÄVLEBORGS LÄN</t>
        </is>
      </c>
      <c r="E6622" t="inlineStr">
        <is>
          <t>HUDIKSVALL</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2539-2023</t>
        </is>
      </c>
      <c r="B6623" s="1" t="n">
        <v>44943</v>
      </c>
      <c r="C6623" s="1" t="n">
        <v>45344</v>
      </c>
      <c r="D6623" t="inlineStr">
        <is>
          <t>GÄVLEBORGS LÄN</t>
        </is>
      </c>
      <c r="E6623" t="inlineStr">
        <is>
          <t>BOLLNÄS</t>
        </is>
      </c>
      <c r="G6623" t="n">
        <v>14.6</v>
      </c>
      <c r="H6623" t="n">
        <v>0</v>
      </c>
      <c r="I6623" t="n">
        <v>0</v>
      </c>
      <c r="J6623" t="n">
        <v>0</v>
      </c>
      <c r="K6623" t="n">
        <v>0</v>
      </c>
      <c r="L6623" t="n">
        <v>0</v>
      </c>
      <c r="M6623" t="n">
        <v>0</v>
      </c>
      <c r="N6623" t="n">
        <v>0</v>
      </c>
      <c r="O6623" t="n">
        <v>0</v>
      </c>
      <c r="P6623" t="n">
        <v>0</v>
      </c>
      <c r="Q6623" t="n">
        <v>0</v>
      </c>
      <c r="R6623" s="2" t="inlineStr"/>
    </row>
    <row r="6624" ht="15" customHeight="1">
      <c r="A6624" t="inlineStr">
        <is>
          <t>A 2557-2023</t>
        </is>
      </c>
      <c r="B6624" s="1" t="n">
        <v>44943</v>
      </c>
      <c r="C6624" s="1" t="n">
        <v>45344</v>
      </c>
      <c r="D6624" t="inlineStr">
        <is>
          <t>GÄVLEBORGS LÄN</t>
        </is>
      </c>
      <c r="E6624" t="inlineStr">
        <is>
          <t>NORDANSTIG</t>
        </is>
      </c>
      <c r="F6624" t="inlineStr">
        <is>
          <t>Holmen skog AB</t>
        </is>
      </c>
      <c r="G6624" t="n">
        <v>5.5</v>
      </c>
      <c r="H6624" t="n">
        <v>0</v>
      </c>
      <c r="I6624" t="n">
        <v>0</v>
      </c>
      <c r="J6624" t="n">
        <v>0</v>
      </c>
      <c r="K6624" t="n">
        <v>0</v>
      </c>
      <c r="L6624" t="n">
        <v>0</v>
      </c>
      <c r="M6624" t="n">
        <v>0</v>
      </c>
      <c r="N6624" t="n">
        <v>0</v>
      </c>
      <c r="O6624" t="n">
        <v>0</v>
      </c>
      <c r="P6624" t="n">
        <v>0</v>
      </c>
      <c r="Q6624" t="n">
        <v>0</v>
      </c>
      <c r="R6624" s="2" t="inlineStr"/>
    </row>
    <row r="6625" ht="15" customHeight="1">
      <c r="A6625" t="inlineStr">
        <is>
          <t>A 2760-2023</t>
        </is>
      </c>
      <c r="B6625" s="1" t="n">
        <v>44944</v>
      </c>
      <c r="C6625" s="1" t="n">
        <v>45344</v>
      </c>
      <c r="D6625" t="inlineStr">
        <is>
          <t>GÄVLEBORGS LÄN</t>
        </is>
      </c>
      <c r="E6625" t="inlineStr">
        <is>
          <t>SANDVIKEN</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2696-2023</t>
        </is>
      </c>
      <c r="B6626" s="1" t="n">
        <v>44944</v>
      </c>
      <c r="C6626" s="1" t="n">
        <v>45344</v>
      </c>
      <c r="D6626" t="inlineStr">
        <is>
          <t>GÄVLEBORGS LÄN</t>
        </is>
      </c>
      <c r="E6626" t="inlineStr">
        <is>
          <t>GÄVLE</t>
        </is>
      </c>
      <c r="F6626" t="inlineStr">
        <is>
          <t>Kyrkan</t>
        </is>
      </c>
      <c r="G6626" t="n">
        <v>7.3</v>
      </c>
      <c r="H6626" t="n">
        <v>0</v>
      </c>
      <c r="I6626" t="n">
        <v>0</v>
      </c>
      <c r="J6626" t="n">
        <v>0</v>
      </c>
      <c r="K6626" t="n">
        <v>0</v>
      </c>
      <c r="L6626" t="n">
        <v>0</v>
      </c>
      <c r="M6626" t="n">
        <v>0</v>
      </c>
      <c r="N6626" t="n">
        <v>0</v>
      </c>
      <c r="O6626" t="n">
        <v>0</v>
      </c>
      <c r="P6626" t="n">
        <v>0</v>
      </c>
      <c r="Q6626" t="n">
        <v>0</v>
      </c>
      <c r="R6626" s="2" t="inlineStr"/>
    </row>
    <row r="6627" ht="15" customHeight="1">
      <c r="A6627" t="inlineStr">
        <is>
          <t>A 2811-2023</t>
        </is>
      </c>
      <c r="B6627" s="1" t="n">
        <v>44944</v>
      </c>
      <c r="C6627" s="1" t="n">
        <v>45344</v>
      </c>
      <c r="D6627" t="inlineStr">
        <is>
          <t>GÄVLEBORGS LÄN</t>
        </is>
      </c>
      <c r="E6627" t="inlineStr">
        <is>
          <t>HUDIKSVALL</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2935-2023</t>
        </is>
      </c>
      <c r="B6628" s="1" t="n">
        <v>44944</v>
      </c>
      <c r="C6628" s="1" t="n">
        <v>45344</v>
      </c>
      <c r="D6628" t="inlineStr">
        <is>
          <t>GÄVLEBORGS LÄN</t>
        </is>
      </c>
      <c r="E6628" t="inlineStr">
        <is>
          <t>BOLLNÄS</t>
        </is>
      </c>
      <c r="G6628" t="n">
        <v>1.9</v>
      </c>
      <c r="H6628" t="n">
        <v>0</v>
      </c>
      <c r="I6628" t="n">
        <v>0</v>
      </c>
      <c r="J6628" t="n">
        <v>0</v>
      </c>
      <c r="K6628" t="n">
        <v>0</v>
      </c>
      <c r="L6628" t="n">
        <v>0</v>
      </c>
      <c r="M6628" t="n">
        <v>0</v>
      </c>
      <c r="N6628" t="n">
        <v>0</v>
      </c>
      <c r="O6628" t="n">
        <v>0</v>
      </c>
      <c r="P6628" t="n">
        <v>0</v>
      </c>
      <c r="Q6628" t="n">
        <v>0</v>
      </c>
      <c r="R6628" s="2" t="inlineStr"/>
    </row>
    <row r="6629" ht="15" customHeight="1">
      <c r="A6629" t="inlineStr">
        <is>
          <t>A 2833-2023</t>
        </is>
      </c>
      <c r="B6629" s="1" t="n">
        <v>44945</v>
      </c>
      <c r="C6629" s="1" t="n">
        <v>45344</v>
      </c>
      <c r="D6629" t="inlineStr">
        <is>
          <t>GÄVLEBORGS LÄN</t>
        </is>
      </c>
      <c r="E6629" t="inlineStr">
        <is>
          <t>HUDIKSVALL</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2861-2023</t>
        </is>
      </c>
      <c r="B6630" s="1" t="n">
        <v>44945</v>
      </c>
      <c r="C6630" s="1" t="n">
        <v>45344</v>
      </c>
      <c r="D6630" t="inlineStr">
        <is>
          <t>GÄVLEBORGS LÄN</t>
        </is>
      </c>
      <c r="E6630" t="inlineStr">
        <is>
          <t>NORDANSTIG</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2885-2023</t>
        </is>
      </c>
      <c r="B6631" s="1" t="n">
        <v>44945</v>
      </c>
      <c r="C6631" s="1" t="n">
        <v>45344</v>
      </c>
      <c r="D6631" t="inlineStr">
        <is>
          <t>GÄVLEBORGS LÄN</t>
        </is>
      </c>
      <c r="E6631" t="inlineStr">
        <is>
          <t>BOLLNÄS</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2986-2023</t>
        </is>
      </c>
      <c r="B6632" s="1" t="n">
        <v>44945</v>
      </c>
      <c r="C6632" s="1" t="n">
        <v>45344</v>
      </c>
      <c r="D6632" t="inlineStr">
        <is>
          <t>GÄVLEBORGS LÄN</t>
        </is>
      </c>
      <c r="E6632" t="inlineStr">
        <is>
          <t>NORDANSTIG</t>
        </is>
      </c>
      <c r="F6632" t="inlineStr">
        <is>
          <t>Holmen skog AB</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3063-2023</t>
        </is>
      </c>
      <c r="B6633" s="1" t="n">
        <v>44946</v>
      </c>
      <c r="C6633" s="1" t="n">
        <v>45344</v>
      </c>
      <c r="D6633" t="inlineStr">
        <is>
          <t>GÄVLEBORGS LÄN</t>
        </is>
      </c>
      <c r="E6633" t="inlineStr">
        <is>
          <t>GÄVLE</t>
        </is>
      </c>
      <c r="F6633" t="inlineStr">
        <is>
          <t>Bergvik skog öst AB</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3044-2023</t>
        </is>
      </c>
      <c r="B6634" s="1" t="n">
        <v>44946</v>
      </c>
      <c r="C6634" s="1" t="n">
        <v>45344</v>
      </c>
      <c r="D6634" t="inlineStr">
        <is>
          <t>GÄVLEBORGS LÄN</t>
        </is>
      </c>
      <c r="E6634" t="inlineStr">
        <is>
          <t>OVANÅKER</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3162-2023</t>
        </is>
      </c>
      <c r="B6635" s="1" t="n">
        <v>44946</v>
      </c>
      <c r="C6635" s="1" t="n">
        <v>45344</v>
      </c>
      <c r="D6635" t="inlineStr">
        <is>
          <t>GÄVLEBORGS LÄN</t>
        </is>
      </c>
      <c r="E6635" t="inlineStr">
        <is>
          <t>HUDIKSVALL</t>
        </is>
      </c>
      <c r="G6635" t="n">
        <v>2.9</v>
      </c>
      <c r="H6635" t="n">
        <v>0</v>
      </c>
      <c r="I6635" t="n">
        <v>0</v>
      </c>
      <c r="J6635" t="n">
        <v>0</v>
      </c>
      <c r="K6635" t="n">
        <v>0</v>
      </c>
      <c r="L6635" t="n">
        <v>0</v>
      </c>
      <c r="M6635" t="n">
        <v>0</v>
      </c>
      <c r="N6635" t="n">
        <v>0</v>
      </c>
      <c r="O6635" t="n">
        <v>0</v>
      </c>
      <c r="P6635" t="n">
        <v>0</v>
      </c>
      <c r="Q6635" t="n">
        <v>0</v>
      </c>
      <c r="R6635" s="2" t="inlineStr"/>
    </row>
    <row r="6636" ht="15" customHeight="1">
      <c r="A6636" t="inlineStr">
        <is>
          <t>A 3193-2023</t>
        </is>
      </c>
      <c r="B6636" s="1" t="n">
        <v>44946</v>
      </c>
      <c r="C6636" s="1" t="n">
        <v>45344</v>
      </c>
      <c r="D6636" t="inlineStr">
        <is>
          <t>GÄVLEBORGS LÄN</t>
        </is>
      </c>
      <c r="E6636" t="inlineStr">
        <is>
          <t>LJUSDAL</t>
        </is>
      </c>
      <c r="F6636" t="inlineStr">
        <is>
          <t>Holmen skog AB</t>
        </is>
      </c>
      <c r="G6636" t="n">
        <v>25.7</v>
      </c>
      <c r="H6636" t="n">
        <v>0</v>
      </c>
      <c r="I6636" t="n">
        <v>0</v>
      </c>
      <c r="J6636" t="n">
        <v>0</v>
      </c>
      <c r="K6636" t="n">
        <v>0</v>
      </c>
      <c r="L6636" t="n">
        <v>0</v>
      </c>
      <c r="M6636" t="n">
        <v>0</v>
      </c>
      <c r="N6636" t="n">
        <v>0</v>
      </c>
      <c r="O6636" t="n">
        <v>0</v>
      </c>
      <c r="P6636" t="n">
        <v>0</v>
      </c>
      <c r="Q6636" t="n">
        <v>0</v>
      </c>
      <c r="R6636" s="2" t="inlineStr"/>
    </row>
    <row r="6637" ht="15" customHeight="1">
      <c r="A6637" t="inlineStr">
        <is>
          <t>A 3188-2023</t>
        </is>
      </c>
      <c r="B6637" s="1" t="n">
        <v>44946</v>
      </c>
      <c r="C6637" s="1" t="n">
        <v>45344</v>
      </c>
      <c r="D6637" t="inlineStr">
        <is>
          <t>GÄVLEBORGS LÄN</t>
        </is>
      </c>
      <c r="E6637" t="inlineStr">
        <is>
          <t>LJUSDAL</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3143-2023</t>
        </is>
      </c>
      <c r="B6638" s="1" t="n">
        <v>44946</v>
      </c>
      <c r="C6638" s="1" t="n">
        <v>45344</v>
      </c>
      <c r="D6638" t="inlineStr">
        <is>
          <t>GÄVLEBORGS LÄN</t>
        </is>
      </c>
      <c r="E6638" t="inlineStr">
        <is>
          <t>HUDIKSVALL</t>
        </is>
      </c>
      <c r="F6638" t="inlineStr">
        <is>
          <t>Holmen skog AB</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3215-2023</t>
        </is>
      </c>
      <c r="B6639" s="1" t="n">
        <v>44946</v>
      </c>
      <c r="C6639" s="1" t="n">
        <v>45344</v>
      </c>
      <c r="D6639" t="inlineStr">
        <is>
          <t>GÄVLEBORGS LÄN</t>
        </is>
      </c>
      <c r="E6639" t="inlineStr">
        <is>
          <t>BOLLNÄS</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3211-2023</t>
        </is>
      </c>
      <c r="B6640" s="1" t="n">
        <v>44946</v>
      </c>
      <c r="C6640" s="1" t="n">
        <v>45344</v>
      </c>
      <c r="D6640" t="inlineStr">
        <is>
          <t>GÄVLEBORGS LÄN</t>
        </is>
      </c>
      <c r="E6640" t="inlineStr">
        <is>
          <t>BOLLNÄS</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3217-2023</t>
        </is>
      </c>
      <c r="B6641" s="1" t="n">
        <v>44946</v>
      </c>
      <c r="C6641" s="1" t="n">
        <v>45344</v>
      </c>
      <c r="D6641" t="inlineStr">
        <is>
          <t>GÄVLEBORGS LÄN</t>
        </is>
      </c>
      <c r="E6641" t="inlineStr">
        <is>
          <t>BOLLNÄS</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3304-2023</t>
        </is>
      </c>
      <c r="B6642" s="1" t="n">
        <v>44949</v>
      </c>
      <c r="C6642" s="1" t="n">
        <v>45344</v>
      </c>
      <c r="D6642" t="inlineStr">
        <is>
          <t>GÄVLEBORGS LÄN</t>
        </is>
      </c>
      <c r="E6642" t="inlineStr">
        <is>
          <t>SANDVIKEN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3363-2023</t>
        </is>
      </c>
      <c r="B6643" s="1" t="n">
        <v>44949</v>
      </c>
      <c r="C6643" s="1" t="n">
        <v>45344</v>
      </c>
      <c r="D6643" t="inlineStr">
        <is>
          <t>GÄVLEBORGS LÄN</t>
        </is>
      </c>
      <c r="E6643" t="inlineStr">
        <is>
          <t>BOLLNÄS</t>
        </is>
      </c>
      <c r="G6643" t="n">
        <v>3.6</v>
      </c>
      <c r="H6643" t="n">
        <v>0</v>
      </c>
      <c r="I6643" t="n">
        <v>0</v>
      </c>
      <c r="J6643" t="n">
        <v>0</v>
      </c>
      <c r="K6643" t="n">
        <v>0</v>
      </c>
      <c r="L6643" t="n">
        <v>0</v>
      </c>
      <c r="M6643" t="n">
        <v>0</v>
      </c>
      <c r="N6643" t="n">
        <v>0</v>
      </c>
      <c r="O6643" t="n">
        <v>0</v>
      </c>
      <c r="P6643" t="n">
        <v>0</v>
      </c>
      <c r="Q6643" t="n">
        <v>0</v>
      </c>
      <c r="R6643" s="2" t="inlineStr"/>
    </row>
    <row r="6644" ht="15" customHeight="1">
      <c r="A6644" t="inlineStr">
        <is>
          <t>A 3365-2023</t>
        </is>
      </c>
      <c r="B6644" s="1" t="n">
        <v>44949</v>
      </c>
      <c r="C6644" s="1" t="n">
        <v>45344</v>
      </c>
      <c r="D6644" t="inlineStr">
        <is>
          <t>GÄVLEBORGS LÄN</t>
        </is>
      </c>
      <c r="E6644" t="inlineStr">
        <is>
          <t>LJUSDAL</t>
        </is>
      </c>
      <c r="F6644" t="inlineStr">
        <is>
          <t>Holmen skog AB</t>
        </is>
      </c>
      <c r="G6644" t="n">
        <v>21.6</v>
      </c>
      <c r="H6644" t="n">
        <v>0</v>
      </c>
      <c r="I6644" t="n">
        <v>0</v>
      </c>
      <c r="J6644" t="n">
        <v>0</v>
      </c>
      <c r="K6644" t="n">
        <v>0</v>
      </c>
      <c r="L6644" t="n">
        <v>0</v>
      </c>
      <c r="M6644" t="n">
        <v>0</v>
      </c>
      <c r="N6644" t="n">
        <v>0</v>
      </c>
      <c r="O6644" t="n">
        <v>0</v>
      </c>
      <c r="P6644" t="n">
        <v>0</v>
      </c>
      <c r="Q6644" t="n">
        <v>0</v>
      </c>
      <c r="R6644" s="2" t="inlineStr"/>
    </row>
    <row r="6645" ht="15" customHeight="1">
      <c r="A6645" t="inlineStr">
        <is>
          <t>A 3289-2023</t>
        </is>
      </c>
      <c r="B6645" s="1" t="n">
        <v>44949</v>
      </c>
      <c r="C6645" s="1" t="n">
        <v>45344</v>
      </c>
      <c r="D6645" t="inlineStr">
        <is>
          <t>GÄVLEBORGS LÄN</t>
        </is>
      </c>
      <c r="E6645" t="inlineStr">
        <is>
          <t>LJUSDAL</t>
        </is>
      </c>
      <c r="F6645" t="inlineStr">
        <is>
          <t>Holmen skog AB</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3313-2023</t>
        </is>
      </c>
      <c r="B6646" s="1" t="n">
        <v>44949</v>
      </c>
      <c r="C6646" s="1" t="n">
        <v>45344</v>
      </c>
      <c r="D6646" t="inlineStr">
        <is>
          <t>GÄVLEBORGS LÄN</t>
        </is>
      </c>
      <c r="E6646" t="inlineStr">
        <is>
          <t>LJUSDAL</t>
        </is>
      </c>
      <c r="F6646" t="inlineStr">
        <is>
          <t>Holmen skog AB</t>
        </is>
      </c>
      <c r="G6646" t="n">
        <v>3.4</v>
      </c>
      <c r="H6646" t="n">
        <v>0</v>
      </c>
      <c r="I6646" t="n">
        <v>0</v>
      </c>
      <c r="J6646" t="n">
        <v>0</v>
      </c>
      <c r="K6646" t="n">
        <v>0</v>
      </c>
      <c r="L6646" t="n">
        <v>0</v>
      </c>
      <c r="M6646" t="n">
        <v>0</v>
      </c>
      <c r="N6646" t="n">
        <v>0</v>
      </c>
      <c r="O6646" t="n">
        <v>0</v>
      </c>
      <c r="P6646" t="n">
        <v>0</v>
      </c>
      <c r="Q6646" t="n">
        <v>0</v>
      </c>
      <c r="R6646" s="2" t="inlineStr"/>
    </row>
    <row r="6647" ht="15" customHeight="1">
      <c r="A6647" t="inlineStr">
        <is>
          <t>A 3316-2023</t>
        </is>
      </c>
      <c r="B6647" s="1" t="n">
        <v>44949</v>
      </c>
      <c r="C6647" s="1" t="n">
        <v>45344</v>
      </c>
      <c r="D6647" t="inlineStr">
        <is>
          <t>GÄVLEBORGS LÄN</t>
        </is>
      </c>
      <c r="E6647" t="inlineStr">
        <is>
          <t>SANDVIKEN</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3361-2023</t>
        </is>
      </c>
      <c r="B6648" s="1" t="n">
        <v>44949</v>
      </c>
      <c r="C6648" s="1" t="n">
        <v>45344</v>
      </c>
      <c r="D6648" t="inlineStr">
        <is>
          <t>GÄVLEBORGS LÄN</t>
        </is>
      </c>
      <c r="E6648" t="inlineStr">
        <is>
          <t>BOLLNÄS</t>
        </is>
      </c>
      <c r="G6648" t="n">
        <v>7.7</v>
      </c>
      <c r="H6648" t="n">
        <v>0</v>
      </c>
      <c r="I6648" t="n">
        <v>0</v>
      </c>
      <c r="J6648" t="n">
        <v>0</v>
      </c>
      <c r="K6648" t="n">
        <v>0</v>
      </c>
      <c r="L6648" t="n">
        <v>0</v>
      </c>
      <c r="M6648" t="n">
        <v>0</v>
      </c>
      <c r="N6648" t="n">
        <v>0</v>
      </c>
      <c r="O6648" t="n">
        <v>0</v>
      </c>
      <c r="P6648" t="n">
        <v>0</v>
      </c>
      <c r="Q6648" t="n">
        <v>0</v>
      </c>
      <c r="R6648" s="2" t="inlineStr"/>
    </row>
    <row r="6649" ht="15" customHeight="1">
      <c r="A6649" t="inlineStr">
        <is>
          <t>A 3370-2023</t>
        </is>
      </c>
      <c r="B6649" s="1" t="n">
        <v>44949</v>
      </c>
      <c r="C6649" s="1" t="n">
        <v>45344</v>
      </c>
      <c r="D6649" t="inlineStr">
        <is>
          <t>GÄVLEBORGS LÄN</t>
        </is>
      </c>
      <c r="E6649" t="inlineStr">
        <is>
          <t>LJUSDAL</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3384-2023</t>
        </is>
      </c>
      <c r="B6650" s="1" t="n">
        <v>44949</v>
      </c>
      <c r="C6650" s="1" t="n">
        <v>45344</v>
      </c>
      <c r="D6650" t="inlineStr">
        <is>
          <t>GÄVLEBORGS LÄN</t>
        </is>
      </c>
      <c r="E6650" t="inlineStr">
        <is>
          <t>OCKELBO</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3464-2023</t>
        </is>
      </c>
      <c r="B6651" s="1" t="n">
        <v>44949</v>
      </c>
      <c r="C6651" s="1" t="n">
        <v>45344</v>
      </c>
      <c r="D6651" t="inlineStr">
        <is>
          <t>GÄVLEBORGS LÄN</t>
        </is>
      </c>
      <c r="E6651" t="inlineStr">
        <is>
          <t>LJUSDAL</t>
        </is>
      </c>
      <c r="G6651" t="n">
        <v>18.6</v>
      </c>
      <c r="H6651" t="n">
        <v>0</v>
      </c>
      <c r="I6651" t="n">
        <v>0</v>
      </c>
      <c r="J6651" t="n">
        <v>0</v>
      </c>
      <c r="K6651" t="n">
        <v>0</v>
      </c>
      <c r="L6651" t="n">
        <v>0</v>
      </c>
      <c r="M6651" t="n">
        <v>0</v>
      </c>
      <c r="N6651" t="n">
        <v>0</v>
      </c>
      <c r="O6651" t="n">
        <v>0</v>
      </c>
      <c r="P6651" t="n">
        <v>0</v>
      </c>
      <c r="Q6651" t="n">
        <v>0</v>
      </c>
      <c r="R6651" s="2" t="inlineStr"/>
    </row>
    <row r="6652" ht="15" customHeight="1">
      <c r="A6652" t="inlineStr">
        <is>
          <t>A 3386-2023</t>
        </is>
      </c>
      <c r="B6652" s="1" t="n">
        <v>44949</v>
      </c>
      <c r="C6652" s="1" t="n">
        <v>45344</v>
      </c>
      <c r="D6652" t="inlineStr">
        <is>
          <t>GÄVLEBORGS LÄN</t>
        </is>
      </c>
      <c r="E6652" t="inlineStr">
        <is>
          <t>NORDANSTIG</t>
        </is>
      </c>
      <c r="F6652" t="inlineStr">
        <is>
          <t>Holmen skog AB</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3442-2023</t>
        </is>
      </c>
      <c r="B6653" s="1" t="n">
        <v>44949</v>
      </c>
      <c r="C6653" s="1" t="n">
        <v>45344</v>
      </c>
      <c r="D6653" t="inlineStr">
        <is>
          <t>GÄVLEBORGS LÄN</t>
        </is>
      </c>
      <c r="E6653" t="inlineStr">
        <is>
          <t>SANDVIKEN</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3453-2023</t>
        </is>
      </c>
      <c r="B6654" s="1" t="n">
        <v>44949</v>
      </c>
      <c r="C6654" s="1" t="n">
        <v>45344</v>
      </c>
      <c r="D6654" t="inlineStr">
        <is>
          <t>GÄVLEBORGS LÄN</t>
        </is>
      </c>
      <c r="E6654" t="inlineStr">
        <is>
          <t>OVANÅKER</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3532-2023</t>
        </is>
      </c>
      <c r="B6655" s="1" t="n">
        <v>44950</v>
      </c>
      <c r="C6655" s="1" t="n">
        <v>45344</v>
      </c>
      <c r="D6655" t="inlineStr">
        <is>
          <t>GÄVLEBORGS LÄN</t>
        </is>
      </c>
      <c r="E6655" t="inlineStr">
        <is>
          <t>LJUSDAL</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3620-2023</t>
        </is>
      </c>
      <c r="B6656" s="1" t="n">
        <v>44950</v>
      </c>
      <c r="C6656" s="1" t="n">
        <v>45344</v>
      </c>
      <c r="D6656" t="inlineStr">
        <is>
          <t>GÄVLEBORGS LÄN</t>
        </is>
      </c>
      <c r="E6656" t="inlineStr">
        <is>
          <t>OCKELBO</t>
        </is>
      </c>
      <c r="G6656" t="n">
        <v>3.8</v>
      </c>
      <c r="H6656" t="n">
        <v>0</v>
      </c>
      <c r="I6656" t="n">
        <v>0</v>
      </c>
      <c r="J6656" t="n">
        <v>0</v>
      </c>
      <c r="K6656" t="n">
        <v>0</v>
      </c>
      <c r="L6656" t="n">
        <v>0</v>
      </c>
      <c r="M6656" t="n">
        <v>0</v>
      </c>
      <c r="N6656" t="n">
        <v>0</v>
      </c>
      <c r="O6656" t="n">
        <v>0</v>
      </c>
      <c r="P6656" t="n">
        <v>0</v>
      </c>
      <c r="Q6656" t="n">
        <v>0</v>
      </c>
      <c r="R6656" s="2" t="inlineStr"/>
    </row>
    <row r="6657" ht="15" customHeight="1">
      <c r="A6657" t="inlineStr">
        <is>
          <t>A 3593-2023</t>
        </is>
      </c>
      <c r="B6657" s="1" t="n">
        <v>44950</v>
      </c>
      <c r="C6657" s="1" t="n">
        <v>45344</v>
      </c>
      <c r="D6657" t="inlineStr">
        <is>
          <t>GÄVLEBORGS LÄN</t>
        </is>
      </c>
      <c r="E6657" t="inlineStr">
        <is>
          <t>OCKELBO</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3628-2023</t>
        </is>
      </c>
      <c r="B6658" s="1" t="n">
        <v>44950</v>
      </c>
      <c r="C6658" s="1" t="n">
        <v>45344</v>
      </c>
      <c r="D6658" t="inlineStr">
        <is>
          <t>GÄVLEBORGS LÄN</t>
        </is>
      </c>
      <c r="E6658" t="inlineStr">
        <is>
          <t>OCKELBO</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3617-2023</t>
        </is>
      </c>
      <c r="B6659" s="1" t="n">
        <v>44950</v>
      </c>
      <c r="C6659" s="1" t="n">
        <v>45344</v>
      </c>
      <c r="D6659" t="inlineStr">
        <is>
          <t>GÄVLEBORGS LÄN</t>
        </is>
      </c>
      <c r="E6659" t="inlineStr">
        <is>
          <t>OCKELBO</t>
        </is>
      </c>
      <c r="G6659" t="n">
        <v>4.5</v>
      </c>
      <c r="H6659" t="n">
        <v>0</v>
      </c>
      <c r="I6659" t="n">
        <v>0</v>
      </c>
      <c r="J6659" t="n">
        <v>0</v>
      </c>
      <c r="K6659" t="n">
        <v>0</v>
      </c>
      <c r="L6659" t="n">
        <v>0</v>
      </c>
      <c r="M6659" t="n">
        <v>0</v>
      </c>
      <c r="N6659" t="n">
        <v>0</v>
      </c>
      <c r="O6659" t="n">
        <v>0</v>
      </c>
      <c r="P6659" t="n">
        <v>0</v>
      </c>
      <c r="Q6659" t="n">
        <v>0</v>
      </c>
      <c r="R6659" s="2" t="inlineStr"/>
    </row>
    <row r="6660" ht="15" customHeight="1">
      <c r="A6660" t="inlineStr">
        <is>
          <t>A 3626-2023</t>
        </is>
      </c>
      <c r="B6660" s="1" t="n">
        <v>44950</v>
      </c>
      <c r="C6660" s="1" t="n">
        <v>45344</v>
      </c>
      <c r="D6660" t="inlineStr">
        <is>
          <t>GÄVLEBORGS LÄN</t>
        </is>
      </c>
      <c r="E6660" t="inlineStr">
        <is>
          <t>OCKELBO</t>
        </is>
      </c>
      <c r="G6660" t="n">
        <v>3.1</v>
      </c>
      <c r="H6660" t="n">
        <v>0</v>
      </c>
      <c r="I6660" t="n">
        <v>0</v>
      </c>
      <c r="J6660" t="n">
        <v>0</v>
      </c>
      <c r="K6660" t="n">
        <v>0</v>
      </c>
      <c r="L6660" t="n">
        <v>0</v>
      </c>
      <c r="M6660" t="n">
        <v>0</v>
      </c>
      <c r="N6660" t="n">
        <v>0</v>
      </c>
      <c r="O6660" t="n">
        <v>0</v>
      </c>
      <c r="P6660" t="n">
        <v>0</v>
      </c>
      <c r="Q6660" t="n">
        <v>0</v>
      </c>
      <c r="R6660" s="2" t="inlineStr"/>
    </row>
    <row r="6661" ht="15" customHeight="1">
      <c r="A6661" t="inlineStr">
        <is>
          <t>A 3635-2023</t>
        </is>
      </c>
      <c r="B6661" s="1" t="n">
        <v>44950</v>
      </c>
      <c r="C6661" s="1" t="n">
        <v>45344</v>
      </c>
      <c r="D6661" t="inlineStr">
        <is>
          <t>GÄVLEBORGS LÄN</t>
        </is>
      </c>
      <c r="E6661" t="inlineStr">
        <is>
          <t>LJUSDAL</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3715-2023</t>
        </is>
      </c>
      <c r="B6662" s="1" t="n">
        <v>44951</v>
      </c>
      <c r="C6662" s="1" t="n">
        <v>45344</v>
      </c>
      <c r="D6662" t="inlineStr">
        <is>
          <t>GÄVLEBORGS LÄN</t>
        </is>
      </c>
      <c r="E6662" t="inlineStr">
        <is>
          <t>GÄVLE</t>
        </is>
      </c>
      <c r="F6662" t="inlineStr">
        <is>
          <t>Bergvik skog väst AB</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3714-2023</t>
        </is>
      </c>
      <c r="B6663" s="1" t="n">
        <v>44951</v>
      </c>
      <c r="C6663" s="1" t="n">
        <v>45344</v>
      </c>
      <c r="D6663" t="inlineStr">
        <is>
          <t>GÄVLEBORGS LÄN</t>
        </is>
      </c>
      <c r="E6663" t="inlineStr">
        <is>
          <t>GÄVLE</t>
        </is>
      </c>
      <c r="F6663" t="inlineStr">
        <is>
          <t>Bergvik skog väst AB</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3712-2023</t>
        </is>
      </c>
      <c r="B6664" s="1" t="n">
        <v>44951</v>
      </c>
      <c r="C6664" s="1" t="n">
        <v>45344</v>
      </c>
      <c r="D6664" t="inlineStr">
        <is>
          <t>GÄVLEBORGS LÄN</t>
        </is>
      </c>
      <c r="E6664" t="inlineStr">
        <is>
          <t>GÄVLE</t>
        </is>
      </c>
      <c r="F6664" t="inlineStr">
        <is>
          <t>Bergvik skog väst AB</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3891-2023</t>
        </is>
      </c>
      <c r="B6665" s="1" t="n">
        <v>44951</v>
      </c>
      <c r="C6665" s="1" t="n">
        <v>45344</v>
      </c>
      <c r="D6665" t="inlineStr">
        <is>
          <t>GÄVLEBORGS LÄN</t>
        </is>
      </c>
      <c r="E6665" t="inlineStr">
        <is>
          <t>GÄVLE</t>
        </is>
      </c>
      <c r="G6665" t="n">
        <v>2.7</v>
      </c>
      <c r="H6665" t="n">
        <v>0</v>
      </c>
      <c r="I6665" t="n">
        <v>0</v>
      </c>
      <c r="J6665" t="n">
        <v>0</v>
      </c>
      <c r="K6665" t="n">
        <v>0</v>
      </c>
      <c r="L6665" t="n">
        <v>0</v>
      </c>
      <c r="M6665" t="n">
        <v>0</v>
      </c>
      <c r="N6665" t="n">
        <v>0</v>
      </c>
      <c r="O6665" t="n">
        <v>0</v>
      </c>
      <c r="P6665" t="n">
        <v>0</v>
      </c>
      <c r="Q6665" t="n">
        <v>0</v>
      </c>
      <c r="R6665" s="2" t="inlineStr"/>
    </row>
    <row r="6666" ht="15" customHeight="1">
      <c r="A6666" t="inlineStr">
        <is>
          <t>A 3942-2023</t>
        </is>
      </c>
      <c r="B6666" s="1" t="n">
        <v>44952</v>
      </c>
      <c r="C6666" s="1" t="n">
        <v>45344</v>
      </c>
      <c r="D6666" t="inlineStr">
        <is>
          <t>GÄVLEBORGS LÄN</t>
        </is>
      </c>
      <c r="E6666" t="inlineStr">
        <is>
          <t>HUDIKSVALL</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4001-2023</t>
        </is>
      </c>
      <c r="B6667" s="1" t="n">
        <v>44952</v>
      </c>
      <c r="C6667" s="1" t="n">
        <v>45344</v>
      </c>
      <c r="D6667" t="inlineStr">
        <is>
          <t>GÄVLEBORGS LÄN</t>
        </is>
      </c>
      <c r="E6667" t="inlineStr">
        <is>
          <t>NORDANSTIG</t>
        </is>
      </c>
      <c r="F6667" t="inlineStr">
        <is>
          <t>Holmen skog AB</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4024-2023</t>
        </is>
      </c>
      <c r="B6668" s="1" t="n">
        <v>44952</v>
      </c>
      <c r="C6668" s="1" t="n">
        <v>45344</v>
      </c>
      <c r="D6668" t="inlineStr">
        <is>
          <t>GÄVLEBORGS LÄN</t>
        </is>
      </c>
      <c r="E6668" t="inlineStr">
        <is>
          <t>NORDANSTIG</t>
        </is>
      </c>
      <c r="F6668" t="inlineStr">
        <is>
          <t>Holmen skog AB</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4039-2023</t>
        </is>
      </c>
      <c r="B6669" s="1" t="n">
        <v>44952</v>
      </c>
      <c r="C6669" s="1" t="n">
        <v>45344</v>
      </c>
      <c r="D6669" t="inlineStr">
        <is>
          <t>GÄVLEBORGS LÄN</t>
        </is>
      </c>
      <c r="E6669" t="inlineStr">
        <is>
          <t>LJUSDAL</t>
        </is>
      </c>
      <c r="F6669" t="inlineStr">
        <is>
          <t>Bergvik skog väst AB</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4044-2023</t>
        </is>
      </c>
      <c r="B6670" s="1" t="n">
        <v>44952</v>
      </c>
      <c r="C6670" s="1" t="n">
        <v>45344</v>
      </c>
      <c r="D6670" t="inlineStr">
        <is>
          <t>GÄVLEBORGS LÄN</t>
        </is>
      </c>
      <c r="E6670" t="inlineStr">
        <is>
          <t>LJUSDAL</t>
        </is>
      </c>
      <c r="F6670" t="inlineStr">
        <is>
          <t>Bergvik skog väst AB</t>
        </is>
      </c>
      <c r="G6670" t="n">
        <v>1.8</v>
      </c>
      <c r="H6670" t="n">
        <v>0</v>
      </c>
      <c r="I6670" t="n">
        <v>0</v>
      </c>
      <c r="J6670" t="n">
        <v>0</v>
      </c>
      <c r="K6670" t="n">
        <v>0</v>
      </c>
      <c r="L6670" t="n">
        <v>0</v>
      </c>
      <c r="M6670" t="n">
        <v>0</v>
      </c>
      <c r="N6670" t="n">
        <v>0</v>
      </c>
      <c r="O6670" t="n">
        <v>0</v>
      </c>
      <c r="P6670" t="n">
        <v>0</v>
      </c>
      <c r="Q6670" t="n">
        <v>0</v>
      </c>
      <c r="R6670" s="2" t="inlineStr"/>
    </row>
    <row r="6671" ht="15" customHeight="1">
      <c r="A6671" t="inlineStr">
        <is>
          <t>A 4053-2023</t>
        </is>
      </c>
      <c r="B6671" s="1" t="n">
        <v>44952</v>
      </c>
      <c r="C6671" s="1" t="n">
        <v>45344</v>
      </c>
      <c r="D6671" t="inlineStr">
        <is>
          <t>GÄVLEBORGS LÄN</t>
        </is>
      </c>
      <c r="E6671" t="inlineStr">
        <is>
          <t>LJUSDAL</t>
        </is>
      </c>
      <c r="F6671" t="inlineStr">
        <is>
          <t>Bergvik skog väst AB</t>
        </is>
      </c>
      <c r="G6671" t="n">
        <v>5.6</v>
      </c>
      <c r="H6671" t="n">
        <v>0</v>
      </c>
      <c r="I6671" t="n">
        <v>0</v>
      </c>
      <c r="J6671" t="n">
        <v>0</v>
      </c>
      <c r="K6671" t="n">
        <v>0</v>
      </c>
      <c r="L6671" t="n">
        <v>0</v>
      </c>
      <c r="M6671" t="n">
        <v>0</v>
      </c>
      <c r="N6671" t="n">
        <v>0</v>
      </c>
      <c r="O6671" t="n">
        <v>0</v>
      </c>
      <c r="P6671" t="n">
        <v>0</v>
      </c>
      <c r="Q6671" t="n">
        <v>0</v>
      </c>
      <c r="R6671" s="2" t="inlineStr"/>
    </row>
    <row r="6672" ht="15" customHeight="1">
      <c r="A6672" t="inlineStr">
        <is>
          <t>A 3957-2023</t>
        </is>
      </c>
      <c r="B6672" s="1" t="n">
        <v>44952</v>
      </c>
      <c r="C6672" s="1" t="n">
        <v>45344</v>
      </c>
      <c r="D6672" t="inlineStr">
        <is>
          <t>GÄVLEBORGS LÄN</t>
        </is>
      </c>
      <c r="E6672" t="inlineStr">
        <is>
          <t>NORDANSTIG</t>
        </is>
      </c>
      <c r="F6672" t="inlineStr">
        <is>
          <t>Holmen skog AB</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3976-2023</t>
        </is>
      </c>
      <c r="B6673" s="1" t="n">
        <v>44952</v>
      </c>
      <c r="C6673" s="1" t="n">
        <v>45344</v>
      </c>
      <c r="D6673" t="inlineStr">
        <is>
          <t>GÄVLEBORGS LÄN</t>
        </is>
      </c>
      <c r="E6673" t="inlineStr">
        <is>
          <t>BOLLNÄS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3983-2023</t>
        </is>
      </c>
      <c r="B6674" s="1" t="n">
        <v>44952</v>
      </c>
      <c r="C6674" s="1" t="n">
        <v>45344</v>
      </c>
      <c r="D6674" t="inlineStr">
        <is>
          <t>GÄVLEBORGS LÄN</t>
        </is>
      </c>
      <c r="E6674" t="inlineStr">
        <is>
          <t>NORDANSTIG</t>
        </is>
      </c>
      <c r="F6674" t="inlineStr">
        <is>
          <t>Holmen skog AB</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4019-2023</t>
        </is>
      </c>
      <c r="B6675" s="1" t="n">
        <v>44952</v>
      </c>
      <c r="C6675" s="1" t="n">
        <v>45344</v>
      </c>
      <c r="D6675" t="inlineStr">
        <is>
          <t>GÄVLEBORGS LÄN</t>
        </is>
      </c>
      <c r="E6675" t="inlineStr">
        <is>
          <t>HUDIKSVALL</t>
        </is>
      </c>
      <c r="F6675" t="inlineStr">
        <is>
          <t>Holmen skog AB</t>
        </is>
      </c>
      <c r="G6675" t="n">
        <v>4.7</v>
      </c>
      <c r="H6675" t="n">
        <v>0</v>
      </c>
      <c r="I6675" t="n">
        <v>0</v>
      </c>
      <c r="J6675" t="n">
        <v>0</v>
      </c>
      <c r="K6675" t="n">
        <v>0</v>
      </c>
      <c r="L6675" t="n">
        <v>0</v>
      </c>
      <c r="M6675" t="n">
        <v>0</v>
      </c>
      <c r="N6675" t="n">
        <v>0</v>
      </c>
      <c r="O6675" t="n">
        <v>0</v>
      </c>
      <c r="P6675" t="n">
        <v>0</v>
      </c>
      <c r="Q6675" t="n">
        <v>0</v>
      </c>
      <c r="R6675" s="2" t="inlineStr"/>
    </row>
    <row r="6676" ht="15" customHeight="1">
      <c r="A6676" t="inlineStr">
        <is>
          <t>A 4021-2023</t>
        </is>
      </c>
      <c r="B6676" s="1" t="n">
        <v>44952</v>
      </c>
      <c r="C6676" s="1" t="n">
        <v>45344</v>
      </c>
      <c r="D6676" t="inlineStr">
        <is>
          <t>GÄVLEBORGS LÄN</t>
        </is>
      </c>
      <c r="E6676" t="inlineStr">
        <is>
          <t>NORDANSTIG</t>
        </is>
      </c>
      <c r="F6676" t="inlineStr">
        <is>
          <t>Holmen skog AB</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3969-2023</t>
        </is>
      </c>
      <c r="B6677" s="1" t="n">
        <v>44952</v>
      </c>
      <c r="C6677" s="1" t="n">
        <v>45344</v>
      </c>
      <c r="D6677" t="inlineStr">
        <is>
          <t>GÄVLEBORGS LÄN</t>
        </is>
      </c>
      <c r="E6677" t="inlineStr">
        <is>
          <t>NORDANSTIG</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4034-2023</t>
        </is>
      </c>
      <c r="B6678" s="1" t="n">
        <v>44952</v>
      </c>
      <c r="C6678" s="1" t="n">
        <v>45344</v>
      </c>
      <c r="D6678" t="inlineStr">
        <is>
          <t>GÄVLEBORGS LÄN</t>
        </is>
      </c>
      <c r="E6678" t="inlineStr">
        <is>
          <t>LJUSDAL</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4074-2023</t>
        </is>
      </c>
      <c r="B6679" s="1" t="n">
        <v>44952</v>
      </c>
      <c r="C6679" s="1" t="n">
        <v>45344</v>
      </c>
      <c r="D6679" t="inlineStr">
        <is>
          <t>GÄVLEBORGS LÄN</t>
        </is>
      </c>
      <c r="E6679" t="inlineStr">
        <is>
          <t>OVANÅKER</t>
        </is>
      </c>
      <c r="G6679" t="n">
        <v>2.7</v>
      </c>
      <c r="H6679" t="n">
        <v>0</v>
      </c>
      <c r="I6679" t="n">
        <v>0</v>
      </c>
      <c r="J6679" t="n">
        <v>0</v>
      </c>
      <c r="K6679" t="n">
        <v>0</v>
      </c>
      <c r="L6679" t="n">
        <v>0</v>
      </c>
      <c r="M6679" t="n">
        <v>0</v>
      </c>
      <c r="N6679" t="n">
        <v>0</v>
      </c>
      <c r="O6679" t="n">
        <v>0</v>
      </c>
      <c r="P6679" t="n">
        <v>0</v>
      </c>
      <c r="Q6679" t="n">
        <v>0</v>
      </c>
      <c r="R6679" s="2" t="inlineStr"/>
    </row>
    <row r="6680" ht="15" customHeight="1">
      <c r="A6680" t="inlineStr">
        <is>
          <t>A 4184-2023</t>
        </is>
      </c>
      <c r="B6680" s="1" t="n">
        <v>44953</v>
      </c>
      <c r="C6680" s="1" t="n">
        <v>45344</v>
      </c>
      <c r="D6680" t="inlineStr">
        <is>
          <t>GÄVLEBORGS LÄN</t>
        </is>
      </c>
      <c r="E6680" t="inlineStr">
        <is>
          <t>BOLLNÄS</t>
        </is>
      </c>
      <c r="F6680" t="inlineStr">
        <is>
          <t>Holmen skog AB</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4235-2023</t>
        </is>
      </c>
      <c r="B6681" s="1" t="n">
        <v>44953</v>
      </c>
      <c r="C6681" s="1" t="n">
        <v>45344</v>
      </c>
      <c r="D6681" t="inlineStr">
        <is>
          <t>GÄVLEBORGS LÄN</t>
        </is>
      </c>
      <c r="E6681" t="inlineStr">
        <is>
          <t>BOLLNÄS</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4142-2023</t>
        </is>
      </c>
      <c r="B6682" s="1" t="n">
        <v>44953</v>
      </c>
      <c r="C6682" s="1" t="n">
        <v>45344</v>
      </c>
      <c r="D6682" t="inlineStr">
        <is>
          <t>GÄVLEBORGS LÄN</t>
        </is>
      </c>
      <c r="E6682" t="inlineStr">
        <is>
          <t>NORDANSTIG</t>
        </is>
      </c>
      <c r="F6682" t="inlineStr">
        <is>
          <t>Holmen skog AB</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4197-2023</t>
        </is>
      </c>
      <c r="B6683" s="1" t="n">
        <v>44953</v>
      </c>
      <c r="C6683" s="1" t="n">
        <v>45344</v>
      </c>
      <c r="D6683" t="inlineStr">
        <is>
          <t>GÄVLEBORGS LÄN</t>
        </is>
      </c>
      <c r="E6683" t="inlineStr">
        <is>
          <t>LJUSDAL</t>
        </is>
      </c>
      <c r="F6683" t="inlineStr">
        <is>
          <t>Holmen skog AB</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4195-2023</t>
        </is>
      </c>
      <c r="B6684" s="1" t="n">
        <v>44953</v>
      </c>
      <c r="C6684" s="1" t="n">
        <v>45344</v>
      </c>
      <c r="D6684" t="inlineStr">
        <is>
          <t>GÄVLEBORGS LÄN</t>
        </is>
      </c>
      <c r="E6684" t="inlineStr">
        <is>
          <t>LJUSDAL</t>
        </is>
      </c>
      <c r="F6684" t="inlineStr">
        <is>
          <t>Holmen skog AB</t>
        </is>
      </c>
      <c r="G6684" t="n">
        <v>3.3</v>
      </c>
      <c r="H6684" t="n">
        <v>0</v>
      </c>
      <c r="I6684" t="n">
        <v>0</v>
      </c>
      <c r="J6684" t="n">
        <v>0</v>
      </c>
      <c r="K6684" t="n">
        <v>0</v>
      </c>
      <c r="L6684" t="n">
        <v>0</v>
      </c>
      <c r="M6684" t="n">
        <v>0</v>
      </c>
      <c r="N6684" t="n">
        <v>0</v>
      </c>
      <c r="O6684" t="n">
        <v>0</v>
      </c>
      <c r="P6684" t="n">
        <v>0</v>
      </c>
      <c r="Q6684" t="n">
        <v>0</v>
      </c>
      <c r="R6684" s="2" t="inlineStr"/>
    </row>
    <row r="6685" ht="15" customHeight="1">
      <c r="A6685" t="inlineStr">
        <is>
          <t>A 4148-2023</t>
        </is>
      </c>
      <c r="B6685" s="1" t="n">
        <v>44953</v>
      </c>
      <c r="C6685" s="1" t="n">
        <v>45344</v>
      </c>
      <c r="D6685" t="inlineStr">
        <is>
          <t>GÄVLEBORGS LÄN</t>
        </is>
      </c>
      <c r="E6685" t="inlineStr">
        <is>
          <t>LJUSDAL</t>
        </is>
      </c>
      <c r="F6685" t="inlineStr">
        <is>
          <t>Holmen skog AB</t>
        </is>
      </c>
      <c r="G6685" t="n">
        <v>5.4</v>
      </c>
      <c r="H6685" t="n">
        <v>0</v>
      </c>
      <c r="I6685" t="n">
        <v>0</v>
      </c>
      <c r="J6685" t="n">
        <v>0</v>
      </c>
      <c r="K6685" t="n">
        <v>0</v>
      </c>
      <c r="L6685" t="n">
        <v>0</v>
      </c>
      <c r="M6685" t="n">
        <v>0</v>
      </c>
      <c r="N6685" t="n">
        <v>0</v>
      </c>
      <c r="O6685" t="n">
        <v>0</v>
      </c>
      <c r="P6685" t="n">
        <v>0</v>
      </c>
      <c r="Q6685" t="n">
        <v>0</v>
      </c>
      <c r="R6685" s="2" t="inlineStr"/>
    </row>
    <row r="6686" ht="15" customHeight="1">
      <c r="A6686" t="inlineStr">
        <is>
          <t>A 4226-2023</t>
        </is>
      </c>
      <c r="B6686" s="1" t="n">
        <v>44953</v>
      </c>
      <c r="C6686" s="1" t="n">
        <v>45344</v>
      </c>
      <c r="D6686" t="inlineStr">
        <is>
          <t>GÄVLEBORGS LÄN</t>
        </is>
      </c>
      <c r="E6686" t="inlineStr">
        <is>
          <t>OCKELBO</t>
        </is>
      </c>
      <c r="F6686" t="inlineStr">
        <is>
          <t>Bergvik skog väst AB</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4301-2023</t>
        </is>
      </c>
      <c r="B6687" s="1" t="n">
        <v>44953</v>
      </c>
      <c r="C6687" s="1" t="n">
        <v>45344</v>
      </c>
      <c r="D6687" t="inlineStr">
        <is>
          <t>GÄVLEBORGS LÄN</t>
        </is>
      </c>
      <c r="E6687" t="inlineStr">
        <is>
          <t>HUDIKSVALL</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4275-2023</t>
        </is>
      </c>
      <c r="B6688" s="1" t="n">
        <v>44953</v>
      </c>
      <c r="C6688" s="1" t="n">
        <v>45344</v>
      </c>
      <c r="D6688" t="inlineStr">
        <is>
          <t>GÄVLEBORGS LÄN</t>
        </is>
      </c>
      <c r="E6688" t="inlineStr">
        <is>
          <t>LJUSDAL</t>
        </is>
      </c>
      <c r="F6688" t="inlineStr">
        <is>
          <t>Holmen skog AB</t>
        </is>
      </c>
      <c r="G6688" t="n">
        <v>16.4</v>
      </c>
      <c r="H6688" t="n">
        <v>0</v>
      </c>
      <c r="I6688" t="n">
        <v>0</v>
      </c>
      <c r="J6688" t="n">
        <v>0</v>
      </c>
      <c r="K6688" t="n">
        <v>0</v>
      </c>
      <c r="L6688" t="n">
        <v>0</v>
      </c>
      <c r="M6688" t="n">
        <v>0</v>
      </c>
      <c r="N6688" t="n">
        <v>0</v>
      </c>
      <c r="O6688" t="n">
        <v>0</v>
      </c>
      <c r="P6688" t="n">
        <v>0</v>
      </c>
      <c r="Q6688" t="n">
        <v>0</v>
      </c>
      <c r="R6688" s="2" t="inlineStr"/>
    </row>
    <row r="6689" ht="15" customHeight="1">
      <c r="A6689" t="inlineStr">
        <is>
          <t>A 4384-2023</t>
        </is>
      </c>
      <c r="B6689" s="1" t="n">
        <v>44955</v>
      </c>
      <c r="C6689" s="1" t="n">
        <v>45344</v>
      </c>
      <c r="D6689" t="inlineStr">
        <is>
          <t>GÄVLEBORGS LÄN</t>
        </is>
      </c>
      <c r="E6689" t="inlineStr">
        <is>
          <t>SANDVIKEN</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4461-2023</t>
        </is>
      </c>
      <c r="B6690" s="1" t="n">
        <v>44956</v>
      </c>
      <c r="C6690" s="1" t="n">
        <v>45344</v>
      </c>
      <c r="D6690" t="inlineStr">
        <is>
          <t>GÄVLEBORGS LÄN</t>
        </is>
      </c>
      <c r="E6690" t="inlineStr">
        <is>
          <t>SANDVIKEN</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4482-2023</t>
        </is>
      </c>
      <c r="B6691" s="1" t="n">
        <v>44956</v>
      </c>
      <c r="C6691" s="1" t="n">
        <v>45344</v>
      </c>
      <c r="D6691" t="inlineStr">
        <is>
          <t>GÄVLEBORGS LÄN</t>
        </is>
      </c>
      <c r="E6691" t="inlineStr">
        <is>
          <t>BOLLNÄS</t>
        </is>
      </c>
      <c r="G6691" t="n">
        <v>5.7</v>
      </c>
      <c r="H6691" t="n">
        <v>0</v>
      </c>
      <c r="I6691" t="n">
        <v>0</v>
      </c>
      <c r="J6691" t="n">
        <v>0</v>
      </c>
      <c r="K6691" t="n">
        <v>0</v>
      </c>
      <c r="L6691" t="n">
        <v>0</v>
      </c>
      <c r="M6691" t="n">
        <v>0</v>
      </c>
      <c r="N6691" t="n">
        <v>0</v>
      </c>
      <c r="O6691" t="n">
        <v>0</v>
      </c>
      <c r="P6691" t="n">
        <v>0</v>
      </c>
      <c r="Q6691" t="n">
        <v>0</v>
      </c>
      <c r="R6691" s="2" t="inlineStr"/>
    </row>
    <row r="6692" ht="15" customHeight="1">
      <c r="A6692" t="inlineStr">
        <is>
          <t>A 4451-2023</t>
        </is>
      </c>
      <c r="B6692" s="1" t="n">
        <v>44956</v>
      </c>
      <c r="C6692" s="1" t="n">
        <v>45344</v>
      </c>
      <c r="D6692" t="inlineStr">
        <is>
          <t>GÄVLEBORGS LÄN</t>
        </is>
      </c>
      <c r="E6692" t="inlineStr">
        <is>
          <t>HOFORS</t>
        </is>
      </c>
      <c r="G6692" t="n">
        <v>5.1</v>
      </c>
      <c r="H6692" t="n">
        <v>0</v>
      </c>
      <c r="I6692" t="n">
        <v>0</v>
      </c>
      <c r="J6692" t="n">
        <v>0</v>
      </c>
      <c r="K6692" t="n">
        <v>0</v>
      </c>
      <c r="L6692" t="n">
        <v>0</v>
      </c>
      <c r="M6692" t="n">
        <v>0</v>
      </c>
      <c r="N6692" t="n">
        <v>0</v>
      </c>
      <c r="O6692" t="n">
        <v>0</v>
      </c>
      <c r="P6692" t="n">
        <v>0</v>
      </c>
      <c r="Q6692" t="n">
        <v>0</v>
      </c>
      <c r="R6692" s="2" t="inlineStr"/>
    </row>
    <row r="6693" ht="15" customHeight="1">
      <c r="A6693" t="inlineStr">
        <is>
          <t>A 4457-2023</t>
        </is>
      </c>
      <c r="B6693" s="1" t="n">
        <v>44956</v>
      </c>
      <c r="C6693" s="1" t="n">
        <v>45344</v>
      </c>
      <c r="D6693" t="inlineStr">
        <is>
          <t>GÄVLEBORGS LÄN</t>
        </is>
      </c>
      <c r="E6693" t="inlineStr">
        <is>
          <t>SANDVIKEN</t>
        </is>
      </c>
      <c r="G6693" t="n">
        <v>3.8</v>
      </c>
      <c r="H6693" t="n">
        <v>0</v>
      </c>
      <c r="I6693" t="n">
        <v>0</v>
      </c>
      <c r="J6693" t="n">
        <v>0</v>
      </c>
      <c r="K6693" t="n">
        <v>0</v>
      </c>
      <c r="L6693" t="n">
        <v>0</v>
      </c>
      <c r="M6693" t="n">
        <v>0</v>
      </c>
      <c r="N6693" t="n">
        <v>0</v>
      </c>
      <c r="O6693" t="n">
        <v>0</v>
      </c>
      <c r="P6693" t="n">
        <v>0</v>
      </c>
      <c r="Q6693" t="n">
        <v>0</v>
      </c>
      <c r="R6693" s="2" t="inlineStr"/>
    </row>
    <row r="6694" ht="15" customHeight="1">
      <c r="A6694" t="inlineStr">
        <is>
          <t>A 4476-2023</t>
        </is>
      </c>
      <c r="B6694" s="1" t="n">
        <v>44956</v>
      </c>
      <c r="C6694" s="1" t="n">
        <v>45344</v>
      </c>
      <c r="D6694" t="inlineStr">
        <is>
          <t>GÄVLEBORGS LÄN</t>
        </is>
      </c>
      <c r="E6694" t="inlineStr">
        <is>
          <t>LJUSDAL</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4534-2023</t>
        </is>
      </c>
      <c r="B6695" s="1" t="n">
        <v>44956</v>
      </c>
      <c r="C6695" s="1" t="n">
        <v>45344</v>
      </c>
      <c r="D6695" t="inlineStr">
        <is>
          <t>GÄVLEBORGS LÄN</t>
        </is>
      </c>
      <c r="E6695" t="inlineStr">
        <is>
          <t>OVANÅKER</t>
        </is>
      </c>
      <c r="F6695" t="inlineStr">
        <is>
          <t>Bergvik skog väst AB</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4563-2023</t>
        </is>
      </c>
      <c r="B6696" s="1" t="n">
        <v>44956</v>
      </c>
      <c r="C6696" s="1" t="n">
        <v>45344</v>
      </c>
      <c r="D6696" t="inlineStr">
        <is>
          <t>GÄVLEBORGS LÄN</t>
        </is>
      </c>
      <c r="E6696" t="inlineStr">
        <is>
          <t>SÖDERHAMN</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4432-2023</t>
        </is>
      </c>
      <c r="B6697" s="1" t="n">
        <v>44956</v>
      </c>
      <c r="C6697" s="1" t="n">
        <v>45344</v>
      </c>
      <c r="D6697" t="inlineStr">
        <is>
          <t>GÄVLEBORGS LÄN</t>
        </is>
      </c>
      <c r="E6697" t="inlineStr">
        <is>
          <t>BOLLNÄS</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4525-2023</t>
        </is>
      </c>
      <c r="B6698" s="1" t="n">
        <v>44956</v>
      </c>
      <c r="C6698" s="1" t="n">
        <v>45344</v>
      </c>
      <c r="D6698" t="inlineStr">
        <is>
          <t>GÄVLEBORGS LÄN</t>
        </is>
      </c>
      <c r="E6698" t="inlineStr">
        <is>
          <t>LJUSDAL</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4540-2023</t>
        </is>
      </c>
      <c r="B6699" s="1" t="n">
        <v>44956</v>
      </c>
      <c r="C6699" s="1" t="n">
        <v>45344</v>
      </c>
      <c r="D6699" t="inlineStr">
        <is>
          <t>GÄVLEBORGS LÄN</t>
        </is>
      </c>
      <c r="E6699" t="inlineStr">
        <is>
          <t>OVANÅKER</t>
        </is>
      </c>
      <c r="F6699" t="inlineStr">
        <is>
          <t>Bergvik skog väst AB</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4605-2023</t>
        </is>
      </c>
      <c r="B6700" s="1" t="n">
        <v>44956</v>
      </c>
      <c r="C6700" s="1" t="n">
        <v>45344</v>
      </c>
      <c r="D6700" t="inlineStr">
        <is>
          <t>GÄVLEBORGS LÄN</t>
        </is>
      </c>
      <c r="E6700" t="inlineStr">
        <is>
          <t>HUDIKSVALL</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4660-2023</t>
        </is>
      </c>
      <c r="B6701" s="1" t="n">
        <v>44957</v>
      </c>
      <c r="C6701" s="1" t="n">
        <v>45344</v>
      </c>
      <c r="D6701" t="inlineStr">
        <is>
          <t>GÄVLEBORGS LÄN</t>
        </is>
      </c>
      <c r="E6701" t="inlineStr">
        <is>
          <t>LJUSDAL</t>
        </is>
      </c>
      <c r="F6701" t="inlineStr">
        <is>
          <t>Holmen skog AB</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4818-2023</t>
        </is>
      </c>
      <c r="B6702" s="1" t="n">
        <v>44957</v>
      </c>
      <c r="C6702" s="1" t="n">
        <v>45344</v>
      </c>
      <c r="D6702" t="inlineStr">
        <is>
          <t>GÄVLEBORGS LÄN</t>
        </is>
      </c>
      <c r="E6702" t="inlineStr">
        <is>
          <t>LJUSDAL</t>
        </is>
      </c>
      <c r="F6702" t="inlineStr">
        <is>
          <t>Holmen skog AB</t>
        </is>
      </c>
      <c r="G6702" t="n">
        <v>5.1</v>
      </c>
      <c r="H6702" t="n">
        <v>0</v>
      </c>
      <c r="I6702" t="n">
        <v>0</v>
      </c>
      <c r="J6702" t="n">
        <v>0</v>
      </c>
      <c r="K6702" t="n">
        <v>0</v>
      </c>
      <c r="L6702" t="n">
        <v>0</v>
      </c>
      <c r="M6702" t="n">
        <v>0</v>
      </c>
      <c r="N6702" t="n">
        <v>0</v>
      </c>
      <c r="O6702" t="n">
        <v>0</v>
      </c>
      <c r="P6702" t="n">
        <v>0</v>
      </c>
      <c r="Q6702" t="n">
        <v>0</v>
      </c>
      <c r="R6702" s="2" t="inlineStr"/>
    </row>
    <row r="6703" ht="15" customHeight="1">
      <c r="A6703" t="inlineStr">
        <is>
          <t>A 4843-2023</t>
        </is>
      </c>
      <c r="B6703" s="1" t="n">
        <v>44957</v>
      </c>
      <c r="C6703" s="1" t="n">
        <v>45344</v>
      </c>
      <c r="D6703" t="inlineStr">
        <is>
          <t>GÄVLEBORGS LÄN</t>
        </is>
      </c>
      <c r="E6703" t="inlineStr">
        <is>
          <t>SÖDERHAMN</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4865-2023</t>
        </is>
      </c>
      <c r="B6704" s="1" t="n">
        <v>44957</v>
      </c>
      <c r="C6704" s="1" t="n">
        <v>45344</v>
      </c>
      <c r="D6704" t="inlineStr">
        <is>
          <t>GÄVLEBORGS LÄN</t>
        </is>
      </c>
      <c r="E6704" t="inlineStr">
        <is>
          <t>LJUSDAL</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4672-2023</t>
        </is>
      </c>
      <c r="B6705" s="1" t="n">
        <v>44957</v>
      </c>
      <c r="C6705" s="1" t="n">
        <v>45344</v>
      </c>
      <c r="D6705" t="inlineStr">
        <is>
          <t>GÄVLEBORGS LÄN</t>
        </is>
      </c>
      <c r="E6705" t="inlineStr">
        <is>
          <t>OVANÅKER</t>
        </is>
      </c>
      <c r="F6705" t="inlineStr">
        <is>
          <t>Bergvik skog väst AB</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4761-2023</t>
        </is>
      </c>
      <c r="B6706" s="1" t="n">
        <v>44957</v>
      </c>
      <c r="C6706" s="1" t="n">
        <v>45344</v>
      </c>
      <c r="D6706" t="inlineStr">
        <is>
          <t>GÄVLEBORGS LÄN</t>
        </is>
      </c>
      <c r="E6706" t="inlineStr">
        <is>
          <t>OVANÅKER</t>
        </is>
      </c>
      <c r="F6706" t="inlineStr">
        <is>
          <t>Bergvik skog väst AB</t>
        </is>
      </c>
      <c r="G6706" t="n">
        <v>22.6</v>
      </c>
      <c r="H6706" t="n">
        <v>0</v>
      </c>
      <c r="I6706" t="n">
        <v>0</v>
      </c>
      <c r="J6706" t="n">
        <v>0</v>
      </c>
      <c r="K6706" t="n">
        <v>0</v>
      </c>
      <c r="L6706" t="n">
        <v>0</v>
      </c>
      <c r="M6706" t="n">
        <v>0</v>
      </c>
      <c r="N6706" t="n">
        <v>0</v>
      </c>
      <c r="O6706" t="n">
        <v>0</v>
      </c>
      <c r="P6706" t="n">
        <v>0</v>
      </c>
      <c r="Q6706" t="n">
        <v>0</v>
      </c>
      <c r="R6706" s="2" t="inlineStr"/>
    </row>
    <row r="6707" ht="15" customHeight="1">
      <c r="A6707" t="inlineStr">
        <is>
          <t>A 4824-2023</t>
        </is>
      </c>
      <c r="B6707" s="1" t="n">
        <v>44957</v>
      </c>
      <c r="C6707" s="1" t="n">
        <v>45344</v>
      </c>
      <c r="D6707" t="inlineStr">
        <is>
          <t>GÄVLEBORGS LÄN</t>
        </is>
      </c>
      <c r="E6707" t="inlineStr">
        <is>
          <t>LJUSDAL</t>
        </is>
      </c>
      <c r="F6707" t="inlineStr">
        <is>
          <t>Holmen skog AB</t>
        </is>
      </c>
      <c r="G6707" t="n">
        <v>4.6</v>
      </c>
      <c r="H6707" t="n">
        <v>0</v>
      </c>
      <c r="I6707" t="n">
        <v>0</v>
      </c>
      <c r="J6707" t="n">
        <v>0</v>
      </c>
      <c r="K6707" t="n">
        <v>0</v>
      </c>
      <c r="L6707" t="n">
        <v>0</v>
      </c>
      <c r="M6707" t="n">
        <v>0</v>
      </c>
      <c r="N6707" t="n">
        <v>0</v>
      </c>
      <c r="O6707" t="n">
        <v>0</v>
      </c>
      <c r="P6707" t="n">
        <v>0</v>
      </c>
      <c r="Q6707" t="n">
        <v>0</v>
      </c>
      <c r="R6707" s="2" t="inlineStr"/>
    </row>
    <row r="6708" ht="15" customHeight="1">
      <c r="A6708" t="inlineStr">
        <is>
          <t>A 4642-2023</t>
        </is>
      </c>
      <c r="B6708" s="1" t="n">
        <v>44957</v>
      </c>
      <c r="C6708" s="1" t="n">
        <v>45344</v>
      </c>
      <c r="D6708" t="inlineStr">
        <is>
          <t>GÄVLEBORGS LÄN</t>
        </is>
      </c>
      <c r="E6708" t="inlineStr">
        <is>
          <t>LJUSDAL</t>
        </is>
      </c>
      <c r="F6708" t="inlineStr">
        <is>
          <t>Holmen skog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4686-2023</t>
        </is>
      </c>
      <c r="B6709" s="1" t="n">
        <v>44957</v>
      </c>
      <c r="C6709" s="1" t="n">
        <v>45344</v>
      </c>
      <c r="D6709" t="inlineStr">
        <is>
          <t>GÄVLEBORGS LÄN</t>
        </is>
      </c>
      <c r="E6709" t="inlineStr">
        <is>
          <t>LJUSDAL</t>
        </is>
      </c>
      <c r="F6709" t="inlineStr">
        <is>
          <t>Holmen skog AB</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4693-2023</t>
        </is>
      </c>
      <c r="B6710" s="1" t="n">
        <v>44957</v>
      </c>
      <c r="C6710" s="1" t="n">
        <v>45344</v>
      </c>
      <c r="D6710" t="inlineStr">
        <is>
          <t>GÄVLEBORGS LÄN</t>
        </is>
      </c>
      <c r="E6710" t="inlineStr">
        <is>
          <t>HUDIKSVALL</t>
        </is>
      </c>
      <c r="F6710" t="inlineStr">
        <is>
          <t>Holmen skog AB</t>
        </is>
      </c>
      <c r="G6710" t="n">
        <v>6.4</v>
      </c>
      <c r="H6710" t="n">
        <v>0</v>
      </c>
      <c r="I6710" t="n">
        <v>0</v>
      </c>
      <c r="J6710" t="n">
        <v>0</v>
      </c>
      <c r="K6710" t="n">
        <v>0</v>
      </c>
      <c r="L6710" t="n">
        <v>0</v>
      </c>
      <c r="M6710" t="n">
        <v>0</v>
      </c>
      <c r="N6710" t="n">
        <v>0</v>
      </c>
      <c r="O6710" t="n">
        <v>0</v>
      </c>
      <c r="P6710" t="n">
        <v>0</v>
      </c>
      <c r="Q6710" t="n">
        <v>0</v>
      </c>
      <c r="R6710" s="2" t="inlineStr"/>
    </row>
    <row r="6711" ht="15" customHeight="1">
      <c r="A6711" t="inlineStr">
        <is>
          <t>A 4805-2023</t>
        </is>
      </c>
      <c r="B6711" s="1" t="n">
        <v>44957</v>
      </c>
      <c r="C6711" s="1" t="n">
        <v>45344</v>
      </c>
      <c r="D6711" t="inlineStr">
        <is>
          <t>GÄVLEBORGS LÄN</t>
        </is>
      </c>
      <c r="E6711" t="inlineStr">
        <is>
          <t>LJUSDAL</t>
        </is>
      </c>
      <c r="F6711" t="inlineStr">
        <is>
          <t>Holmen skog AB</t>
        </is>
      </c>
      <c r="G6711" t="n">
        <v>6.9</v>
      </c>
      <c r="H6711" t="n">
        <v>0</v>
      </c>
      <c r="I6711" t="n">
        <v>0</v>
      </c>
      <c r="J6711" t="n">
        <v>0</v>
      </c>
      <c r="K6711" t="n">
        <v>0</v>
      </c>
      <c r="L6711" t="n">
        <v>0</v>
      </c>
      <c r="M6711" t="n">
        <v>0</v>
      </c>
      <c r="N6711" t="n">
        <v>0</v>
      </c>
      <c r="O6711" t="n">
        <v>0</v>
      </c>
      <c r="P6711" t="n">
        <v>0</v>
      </c>
      <c r="Q6711" t="n">
        <v>0</v>
      </c>
      <c r="R6711" s="2" t="inlineStr"/>
    </row>
    <row r="6712" ht="15" customHeight="1">
      <c r="A6712" t="inlineStr">
        <is>
          <t>A 4646-2023</t>
        </is>
      </c>
      <c r="B6712" s="1" t="n">
        <v>44957</v>
      </c>
      <c r="C6712" s="1" t="n">
        <v>45344</v>
      </c>
      <c r="D6712" t="inlineStr">
        <is>
          <t>GÄVLEBORGS LÄN</t>
        </is>
      </c>
      <c r="E6712" t="inlineStr">
        <is>
          <t>LJUSDAL</t>
        </is>
      </c>
      <c r="F6712" t="inlineStr">
        <is>
          <t>Holmen skog AB</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4667-2023</t>
        </is>
      </c>
      <c r="B6713" s="1" t="n">
        <v>44957</v>
      </c>
      <c r="C6713" s="1" t="n">
        <v>45344</v>
      </c>
      <c r="D6713" t="inlineStr">
        <is>
          <t>GÄVLEBORGS LÄN</t>
        </is>
      </c>
      <c r="E6713" t="inlineStr">
        <is>
          <t>LJUSDAL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4696-2023</t>
        </is>
      </c>
      <c r="B6714" s="1" t="n">
        <v>44957</v>
      </c>
      <c r="C6714" s="1" t="n">
        <v>45344</v>
      </c>
      <c r="D6714" t="inlineStr">
        <is>
          <t>GÄVLEBORGS LÄN</t>
        </is>
      </c>
      <c r="E6714" t="inlineStr">
        <is>
          <t>LJUSDAL</t>
        </is>
      </c>
      <c r="F6714" t="inlineStr">
        <is>
          <t>Holmen skog AB</t>
        </is>
      </c>
      <c r="G6714" t="n">
        <v>7.3</v>
      </c>
      <c r="H6714" t="n">
        <v>0</v>
      </c>
      <c r="I6714" t="n">
        <v>0</v>
      </c>
      <c r="J6714" t="n">
        <v>0</v>
      </c>
      <c r="K6714" t="n">
        <v>0</v>
      </c>
      <c r="L6714" t="n">
        <v>0</v>
      </c>
      <c r="M6714" t="n">
        <v>0</v>
      </c>
      <c r="N6714" t="n">
        <v>0</v>
      </c>
      <c r="O6714" t="n">
        <v>0</v>
      </c>
      <c r="P6714" t="n">
        <v>0</v>
      </c>
      <c r="Q6714" t="n">
        <v>0</v>
      </c>
      <c r="R6714" s="2" t="inlineStr"/>
    </row>
    <row r="6715" ht="15" customHeight="1">
      <c r="A6715" t="inlineStr">
        <is>
          <t>A 4862-2023</t>
        </is>
      </c>
      <c r="B6715" s="1" t="n">
        <v>44957</v>
      </c>
      <c r="C6715" s="1" t="n">
        <v>45344</v>
      </c>
      <c r="D6715" t="inlineStr">
        <is>
          <t>GÄVLEBORGS LÄN</t>
        </is>
      </c>
      <c r="E6715" t="inlineStr">
        <is>
          <t>LJUSDAL</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4755-2023</t>
        </is>
      </c>
      <c r="B6716" s="1" t="n">
        <v>44957</v>
      </c>
      <c r="C6716" s="1" t="n">
        <v>45344</v>
      </c>
      <c r="D6716" t="inlineStr">
        <is>
          <t>GÄVLEBORGS LÄN</t>
        </is>
      </c>
      <c r="E6716" t="inlineStr">
        <is>
          <t>OVANÅKER</t>
        </is>
      </c>
      <c r="F6716" t="inlineStr">
        <is>
          <t>Bergvik skog väst AB</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4776-2023</t>
        </is>
      </c>
      <c r="B6717" s="1" t="n">
        <v>44957</v>
      </c>
      <c r="C6717" s="1" t="n">
        <v>45344</v>
      </c>
      <c r="D6717" t="inlineStr">
        <is>
          <t>GÄVLEBORGS LÄN</t>
        </is>
      </c>
      <c r="E6717" t="inlineStr">
        <is>
          <t>HUDIKSVALL</t>
        </is>
      </c>
      <c r="F6717" t="inlineStr">
        <is>
          <t>Holmen skog AB</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4823-2023</t>
        </is>
      </c>
      <c r="B6718" s="1" t="n">
        <v>44957</v>
      </c>
      <c r="C6718" s="1" t="n">
        <v>45344</v>
      </c>
      <c r="D6718" t="inlineStr">
        <is>
          <t>GÄVLEBORGS LÄN</t>
        </is>
      </c>
      <c r="E6718" t="inlineStr">
        <is>
          <t>LJUSDAL</t>
        </is>
      </c>
      <c r="F6718" t="inlineStr">
        <is>
          <t>Holmen skog AB</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4864-2023</t>
        </is>
      </c>
      <c r="B6719" s="1" t="n">
        <v>44957</v>
      </c>
      <c r="C6719" s="1" t="n">
        <v>45344</v>
      </c>
      <c r="D6719" t="inlineStr">
        <is>
          <t>GÄVLEBORGS LÄN</t>
        </is>
      </c>
      <c r="E6719" t="inlineStr">
        <is>
          <t>LJUSDAL</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4962-2023</t>
        </is>
      </c>
      <c r="B6720" s="1" t="n">
        <v>44958</v>
      </c>
      <c r="C6720" s="1" t="n">
        <v>45344</v>
      </c>
      <c r="D6720" t="inlineStr">
        <is>
          <t>GÄVLEBORGS LÄN</t>
        </is>
      </c>
      <c r="E6720" t="inlineStr">
        <is>
          <t>NORDANSTIG</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4984-2023</t>
        </is>
      </c>
      <c r="B6721" s="1" t="n">
        <v>44958</v>
      </c>
      <c r="C6721" s="1" t="n">
        <v>45344</v>
      </c>
      <c r="D6721" t="inlineStr">
        <is>
          <t>GÄVLEBORGS LÄN</t>
        </is>
      </c>
      <c r="E6721" t="inlineStr">
        <is>
          <t>NORDANSTIG</t>
        </is>
      </c>
      <c r="F6721" t="inlineStr">
        <is>
          <t>Holmen skog AB</t>
        </is>
      </c>
      <c r="G6721" t="n">
        <v>1.6</v>
      </c>
      <c r="H6721" t="n">
        <v>0</v>
      </c>
      <c r="I6721" t="n">
        <v>0</v>
      </c>
      <c r="J6721" t="n">
        <v>0</v>
      </c>
      <c r="K6721" t="n">
        <v>0</v>
      </c>
      <c r="L6721" t="n">
        <v>0</v>
      </c>
      <c r="M6721" t="n">
        <v>0</v>
      </c>
      <c r="N6721" t="n">
        <v>0</v>
      </c>
      <c r="O6721" t="n">
        <v>0</v>
      </c>
      <c r="P6721" t="n">
        <v>0</v>
      </c>
      <c r="Q6721" t="n">
        <v>0</v>
      </c>
      <c r="R6721" s="2" t="inlineStr"/>
    </row>
    <row r="6722" ht="15" customHeight="1">
      <c r="A6722" t="inlineStr">
        <is>
          <t>A 5059-2023</t>
        </is>
      </c>
      <c r="B6722" s="1" t="n">
        <v>44958</v>
      </c>
      <c r="C6722" s="1" t="n">
        <v>45344</v>
      </c>
      <c r="D6722" t="inlineStr">
        <is>
          <t>GÄVLEBORGS LÄN</t>
        </is>
      </c>
      <c r="E6722" t="inlineStr">
        <is>
          <t>OVANÅKER</t>
        </is>
      </c>
      <c r="G6722" t="n">
        <v>0.2</v>
      </c>
      <c r="H6722" t="n">
        <v>0</v>
      </c>
      <c r="I6722" t="n">
        <v>0</v>
      </c>
      <c r="J6722" t="n">
        <v>0</v>
      </c>
      <c r="K6722" t="n">
        <v>0</v>
      </c>
      <c r="L6722" t="n">
        <v>0</v>
      </c>
      <c r="M6722" t="n">
        <v>0</v>
      </c>
      <c r="N6722" t="n">
        <v>0</v>
      </c>
      <c r="O6722" t="n">
        <v>0</v>
      </c>
      <c r="P6722" t="n">
        <v>0</v>
      </c>
      <c r="Q6722" t="n">
        <v>0</v>
      </c>
      <c r="R6722" s="2" t="inlineStr"/>
    </row>
    <row r="6723" ht="15" customHeight="1">
      <c r="A6723" t="inlineStr">
        <is>
          <t>A 5076-2023</t>
        </is>
      </c>
      <c r="B6723" s="1" t="n">
        <v>44958</v>
      </c>
      <c r="C6723" s="1" t="n">
        <v>45344</v>
      </c>
      <c r="D6723" t="inlineStr">
        <is>
          <t>GÄVLEBORGS LÄN</t>
        </is>
      </c>
      <c r="E6723" t="inlineStr">
        <is>
          <t>HUDIKSVALL</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5238-2023</t>
        </is>
      </c>
      <c r="B6724" s="1" t="n">
        <v>44959</v>
      </c>
      <c r="C6724" s="1" t="n">
        <v>45344</v>
      </c>
      <c r="D6724" t="inlineStr">
        <is>
          <t>GÄVLEBORGS LÄN</t>
        </is>
      </c>
      <c r="E6724" t="inlineStr">
        <is>
          <t>NORDANSTIG</t>
        </is>
      </c>
      <c r="F6724" t="inlineStr">
        <is>
          <t>Holmen skog AB</t>
        </is>
      </c>
      <c r="G6724" t="n">
        <v>4.4</v>
      </c>
      <c r="H6724" t="n">
        <v>0</v>
      </c>
      <c r="I6724" t="n">
        <v>0</v>
      </c>
      <c r="J6724" t="n">
        <v>0</v>
      </c>
      <c r="K6724" t="n">
        <v>0</v>
      </c>
      <c r="L6724" t="n">
        <v>0</v>
      </c>
      <c r="M6724" t="n">
        <v>0</v>
      </c>
      <c r="N6724" t="n">
        <v>0</v>
      </c>
      <c r="O6724" t="n">
        <v>0</v>
      </c>
      <c r="P6724" t="n">
        <v>0</v>
      </c>
      <c r="Q6724" t="n">
        <v>0</v>
      </c>
      <c r="R6724" s="2" t="inlineStr"/>
    </row>
    <row r="6725" ht="15" customHeight="1">
      <c r="A6725" t="inlineStr">
        <is>
          <t>A 5407-2023</t>
        </is>
      </c>
      <c r="B6725" s="1" t="n">
        <v>44959</v>
      </c>
      <c r="C6725" s="1" t="n">
        <v>45344</v>
      </c>
      <c r="D6725" t="inlineStr">
        <is>
          <t>GÄVLEBORGS LÄN</t>
        </is>
      </c>
      <c r="E6725" t="inlineStr">
        <is>
          <t>GÄVLE</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5219-2023</t>
        </is>
      </c>
      <c r="B6726" s="1" t="n">
        <v>44959</v>
      </c>
      <c r="C6726" s="1" t="n">
        <v>45344</v>
      </c>
      <c r="D6726" t="inlineStr">
        <is>
          <t>GÄVLEBORGS LÄN</t>
        </is>
      </c>
      <c r="E6726" t="inlineStr">
        <is>
          <t>GÄVLE</t>
        </is>
      </c>
      <c r="F6726" t="inlineStr">
        <is>
          <t>Bergvik skog öst AB</t>
        </is>
      </c>
      <c r="G6726" t="n">
        <v>4.5</v>
      </c>
      <c r="H6726" t="n">
        <v>0</v>
      </c>
      <c r="I6726" t="n">
        <v>0</v>
      </c>
      <c r="J6726" t="n">
        <v>0</v>
      </c>
      <c r="K6726" t="n">
        <v>0</v>
      </c>
      <c r="L6726" t="n">
        <v>0</v>
      </c>
      <c r="M6726" t="n">
        <v>0</v>
      </c>
      <c r="N6726" t="n">
        <v>0</v>
      </c>
      <c r="O6726" t="n">
        <v>0</v>
      </c>
      <c r="P6726" t="n">
        <v>0</v>
      </c>
      <c r="Q6726" t="n">
        <v>0</v>
      </c>
      <c r="R6726" s="2" t="inlineStr"/>
    </row>
    <row r="6727" ht="15" customHeight="1">
      <c r="A6727" t="inlineStr">
        <is>
          <t>A 5233-2023</t>
        </is>
      </c>
      <c r="B6727" s="1" t="n">
        <v>44959</v>
      </c>
      <c r="C6727" s="1" t="n">
        <v>45344</v>
      </c>
      <c r="D6727" t="inlineStr">
        <is>
          <t>GÄVLEBORGS LÄN</t>
        </is>
      </c>
      <c r="E6727" t="inlineStr">
        <is>
          <t>GÄVLE</t>
        </is>
      </c>
      <c r="G6727" t="n">
        <v>5.3</v>
      </c>
      <c r="H6727" t="n">
        <v>0</v>
      </c>
      <c r="I6727" t="n">
        <v>0</v>
      </c>
      <c r="J6727" t="n">
        <v>0</v>
      </c>
      <c r="K6727" t="n">
        <v>0</v>
      </c>
      <c r="L6727" t="n">
        <v>0</v>
      </c>
      <c r="M6727" t="n">
        <v>0</v>
      </c>
      <c r="N6727" t="n">
        <v>0</v>
      </c>
      <c r="O6727" t="n">
        <v>0</v>
      </c>
      <c r="P6727" t="n">
        <v>0</v>
      </c>
      <c r="Q6727" t="n">
        <v>0</v>
      </c>
      <c r="R6727" s="2" t="inlineStr"/>
    </row>
    <row r="6728" ht="15" customHeight="1">
      <c r="A6728" t="inlineStr">
        <is>
          <t>A 5241-2023</t>
        </is>
      </c>
      <c r="B6728" s="1" t="n">
        <v>44959</v>
      </c>
      <c r="C6728" s="1" t="n">
        <v>45344</v>
      </c>
      <c r="D6728" t="inlineStr">
        <is>
          <t>GÄVLEBORGS LÄN</t>
        </is>
      </c>
      <c r="E6728" t="inlineStr">
        <is>
          <t>GÄVLE</t>
        </is>
      </c>
      <c r="F6728" t="inlineStr">
        <is>
          <t>Bergvik skog öst AB</t>
        </is>
      </c>
      <c r="G6728" t="n">
        <v>17.4</v>
      </c>
      <c r="H6728" t="n">
        <v>0</v>
      </c>
      <c r="I6728" t="n">
        <v>0</v>
      </c>
      <c r="J6728" t="n">
        <v>0</v>
      </c>
      <c r="K6728" t="n">
        <v>0</v>
      </c>
      <c r="L6728" t="n">
        <v>0</v>
      </c>
      <c r="M6728" t="n">
        <v>0</v>
      </c>
      <c r="N6728" t="n">
        <v>0</v>
      </c>
      <c r="O6728" t="n">
        <v>0</v>
      </c>
      <c r="P6728" t="n">
        <v>0</v>
      </c>
      <c r="Q6728" t="n">
        <v>0</v>
      </c>
      <c r="R6728" s="2" t="inlineStr"/>
    </row>
    <row r="6729" ht="15" customHeight="1">
      <c r="A6729" t="inlineStr">
        <is>
          <t>A 5266-2023</t>
        </is>
      </c>
      <c r="B6729" s="1" t="n">
        <v>44959</v>
      </c>
      <c r="C6729" s="1" t="n">
        <v>45344</v>
      </c>
      <c r="D6729" t="inlineStr">
        <is>
          <t>GÄVLEBORGS LÄN</t>
        </is>
      </c>
      <c r="E6729" t="inlineStr">
        <is>
          <t>NORDANSTIG</t>
        </is>
      </c>
      <c r="F6729" t="inlineStr">
        <is>
          <t>Holmen skog AB</t>
        </is>
      </c>
      <c r="G6729" t="n">
        <v>17.6</v>
      </c>
      <c r="H6729" t="n">
        <v>0</v>
      </c>
      <c r="I6729" t="n">
        <v>0</v>
      </c>
      <c r="J6729" t="n">
        <v>0</v>
      </c>
      <c r="K6729" t="n">
        <v>0</v>
      </c>
      <c r="L6729" t="n">
        <v>0</v>
      </c>
      <c r="M6729" t="n">
        <v>0</v>
      </c>
      <c r="N6729" t="n">
        <v>0</v>
      </c>
      <c r="O6729" t="n">
        <v>0</v>
      </c>
      <c r="P6729" t="n">
        <v>0</v>
      </c>
      <c r="Q6729" t="n">
        <v>0</v>
      </c>
      <c r="R6729" s="2" t="inlineStr"/>
    </row>
    <row r="6730" ht="15" customHeight="1">
      <c r="A6730" t="inlineStr">
        <is>
          <t>A 5271-2023</t>
        </is>
      </c>
      <c r="B6730" s="1" t="n">
        <v>44959</v>
      </c>
      <c r="C6730" s="1" t="n">
        <v>45344</v>
      </c>
      <c r="D6730" t="inlineStr">
        <is>
          <t>GÄVLEBORGS LÄN</t>
        </is>
      </c>
      <c r="E6730" t="inlineStr">
        <is>
          <t>OVANÅKER</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5287-2023</t>
        </is>
      </c>
      <c r="B6731" s="1" t="n">
        <v>44959</v>
      </c>
      <c r="C6731" s="1" t="n">
        <v>45344</v>
      </c>
      <c r="D6731" t="inlineStr">
        <is>
          <t>GÄVLEBORGS LÄN</t>
        </is>
      </c>
      <c r="E6731" t="inlineStr">
        <is>
          <t>GÄVLE</t>
        </is>
      </c>
      <c r="F6731" t="inlineStr">
        <is>
          <t>Kyrkan</t>
        </is>
      </c>
      <c r="G6731" t="n">
        <v>2.5</v>
      </c>
      <c r="H6731" t="n">
        <v>0</v>
      </c>
      <c r="I6731" t="n">
        <v>0</v>
      </c>
      <c r="J6731" t="n">
        <v>0</v>
      </c>
      <c r="K6731" t="n">
        <v>0</v>
      </c>
      <c r="L6731" t="n">
        <v>0</v>
      </c>
      <c r="M6731" t="n">
        <v>0</v>
      </c>
      <c r="N6731" t="n">
        <v>0</v>
      </c>
      <c r="O6731" t="n">
        <v>0</v>
      </c>
      <c r="P6731" t="n">
        <v>0</v>
      </c>
      <c r="Q6731" t="n">
        <v>0</v>
      </c>
      <c r="R6731" s="2" t="inlineStr"/>
    </row>
    <row r="6732" ht="15" customHeight="1">
      <c r="A6732" t="inlineStr">
        <is>
          <t>A 5300-2023</t>
        </is>
      </c>
      <c r="B6732" s="1" t="n">
        <v>44959</v>
      </c>
      <c r="C6732" s="1" t="n">
        <v>45344</v>
      </c>
      <c r="D6732" t="inlineStr">
        <is>
          <t>GÄVLEBORGS LÄN</t>
        </is>
      </c>
      <c r="E6732" t="inlineStr">
        <is>
          <t>OVANÅKER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5353-2023</t>
        </is>
      </c>
      <c r="B6733" s="1" t="n">
        <v>44959</v>
      </c>
      <c r="C6733" s="1" t="n">
        <v>45344</v>
      </c>
      <c r="D6733" t="inlineStr">
        <is>
          <t>GÄVLEBORGS LÄN</t>
        </is>
      </c>
      <c r="E6733" t="inlineStr">
        <is>
          <t>NORDANSTIG</t>
        </is>
      </c>
      <c r="F6733" t="inlineStr">
        <is>
          <t>Holmen skog AB</t>
        </is>
      </c>
      <c r="G6733" t="n">
        <v>3.4</v>
      </c>
      <c r="H6733" t="n">
        <v>0</v>
      </c>
      <c r="I6733" t="n">
        <v>0</v>
      </c>
      <c r="J6733" t="n">
        <v>0</v>
      </c>
      <c r="K6733" t="n">
        <v>0</v>
      </c>
      <c r="L6733" t="n">
        <v>0</v>
      </c>
      <c r="M6733" t="n">
        <v>0</v>
      </c>
      <c r="N6733" t="n">
        <v>0</v>
      </c>
      <c r="O6733" t="n">
        <v>0</v>
      </c>
      <c r="P6733" t="n">
        <v>0</v>
      </c>
      <c r="Q6733" t="n">
        <v>0</v>
      </c>
      <c r="R6733" s="2" t="inlineStr"/>
    </row>
    <row r="6734" ht="15" customHeight="1">
      <c r="A6734" t="inlineStr">
        <is>
          <t>A 5399-2023</t>
        </is>
      </c>
      <c r="B6734" s="1" t="n">
        <v>44959</v>
      </c>
      <c r="C6734" s="1" t="n">
        <v>45344</v>
      </c>
      <c r="D6734" t="inlineStr">
        <is>
          <t>GÄVLEBORGS LÄN</t>
        </is>
      </c>
      <c r="E6734" t="inlineStr">
        <is>
          <t>GÄVLE</t>
        </is>
      </c>
      <c r="G6734" t="n">
        <v>0.2</v>
      </c>
      <c r="H6734" t="n">
        <v>0</v>
      </c>
      <c r="I6734" t="n">
        <v>0</v>
      </c>
      <c r="J6734" t="n">
        <v>0</v>
      </c>
      <c r="K6734" t="n">
        <v>0</v>
      </c>
      <c r="L6734" t="n">
        <v>0</v>
      </c>
      <c r="M6734" t="n">
        <v>0</v>
      </c>
      <c r="N6734" t="n">
        <v>0</v>
      </c>
      <c r="O6734" t="n">
        <v>0</v>
      </c>
      <c r="P6734" t="n">
        <v>0</v>
      </c>
      <c r="Q6734" t="n">
        <v>0</v>
      </c>
      <c r="R6734" s="2" t="inlineStr"/>
    </row>
    <row r="6735" ht="15" customHeight="1">
      <c r="A6735" t="inlineStr">
        <is>
          <t>A 5409-2023</t>
        </is>
      </c>
      <c r="B6735" s="1" t="n">
        <v>44959</v>
      </c>
      <c r="C6735" s="1" t="n">
        <v>45344</v>
      </c>
      <c r="D6735" t="inlineStr">
        <is>
          <t>GÄVLEBORGS LÄN</t>
        </is>
      </c>
      <c r="E6735" t="inlineStr">
        <is>
          <t>GÄVLE</t>
        </is>
      </c>
      <c r="G6735" t="n">
        <v>0.3</v>
      </c>
      <c r="H6735" t="n">
        <v>0</v>
      </c>
      <c r="I6735" t="n">
        <v>0</v>
      </c>
      <c r="J6735" t="n">
        <v>0</v>
      </c>
      <c r="K6735" t="n">
        <v>0</v>
      </c>
      <c r="L6735" t="n">
        <v>0</v>
      </c>
      <c r="M6735" t="n">
        <v>0</v>
      </c>
      <c r="N6735" t="n">
        <v>0</v>
      </c>
      <c r="O6735" t="n">
        <v>0</v>
      </c>
      <c r="P6735" t="n">
        <v>0</v>
      </c>
      <c r="Q6735" t="n">
        <v>0</v>
      </c>
      <c r="R6735" s="2" t="inlineStr"/>
    </row>
    <row r="6736" ht="15" customHeight="1">
      <c r="A6736" t="inlineStr">
        <is>
          <t>A 5414-2023</t>
        </is>
      </c>
      <c r="B6736" s="1" t="n">
        <v>44959</v>
      </c>
      <c r="C6736" s="1" t="n">
        <v>45344</v>
      </c>
      <c r="D6736" t="inlineStr">
        <is>
          <t>GÄVLEBORGS LÄN</t>
        </is>
      </c>
      <c r="E6736" t="inlineStr">
        <is>
          <t>GÄVLE</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5440-2023</t>
        </is>
      </c>
      <c r="B6737" s="1" t="n">
        <v>44959</v>
      </c>
      <c r="C6737" s="1" t="n">
        <v>45344</v>
      </c>
      <c r="D6737" t="inlineStr">
        <is>
          <t>GÄVLEBORGS LÄN</t>
        </is>
      </c>
      <c r="E6737" t="inlineStr">
        <is>
          <t>LJUSDAL</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5187-2023</t>
        </is>
      </c>
      <c r="B6738" s="1" t="n">
        <v>44959</v>
      </c>
      <c r="C6738" s="1" t="n">
        <v>45344</v>
      </c>
      <c r="D6738" t="inlineStr">
        <is>
          <t>GÄVLEBORGS LÄN</t>
        </is>
      </c>
      <c r="E6738" t="inlineStr">
        <is>
          <t>HUDIKSVALL</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5211-2023</t>
        </is>
      </c>
      <c r="B6739" s="1" t="n">
        <v>44959</v>
      </c>
      <c r="C6739" s="1" t="n">
        <v>45344</v>
      </c>
      <c r="D6739" t="inlineStr">
        <is>
          <t>GÄVLEBORGS LÄN</t>
        </is>
      </c>
      <c r="E6739" t="inlineStr">
        <is>
          <t>GÄVLE</t>
        </is>
      </c>
      <c r="F6739" t="inlineStr">
        <is>
          <t>Bergvik skog öst AB</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5234-2023</t>
        </is>
      </c>
      <c r="B6740" s="1" t="n">
        <v>44959</v>
      </c>
      <c r="C6740" s="1" t="n">
        <v>45344</v>
      </c>
      <c r="D6740" t="inlineStr">
        <is>
          <t>GÄVLEBORGS LÄN</t>
        </is>
      </c>
      <c r="E6740" t="inlineStr">
        <is>
          <t>GÄVLE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5400-2023</t>
        </is>
      </c>
      <c r="B6741" s="1" t="n">
        <v>44959</v>
      </c>
      <c r="C6741" s="1" t="n">
        <v>45344</v>
      </c>
      <c r="D6741" t="inlineStr">
        <is>
          <t>GÄVLEBORGS LÄN</t>
        </is>
      </c>
      <c r="E6741" t="inlineStr">
        <is>
          <t>GÄVLE</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5415-2023</t>
        </is>
      </c>
      <c r="B6742" s="1" t="n">
        <v>44959</v>
      </c>
      <c r="C6742" s="1" t="n">
        <v>45344</v>
      </c>
      <c r="D6742" t="inlineStr">
        <is>
          <t>GÄVLEBORGS LÄN</t>
        </is>
      </c>
      <c r="E6742" t="inlineStr">
        <is>
          <t>GÄVLE</t>
        </is>
      </c>
      <c r="G6742" t="n">
        <v>0.1</v>
      </c>
      <c r="H6742" t="n">
        <v>0</v>
      </c>
      <c r="I6742" t="n">
        <v>0</v>
      </c>
      <c r="J6742" t="n">
        <v>0</v>
      </c>
      <c r="K6742" t="n">
        <v>0</v>
      </c>
      <c r="L6742" t="n">
        <v>0</v>
      </c>
      <c r="M6742" t="n">
        <v>0</v>
      </c>
      <c r="N6742" t="n">
        <v>0</v>
      </c>
      <c r="O6742" t="n">
        <v>0</v>
      </c>
      <c r="P6742" t="n">
        <v>0</v>
      </c>
      <c r="Q6742" t="n">
        <v>0</v>
      </c>
      <c r="R6742" s="2" t="inlineStr"/>
    </row>
    <row r="6743" ht="15" customHeight="1">
      <c r="A6743" t="inlineStr">
        <is>
          <t>A 5442-2023</t>
        </is>
      </c>
      <c r="B6743" s="1" t="n">
        <v>44959</v>
      </c>
      <c r="C6743" s="1" t="n">
        <v>45344</v>
      </c>
      <c r="D6743" t="inlineStr">
        <is>
          <t>GÄVLEBORGS LÄN</t>
        </is>
      </c>
      <c r="E6743" t="inlineStr">
        <is>
          <t>HUDIKSVALL</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5203-2023</t>
        </is>
      </c>
      <c r="B6744" s="1" t="n">
        <v>44959</v>
      </c>
      <c r="C6744" s="1" t="n">
        <v>45344</v>
      </c>
      <c r="D6744" t="inlineStr">
        <is>
          <t>GÄVLEBORGS LÄN</t>
        </is>
      </c>
      <c r="E6744" t="inlineStr">
        <is>
          <t>LJUSDAL</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5208-2023</t>
        </is>
      </c>
      <c r="B6745" s="1" t="n">
        <v>44959</v>
      </c>
      <c r="C6745" s="1" t="n">
        <v>45344</v>
      </c>
      <c r="D6745" t="inlineStr">
        <is>
          <t>GÄVLEBORGS LÄN</t>
        </is>
      </c>
      <c r="E6745" t="inlineStr">
        <is>
          <t>HUDIKSVALL</t>
        </is>
      </c>
      <c r="F6745" t="inlineStr">
        <is>
          <t>Holmen skog AB</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5280-2023</t>
        </is>
      </c>
      <c r="B6746" s="1" t="n">
        <v>44959</v>
      </c>
      <c r="C6746" s="1" t="n">
        <v>45344</v>
      </c>
      <c r="D6746" t="inlineStr">
        <is>
          <t>GÄVLEBORGS LÄN</t>
        </is>
      </c>
      <c r="E6746" t="inlineStr">
        <is>
          <t>OVANÅKER</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5412-2023</t>
        </is>
      </c>
      <c r="B6747" s="1" t="n">
        <v>44959</v>
      </c>
      <c r="C6747" s="1" t="n">
        <v>45344</v>
      </c>
      <c r="D6747" t="inlineStr">
        <is>
          <t>GÄVLEBORGS LÄN</t>
        </is>
      </c>
      <c r="E6747" t="inlineStr">
        <is>
          <t>GÄVLE</t>
        </is>
      </c>
      <c r="G6747" t="n">
        <v>3.8</v>
      </c>
      <c r="H6747" t="n">
        <v>0</v>
      </c>
      <c r="I6747" t="n">
        <v>0</v>
      </c>
      <c r="J6747" t="n">
        <v>0</v>
      </c>
      <c r="K6747" t="n">
        <v>0</v>
      </c>
      <c r="L6747" t="n">
        <v>0</v>
      </c>
      <c r="M6747" t="n">
        <v>0</v>
      </c>
      <c r="N6747" t="n">
        <v>0</v>
      </c>
      <c r="O6747" t="n">
        <v>0</v>
      </c>
      <c r="P6747" t="n">
        <v>0</v>
      </c>
      <c r="Q6747" t="n">
        <v>0</v>
      </c>
      <c r="R6747" s="2" t="inlineStr"/>
    </row>
    <row r="6748" ht="15" customHeight="1">
      <c r="A6748" t="inlineStr">
        <is>
          <t>A 5408-2023</t>
        </is>
      </c>
      <c r="B6748" s="1" t="n">
        <v>44959</v>
      </c>
      <c r="C6748" s="1" t="n">
        <v>45344</v>
      </c>
      <c r="D6748" t="inlineStr">
        <is>
          <t>GÄVLEBORGS LÄN</t>
        </is>
      </c>
      <c r="E6748" t="inlineStr">
        <is>
          <t>GÄVLE</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5413-2023</t>
        </is>
      </c>
      <c r="B6749" s="1" t="n">
        <v>44959</v>
      </c>
      <c r="C6749" s="1" t="n">
        <v>45344</v>
      </c>
      <c r="D6749" t="inlineStr">
        <is>
          <t>GÄVLEBORGS LÄN</t>
        </is>
      </c>
      <c r="E6749" t="inlineStr">
        <is>
          <t>GÄVLE</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5639-2023</t>
        </is>
      </c>
      <c r="B6750" s="1" t="n">
        <v>44960</v>
      </c>
      <c r="C6750" s="1" t="n">
        <v>45344</v>
      </c>
      <c r="D6750" t="inlineStr">
        <is>
          <t>GÄVLEBORGS LÄN</t>
        </is>
      </c>
      <c r="E6750" t="inlineStr">
        <is>
          <t>LJUSDAL</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5660-2023</t>
        </is>
      </c>
      <c r="B6751" s="1" t="n">
        <v>44960</v>
      </c>
      <c r="C6751" s="1" t="n">
        <v>45344</v>
      </c>
      <c r="D6751" t="inlineStr">
        <is>
          <t>GÄVLEBORGS LÄN</t>
        </is>
      </c>
      <c r="E6751" t="inlineStr">
        <is>
          <t>NORDANSTIG</t>
        </is>
      </c>
      <c r="F6751" t="inlineStr">
        <is>
          <t>Holmen skog AB</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5544-2023</t>
        </is>
      </c>
      <c r="B6752" s="1" t="n">
        <v>44960</v>
      </c>
      <c r="C6752" s="1" t="n">
        <v>45344</v>
      </c>
      <c r="D6752" t="inlineStr">
        <is>
          <t>GÄVLEBORGS LÄN</t>
        </is>
      </c>
      <c r="E6752" t="inlineStr">
        <is>
          <t>NORDANSTIG</t>
        </is>
      </c>
      <c r="F6752" t="inlineStr">
        <is>
          <t>Holmen skog AB</t>
        </is>
      </c>
      <c r="G6752" t="n">
        <v>4.9</v>
      </c>
      <c r="H6752" t="n">
        <v>0</v>
      </c>
      <c r="I6752" t="n">
        <v>0</v>
      </c>
      <c r="J6752" t="n">
        <v>0</v>
      </c>
      <c r="K6752" t="n">
        <v>0</v>
      </c>
      <c r="L6752" t="n">
        <v>0</v>
      </c>
      <c r="M6752" t="n">
        <v>0</v>
      </c>
      <c r="N6752" t="n">
        <v>0</v>
      </c>
      <c r="O6752" t="n">
        <v>0</v>
      </c>
      <c r="P6752" t="n">
        <v>0</v>
      </c>
      <c r="Q6752" t="n">
        <v>0</v>
      </c>
      <c r="R6752" s="2" t="inlineStr"/>
    </row>
    <row r="6753" ht="15" customHeight="1">
      <c r="A6753" t="inlineStr">
        <is>
          <t>A 5462-2023</t>
        </is>
      </c>
      <c r="B6753" s="1" t="n">
        <v>44960</v>
      </c>
      <c r="C6753" s="1" t="n">
        <v>45344</v>
      </c>
      <c r="D6753" t="inlineStr">
        <is>
          <t>GÄVLEBORGS LÄN</t>
        </is>
      </c>
      <c r="E6753" t="inlineStr">
        <is>
          <t>GÄVLE</t>
        </is>
      </c>
      <c r="F6753" t="inlineStr">
        <is>
          <t>Bergvik skog öst AB</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5475-2023</t>
        </is>
      </c>
      <c r="B6754" s="1" t="n">
        <v>44960</v>
      </c>
      <c r="C6754" s="1" t="n">
        <v>45344</v>
      </c>
      <c r="D6754" t="inlineStr">
        <is>
          <t>GÄVLEBORGS LÄN</t>
        </is>
      </c>
      <c r="E6754" t="inlineStr">
        <is>
          <t>NORDANSTIG</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5479-2023</t>
        </is>
      </c>
      <c r="B6755" s="1" t="n">
        <v>44960</v>
      </c>
      <c r="C6755" s="1" t="n">
        <v>45344</v>
      </c>
      <c r="D6755" t="inlineStr">
        <is>
          <t>GÄVLEBORGS LÄN</t>
        </is>
      </c>
      <c r="E6755" t="inlineStr">
        <is>
          <t>NORDANSTIG</t>
        </is>
      </c>
      <c r="G6755" t="n">
        <v>17.6</v>
      </c>
      <c r="H6755" t="n">
        <v>0</v>
      </c>
      <c r="I6755" t="n">
        <v>0</v>
      </c>
      <c r="J6755" t="n">
        <v>0</v>
      </c>
      <c r="K6755" t="n">
        <v>0</v>
      </c>
      <c r="L6755" t="n">
        <v>0</v>
      </c>
      <c r="M6755" t="n">
        <v>0</v>
      </c>
      <c r="N6755" t="n">
        <v>0</v>
      </c>
      <c r="O6755" t="n">
        <v>0</v>
      </c>
      <c r="P6755" t="n">
        <v>0</v>
      </c>
      <c r="Q6755" t="n">
        <v>0</v>
      </c>
      <c r="R6755" s="2" t="inlineStr"/>
    </row>
    <row r="6756" ht="15" customHeight="1">
      <c r="A6756" t="inlineStr">
        <is>
          <t>A 5719-2023</t>
        </is>
      </c>
      <c r="B6756" s="1" t="n">
        <v>44961</v>
      </c>
      <c r="C6756" s="1" t="n">
        <v>45344</v>
      </c>
      <c r="D6756" t="inlineStr">
        <is>
          <t>GÄVLEBORGS LÄN</t>
        </is>
      </c>
      <c r="E6756" t="inlineStr">
        <is>
          <t>OVANÅKER</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5717-2023</t>
        </is>
      </c>
      <c r="B6757" s="1" t="n">
        <v>44961</v>
      </c>
      <c r="C6757" s="1" t="n">
        <v>45344</v>
      </c>
      <c r="D6757" t="inlineStr">
        <is>
          <t>GÄVLEBORGS LÄN</t>
        </is>
      </c>
      <c r="E6757" t="inlineStr">
        <is>
          <t>OVANÅKER</t>
        </is>
      </c>
      <c r="G6757" t="n">
        <v>12.5</v>
      </c>
      <c r="H6757" t="n">
        <v>0</v>
      </c>
      <c r="I6757" t="n">
        <v>0</v>
      </c>
      <c r="J6757" t="n">
        <v>0</v>
      </c>
      <c r="K6757" t="n">
        <v>0</v>
      </c>
      <c r="L6757" t="n">
        <v>0</v>
      </c>
      <c r="M6757" t="n">
        <v>0</v>
      </c>
      <c r="N6757" t="n">
        <v>0</v>
      </c>
      <c r="O6757" t="n">
        <v>0</v>
      </c>
      <c r="P6757" t="n">
        <v>0</v>
      </c>
      <c r="Q6757" t="n">
        <v>0</v>
      </c>
      <c r="R6757" s="2" t="inlineStr"/>
    </row>
    <row r="6758" ht="15" customHeight="1">
      <c r="A6758" t="inlineStr">
        <is>
          <t>A 5727-2023</t>
        </is>
      </c>
      <c r="B6758" s="1" t="n">
        <v>44962</v>
      </c>
      <c r="C6758" s="1" t="n">
        <v>45344</v>
      </c>
      <c r="D6758" t="inlineStr">
        <is>
          <t>GÄVLEBORGS LÄN</t>
        </is>
      </c>
      <c r="E6758" t="inlineStr">
        <is>
          <t>GÄVLE</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5728-2023</t>
        </is>
      </c>
      <c r="B6759" s="1" t="n">
        <v>44962</v>
      </c>
      <c r="C6759" s="1" t="n">
        <v>45344</v>
      </c>
      <c r="D6759" t="inlineStr">
        <is>
          <t>GÄVLEBORGS LÄN</t>
        </is>
      </c>
      <c r="E6759" t="inlineStr">
        <is>
          <t>GÄVLE</t>
        </is>
      </c>
      <c r="G6759" t="n">
        <v>2.8</v>
      </c>
      <c r="H6759" t="n">
        <v>0</v>
      </c>
      <c r="I6759" t="n">
        <v>0</v>
      </c>
      <c r="J6759" t="n">
        <v>0</v>
      </c>
      <c r="K6759" t="n">
        <v>0</v>
      </c>
      <c r="L6759" t="n">
        <v>0</v>
      </c>
      <c r="M6759" t="n">
        <v>0</v>
      </c>
      <c r="N6759" t="n">
        <v>0</v>
      </c>
      <c r="O6759" t="n">
        <v>0</v>
      </c>
      <c r="P6759" t="n">
        <v>0</v>
      </c>
      <c r="Q6759" t="n">
        <v>0</v>
      </c>
      <c r="R6759" s="2" t="inlineStr"/>
    </row>
    <row r="6760" ht="15" customHeight="1">
      <c r="A6760" t="inlineStr">
        <is>
          <t>A 5779-2023</t>
        </is>
      </c>
      <c r="B6760" s="1" t="n">
        <v>44963</v>
      </c>
      <c r="C6760" s="1" t="n">
        <v>45344</v>
      </c>
      <c r="D6760" t="inlineStr">
        <is>
          <t>GÄVLEBORGS LÄN</t>
        </is>
      </c>
      <c r="E6760" t="inlineStr">
        <is>
          <t>LJUSDAL</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5853-2023</t>
        </is>
      </c>
      <c r="B6761" s="1" t="n">
        <v>44963</v>
      </c>
      <c r="C6761" s="1" t="n">
        <v>45344</v>
      </c>
      <c r="D6761" t="inlineStr">
        <is>
          <t>GÄVLEBORGS LÄN</t>
        </is>
      </c>
      <c r="E6761" t="inlineStr">
        <is>
          <t>LJUSDAL</t>
        </is>
      </c>
      <c r="F6761" t="inlineStr">
        <is>
          <t>Allmännings- och besparingsskogar</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5787-2023</t>
        </is>
      </c>
      <c r="B6762" s="1" t="n">
        <v>44963</v>
      </c>
      <c r="C6762" s="1" t="n">
        <v>45344</v>
      </c>
      <c r="D6762" t="inlineStr">
        <is>
          <t>GÄVLEBORGS LÄN</t>
        </is>
      </c>
      <c r="E6762" t="inlineStr">
        <is>
          <t>BOLLNÄS</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5833-2023</t>
        </is>
      </c>
      <c r="B6763" s="1" t="n">
        <v>44963</v>
      </c>
      <c r="C6763" s="1" t="n">
        <v>45344</v>
      </c>
      <c r="D6763" t="inlineStr">
        <is>
          <t>GÄVLEBORGS LÄN</t>
        </is>
      </c>
      <c r="E6763" t="inlineStr">
        <is>
          <t>LJUSDAL</t>
        </is>
      </c>
      <c r="G6763" t="n">
        <v>8.9</v>
      </c>
      <c r="H6763" t="n">
        <v>0</v>
      </c>
      <c r="I6763" t="n">
        <v>0</v>
      </c>
      <c r="J6763" t="n">
        <v>0</v>
      </c>
      <c r="K6763" t="n">
        <v>0</v>
      </c>
      <c r="L6763" t="n">
        <v>0</v>
      </c>
      <c r="M6763" t="n">
        <v>0</v>
      </c>
      <c r="N6763" t="n">
        <v>0</v>
      </c>
      <c r="O6763" t="n">
        <v>0</v>
      </c>
      <c r="P6763" t="n">
        <v>0</v>
      </c>
      <c r="Q6763" t="n">
        <v>0</v>
      </c>
      <c r="R6763" s="2" t="inlineStr"/>
    </row>
    <row r="6764" ht="15" customHeight="1">
      <c r="A6764" t="inlineStr">
        <is>
          <t>A 5850-2023</t>
        </is>
      </c>
      <c r="B6764" s="1" t="n">
        <v>44963</v>
      </c>
      <c r="C6764" s="1" t="n">
        <v>45344</v>
      </c>
      <c r="D6764" t="inlineStr">
        <is>
          <t>GÄVLEBORGS LÄN</t>
        </is>
      </c>
      <c r="E6764" t="inlineStr">
        <is>
          <t>LJUSDAL</t>
        </is>
      </c>
      <c r="F6764" t="inlineStr">
        <is>
          <t>Allmännings- och besparingsskogar</t>
        </is>
      </c>
      <c r="G6764" t="n">
        <v>20.5</v>
      </c>
      <c r="H6764" t="n">
        <v>0</v>
      </c>
      <c r="I6764" t="n">
        <v>0</v>
      </c>
      <c r="J6764" t="n">
        <v>0</v>
      </c>
      <c r="K6764" t="n">
        <v>0</v>
      </c>
      <c r="L6764" t="n">
        <v>0</v>
      </c>
      <c r="M6764" t="n">
        <v>0</v>
      </c>
      <c r="N6764" t="n">
        <v>0</v>
      </c>
      <c r="O6764" t="n">
        <v>0</v>
      </c>
      <c r="P6764" t="n">
        <v>0</v>
      </c>
      <c r="Q6764" t="n">
        <v>0</v>
      </c>
      <c r="R6764" s="2" t="inlineStr"/>
    </row>
    <row r="6765" ht="15" customHeight="1">
      <c r="A6765" t="inlineStr">
        <is>
          <t>A 5856-2023</t>
        </is>
      </c>
      <c r="B6765" s="1" t="n">
        <v>44963</v>
      </c>
      <c r="C6765" s="1" t="n">
        <v>45344</v>
      </c>
      <c r="D6765" t="inlineStr">
        <is>
          <t>GÄVLEBORGS LÄN</t>
        </is>
      </c>
      <c r="E6765" t="inlineStr">
        <is>
          <t>LJUSDAL</t>
        </is>
      </c>
      <c r="F6765" t="inlineStr">
        <is>
          <t>Allmännings- och besparingsskogar</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5886-2023</t>
        </is>
      </c>
      <c r="B6766" s="1" t="n">
        <v>44963</v>
      </c>
      <c r="C6766" s="1" t="n">
        <v>45344</v>
      </c>
      <c r="D6766" t="inlineStr">
        <is>
          <t>GÄVLEBORGS LÄN</t>
        </is>
      </c>
      <c r="E6766" t="inlineStr">
        <is>
          <t>SÖDERHAMN</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5888-2023</t>
        </is>
      </c>
      <c r="B6767" s="1" t="n">
        <v>44963</v>
      </c>
      <c r="C6767" s="1" t="n">
        <v>45344</v>
      </c>
      <c r="D6767" t="inlineStr">
        <is>
          <t>GÄVLEBORGS LÄN</t>
        </is>
      </c>
      <c r="E6767" t="inlineStr">
        <is>
          <t>NORDANSTIG</t>
        </is>
      </c>
      <c r="F6767" t="inlineStr">
        <is>
          <t>Holmen skog AB</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5904-2023</t>
        </is>
      </c>
      <c r="B6768" s="1" t="n">
        <v>44963</v>
      </c>
      <c r="C6768" s="1" t="n">
        <v>45344</v>
      </c>
      <c r="D6768" t="inlineStr">
        <is>
          <t>GÄVLEBORGS LÄN</t>
        </is>
      </c>
      <c r="E6768" t="inlineStr">
        <is>
          <t>NORDANSTIG</t>
        </is>
      </c>
      <c r="F6768" t="inlineStr">
        <is>
          <t>Holmen skog AB</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5912-2023</t>
        </is>
      </c>
      <c r="B6769" s="1" t="n">
        <v>44963</v>
      </c>
      <c r="C6769" s="1" t="n">
        <v>45344</v>
      </c>
      <c r="D6769" t="inlineStr">
        <is>
          <t>GÄVLEBORGS LÄN</t>
        </is>
      </c>
      <c r="E6769" t="inlineStr">
        <is>
          <t>LJUSDAL</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5925-2023</t>
        </is>
      </c>
      <c r="B6770" s="1" t="n">
        <v>44963</v>
      </c>
      <c r="C6770" s="1" t="n">
        <v>45344</v>
      </c>
      <c r="D6770" t="inlineStr">
        <is>
          <t>GÄVLEBORGS LÄN</t>
        </is>
      </c>
      <c r="E6770" t="inlineStr">
        <is>
          <t>LJUSDAL</t>
        </is>
      </c>
      <c r="G6770" t="n">
        <v>2</v>
      </c>
      <c r="H6770" t="n">
        <v>0</v>
      </c>
      <c r="I6770" t="n">
        <v>0</v>
      </c>
      <c r="J6770" t="n">
        <v>0</v>
      </c>
      <c r="K6770" t="n">
        <v>0</v>
      </c>
      <c r="L6770" t="n">
        <v>0</v>
      </c>
      <c r="M6770" t="n">
        <v>0</v>
      </c>
      <c r="N6770" t="n">
        <v>0</v>
      </c>
      <c r="O6770" t="n">
        <v>0</v>
      </c>
      <c r="P6770" t="n">
        <v>0</v>
      </c>
      <c r="Q6770" t="n">
        <v>0</v>
      </c>
      <c r="R6770" s="2" t="inlineStr"/>
    </row>
    <row r="6771" ht="15" customHeight="1">
      <c r="A6771" t="inlineStr">
        <is>
          <t>A 5915-2023</t>
        </is>
      </c>
      <c r="B6771" s="1" t="n">
        <v>44963</v>
      </c>
      <c r="C6771" s="1" t="n">
        <v>45344</v>
      </c>
      <c r="D6771" t="inlineStr">
        <is>
          <t>GÄVLEBORGS LÄN</t>
        </is>
      </c>
      <c r="E6771" t="inlineStr">
        <is>
          <t>LJUSDAL</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6058-2023</t>
        </is>
      </c>
      <c r="B6772" s="1" t="n">
        <v>44964</v>
      </c>
      <c r="C6772" s="1" t="n">
        <v>45344</v>
      </c>
      <c r="D6772" t="inlineStr">
        <is>
          <t>GÄVLEBORGS LÄN</t>
        </is>
      </c>
      <c r="E6772" t="inlineStr">
        <is>
          <t>OCKELBO</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6101-2023</t>
        </is>
      </c>
      <c r="B6773" s="1" t="n">
        <v>44964</v>
      </c>
      <c r="C6773" s="1" t="n">
        <v>45344</v>
      </c>
      <c r="D6773" t="inlineStr">
        <is>
          <t>GÄVLEBORGS LÄN</t>
        </is>
      </c>
      <c r="E6773" t="inlineStr">
        <is>
          <t>SANDVIKEN</t>
        </is>
      </c>
      <c r="G6773" t="n">
        <v>3.1</v>
      </c>
      <c r="H6773" t="n">
        <v>0</v>
      </c>
      <c r="I6773" t="n">
        <v>0</v>
      </c>
      <c r="J6773" t="n">
        <v>0</v>
      </c>
      <c r="K6773" t="n">
        <v>0</v>
      </c>
      <c r="L6773" t="n">
        <v>0</v>
      </c>
      <c r="M6773" t="n">
        <v>0</v>
      </c>
      <c r="N6773" t="n">
        <v>0</v>
      </c>
      <c r="O6773" t="n">
        <v>0</v>
      </c>
      <c r="P6773" t="n">
        <v>0</v>
      </c>
      <c r="Q6773" t="n">
        <v>0</v>
      </c>
      <c r="R6773" s="2" t="inlineStr"/>
    </row>
    <row r="6774" ht="15" customHeight="1">
      <c r="A6774" t="inlineStr">
        <is>
          <t>A 6153-2023</t>
        </is>
      </c>
      <c r="B6774" s="1" t="n">
        <v>44964</v>
      </c>
      <c r="C6774" s="1" t="n">
        <v>45344</v>
      </c>
      <c r="D6774" t="inlineStr">
        <is>
          <t>GÄVLEBORGS LÄN</t>
        </is>
      </c>
      <c r="E6774" t="inlineStr">
        <is>
          <t>LJUSDAL</t>
        </is>
      </c>
      <c r="F6774" t="inlineStr">
        <is>
          <t>Holmen skog AB</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6093-2023</t>
        </is>
      </c>
      <c r="B6775" s="1" t="n">
        <v>44964</v>
      </c>
      <c r="C6775" s="1" t="n">
        <v>45344</v>
      </c>
      <c r="D6775" t="inlineStr">
        <is>
          <t>GÄVLEBORGS LÄN</t>
        </is>
      </c>
      <c r="E6775" t="inlineStr">
        <is>
          <t>NORDANSTIG</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6217-2023</t>
        </is>
      </c>
      <c r="B6776" s="1" t="n">
        <v>44964</v>
      </c>
      <c r="C6776" s="1" t="n">
        <v>45344</v>
      </c>
      <c r="D6776" t="inlineStr">
        <is>
          <t>GÄVLEBORGS LÄN</t>
        </is>
      </c>
      <c r="E6776" t="inlineStr">
        <is>
          <t>OCKELBO</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6109-2023</t>
        </is>
      </c>
      <c r="B6777" s="1" t="n">
        <v>44964</v>
      </c>
      <c r="C6777" s="1" t="n">
        <v>45344</v>
      </c>
      <c r="D6777" t="inlineStr">
        <is>
          <t>GÄVLEBORGS LÄN</t>
        </is>
      </c>
      <c r="E6777" t="inlineStr">
        <is>
          <t>NORDANSTIG</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6095-2023</t>
        </is>
      </c>
      <c r="B6778" s="1" t="n">
        <v>44964</v>
      </c>
      <c r="C6778" s="1" t="n">
        <v>45344</v>
      </c>
      <c r="D6778" t="inlineStr">
        <is>
          <t>GÄVLEBORGS LÄN</t>
        </is>
      </c>
      <c r="E6778" t="inlineStr">
        <is>
          <t>SANDVIKEN</t>
        </is>
      </c>
      <c r="G6778" t="n">
        <v>2.6</v>
      </c>
      <c r="H6778" t="n">
        <v>0</v>
      </c>
      <c r="I6778" t="n">
        <v>0</v>
      </c>
      <c r="J6778" t="n">
        <v>0</v>
      </c>
      <c r="K6778" t="n">
        <v>0</v>
      </c>
      <c r="L6778" t="n">
        <v>0</v>
      </c>
      <c r="M6778" t="n">
        <v>0</v>
      </c>
      <c r="N6778" t="n">
        <v>0</v>
      </c>
      <c r="O6778" t="n">
        <v>0</v>
      </c>
      <c r="P6778" t="n">
        <v>0</v>
      </c>
      <c r="Q6778" t="n">
        <v>0</v>
      </c>
      <c r="R6778" s="2" t="inlineStr"/>
    </row>
    <row r="6779" ht="15" customHeight="1">
      <c r="A6779" t="inlineStr">
        <is>
          <t>A 6099-2023</t>
        </is>
      </c>
      <c r="B6779" s="1" t="n">
        <v>44964</v>
      </c>
      <c r="C6779" s="1" t="n">
        <v>45344</v>
      </c>
      <c r="D6779" t="inlineStr">
        <is>
          <t>GÄVLEBORGS LÄN</t>
        </is>
      </c>
      <c r="E6779" t="inlineStr">
        <is>
          <t>NORDANSTIG</t>
        </is>
      </c>
      <c r="F6779" t="inlineStr">
        <is>
          <t>Holmen skog AB</t>
        </is>
      </c>
      <c r="G6779" t="n">
        <v>8.199999999999999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6227-2023</t>
        </is>
      </c>
      <c r="B6780" s="1" t="n">
        <v>44964</v>
      </c>
      <c r="C6780" s="1" t="n">
        <v>45344</v>
      </c>
      <c r="D6780" t="inlineStr">
        <is>
          <t>GÄVLEBORGS LÄN</t>
        </is>
      </c>
      <c r="E6780" t="inlineStr">
        <is>
          <t>HUDIKSVALL</t>
        </is>
      </c>
      <c r="G6780" t="n">
        <v>2</v>
      </c>
      <c r="H6780" t="n">
        <v>0</v>
      </c>
      <c r="I6780" t="n">
        <v>0</v>
      </c>
      <c r="J6780" t="n">
        <v>0</v>
      </c>
      <c r="K6780" t="n">
        <v>0</v>
      </c>
      <c r="L6780" t="n">
        <v>0</v>
      </c>
      <c r="M6780" t="n">
        <v>0</v>
      </c>
      <c r="N6780" t="n">
        <v>0</v>
      </c>
      <c r="O6780" t="n">
        <v>0</v>
      </c>
      <c r="P6780" t="n">
        <v>0</v>
      </c>
      <c r="Q6780" t="n">
        <v>0</v>
      </c>
      <c r="R6780" s="2" t="inlineStr"/>
    </row>
    <row r="6781" ht="15" customHeight="1">
      <c r="A6781" t="inlineStr">
        <is>
          <t>A 6259-2023</t>
        </is>
      </c>
      <c r="B6781" s="1" t="n">
        <v>44965</v>
      </c>
      <c r="C6781" s="1" t="n">
        <v>45344</v>
      </c>
      <c r="D6781" t="inlineStr">
        <is>
          <t>GÄVLEBORGS LÄN</t>
        </is>
      </c>
      <c r="E6781" t="inlineStr">
        <is>
          <t>LJUSDAL</t>
        </is>
      </c>
      <c r="F6781" t="inlineStr">
        <is>
          <t>Holmen skog AB</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6342-2023</t>
        </is>
      </c>
      <c r="B6782" s="1" t="n">
        <v>44965</v>
      </c>
      <c r="C6782" s="1" t="n">
        <v>45344</v>
      </c>
      <c r="D6782" t="inlineStr">
        <is>
          <t>GÄVLEBORGS LÄN</t>
        </is>
      </c>
      <c r="E6782" t="inlineStr">
        <is>
          <t>LJUSDAL</t>
        </is>
      </c>
      <c r="F6782" t="inlineStr">
        <is>
          <t>Bergvik skog väst AB</t>
        </is>
      </c>
      <c r="G6782" t="n">
        <v>26</v>
      </c>
      <c r="H6782" t="n">
        <v>0</v>
      </c>
      <c r="I6782" t="n">
        <v>0</v>
      </c>
      <c r="J6782" t="n">
        <v>0</v>
      </c>
      <c r="K6782" t="n">
        <v>0</v>
      </c>
      <c r="L6782" t="n">
        <v>0</v>
      </c>
      <c r="M6782" t="n">
        <v>0</v>
      </c>
      <c r="N6782" t="n">
        <v>0</v>
      </c>
      <c r="O6782" t="n">
        <v>0</v>
      </c>
      <c r="P6782" t="n">
        <v>0</v>
      </c>
      <c r="Q6782" t="n">
        <v>0</v>
      </c>
      <c r="R6782" s="2" t="inlineStr"/>
    </row>
    <row r="6783" ht="15" customHeight="1">
      <c r="A6783" t="inlineStr">
        <is>
          <t>A 6315-2023</t>
        </is>
      </c>
      <c r="B6783" s="1" t="n">
        <v>44965</v>
      </c>
      <c r="C6783" s="1" t="n">
        <v>45344</v>
      </c>
      <c r="D6783" t="inlineStr">
        <is>
          <t>GÄVLEBORGS LÄN</t>
        </is>
      </c>
      <c r="E6783" t="inlineStr">
        <is>
          <t>NORDANSTIG</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6324-2023</t>
        </is>
      </c>
      <c r="B6784" s="1" t="n">
        <v>44965</v>
      </c>
      <c r="C6784" s="1" t="n">
        <v>45344</v>
      </c>
      <c r="D6784" t="inlineStr">
        <is>
          <t>GÄVLEBORGS LÄN</t>
        </is>
      </c>
      <c r="E6784" t="inlineStr">
        <is>
          <t>NORDANSTIG</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6432-2023</t>
        </is>
      </c>
      <c r="B6785" s="1" t="n">
        <v>44965</v>
      </c>
      <c r="C6785" s="1" t="n">
        <v>45344</v>
      </c>
      <c r="D6785" t="inlineStr">
        <is>
          <t>GÄVLEBORGS LÄN</t>
        </is>
      </c>
      <c r="E6785" t="inlineStr">
        <is>
          <t>LJUSDAL</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6640-2023</t>
        </is>
      </c>
      <c r="B6786" s="1" t="n">
        <v>44966</v>
      </c>
      <c r="C6786" s="1" t="n">
        <v>45344</v>
      </c>
      <c r="D6786" t="inlineStr">
        <is>
          <t>GÄVLEBORGS LÄN</t>
        </is>
      </c>
      <c r="E6786" t="inlineStr">
        <is>
          <t>BOLLNÄS</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7369-2023</t>
        </is>
      </c>
      <c r="B6787" s="1" t="n">
        <v>44966</v>
      </c>
      <c r="C6787" s="1" t="n">
        <v>45344</v>
      </c>
      <c r="D6787" t="inlineStr">
        <is>
          <t>GÄVLEBORGS LÄN</t>
        </is>
      </c>
      <c r="E6787" t="inlineStr">
        <is>
          <t>HUDIKSVALL</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6767-2023</t>
        </is>
      </c>
      <c r="B6788" s="1" t="n">
        <v>44966</v>
      </c>
      <c r="C6788" s="1" t="n">
        <v>45344</v>
      </c>
      <c r="D6788" t="inlineStr">
        <is>
          <t>GÄVLEBORGS LÄN</t>
        </is>
      </c>
      <c r="E6788" t="inlineStr">
        <is>
          <t>HUDIKSVALL</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6929-2023</t>
        </is>
      </c>
      <c r="B6789" s="1" t="n">
        <v>44967</v>
      </c>
      <c r="C6789" s="1" t="n">
        <v>45344</v>
      </c>
      <c r="D6789" t="inlineStr">
        <is>
          <t>GÄVLEBORGS LÄN</t>
        </is>
      </c>
      <c r="E6789" t="inlineStr">
        <is>
          <t>HOFORS</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6935-2023</t>
        </is>
      </c>
      <c r="B6790" s="1" t="n">
        <v>44967</v>
      </c>
      <c r="C6790" s="1" t="n">
        <v>45344</v>
      </c>
      <c r="D6790" t="inlineStr">
        <is>
          <t>GÄVLEBORGS LÄN</t>
        </is>
      </c>
      <c r="E6790" t="inlineStr">
        <is>
          <t>GÄVLE</t>
        </is>
      </c>
      <c r="F6790" t="inlineStr">
        <is>
          <t>Bergvik skog öst AB</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6820-2023</t>
        </is>
      </c>
      <c r="B6791" s="1" t="n">
        <v>44967</v>
      </c>
      <c r="C6791" s="1" t="n">
        <v>45344</v>
      </c>
      <c r="D6791" t="inlineStr">
        <is>
          <t>GÄVLEBORGS LÄN</t>
        </is>
      </c>
      <c r="E6791" t="inlineStr">
        <is>
          <t>NORDANSTIG</t>
        </is>
      </c>
      <c r="F6791" t="inlineStr">
        <is>
          <t>Holmen skog AB</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6826-2023</t>
        </is>
      </c>
      <c r="B6792" s="1" t="n">
        <v>44967</v>
      </c>
      <c r="C6792" s="1" t="n">
        <v>45344</v>
      </c>
      <c r="D6792" t="inlineStr">
        <is>
          <t>GÄVLEBORGS LÄN</t>
        </is>
      </c>
      <c r="E6792" t="inlineStr">
        <is>
          <t>HUDIKSVALL</t>
        </is>
      </c>
      <c r="G6792" t="n">
        <v>4.5</v>
      </c>
      <c r="H6792" t="n">
        <v>0</v>
      </c>
      <c r="I6792" t="n">
        <v>0</v>
      </c>
      <c r="J6792" t="n">
        <v>0</v>
      </c>
      <c r="K6792" t="n">
        <v>0</v>
      </c>
      <c r="L6792" t="n">
        <v>0</v>
      </c>
      <c r="M6792" t="n">
        <v>0</v>
      </c>
      <c r="N6792" t="n">
        <v>0</v>
      </c>
      <c r="O6792" t="n">
        <v>0</v>
      </c>
      <c r="P6792" t="n">
        <v>0</v>
      </c>
      <c r="Q6792" t="n">
        <v>0</v>
      </c>
      <c r="R6792" s="2" t="inlineStr"/>
    </row>
    <row r="6793" ht="15" customHeight="1">
      <c r="A6793" t="inlineStr">
        <is>
          <t>A 6833-2023</t>
        </is>
      </c>
      <c r="B6793" s="1" t="n">
        <v>44967</v>
      </c>
      <c r="C6793" s="1" t="n">
        <v>45344</v>
      </c>
      <c r="D6793" t="inlineStr">
        <is>
          <t>GÄVLEBORGS LÄN</t>
        </is>
      </c>
      <c r="E6793" t="inlineStr">
        <is>
          <t>BOLLNÄS</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6861-2023</t>
        </is>
      </c>
      <c r="B6794" s="1" t="n">
        <v>44967</v>
      </c>
      <c r="C6794" s="1" t="n">
        <v>45344</v>
      </c>
      <c r="D6794" t="inlineStr">
        <is>
          <t>GÄVLEBORGS LÄN</t>
        </is>
      </c>
      <c r="E6794" t="inlineStr">
        <is>
          <t>LJUSDAL</t>
        </is>
      </c>
      <c r="F6794" t="inlineStr">
        <is>
          <t>Holmen skog AB</t>
        </is>
      </c>
      <c r="G6794" t="n">
        <v>14.2</v>
      </c>
      <c r="H6794" t="n">
        <v>0</v>
      </c>
      <c r="I6794" t="n">
        <v>0</v>
      </c>
      <c r="J6794" t="n">
        <v>0</v>
      </c>
      <c r="K6794" t="n">
        <v>0</v>
      </c>
      <c r="L6794" t="n">
        <v>0</v>
      </c>
      <c r="M6794" t="n">
        <v>0</v>
      </c>
      <c r="N6794" t="n">
        <v>0</v>
      </c>
      <c r="O6794" t="n">
        <v>0</v>
      </c>
      <c r="P6794" t="n">
        <v>0</v>
      </c>
      <c r="Q6794" t="n">
        <v>0</v>
      </c>
      <c r="R6794" s="2" t="inlineStr"/>
    </row>
    <row r="6795" ht="15" customHeight="1">
      <c r="A6795" t="inlineStr">
        <is>
          <t>A 6809-2023</t>
        </is>
      </c>
      <c r="B6795" s="1" t="n">
        <v>44967</v>
      </c>
      <c r="C6795" s="1" t="n">
        <v>45344</v>
      </c>
      <c r="D6795" t="inlineStr">
        <is>
          <t>GÄVLEBORGS LÄN</t>
        </is>
      </c>
      <c r="E6795" t="inlineStr">
        <is>
          <t>HUDIKSVALL</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6882-2023</t>
        </is>
      </c>
      <c r="B6796" s="1" t="n">
        <v>44967</v>
      </c>
      <c r="C6796" s="1" t="n">
        <v>45344</v>
      </c>
      <c r="D6796" t="inlineStr">
        <is>
          <t>GÄVLEBORGS LÄN</t>
        </is>
      </c>
      <c r="E6796" t="inlineStr">
        <is>
          <t>BOLLNÄS</t>
        </is>
      </c>
      <c r="G6796" t="n">
        <v>4.1</v>
      </c>
      <c r="H6796" t="n">
        <v>0</v>
      </c>
      <c r="I6796" t="n">
        <v>0</v>
      </c>
      <c r="J6796" t="n">
        <v>0</v>
      </c>
      <c r="K6796" t="n">
        <v>0</v>
      </c>
      <c r="L6796" t="n">
        <v>0</v>
      </c>
      <c r="M6796" t="n">
        <v>0</v>
      </c>
      <c r="N6796" t="n">
        <v>0</v>
      </c>
      <c r="O6796" t="n">
        <v>0</v>
      </c>
      <c r="P6796" t="n">
        <v>0</v>
      </c>
      <c r="Q6796" t="n">
        <v>0</v>
      </c>
      <c r="R6796" s="2" t="inlineStr"/>
    </row>
    <row r="6797" ht="15" customHeight="1">
      <c r="A6797" t="inlineStr">
        <is>
          <t>A 6879-2023</t>
        </is>
      </c>
      <c r="B6797" s="1" t="n">
        <v>44967</v>
      </c>
      <c r="C6797" s="1" t="n">
        <v>45344</v>
      </c>
      <c r="D6797" t="inlineStr">
        <is>
          <t>GÄVLEBORGS LÄN</t>
        </is>
      </c>
      <c r="E6797" t="inlineStr">
        <is>
          <t>BOLLNÄS</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6972-2023</t>
        </is>
      </c>
      <c r="B6798" s="1" t="n">
        <v>44967</v>
      </c>
      <c r="C6798" s="1" t="n">
        <v>45344</v>
      </c>
      <c r="D6798" t="inlineStr">
        <is>
          <t>GÄVLEBORGS LÄN</t>
        </is>
      </c>
      <c r="E6798" t="inlineStr">
        <is>
          <t>GÄVLE</t>
        </is>
      </c>
      <c r="G6798" t="n">
        <v>3.4</v>
      </c>
      <c r="H6798" t="n">
        <v>0</v>
      </c>
      <c r="I6798" t="n">
        <v>0</v>
      </c>
      <c r="J6798" t="n">
        <v>0</v>
      </c>
      <c r="K6798" t="n">
        <v>0</v>
      </c>
      <c r="L6798" t="n">
        <v>0</v>
      </c>
      <c r="M6798" t="n">
        <v>0</v>
      </c>
      <c r="N6798" t="n">
        <v>0</v>
      </c>
      <c r="O6798" t="n">
        <v>0</v>
      </c>
      <c r="P6798" t="n">
        <v>0</v>
      </c>
      <c r="Q6798" t="n">
        <v>0</v>
      </c>
      <c r="R6798" s="2" t="inlineStr"/>
    </row>
    <row r="6799" ht="15" customHeight="1">
      <c r="A6799" t="inlineStr">
        <is>
          <t>A 6922-2023</t>
        </is>
      </c>
      <c r="B6799" s="1" t="n">
        <v>44967</v>
      </c>
      <c r="C6799" s="1" t="n">
        <v>45344</v>
      </c>
      <c r="D6799" t="inlineStr">
        <is>
          <t>GÄVLEBORGS LÄN</t>
        </is>
      </c>
      <c r="E6799" t="inlineStr">
        <is>
          <t>BOLLNÄS</t>
        </is>
      </c>
      <c r="G6799" t="n">
        <v>2.1</v>
      </c>
      <c r="H6799" t="n">
        <v>0</v>
      </c>
      <c r="I6799" t="n">
        <v>0</v>
      </c>
      <c r="J6799" t="n">
        <v>0</v>
      </c>
      <c r="K6799" t="n">
        <v>0</v>
      </c>
      <c r="L6799" t="n">
        <v>0</v>
      </c>
      <c r="M6799" t="n">
        <v>0</v>
      </c>
      <c r="N6799" t="n">
        <v>0</v>
      </c>
      <c r="O6799" t="n">
        <v>0</v>
      </c>
      <c r="P6799" t="n">
        <v>0</v>
      </c>
      <c r="Q6799" t="n">
        <v>0</v>
      </c>
      <c r="R6799" s="2" t="inlineStr"/>
    </row>
    <row r="6800" ht="15" customHeight="1">
      <c r="A6800" t="inlineStr">
        <is>
          <t>A 7012-2023</t>
        </is>
      </c>
      <c r="B6800" s="1" t="n">
        <v>44967</v>
      </c>
      <c r="C6800" s="1" t="n">
        <v>45344</v>
      </c>
      <c r="D6800" t="inlineStr">
        <is>
          <t>GÄVLEBORGS LÄN</t>
        </is>
      </c>
      <c r="E6800" t="inlineStr">
        <is>
          <t>LJUSDAL</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7014-2023</t>
        </is>
      </c>
      <c r="B6801" s="1" t="n">
        <v>44968</v>
      </c>
      <c r="C6801" s="1" t="n">
        <v>45344</v>
      </c>
      <c r="D6801" t="inlineStr">
        <is>
          <t>GÄVLEBORGS LÄN</t>
        </is>
      </c>
      <c r="E6801" t="inlineStr">
        <is>
          <t>NORDANSTIG</t>
        </is>
      </c>
      <c r="G6801" t="n">
        <v>0.5</v>
      </c>
      <c r="H6801" t="n">
        <v>0</v>
      </c>
      <c r="I6801" t="n">
        <v>0</v>
      </c>
      <c r="J6801" t="n">
        <v>0</v>
      </c>
      <c r="K6801" t="n">
        <v>0</v>
      </c>
      <c r="L6801" t="n">
        <v>0</v>
      </c>
      <c r="M6801" t="n">
        <v>0</v>
      </c>
      <c r="N6801" t="n">
        <v>0</v>
      </c>
      <c r="O6801" t="n">
        <v>0</v>
      </c>
      <c r="P6801" t="n">
        <v>0</v>
      </c>
      <c r="Q6801" t="n">
        <v>0</v>
      </c>
      <c r="R6801" s="2" t="inlineStr"/>
    </row>
    <row r="6802" ht="15" customHeight="1">
      <c r="A6802" t="inlineStr">
        <is>
          <t>A 7013-2023</t>
        </is>
      </c>
      <c r="B6802" s="1" t="n">
        <v>44968</v>
      </c>
      <c r="C6802" s="1" t="n">
        <v>45344</v>
      </c>
      <c r="D6802" t="inlineStr">
        <is>
          <t>GÄVLEBORGS LÄN</t>
        </is>
      </c>
      <c r="E6802" t="inlineStr">
        <is>
          <t>NORDANSTIG</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7065-2023</t>
        </is>
      </c>
      <c r="B6803" s="1" t="n">
        <v>44969</v>
      </c>
      <c r="C6803" s="1" t="n">
        <v>45344</v>
      </c>
      <c r="D6803" t="inlineStr">
        <is>
          <t>GÄVLEBORGS LÄN</t>
        </is>
      </c>
      <c r="E6803" t="inlineStr">
        <is>
          <t>HUDIKSVALL</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7066-2023</t>
        </is>
      </c>
      <c r="B6804" s="1" t="n">
        <v>44969</v>
      </c>
      <c r="C6804" s="1" t="n">
        <v>45344</v>
      </c>
      <c r="D6804" t="inlineStr">
        <is>
          <t>GÄVLEBORGS LÄN</t>
        </is>
      </c>
      <c r="E6804" t="inlineStr">
        <is>
          <t>HUDIKSVALL</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7182-2023</t>
        </is>
      </c>
      <c r="B6805" s="1" t="n">
        <v>44970</v>
      </c>
      <c r="C6805" s="1" t="n">
        <v>45344</v>
      </c>
      <c r="D6805" t="inlineStr">
        <is>
          <t>GÄVLEBORGS LÄN</t>
        </is>
      </c>
      <c r="E6805" t="inlineStr">
        <is>
          <t>LJUSDAL</t>
        </is>
      </c>
      <c r="G6805" t="n">
        <v>7</v>
      </c>
      <c r="H6805" t="n">
        <v>0</v>
      </c>
      <c r="I6805" t="n">
        <v>0</v>
      </c>
      <c r="J6805" t="n">
        <v>0</v>
      </c>
      <c r="K6805" t="n">
        <v>0</v>
      </c>
      <c r="L6805" t="n">
        <v>0</v>
      </c>
      <c r="M6805" t="n">
        <v>0</v>
      </c>
      <c r="N6805" t="n">
        <v>0</v>
      </c>
      <c r="O6805" t="n">
        <v>0</v>
      </c>
      <c r="P6805" t="n">
        <v>0</v>
      </c>
      <c r="Q6805" t="n">
        <v>0</v>
      </c>
      <c r="R6805" s="2" t="inlineStr"/>
    </row>
    <row r="6806" ht="15" customHeight="1">
      <c r="A6806" t="inlineStr">
        <is>
          <t>A 7155-2023</t>
        </is>
      </c>
      <c r="B6806" s="1" t="n">
        <v>44970</v>
      </c>
      <c r="C6806" s="1" t="n">
        <v>45344</v>
      </c>
      <c r="D6806" t="inlineStr">
        <is>
          <t>GÄVLEBORGS LÄN</t>
        </is>
      </c>
      <c r="E6806" t="inlineStr">
        <is>
          <t>BOLLNÄS</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7161-2023</t>
        </is>
      </c>
      <c r="B6807" s="1" t="n">
        <v>44970</v>
      </c>
      <c r="C6807" s="1" t="n">
        <v>45344</v>
      </c>
      <c r="D6807" t="inlineStr">
        <is>
          <t>GÄVLEBORGS LÄN</t>
        </is>
      </c>
      <c r="E6807" t="inlineStr">
        <is>
          <t>GÄVLE</t>
        </is>
      </c>
      <c r="F6807" t="inlineStr">
        <is>
          <t>Bergvik skog öst AB</t>
        </is>
      </c>
      <c r="G6807" t="n">
        <v>6.9</v>
      </c>
      <c r="H6807" t="n">
        <v>0</v>
      </c>
      <c r="I6807" t="n">
        <v>0</v>
      </c>
      <c r="J6807" t="n">
        <v>0</v>
      </c>
      <c r="K6807" t="n">
        <v>0</v>
      </c>
      <c r="L6807" t="n">
        <v>0</v>
      </c>
      <c r="M6807" t="n">
        <v>0</v>
      </c>
      <c r="N6807" t="n">
        <v>0</v>
      </c>
      <c r="O6807" t="n">
        <v>0</v>
      </c>
      <c r="P6807" t="n">
        <v>0</v>
      </c>
      <c r="Q6807" t="n">
        <v>0</v>
      </c>
      <c r="R6807" s="2" t="inlineStr"/>
    </row>
    <row r="6808" ht="15" customHeight="1">
      <c r="A6808" t="inlineStr">
        <is>
          <t>A 7177-2023</t>
        </is>
      </c>
      <c r="B6808" s="1" t="n">
        <v>44970</v>
      </c>
      <c r="C6808" s="1" t="n">
        <v>45344</v>
      </c>
      <c r="D6808" t="inlineStr">
        <is>
          <t>GÄVLEBORGS LÄN</t>
        </is>
      </c>
      <c r="E6808" t="inlineStr">
        <is>
          <t>LJUSDAL</t>
        </is>
      </c>
      <c r="G6808" t="n">
        <v>2.9</v>
      </c>
      <c r="H6808" t="n">
        <v>0</v>
      </c>
      <c r="I6808" t="n">
        <v>0</v>
      </c>
      <c r="J6808" t="n">
        <v>0</v>
      </c>
      <c r="K6808" t="n">
        <v>0</v>
      </c>
      <c r="L6808" t="n">
        <v>0</v>
      </c>
      <c r="M6808" t="n">
        <v>0</v>
      </c>
      <c r="N6808" t="n">
        <v>0</v>
      </c>
      <c r="O6808" t="n">
        <v>0</v>
      </c>
      <c r="P6808" t="n">
        <v>0</v>
      </c>
      <c r="Q6808" t="n">
        <v>0</v>
      </c>
      <c r="R6808" s="2" t="inlineStr"/>
    </row>
    <row r="6809" ht="15" customHeight="1">
      <c r="A6809" t="inlineStr">
        <is>
          <t>A 7192-2023</t>
        </is>
      </c>
      <c r="B6809" s="1" t="n">
        <v>44970</v>
      </c>
      <c r="C6809" s="1" t="n">
        <v>45344</v>
      </c>
      <c r="D6809" t="inlineStr">
        <is>
          <t>GÄVLEBORGS LÄN</t>
        </is>
      </c>
      <c r="E6809" t="inlineStr">
        <is>
          <t>LJUSDAL</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7227-2023</t>
        </is>
      </c>
      <c r="B6810" s="1" t="n">
        <v>44970</v>
      </c>
      <c r="C6810" s="1" t="n">
        <v>45344</v>
      </c>
      <c r="D6810" t="inlineStr">
        <is>
          <t>GÄVLEBORGS LÄN</t>
        </is>
      </c>
      <c r="E6810" t="inlineStr">
        <is>
          <t>OVANÅKER</t>
        </is>
      </c>
      <c r="G6810" t="n">
        <v>14.6</v>
      </c>
      <c r="H6810" t="n">
        <v>0</v>
      </c>
      <c r="I6810" t="n">
        <v>0</v>
      </c>
      <c r="J6810" t="n">
        <v>0</v>
      </c>
      <c r="K6810" t="n">
        <v>0</v>
      </c>
      <c r="L6810" t="n">
        <v>0</v>
      </c>
      <c r="M6810" t="n">
        <v>0</v>
      </c>
      <c r="N6810" t="n">
        <v>0</v>
      </c>
      <c r="O6810" t="n">
        <v>0</v>
      </c>
      <c r="P6810" t="n">
        <v>0</v>
      </c>
      <c r="Q6810" t="n">
        <v>0</v>
      </c>
      <c r="R6810" s="2" t="inlineStr"/>
    </row>
    <row r="6811" ht="15" customHeight="1">
      <c r="A6811" t="inlineStr">
        <is>
          <t>A 7148-2023</t>
        </is>
      </c>
      <c r="B6811" s="1" t="n">
        <v>44970</v>
      </c>
      <c r="C6811" s="1" t="n">
        <v>45344</v>
      </c>
      <c r="D6811" t="inlineStr">
        <is>
          <t>GÄVLEBORGS LÄN</t>
        </is>
      </c>
      <c r="E6811" t="inlineStr">
        <is>
          <t>LJUSDAL</t>
        </is>
      </c>
      <c r="F6811" t="inlineStr">
        <is>
          <t>Holmen skog AB</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7160-2023</t>
        </is>
      </c>
      <c r="B6812" s="1" t="n">
        <v>44970</v>
      </c>
      <c r="C6812" s="1" t="n">
        <v>45344</v>
      </c>
      <c r="D6812" t="inlineStr">
        <is>
          <t>GÄVLEBORGS LÄN</t>
        </is>
      </c>
      <c r="E6812" t="inlineStr">
        <is>
          <t>NORDANSTIG</t>
        </is>
      </c>
      <c r="F6812" t="inlineStr">
        <is>
          <t>Holmen skog AB</t>
        </is>
      </c>
      <c r="G6812" t="n">
        <v>2.7</v>
      </c>
      <c r="H6812" t="n">
        <v>0</v>
      </c>
      <c r="I6812" t="n">
        <v>0</v>
      </c>
      <c r="J6812" t="n">
        <v>0</v>
      </c>
      <c r="K6812" t="n">
        <v>0</v>
      </c>
      <c r="L6812" t="n">
        <v>0</v>
      </c>
      <c r="M6812" t="n">
        <v>0</v>
      </c>
      <c r="N6812" t="n">
        <v>0</v>
      </c>
      <c r="O6812" t="n">
        <v>0</v>
      </c>
      <c r="P6812" t="n">
        <v>0</v>
      </c>
      <c r="Q6812" t="n">
        <v>0</v>
      </c>
      <c r="R6812" s="2" t="inlineStr"/>
    </row>
    <row r="6813" ht="15" customHeight="1">
      <c r="A6813" t="inlineStr">
        <is>
          <t>A 7276-2023</t>
        </is>
      </c>
      <c r="B6813" s="1" t="n">
        <v>44970</v>
      </c>
      <c r="C6813" s="1" t="n">
        <v>45344</v>
      </c>
      <c r="D6813" t="inlineStr">
        <is>
          <t>GÄVLEBORGS LÄN</t>
        </is>
      </c>
      <c r="E6813" t="inlineStr">
        <is>
          <t>OCKELBO</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7410-2023</t>
        </is>
      </c>
      <c r="B6814" s="1" t="n">
        <v>44971</v>
      </c>
      <c r="C6814" s="1" t="n">
        <v>45344</v>
      </c>
      <c r="D6814" t="inlineStr">
        <is>
          <t>GÄVLEBORGS LÄN</t>
        </is>
      </c>
      <c r="E6814" t="inlineStr">
        <is>
          <t>GÄVLE</t>
        </is>
      </c>
      <c r="F6814" t="inlineStr">
        <is>
          <t>Bergvik skog öst AB</t>
        </is>
      </c>
      <c r="G6814" t="n">
        <v>7.7</v>
      </c>
      <c r="H6814" t="n">
        <v>0</v>
      </c>
      <c r="I6814" t="n">
        <v>0</v>
      </c>
      <c r="J6814" t="n">
        <v>0</v>
      </c>
      <c r="K6814" t="n">
        <v>0</v>
      </c>
      <c r="L6814" t="n">
        <v>0</v>
      </c>
      <c r="M6814" t="n">
        <v>0</v>
      </c>
      <c r="N6814" t="n">
        <v>0</v>
      </c>
      <c r="O6814" t="n">
        <v>0</v>
      </c>
      <c r="P6814" t="n">
        <v>0</v>
      </c>
      <c r="Q6814" t="n">
        <v>0</v>
      </c>
      <c r="R6814" s="2" t="inlineStr"/>
    </row>
    <row r="6815" ht="15" customHeight="1">
      <c r="A6815" t="inlineStr">
        <is>
          <t>A 7446-2023</t>
        </is>
      </c>
      <c r="B6815" s="1" t="n">
        <v>44971</v>
      </c>
      <c r="C6815" s="1" t="n">
        <v>45344</v>
      </c>
      <c r="D6815" t="inlineStr">
        <is>
          <t>GÄVLEBORGS LÄN</t>
        </is>
      </c>
      <c r="E6815" t="inlineStr">
        <is>
          <t>BOLLNÄS</t>
        </is>
      </c>
      <c r="G6815" t="n">
        <v>6.1</v>
      </c>
      <c r="H6815" t="n">
        <v>0</v>
      </c>
      <c r="I6815" t="n">
        <v>0</v>
      </c>
      <c r="J6815" t="n">
        <v>0</v>
      </c>
      <c r="K6815" t="n">
        <v>0</v>
      </c>
      <c r="L6815" t="n">
        <v>0</v>
      </c>
      <c r="M6815" t="n">
        <v>0</v>
      </c>
      <c r="N6815" t="n">
        <v>0</v>
      </c>
      <c r="O6815" t="n">
        <v>0</v>
      </c>
      <c r="P6815" t="n">
        <v>0</v>
      </c>
      <c r="Q6815" t="n">
        <v>0</v>
      </c>
      <c r="R6815" s="2" t="inlineStr"/>
    </row>
    <row r="6816" ht="15" customHeight="1">
      <c r="A6816" t="inlineStr">
        <is>
          <t>A 7468-2023</t>
        </is>
      </c>
      <c r="B6816" s="1" t="n">
        <v>44971</v>
      </c>
      <c r="C6816" s="1" t="n">
        <v>45344</v>
      </c>
      <c r="D6816" t="inlineStr">
        <is>
          <t>GÄVLEBORGS LÄN</t>
        </is>
      </c>
      <c r="E6816" t="inlineStr">
        <is>
          <t>BOLLNÄS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7578-2023</t>
        </is>
      </c>
      <c r="B6817" s="1" t="n">
        <v>44972</v>
      </c>
      <c r="C6817" s="1" t="n">
        <v>45344</v>
      </c>
      <c r="D6817" t="inlineStr">
        <is>
          <t>GÄVLEBORGS LÄN</t>
        </is>
      </c>
      <c r="E6817" t="inlineStr">
        <is>
          <t>LJUSDAL</t>
        </is>
      </c>
      <c r="F6817" t="inlineStr">
        <is>
          <t>Kommuner</t>
        </is>
      </c>
      <c r="G6817" t="n">
        <v>4.5</v>
      </c>
      <c r="H6817" t="n">
        <v>0</v>
      </c>
      <c r="I6817" t="n">
        <v>0</v>
      </c>
      <c r="J6817" t="n">
        <v>0</v>
      </c>
      <c r="K6817" t="n">
        <v>0</v>
      </c>
      <c r="L6817" t="n">
        <v>0</v>
      </c>
      <c r="M6817" t="n">
        <v>0</v>
      </c>
      <c r="N6817" t="n">
        <v>0</v>
      </c>
      <c r="O6817" t="n">
        <v>0</v>
      </c>
      <c r="P6817" t="n">
        <v>0</v>
      </c>
      <c r="Q6817" t="n">
        <v>0</v>
      </c>
      <c r="R6817" s="2" t="inlineStr"/>
    </row>
    <row r="6818" ht="15" customHeight="1">
      <c r="A6818" t="inlineStr">
        <is>
          <t>A 7593-2023</t>
        </is>
      </c>
      <c r="B6818" s="1" t="n">
        <v>44972</v>
      </c>
      <c r="C6818" s="1" t="n">
        <v>45344</v>
      </c>
      <c r="D6818" t="inlineStr">
        <is>
          <t>GÄVLEBORGS LÄN</t>
        </is>
      </c>
      <c r="E6818" t="inlineStr">
        <is>
          <t>HUDIKSVALL</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7569-2023</t>
        </is>
      </c>
      <c r="B6819" s="1" t="n">
        <v>44972</v>
      </c>
      <c r="C6819" s="1" t="n">
        <v>45344</v>
      </c>
      <c r="D6819" t="inlineStr">
        <is>
          <t>GÄVLEBORGS LÄN</t>
        </is>
      </c>
      <c r="E6819" t="inlineStr">
        <is>
          <t>LJUSDAL</t>
        </is>
      </c>
      <c r="F6819" t="inlineStr">
        <is>
          <t>Kommuner</t>
        </is>
      </c>
      <c r="G6819" t="n">
        <v>6.9</v>
      </c>
      <c r="H6819" t="n">
        <v>0</v>
      </c>
      <c r="I6819" t="n">
        <v>0</v>
      </c>
      <c r="J6819" t="n">
        <v>0</v>
      </c>
      <c r="K6819" t="n">
        <v>0</v>
      </c>
      <c r="L6819" t="n">
        <v>0</v>
      </c>
      <c r="M6819" t="n">
        <v>0</v>
      </c>
      <c r="N6819" t="n">
        <v>0</v>
      </c>
      <c r="O6819" t="n">
        <v>0</v>
      </c>
      <c r="P6819" t="n">
        <v>0</v>
      </c>
      <c r="Q6819" t="n">
        <v>0</v>
      </c>
      <c r="R6819" s="2" t="inlineStr"/>
    </row>
    <row r="6820" ht="15" customHeight="1">
      <c r="A6820" t="inlineStr">
        <is>
          <t>A 7576-2023</t>
        </is>
      </c>
      <c r="B6820" s="1" t="n">
        <v>44972</v>
      </c>
      <c r="C6820" s="1" t="n">
        <v>45344</v>
      </c>
      <c r="D6820" t="inlineStr">
        <is>
          <t>GÄVLEBORGS LÄN</t>
        </is>
      </c>
      <c r="E6820" t="inlineStr">
        <is>
          <t>LJUSDAL</t>
        </is>
      </c>
      <c r="F6820" t="inlineStr">
        <is>
          <t>Kommuner</t>
        </is>
      </c>
      <c r="G6820" t="n">
        <v>4</v>
      </c>
      <c r="H6820" t="n">
        <v>0</v>
      </c>
      <c r="I6820" t="n">
        <v>0</v>
      </c>
      <c r="J6820" t="n">
        <v>0</v>
      </c>
      <c r="K6820" t="n">
        <v>0</v>
      </c>
      <c r="L6820" t="n">
        <v>0</v>
      </c>
      <c r="M6820" t="n">
        <v>0</v>
      </c>
      <c r="N6820" t="n">
        <v>0</v>
      </c>
      <c r="O6820" t="n">
        <v>0</v>
      </c>
      <c r="P6820" t="n">
        <v>0</v>
      </c>
      <c r="Q6820" t="n">
        <v>0</v>
      </c>
      <c r="R6820" s="2" t="inlineStr"/>
    </row>
    <row r="6821" ht="15" customHeight="1">
      <c r="A6821" t="inlineStr">
        <is>
          <t>A 7575-2023</t>
        </is>
      </c>
      <c r="B6821" s="1" t="n">
        <v>44972</v>
      </c>
      <c r="C6821" s="1" t="n">
        <v>45344</v>
      </c>
      <c r="D6821" t="inlineStr">
        <is>
          <t>GÄVLEBORGS LÄN</t>
        </is>
      </c>
      <c r="E6821" t="inlineStr">
        <is>
          <t>GÄVLE</t>
        </is>
      </c>
      <c r="F6821" t="inlineStr">
        <is>
          <t>Bergvik skog öst AB</t>
        </is>
      </c>
      <c r="G6821" t="n">
        <v>7.5</v>
      </c>
      <c r="H6821" t="n">
        <v>0</v>
      </c>
      <c r="I6821" t="n">
        <v>0</v>
      </c>
      <c r="J6821" t="n">
        <v>0</v>
      </c>
      <c r="K6821" t="n">
        <v>0</v>
      </c>
      <c r="L6821" t="n">
        <v>0</v>
      </c>
      <c r="M6821" t="n">
        <v>0</v>
      </c>
      <c r="N6821" t="n">
        <v>0</v>
      </c>
      <c r="O6821" t="n">
        <v>0</v>
      </c>
      <c r="P6821" t="n">
        <v>0</v>
      </c>
      <c r="Q6821" t="n">
        <v>0</v>
      </c>
      <c r="R6821" s="2" t="inlineStr"/>
    </row>
    <row r="6822" ht="15" customHeight="1">
      <c r="A6822" t="inlineStr">
        <is>
          <t>A 7624-2023</t>
        </is>
      </c>
      <c r="B6822" s="1" t="n">
        <v>44972</v>
      </c>
      <c r="C6822" s="1" t="n">
        <v>45344</v>
      </c>
      <c r="D6822" t="inlineStr">
        <is>
          <t>GÄVLEBORGS LÄN</t>
        </is>
      </c>
      <c r="E6822" t="inlineStr">
        <is>
          <t>SANDVIKEN</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7605-2023</t>
        </is>
      </c>
      <c r="B6823" s="1" t="n">
        <v>44972</v>
      </c>
      <c r="C6823" s="1" t="n">
        <v>45344</v>
      </c>
      <c r="D6823" t="inlineStr">
        <is>
          <t>GÄVLEBORGS LÄN</t>
        </is>
      </c>
      <c r="E6823" t="inlineStr">
        <is>
          <t>HUDIKSVALL</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7662-2023</t>
        </is>
      </c>
      <c r="B6824" s="1" t="n">
        <v>44972</v>
      </c>
      <c r="C6824" s="1" t="n">
        <v>45344</v>
      </c>
      <c r="D6824" t="inlineStr">
        <is>
          <t>GÄVLEBORGS LÄN</t>
        </is>
      </c>
      <c r="E6824" t="inlineStr">
        <is>
          <t>HUDIKSVALL</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7792-2023</t>
        </is>
      </c>
      <c r="B6825" s="1" t="n">
        <v>44973</v>
      </c>
      <c r="C6825" s="1" t="n">
        <v>45344</v>
      </c>
      <c r="D6825" t="inlineStr">
        <is>
          <t>GÄVLEBORGS LÄN</t>
        </is>
      </c>
      <c r="E6825" t="inlineStr">
        <is>
          <t>GÄVLE</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7914-2023</t>
        </is>
      </c>
      <c r="B6826" s="1" t="n">
        <v>44973</v>
      </c>
      <c r="C6826" s="1" t="n">
        <v>45344</v>
      </c>
      <c r="D6826" t="inlineStr">
        <is>
          <t>GÄVLEBORGS LÄN</t>
        </is>
      </c>
      <c r="E6826" t="inlineStr">
        <is>
          <t>NORDANSTIG</t>
        </is>
      </c>
      <c r="F6826" t="inlineStr">
        <is>
          <t>Holmen skog AB</t>
        </is>
      </c>
      <c r="G6826" t="n">
        <v>13.2</v>
      </c>
      <c r="H6826" t="n">
        <v>0</v>
      </c>
      <c r="I6826" t="n">
        <v>0</v>
      </c>
      <c r="J6826" t="n">
        <v>0</v>
      </c>
      <c r="K6826" t="n">
        <v>0</v>
      </c>
      <c r="L6826" t="n">
        <v>0</v>
      </c>
      <c r="M6826" t="n">
        <v>0</v>
      </c>
      <c r="N6826" t="n">
        <v>0</v>
      </c>
      <c r="O6826" t="n">
        <v>0</v>
      </c>
      <c r="P6826" t="n">
        <v>0</v>
      </c>
      <c r="Q6826" t="n">
        <v>0</v>
      </c>
      <c r="R6826" s="2" t="inlineStr"/>
    </row>
    <row r="6827" ht="15" customHeight="1">
      <c r="A6827" t="inlineStr">
        <is>
          <t>A 7998-2023</t>
        </is>
      </c>
      <c r="B6827" s="1" t="n">
        <v>44973</v>
      </c>
      <c r="C6827" s="1" t="n">
        <v>45344</v>
      </c>
      <c r="D6827" t="inlineStr">
        <is>
          <t>GÄVLEBORGS LÄN</t>
        </is>
      </c>
      <c r="E6827" t="inlineStr">
        <is>
          <t>GÄVLE</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8137-2023</t>
        </is>
      </c>
      <c r="B6828" s="1" t="n">
        <v>44974</v>
      </c>
      <c r="C6828" s="1" t="n">
        <v>45344</v>
      </c>
      <c r="D6828" t="inlineStr">
        <is>
          <t>GÄVLEBORGS LÄN</t>
        </is>
      </c>
      <c r="E6828" t="inlineStr">
        <is>
          <t>HUDIKSVALL</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8151-2023</t>
        </is>
      </c>
      <c r="B6829" s="1" t="n">
        <v>44974</v>
      </c>
      <c r="C6829" s="1" t="n">
        <v>45344</v>
      </c>
      <c r="D6829" t="inlineStr">
        <is>
          <t>GÄVLEBORGS LÄN</t>
        </is>
      </c>
      <c r="E6829" t="inlineStr">
        <is>
          <t>BOLLNÄS</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8118-2023</t>
        </is>
      </c>
      <c r="B6830" s="1" t="n">
        <v>44974</v>
      </c>
      <c r="C6830" s="1" t="n">
        <v>45344</v>
      </c>
      <c r="D6830" t="inlineStr">
        <is>
          <t>GÄVLEBORGS LÄN</t>
        </is>
      </c>
      <c r="E6830" t="inlineStr">
        <is>
          <t>OCKELBO</t>
        </is>
      </c>
      <c r="G6830" t="n">
        <v>3.7</v>
      </c>
      <c r="H6830" t="n">
        <v>0</v>
      </c>
      <c r="I6830" t="n">
        <v>0</v>
      </c>
      <c r="J6830" t="n">
        <v>0</v>
      </c>
      <c r="K6830" t="n">
        <v>0</v>
      </c>
      <c r="L6830" t="n">
        <v>0</v>
      </c>
      <c r="M6830" t="n">
        <v>0</v>
      </c>
      <c r="N6830" t="n">
        <v>0</v>
      </c>
      <c r="O6830" t="n">
        <v>0</v>
      </c>
      <c r="P6830" t="n">
        <v>0</v>
      </c>
      <c r="Q6830" t="n">
        <v>0</v>
      </c>
      <c r="R6830" s="2" t="inlineStr"/>
    </row>
    <row r="6831" ht="15" customHeight="1">
      <c r="A6831" t="inlineStr">
        <is>
          <t>A 8300-2023</t>
        </is>
      </c>
      <c r="B6831" s="1" t="n">
        <v>44974</v>
      </c>
      <c r="C6831" s="1" t="n">
        <v>45344</v>
      </c>
      <c r="D6831" t="inlineStr">
        <is>
          <t>GÄVLEBORGS LÄN</t>
        </is>
      </c>
      <c r="E6831" t="inlineStr">
        <is>
          <t>LJUSDAL</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8441-2023</t>
        </is>
      </c>
      <c r="B6832" s="1" t="n">
        <v>44977</v>
      </c>
      <c r="C6832" s="1" t="n">
        <v>45344</v>
      </c>
      <c r="D6832" t="inlineStr">
        <is>
          <t>GÄVLEBORGS LÄN</t>
        </is>
      </c>
      <c r="E6832" t="inlineStr">
        <is>
          <t>HUDIKSVALL</t>
        </is>
      </c>
      <c r="F6832" t="inlineStr">
        <is>
          <t>Holmen skog AB</t>
        </is>
      </c>
      <c r="G6832" t="n">
        <v>10</v>
      </c>
      <c r="H6832" t="n">
        <v>0</v>
      </c>
      <c r="I6832" t="n">
        <v>0</v>
      </c>
      <c r="J6832" t="n">
        <v>0</v>
      </c>
      <c r="K6832" t="n">
        <v>0</v>
      </c>
      <c r="L6832" t="n">
        <v>0</v>
      </c>
      <c r="M6832" t="n">
        <v>0</v>
      </c>
      <c r="N6832" t="n">
        <v>0</v>
      </c>
      <c r="O6832" t="n">
        <v>0</v>
      </c>
      <c r="P6832" t="n">
        <v>0</v>
      </c>
      <c r="Q6832" t="n">
        <v>0</v>
      </c>
      <c r="R6832" s="2" t="inlineStr"/>
    </row>
    <row r="6833" ht="15" customHeight="1">
      <c r="A6833" t="inlineStr">
        <is>
          <t>A 8391-2023</t>
        </is>
      </c>
      <c r="B6833" s="1" t="n">
        <v>44977</v>
      </c>
      <c r="C6833" s="1" t="n">
        <v>45344</v>
      </c>
      <c r="D6833" t="inlineStr">
        <is>
          <t>GÄVLEBORGS LÄN</t>
        </is>
      </c>
      <c r="E6833" t="inlineStr">
        <is>
          <t>HUDIKSVALL</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8631-2023</t>
        </is>
      </c>
      <c r="B6834" s="1" t="n">
        <v>44977</v>
      </c>
      <c r="C6834" s="1" t="n">
        <v>45344</v>
      </c>
      <c r="D6834" t="inlineStr">
        <is>
          <t>GÄVLEBORGS LÄN</t>
        </is>
      </c>
      <c r="E6834" t="inlineStr">
        <is>
          <t>NORDANSTIG</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8659-2023</t>
        </is>
      </c>
      <c r="B6835" s="1" t="n">
        <v>44977</v>
      </c>
      <c r="C6835" s="1" t="n">
        <v>45344</v>
      </c>
      <c r="D6835" t="inlineStr">
        <is>
          <t>GÄVLEBORGS LÄN</t>
        </is>
      </c>
      <c r="E6835" t="inlineStr">
        <is>
          <t>LJUSDAL</t>
        </is>
      </c>
      <c r="F6835" t="inlineStr">
        <is>
          <t>SCA</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8664-2023</t>
        </is>
      </c>
      <c r="B6836" s="1" t="n">
        <v>44977</v>
      </c>
      <c r="C6836" s="1" t="n">
        <v>45344</v>
      </c>
      <c r="D6836" t="inlineStr">
        <is>
          <t>GÄVLEBORGS LÄN</t>
        </is>
      </c>
      <c r="E6836" t="inlineStr">
        <is>
          <t>LJUSDAL</t>
        </is>
      </c>
      <c r="F6836" t="inlineStr">
        <is>
          <t>SCA</t>
        </is>
      </c>
      <c r="G6836" t="n">
        <v>23.3</v>
      </c>
      <c r="H6836" t="n">
        <v>0</v>
      </c>
      <c r="I6836" t="n">
        <v>0</v>
      </c>
      <c r="J6836" t="n">
        <v>0</v>
      </c>
      <c r="K6836" t="n">
        <v>0</v>
      </c>
      <c r="L6836" t="n">
        <v>0</v>
      </c>
      <c r="M6836" t="n">
        <v>0</v>
      </c>
      <c r="N6836" t="n">
        <v>0</v>
      </c>
      <c r="O6836" t="n">
        <v>0</v>
      </c>
      <c r="P6836" t="n">
        <v>0</v>
      </c>
      <c r="Q6836" t="n">
        <v>0</v>
      </c>
      <c r="R6836" s="2" t="inlineStr"/>
    </row>
    <row r="6837" ht="15" customHeight="1">
      <c r="A6837" t="inlineStr">
        <is>
          <t>A 8595-2023</t>
        </is>
      </c>
      <c r="B6837" s="1" t="n">
        <v>44977</v>
      </c>
      <c r="C6837" s="1" t="n">
        <v>45344</v>
      </c>
      <c r="D6837" t="inlineStr">
        <is>
          <t>GÄVLEBORGS LÄN</t>
        </is>
      </c>
      <c r="E6837" t="inlineStr">
        <is>
          <t>HUDIKSVALL</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8618-2023</t>
        </is>
      </c>
      <c r="B6838" s="1" t="n">
        <v>44977</v>
      </c>
      <c r="C6838" s="1" t="n">
        <v>45344</v>
      </c>
      <c r="D6838" t="inlineStr">
        <is>
          <t>GÄVLEBORGS LÄN</t>
        </is>
      </c>
      <c r="E6838" t="inlineStr">
        <is>
          <t>OVANÅKER</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8633-2023</t>
        </is>
      </c>
      <c r="B6839" s="1" t="n">
        <v>44977</v>
      </c>
      <c r="C6839" s="1" t="n">
        <v>45344</v>
      </c>
      <c r="D6839" t="inlineStr">
        <is>
          <t>GÄVLEBORGS LÄN</t>
        </is>
      </c>
      <c r="E6839" t="inlineStr">
        <is>
          <t>SÖDERHAMN</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8510-2023</t>
        </is>
      </c>
      <c r="B6840" s="1" t="n">
        <v>44977</v>
      </c>
      <c r="C6840" s="1" t="n">
        <v>45344</v>
      </c>
      <c r="D6840" t="inlineStr">
        <is>
          <t>GÄVLEBORGS LÄN</t>
        </is>
      </c>
      <c r="E6840" t="inlineStr">
        <is>
          <t>HOFORS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8662-2023</t>
        </is>
      </c>
      <c r="B6841" s="1" t="n">
        <v>44977</v>
      </c>
      <c r="C6841" s="1" t="n">
        <v>45344</v>
      </c>
      <c r="D6841" t="inlineStr">
        <is>
          <t>GÄVLEBORGS LÄN</t>
        </is>
      </c>
      <c r="E6841" t="inlineStr">
        <is>
          <t>LJUSDAL</t>
        </is>
      </c>
      <c r="F6841" t="inlineStr">
        <is>
          <t>SCA</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8660-2023</t>
        </is>
      </c>
      <c r="B6842" s="1" t="n">
        <v>44977</v>
      </c>
      <c r="C6842" s="1" t="n">
        <v>45344</v>
      </c>
      <c r="D6842" t="inlineStr">
        <is>
          <t>GÄVLEBORGS LÄN</t>
        </is>
      </c>
      <c r="E6842" t="inlineStr">
        <is>
          <t>LJUSDAL</t>
        </is>
      </c>
      <c r="F6842" t="inlineStr">
        <is>
          <t>SCA</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8661-2023</t>
        </is>
      </c>
      <c r="B6843" s="1" t="n">
        <v>44977</v>
      </c>
      <c r="C6843" s="1" t="n">
        <v>45344</v>
      </c>
      <c r="D6843" t="inlineStr">
        <is>
          <t>GÄVLEBORGS LÄN</t>
        </is>
      </c>
      <c r="E6843" t="inlineStr">
        <is>
          <t>LJUSDAL</t>
        </is>
      </c>
      <c r="F6843" t="inlineStr">
        <is>
          <t>SCA</t>
        </is>
      </c>
      <c r="G6843" t="n">
        <v>41.6</v>
      </c>
      <c r="H6843" t="n">
        <v>0</v>
      </c>
      <c r="I6843" t="n">
        <v>0</v>
      </c>
      <c r="J6843" t="n">
        <v>0</v>
      </c>
      <c r="K6843" t="n">
        <v>0</v>
      </c>
      <c r="L6843" t="n">
        <v>0</v>
      </c>
      <c r="M6843" t="n">
        <v>0</v>
      </c>
      <c r="N6843" t="n">
        <v>0</v>
      </c>
      <c r="O6843" t="n">
        <v>0</v>
      </c>
      <c r="P6843" t="n">
        <v>0</v>
      </c>
      <c r="Q6843" t="n">
        <v>0</v>
      </c>
      <c r="R6843" s="2" t="inlineStr"/>
    </row>
    <row r="6844" ht="15" customHeight="1">
      <c r="A6844" t="inlineStr">
        <is>
          <t>A 8696-2023</t>
        </is>
      </c>
      <c r="B6844" s="1" t="n">
        <v>44978</v>
      </c>
      <c r="C6844" s="1" t="n">
        <v>45344</v>
      </c>
      <c r="D6844" t="inlineStr">
        <is>
          <t>GÄVLEBORGS LÄN</t>
        </is>
      </c>
      <c r="E6844" t="inlineStr">
        <is>
          <t>BOLLNÄS</t>
        </is>
      </c>
      <c r="G6844" t="n">
        <v>8</v>
      </c>
      <c r="H6844" t="n">
        <v>0</v>
      </c>
      <c r="I6844" t="n">
        <v>0</v>
      </c>
      <c r="J6844" t="n">
        <v>0</v>
      </c>
      <c r="K6844" t="n">
        <v>0</v>
      </c>
      <c r="L6844" t="n">
        <v>0</v>
      </c>
      <c r="M6844" t="n">
        <v>0</v>
      </c>
      <c r="N6844" t="n">
        <v>0</v>
      </c>
      <c r="O6844" t="n">
        <v>0</v>
      </c>
      <c r="P6844" t="n">
        <v>0</v>
      </c>
      <c r="Q6844" t="n">
        <v>0</v>
      </c>
      <c r="R6844" s="2" t="inlineStr"/>
    </row>
    <row r="6845" ht="15" customHeight="1">
      <c r="A6845" t="inlineStr">
        <is>
          <t>A 8714-2023</t>
        </is>
      </c>
      <c r="B6845" s="1" t="n">
        <v>44978</v>
      </c>
      <c r="C6845" s="1" t="n">
        <v>45344</v>
      </c>
      <c r="D6845" t="inlineStr">
        <is>
          <t>GÄVLEBORGS LÄN</t>
        </is>
      </c>
      <c r="E6845" t="inlineStr">
        <is>
          <t>HUDIKSVALL</t>
        </is>
      </c>
      <c r="G6845" t="n">
        <v>6.3</v>
      </c>
      <c r="H6845" t="n">
        <v>0</v>
      </c>
      <c r="I6845" t="n">
        <v>0</v>
      </c>
      <c r="J6845" t="n">
        <v>0</v>
      </c>
      <c r="K6845" t="n">
        <v>0</v>
      </c>
      <c r="L6845" t="n">
        <v>0</v>
      </c>
      <c r="M6845" t="n">
        <v>0</v>
      </c>
      <c r="N6845" t="n">
        <v>0</v>
      </c>
      <c r="O6845" t="n">
        <v>0</v>
      </c>
      <c r="P6845" t="n">
        <v>0</v>
      </c>
      <c r="Q6845" t="n">
        <v>0</v>
      </c>
      <c r="R6845" s="2" t="inlineStr"/>
    </row>
    <row r="6846" ht="15" customHeight="1">
      <c r="A6846" t="inlineStr">
        <is>
          <t>A 8728-2023</t>
        </is>
      </c>
      <c r="B6846" s="1" t="n">
        <v>44978</v>
      </c>
      <c r="C6846" s="1" t="n">
        <v>45344</v>
      </c>
      <c r="D6846" t="inlineStr">
        <is>
          <t>GÄVLEBORGS LÄN</t>
        </is>
      </c>
      <c r="E6846" t="inlineStr">
        <is>
          <t>NORDANSTIG</t>
        </is>
      </c>
      <c r="G6846" t="n">
        <v>14.6</v>
      </c>
      <c r="H6846" t="n">
        <v>0</v>
      </c>
      <c r="I6846" t="n">
        <v>0</v>
      </c>
      <c r="J6846" t="n">
        <v>0</v>
      </c>
      <c r="K6846" t="n">
        <v>0</v>
      </c>
      <c r="L6846" t="n">
        <v>0</v>
      </c>
      <c r="M6846" t="n">
        <v>0</v>
      </c>
      <c r="N6846" t="n">
        <v>0</v>
      </c>
      <c r="O6846" t="n">
        <v>0</v>
      </c>
      <c r="P6846" t="n">
        <v>0</v>
      </c>
      <c r="Q6846" t="n">
        <v>0</v>
      </c>
      <c r="R6846" s="2" t="inlineStr"/>
    </row>
    <row r="6847" ht="15" customHeight="1">
      <c r="A6847" t="inlineStr">
        <is>
          <t>A 8754-2023</t>
        </is>
      </c>
      <c r="B6847" s="1" t="n">
        <v>44978</v>
      </c>
      <c r="C6847" s="1" t="n">
        <v>45344</v>
      </c>
      <c r="D6847" t="inlineStr">
        <is>
          <t>GÄVLEBORGS LÄN</t>
        </is>
      </c>
      <c r="E6847" t="inlineStr">
        <is>
          <t>HUDIKSVALL</t>
        </is>
      </c>
      <c r="G6847" t="n">
        <v>0.6</v>
      </c>
      <c r="H6847" t="n">
        <v>0</v>
      </c>
      <c r="I6847" t="n">
        <v>0</v>
      </c>
      <c r="J6847" t="n">
        <v>0</v>
      </c>
      <c r="K6847" t="n">
        <v>0</v>
      </c>
      <c r="L6847" t="n">
        <v>0</v>
      </c>
      <c r="M6847" t="n">
        <v>0</v>
      </c>
      <c r="N6847" t="n">
        <v>0</v>
      </c>
      <c r="O6847" t="n">
        <v>0</v>
      </c>
      <c r="P6847" t="n">
        <v>0</v>
      </c>
      <c r="Q6847" t="n">
        <v>0</v>
      </c>
      <c r="R6847" s="2" t="inlineStr"/>
    </row>
    <row r="6848" ht="15" customHeight="1">
      <c r="A6848" t="inlineStr">
        <is>
          <t>A 8732-2023</t>
        </is>
      </c>
      <c r="B6848" s="1" t="n">
        <v>44978</v>
      </c>
      <c r="C6848" s="1" t="n">
        <v>45344</v>
      </c>
      <c r="D6848" t="inlineStr">
        <is>
          <t>GÄVLEBORGS LÄN</t>
        </is>
      </c>
      <c r="E6848" t="inlineStr">
        <is>
          <t>HUDIKSVALL</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8752-2023</t>
        </is>
      </c>
      <c r="B6849" s="1" t="n">
        <v>44978</v>
      </c>
      <c r="C6849" s="1" t="n">
        <v>45344</v>
      </c>
      <c r="D6849" t="inlineStr">
        <is>
          <t>GÄVLEBORGS LÄN</t>
        </is>
      </c>
      <c r="E6849" t="inlineStr">
        <is>
          <t>HUDIKSVALL</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8809-2023</t>
        </is>
      </c>
      <c r="B6850" s="1" t="n">
        <v>44978</v>
      </c>
      <c r="C6850" s="1" t="n">
        <v>45344</v>
      </c>
      <c r="D6850" t="inlineStr">
        <is>
          <t>GÄVLEBORGS LÄN</t>
        </is>
      </c>
      <c r="E6850" t="inlineStr">
        <is>
          <t>HUDIKSVALL</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8810-2023</t>
        </is>
      </c>
      <c r="B6851" s="1" t="n">
        <v>44978</v>
      </c>
      <c r="C6851" s="1" t="n">
        <v>45344</v>
      </c>
      <c r="D6851" t="inlineStr">
        <is>
          <t>GÄVLEBORGS LÄN</t>
        </is>
      </c>
      <c r="E6851" t="inlineStr">
        <is>
          <t>HUDIKSVALL</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8822-2023</t>
        </is>
      </c>
      <c r="B6852" s="1" t="n">
        <v>44978</v>
      </c>
      <c r="C6852" s="1" t="n">
        <v>45344</v>
      </c>
      <c r="D6852" t="inlineStr">
        <is>
          <t>GÄVLEBORGS LÄN</t>
        </is>
      </c>
      <c r="E6852" t="inlineStr">
        <is>
          <t>HUDIKSVALL</t>
        </is>
      </c>
      <c r="G6852" t="n">
        <v>15.8</v>
      </c>
      <c r="H6852" t="n">
        <v>0</v>
      </c>
      <c r="I6852" t="n">
        <v>0</v>
      </c>
      <c r="J6852" t="n">
        <v>0</v>
      </c>
      <c r="K6852" t="n">
        <v>0</v>
      </c>
      <c r="L6852" t="n">
        <v>0</v>
      </c>
      <c r="M6852" t="n">
        <v>0</v>
      </c>
      <c r="N6852" t="n">
        <v>0</v>
      </c>
      <c r="O6852" t="n">
        <v>0</v>
      </c>
      <c r="P6852" t="n">
        <v>0</v>
      </c>
      <c r="Q6852" t="n">
        <v>0</v>
      </c>
      <c r="R6852" s="2" t="inlineStr"/>
    </row>
    <row r="6853" ht="15" customHeight="1">
      <c r="A6853" t="inlineStr">
        <is>
          <t>A 8902-2023</t>
        </is>
      </c>
      <c r="B6853" s="1" t="n">
        <v>44979</v>
      </c>
      <c r="C6853" s="1" t="n">
        <v>45344</v>
      </c>
      <c r="D6853" t="inlineStr">
        <is>
          <t>GÄVLEBORGS LÄN</t>
        </is>
      </c>
      <c r="E6853" t="inlineStr">
        <is>
          <t>GÄVLE</t>
        </is>
      </c>
      <c r="F6853" t="inlineStr">
        <is>
          <t>Bergvik skog öst AB</t>
        </is>
      </c>
      <c r="G6853" t="n">
        <v>13.6</v>
      </c>
      <c r="H6853" t="n">
        <v>0</v>
      </c>
      <c r="I6853" t="n">
        <v>0</v>
      </c>
      <c r="J6853" t="n">
        <v>0</v>
      </c>
      <c r="K6853" t="n">
        <v>0</v>
      </c>
      <c r="L6853" t="n">
        <v>0</v>
      </c>
      <c r="M6853" t="n">
        <v>0</v>
      </c>
      <c r="N6853" t="n">
        <v>0</v>
      </c>
      <c r="O6853" t="n">
        <v>0</v>
      </c>
      <c r="P6853" t="n">
        <v>0</v>
      </c>
      <c r="Q6853" t="n">
        <v>0</v>
      </c>
      <c r="R6853" s="2" t="inlineStr"/>
    </row>
    <row r="6854" ht="15" customHeight="1">
      <c r="A6854" t="inlineStr">
        <is>
          <t>A 8904-2023</t>
        </is>
      </c>
      <c r="B6854" s="1" t="n">
        <v>44979</v>
      </c>
      <c r="C6854" s="1" t="n">
        <v>45344</v>
      </c>
      <c r="D6854" t="inlineStr">
        <is>
          <t>GÄVLEBORGS LÄN</t>
        </is>
      </c>
      <c r="E6854" t="inlineStr">
        <is>
          <t>GÄVLE</t>
        </is>
      </c>
      <c r="F6854" t="inlineStr">
        <is>
          <t>Kyrkan</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9010-2023</t>
        </is>
      </c>
      <c r="B6855" s="1" t="n">
        <v>44979</v>
      </c>
      <c r="C6855" s="1" t="n">
        <v>45344</v>
      </c>
      <c r="D6855" t="inlineStr">
        <is>
          <t>GÄVLEBORGS LÄN</t>
        </is>
      </c>
      <c r="E6855" t="inlineStr">
        <is>
          <t>OVANÅKER</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9018-2023</t>
        </is>
      </c>
      <c r="B6856" s="1" t="n">
        <v>44979</v>
      </c>
      <c r="C6856" s="1" t="n">
        <v>45344</v>
      </c>
      <c r="D6856" t="inlineStr">
        <is>
          <t>GÄVLEBORGS LÄN</t>
        </is>
      </c>
      <c r="E6856" t="inlineStr">
        <is>
          <t>NORDANSTIG</t>
        </is>
      </c>
      <c r="F6856" t="inlineStr">
        <is>
          <t>Holmen skog AB</t>
        </is>
      </c>
      <c r="G6856" t="n">
        <v>1</v>
      </c>
      <c r="H6856" t="n">
        <v>0</v>
      </c>
      <c r="I6856" t="n">
        <v>0</v>
      </c>
      <c r="J6856" t="n">
        <v>0</v>
      </c>
      <c r="K6856" t="n">
        <v>0</v>
      </c>
      <c r="L6856" t="n">
        <v>0</v>
      </c>
      <c r="M6856" t="n">
        <v>0</v>
      </c>
      <c r="N6856" t="n">
        <v>0</v>
      </c>
      <c r="O6856" t="n">
        <v>0</v>
      </c>
      <c r="P6856" t="n">
        <v>0</v>
      </c>
      <c r="Q6856" t="n">
        <v>0</v>
      </c>
      <c r="R6856" s="2" t="inlineStr"/>
    </row>
    <row r="6857" ht="15" customHeight="1">
      <c r="A6857" t="inlineStr">
        <is>
          <t>A 9026-2023</t>
        </is>
      </c>
      <c r="B6857" s="1" t="n">
        <v>44979</v>
      </c>
      <c r="C6857" s="1" t="n">
        <v>45344</v>
      </c>
      <c r="D6857" t="inlineStr">
        <is>
          <t>GÄVLEBORGS LÄN</t>
        </is>
      </c>
      <c r="E6857" t="inlineStr">
        <is>
          <t>HUDIKSVALL</t>
        </is>
      </c>
      <c r="F6857" t="inlineStr">
        <is>
          <t>Holmen skog AB</t>
        </is>
      </c>
      <c r="G6857" t="n">
        <v>10</v>
      </c>
      <c r="H6857" t="n">
        <v>0</v>
      </c>
      <c r="I6857" t="n">
        <v>0</v>
      </c>
      <c r="J6857" t="n">
        <v>0</v>
      </c>
      <c r="K6857" t="n">
        <v>0</v>
      </c>
      <c r="L6857" t="n">
        <v>0</v>
      </c>
      <c r="M6857" t="n">
        <v>0</v>
      </c>
      <c r="N6857" t="n">
        <v>0</v>
      </c>
      <c r="O6857" t="n">
        <v>0</v>
      </c>
      <c r="P6857" t="n">
        <v>0</v>
      </c>
      <c r="Q6857" t="n">
        <v>0</v>
      </c>
      <c r="R6857" s="2" t="inlineStr"/>
    </row>
    <row r="6858" ht="15" customHeight="1">
      <c r="A6858" t="inlineStr">
        <is>
          <t>A 9163-2023</t>
        </is>
      </c>
      <c r="B6858" s="1" t="n">
        <v>44980</v>
      </c>
      <c r="C6858" s="1" t="n">
        <v>45344</v>
      </c>
      <c r="D6858" t="inlineStr">
        <is>
          <t>GÄVLEBORGS LÄN</t>
        </is>
      </c>
      <c r="E6858" t="inlineStr">
        <is>
          <t>HUDIKSVALL</t>
        </is>
      </c>
      <c r="F6858" t="inlineStr">
        <is>
          <t>Holmen skog AB</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9140-2023</t>
        </is>
      </c>
      <c r="B6859" s="1" t="n">
        <v>44980</v>
      </c>
      <c r="C6859" s="1" t="n">
        <v>45344</v>
      </c>
      <c r="D6859" t="inlineStr">
        <is>
          <t>GÄVLEBORGS LÄN</t>
        </is>
      </c>
      <c r="E6859" t="inlineStr">
        <is>
          <t>HUDIKSVALL</t>
        </is>
      </c>
      <c r="F6859" t="inlineStr">
        <is>
          <t>Holmen skog AB</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9199-2023</t>
        </is>
      </c>
      <c r="B6860" s="1" t="n">
        <v>44980</v>
      </c>
      <c r="C6860" s="1" t="n">
        <v>45344</v>
      </c>
      <c r="D6860" t="inlineStr">
        <is>
          <t>GÄVLEBORGS LÄN</t>
        </is>
      </c>
      <c r="E6860" t="inlineStr">
        <is>
          <t>NORDANSTIG</t>
        </is>
      </c>
      <c r="F6860" t="inlineStr">
        <is>
          <t>Holmen skog AB</t>
        </is>
      </c>
      <c r="G6860" t="n">
        <v>7.2</v>
      </c>
      <c r="H6860" t="n">
        <v>0</v>
      </c>
      <c r="I6860" t="n">
        <v>0</v>
      </c>
      <c r="J6860" t="n">
        <v>0</v>
      </c>
      <c r="K6860" t="n">
        <v>0</v>
      </c>
      <c r="L6860" t="n">
        <v>0</v>
      </c>
      <c r="M6860" t="n">
        <v>0</v>
      </c>
      <c r="N6860" t="n">
        <v>0</v>
      </c>
      <c r="O6860" t="n">
        <v>0</v>
      </c>
      <c r="P6860" t="n">
        <v>0</v>
      </c>
      <c r="Q6860" t="n">
        <v>0</v>
      </c>
      <c r="R6860" s="2" t="inlineStr"/>
    </row>
    <row r="6861" ht="15" customHeight="1">
      <c r="A6861" t="inlineStr">
        <is>
          <t>A 9219-2023</t>
        </is>
      </c>
      <c r="B6861" s="1" t="n">
        <v>44980</v>
      </c>
      <c r="C6861" s="1" t="n">
        <v>45344</v>
      </c>
      <c r="D6861" t="inlineStr">
        <is>
          <t>GÄVLEBORGS LÄN</t>
        </is>
      </c>
      <c r="E6861" t="inlineStr">
        <is>
          <t>SANDVIKEN</t>
        </is>
      </c>
      <c r="G6861" t="n">
        <v>10</v>
      </c>
      <c r="H6861" t="n">
        <v>0</v>
      </c>
      <c r="I6861" t="n">
        <v>0</v>
      </c>
      <c r="J6861" t="n">
        <v>0</v>
      </c>
      <c r="K6861" t="n">
        <v>0</v>
      </c>
      <c r="L6861" t="n">
        <v>0</v>
      </c>
      <c r="M6861" t="n">
        <v>0</v>
      </c>
      <c r="N6861" t="n">
        <v>0</v>
      </c>
      <c r="O6861" t="n">
        <v>0</v>
      </c>
      <c r="P6861" t="n">
        <v>0</v>
      </c>
      <c r="Q6861" t="n">
        <v>0</v>
      </c>
      <c r="R6861" s="2" t="inlineStr"/>
    </row>
    <row r="6862" ht="15" customHeight="1">
      <c r="A6862" t="inlineStr">
        <is>
          <t>A 9228-2023</t>
        </is>
      </c>
      <c r="B6862" s="1" t="n">
        <v>44980</v>
      </c>
      <c r="C6862" s="1" t="n">
        <v>45344</v>
      </c>
      <c r="D6862" t="inlineStr">
        <is>
          <t>GÄVLEBORGS LÄN</t>
        </is>
      </c>
      <c r="E6862" t="inlineStr">
        <is>
          <t>NORDANSTIG</t>
        </is>
      </c>
      <c r="G6862" t="n">
        <v>5.2</v>
      </c>
      <c r="H6862" t="n">
        <v>0</v>
      </c>
      <c r="I6862" t="n">
        <v>0</v>
      </c>
      <c r="J6862" t="n">
        <v>0</v>
      </c>
      <c r="K6862" t="n">
        <v>0</v>
      </c>
      <c r="L6862" t="n">
        <v>0</v>
      </c>
      <c r="M6862" t="n">
        <v>0</v>
      </c>
      <c r="N6862" t="n">
        <v>0</v>
      </c>
      <c r="O6862" t="n">
        <v>0</v>
      </c>
      <c r="P6862" t="n">
        <v>0</v>
      </c>
      <c r="Q6862" t="n">
        <v>0</v>
      </c>
      <c r="R6862" s="2" t="inlineStr"/>
    </row>
    <row r="6863" ht="15" customHeight="1">
      <c r="A6863" t="inlineStr">
        <is>
          <t>A 9241-2023</t>
        </is>
      </c>
      <c r="B6863" s="1" t="n">
        <v>44980</v>
      </c>
      <c r="C6863" s="1" t="n">
        <v>45344</v>
      </c>
      <c r="D6863" t="inlineStr">
        <is>
          <t>GÄVLEBORGS LÄN</t>
        </is>
      </c>
      <c r="E6863" t="inlineStr">
        <is>
          <t>LJUSDAL</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9179-2023</t>
        </is>
      </c>
      <c r="B6864" s="1" t="n">
        <v>44980</v>
      </c>
      <c r="C6864" s="1" t="n">
        <v>45344</v>
      </c>
      <c r="D6864" t="inlineStr">
        <is>
          <t>GÄVLEBORGS LÄN</t>
        </is>
      </c>
      <c r="E6864" t="inlineStr">
        <is>
          <t>HUDIKSVALL</t>
        </is>
      </c>
      <c r="F6864" t="inlineStr">
        <is>
          <t>Holmen skog AB</t>
        </is>
      </c>
      <c r="G6864" t="n">
        <v>7.5</v>
      </c>
      <c r="H6864" t="n">
        <v>0</v>
      </c>
      <c r="I6864" t="n">
        <v>0</v>
      </c>
      <c r="J6864" t="n">
        <v>0</v>
      </c>
      <c r="K6864" t="n">
        <v>0</v>
      </c>
      <c r="L6864" t="n">
        <v>0</v>
      </c>
      <c r="M6864" t="n">
        <v>0</v>
      </c>
      <c r="N6864" t="n">
        <v>0</v>
      </c>
      <c r="O6864" t="n">
        <v>0</v>
      </c>
      <c r="P6864" t="n">
        <v>0</v>
      </c>
      <c r="Q6864" t="n">
        <v>0</v>
      </c>
      <c r="R6864" s="2" t="inlineStr"/>
    </row>
    <row r="6865" ht="15" customHeight="1">
      <c r="A6865" t="inlineStr">
        <is>
          <t>A 9240-2023</t>
        </is>
      </c>
      <c r="B6865" s="1" t="n">
        <v>44980</v>
      </c>
      <c r="C6865" s="1" t="n">
        <v>45344</v>
      </c>
      <c r="D6865" t="inlineStr">
        <is>
          <t>GÄVLEBORGS LÄN</t>
        </is>
      </c>
      <c r="E6865" t="inlineStr">
        <is>
          <t>NORDANSTIG</t>
        </is>
      </c>
      <c r="F6865" t="inlineStr">
        <is>
          <t>Holmen skog AB</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9316-2023</t>
        </is>
      </c>
      <c r="B6866" s="1" t="n">
        <v>44980</v>
      </c>
      <c r="C6866" s="1" t="n">
        <v>45344</v>
      </c>
      <c r="D6866" t="inlineStr">
        <is>
          <t>GÄVLEBORGS LÄN</t>
        </is>
      </c>
      <c r="E6866" t="inlineStr">
        <is>
          <t>NORDANSTIG</t>
        </is>
      </c>
      <c r="F6866" t="inlineStr">
        <is>
          <t>Holmen skog AB</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9322-2023</t>
        </is>
      </c>
      <c r="B6867" s="1" t="n">
        <v>44980</v>
      </c>
      <c r="C6867" s="1" t="n">
        <v>45344</v>
      </c>
      <c r="D6867" t="inlineStr">
        <is>
          <t>GÄVLEBORGS LÄN</t>
        </is>
      </c>
      <c r="E6867" t="inlineStr">
        <is>
          <t>NORDANSTIG</t>
        </is>
      </c>
      <c r="F6867" t="inlineStr">
        <is>
          <t>Holmen skog AB</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9318-2023</t>
        </is>
      </c>
      <c r="B6868" s="1" t="n">
        <v>44980</v>
      </c>
      <c r="C6868" s="1" t="n">
        <v>45344</v>
      </c>
      <c r="D6868" t="inlineStr">
        <is>
          <t>GÄVLEBORGS LÄN</t>
        </is>
      </c>
      <c r="E6868" t="inlineStr">
        <is>
          <t>NORDANSTIG</t>
        </is>
      </c>
      <c r="F6868" t="inlineStr">
        <is>
          <t>Holmen skog AB</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9135-2023</t>
        </is>
      </c>
      <c r="B6869" s="1" t="n">
        <v>44980</v>
      </c>
      <c r="C6869" s="1" t="n">
        <v>45344</v>
      </c>
      <c r="D6869" t="inlineStr">
        <is>
          <t>GÄVLEBORGS LÄN</t>
        </is>
      </c>
      <c r="E6869" t="inlineStr">
        <is>
          <t>HUDIKSVALL</t>
        </is>
      </c>
      <c r="F6869" t="inlineStr">
        <is>
          <t>Holmen skog AB</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9172-2023</t>
        </is>
      </c>
      <c r="B6870" s="1" t="n">
        <v>44980</v>
      </c>
      <c r="C6870" s="1" t="n">
        <v>45344</v>
      </c>
      <c r="D6870" t="inlineStr">
        <is>
          <t>GÄVLEBORGS LÄN</t>
        </is>
      </c>
      <c r="E6870" t="inlineStr">
        <is>
          <t>HUDIKSVALL</t>
        </is>
      </c>
      <c r="F6870" t="inlineStr">
        <is>
          <t>Holmen skog AB</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9191-2023</t>
        </is>
      </c>
      <c r="B6871" s="1" t="n">
        <v>44980</v>
      </c>
      <c r="C6871" s="1" t="n">
        <v>45344</v>
      </c>
      <c r="D6871" t="inlineStr">
        <is>
          <t>GÄVLEBORGS LÄN</t>
        </is>
      </c>
      <c r="E6871" t="inlineStr">
        <is>
          <t>NORDANSTIG</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9244-2023</t>
        </is>
      </c>
      <c r="B6872" s="1" t="n">
        <v>44980</v>
      </c>
      <c r="C6872" s="1" t="n">
        <v>45344</v>
      </c>
      <c r="D6872" t="inlineStr">
        <is>
          <t>GÄVLEBORGS LÄN</t>
        </is>
      </c>
      <c r="E6872" t="inlineStr">
        <is>
          <t>NORDANSTIG</t>
        </is>
      </c>
      <c r="F6872" t="inlineStr">
        <is>
          <t>Holmen skog AB</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10192-2023</t>
        </is>
      </c>
      <c r="B6873" s="1" t="n">
        <v>44980</v>
      </c>
      <c r="C6873" s="1" t="n">
        <v>45344</v>
      </c>
      <c r="D6873" t="inlineStr">
        <is>
          <t>GÄVLEBORGS LÄN</t>
        </is>
      </c>
      <c r="E6873" t="inlineStr">
        <is>
          <t>LJUSDAL</t>
        </is>
      </c>
      <c r="F6873" t="inlineStr">
        <is>
          <t>Allmännings- och besparingsskogar</t>
        </is>
      </c>
      <c r="G6873" t="n">
        <v>24.3</v>
      </c>
      <c r="H6873" t="n">
        <v>0</v>
      </c>
      <c r="I6873" t="n">
        <v>0</v>
      </c>
      <c r="J6873" t="n">
        <v>0</v>
      </c>
      <c r="K6873" t="n">
        <v>0</v>
      </c>
      <c r="L6873" t="n">
        <v>0</v>
      </c>
      <c r="M6873" t="n">
        <v>0</v>
      </c>
      <c r="N6873" t="n">
        <v>0</v>
      </c>
      <c r="O6873" t="n">
        <v>0</v>
      </c>
      <c r="P6873" t="n">
        <v>0</v>
      </c>
      <c r="Q6873" t="n">
        <v>0</v>
      </c>
      <c r="R6873" s="2" t="inlineStr"/>
    </row>
    <row r="6874" ht="15" customHeight="1">
      <c r="A6874" t="inlineStr">
        <is>
          <t>A 9597-2023</t>
        </is>
      </c>
      <c r="B6874" s="1" t="n">
        <v>44983</v>
      </c>
      <c r="C6874" s="1" t="n">
        <v>45344</v>
      </c>
      <c r="D6874" t="inlineStr">
        <is>
          <t>GÄVLEBORGS LÄN</t>
        </is>
      </c>
      <c r="E6874" t="inlineStr">
        <is>
          <t>SÖDERHAMN</t>
        </is>
      </c>
      <c r="G6874" t="n">
        <v>13.4</v>
      </c>
      <c r="H6874" t="n">
        <v>0</v>
      </c>
      <c r="I6874" t="n">
        <v>0</v>
      </c>
      <c r="J6874" t="n">
        <v>0</v>
      </c>
      <c r="K6874" t="n">
        <v>0</v>
      </c>
      <c r="L6874" t="n">
        <v>0</v>
      </c>
      <c r="M6874" t="n">
        <v>0</v>
      </c>
      <c r="N6874" t="n">
        <v>0</v>
      </c>
      <c r="O6874" t="n">
        <v>0</v>
      </c>
      <c r="P6874" t="n">
        <v>0</v>
      </c>
      <c r="Q6874" t="n">
        <v>0</v>
      </c>
      <c r="R6874" s="2" t="inlineStr"/>
    </row>
    <row r="6875" ht="15" customHeight="1">
      <c r="A6875" t="inlineStr">
        <is>
          <t>A 9590-2023</t>
        </is>
      </c>
      <c r="B6875" s="1" t="n">
        <v>44983</v>
      </c>
      <c r="C6875" s="1" t="n">
        <v>45344</v>
      </c>
      <c r="D6875" t="inlineStr">
        <is>
          <t>GÄVLEBORGS LÄN</t>
        </is>
      </c>
      <c r="E6875" t="inlineStr">
        <is>
          <t>SÖDERHAMN</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9742-2023</t>
        </is>
      </c>
      <c r="B6876" s="1" t="n">
        <v>44984</v>
      </c>
      <c r="C6876" s="1" t="n">
        <v>45344</v>
      </c>
      <c r="D6876" t="inlineStr">
        <is>
          <t>GÄVLEBORGS LÄN</t>
        </is>
      </c>
      <c r="E6876" t="inlineStr">
        <is>
          <t>BOLLNÄS</t>
        </is>
      </c>
      <c r="G6876" t="n">
        <v>0.9</v>
      </c>
      <c r="H6876" t="n">
        <v>0</v>
      </c>
      <c r="I6876" t="n">
        <v>0</v>
      </c>
      <c r="J6876" t="n">
        <v>0</v>
      </c>
      <c r="K6876" t="n">
        <v>0</v>
      </c>
      <c r="L6876" t="n">
        <v>0</v>
      </c>
      <c r="M6876" t="n">
        <v>0</v>
      </c>
      <c r="N6876" t="n">
        <v>0</v>
      </c>
      <c r="O6876" t="n">
        <v>0</v>
      </c>
      <c r="P6876" t="n">
        <v>0</v>
      </c>
      <c r="Q6876" t="n">
        <v>0</v>
      </c>
      <c r="R6876" s="2" t="inlineStr"/>
    </row>
    <row r="6877" ht="15" customHeight="1">
      <c r="A6877" t="inlineStr">
        <is>
          <t>A 9946-2023</t>
        </is>
      </c>
      <c r="B6877" s="1" t="n">
        <v>44985</v>
      </c>
      <c r="C6877" s="1" t="n">
        <v>45344</v>
      </c>
      <c r="D6877" t="inlineStr">
        <is>
          <t>GÄVLEBORGS LÄN</t>
        </is>
      </c>
      <c r="E6877" t="inlineStr">
        <is>
          <t>LJUSDAL</t>
        </is>
      </c>
      <c r="F6877" t="inlineStr">
        <is>
          <t>Bergvik skog väst AB</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9883-2023</t>
        </is>
      </c>
      <c r="B6878" s="1" t="n">
        <v>44985</v>
      </c>
      <c r="C6878" s="1" t="n">
        <v>45344</v>
      </c>
      <c r="D6878" t="inlineStr">
        <is>
          <t>GÄVLEBORGS LÄN</t>
        </is>
      </c>
      <c r="E6878" t="inlineStr">
        <is>
          <t>GÄVLE</t>
        </is>
      </c>
      <c r="G6878" t="n">
        <v>11.7</v>
      </c>
      <c r="H6878" t="n">
        <v>0</v>
      </c>
      <c r="I6878" t="n">
        <v>0</v>
      </c>
      <c r="J6878" t="n">
        <v>0</v>
      </c>
      <c r="K6878" t="n">
        <v>0</v>
      </c>
      <c r="L6878" t="n">
        <v>0</v>
      </c>
      <c r="M6878" t="n">
        <v>0</v>
      </c>
      <c r="N6878" t="n">
        <v>0</v>
      </c>
      <c r="O6878" t="n">
        <v>0</v>
      </c>
      <c r="P6878" t="n">
        <v>0</v>
      </c>
      <c r="Q6878" t="n">
        <v>0</v>
      </c>
      <c r="R6878" s="2" t="inlineStr"/>
    </row>
    <row r="6879" ht="15" customHeight="1">
      <c r="A6879" t="inlineStr">
        <is>
          <t>A 9926-2023</t>
        </is>
      </c>
      <c r="B6879" s="1" t="n">
        <v>44985</v>
      </c>
      <c r="C6879" s="1" t="n">
        <v>45344</v>
      </c>
      <c r="D6879" t="inlineStr">
        <is>
          <t>GÄVLEBORGS LÄN</t>
        </is>
      </c>
      <c r="E6879" t="inlineStr">
        <is>
          <t>LJUSDAL</t>
        </is>
      </c>
      <c r="F6879" t="inlineStr">
        <is>
          <t>Bergvik skog väst AB</t>
        </is>
      </c>
      <c r="G6879" t="n">
        <v>17.5</v>
      </c>
      <c r="H6879" t="n">
        <v>0</v>
      </c>
      <c r="I6879" t="n">
        <v>0</v>
      </c>
      <c r="J6879" t="n">
        <v>0</v>
      </c>
      <c r="K6879" t="n">
        <v>0</v>
      </c>
      <c r="L6879" t="n">
        <v>0</v>
      </c>
      <c r="M6879" t="n">
        <v>0</v>
      </c>
      <c r="N6879" t="n">
        <v>0</v>
      </c>
      <c r="O6879" t="n">
        <v>0</v>
      </c>
      <c r="P6879" t="n">
        <v>0</v>
      </c>
      <c r="Q6879" t="n">
        <v>0</v>
      </c>
      <c r="R6879" s="2" t="inlineStr"/>
    </row>
    <row r="6880" ht="15" customHeight="1">
      <c r="A6880" t="inlineStr">
        <is>
          <t>A 9884-2023</t>
        </is>
      </c>
      <c r="B6880" s="1" t="n">
        <v>44985</v>
      </c>
      <c r="C6880" s="1" t="n">
        <v>45344</v>
      </c>
      <c r="D6880" t="inlineStr">
        <is>
          <t>GÄVLEBORGS LÄN</t>
        </is>
      </c>
      <c r="E6880" t="inlineStr">
        <is>
          <t>NORDANSTIG</t>
        </is>
      </c>
      <c r="F6880" t="inlineStr">
        <is>
          <t>Holmen skog AB</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9888-2023</t>
        </is>
      </c>
      <c r="B6881" s="1" t="n">
        <v>44985</v>
      </c>
      <c r="C6881" s="1" t="n">
        <v>45344</v>
      </c>
      <c r="D6881" t="inlineStr">
        <is>
          <t>GÄVLEBORGS LÄN</t>
        </is>
      </c>
      <c r="E6881" t="inlineStr">
        <is>
          <t>NORDANSTIG</t>
        </is>
      </c>
      <c r="F6881" t="inlineStr">
        <is>
          <t>Holmen skog AB</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9991-2023</t>
        </is>
      </c>
      <c r="B6882" s="1" t="n">
        <v>44985</v>
      </c>
      <c r="C6882" s="1" t="n">
        <v>45344</v>
      </c>
      <c r="D6882" t="inlineStr">
        <is>
          <t>GÄVLEBORGS LÄN</t>
        </is>
      </c>
      <c r="E6882" t="inlineStr">
        <is>
          <t>NORDANSTIG</t>
        </is>
      </c>
      <c r="F6882" t="inlineStr">
        <is>
          <t>Holmen skog AB</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10038-2023</t>
        </is>
      </c>
      <c r="B6883" s="1" t="n">
        <v>44985</v>
      </c>
      <c r="C6883" s="1" t="n">
        <v>45344</v>
      </c>
      <c r="D6883" t="inlineStr">
        <is>
          <t>GÄVLEBORGS LÄN</t>
        </is>
      </c>
      <c r="E6883" t="inlineStr">
        <is>
          <t>LJUSDAL</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10018-2023</t>
        </is>
      </c>
      <c r="B6884" s="1" t="n">
        <v>44985</v>
      </c>
      <c r="C6884" s="1" t="n">
        <v>45344</v>
      </c>
      <c r="D6884" t="inlineStr">
        <is>
          <t>GÄVLEBORGS LÄN</t>
        </is>
      </c>
      <c r="E6884" t="inlineStr">
        <is>
          <t>GÄVLE</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10041-2023</t>
        </is>
      </c>
      <c r="B6885" s="1" t="n">
        <v>44985</v>
      </c>
      <c r="C6885" s="1" t="n">
        <v>45344</v>
      </c>
      <c r="D6885" t="inlineStr">
        <is>
          <t>GÄVLEBORGS LÄN</t>
        </is>
      </c>
      <c r="E6885" t="inlineStr">
        <is>
          <t>OVANÅKER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9937-2023</t>
        </is>
      </c>
      <c r="B6886" s="1" t="n">
        <v>44985</v>
      </c>
      <c r="C6886" s="1" t="n">
        <v>45344</v>
      </c>
      <c r="D6886" t="inlineStr">
        <is>
          <t>GÄVLEBORGS LÄN</t>
        </is>
      </c>
      <c r="E6886" t="inlineStr">
        <is>
          <t>LJUSDAL</t>
        </is>
      </c>
      <c r="F6886" t="inlineStr">
        <is>
          <t>Bergvik skog väst AB</t>
        </is>
      </c>
      <c r="G6886" t="n">
        <v>4.9</v>
      </c>
      <c r="H6886" t="n">
        <v>0</v>
      </c>
      <c r="I6886" t="n">
        <v>0</v>
      </c>
      <c r="J6886" t="n">
        <v>0</v>
      </c>
      <c r="K6886" t="n">
        <v>0</v>
      </c>
      <c r="L6886" t="n">
        <v>0</v>
      </c>
      <c r="M6886" t="n">
        <v>0</v>
      </c>
      <c r="N6886" t="n">
        <v>0</v>
      </c>
      <c r="O6886" t="n">
        <v>0</v>
      </c>
      <c r="P6886" t="n">
        <v>0</v>
      </c>
      <c r="Q6886" t="n">
        <v>0</v>
      </c>
      <c r="R6886" s="2" t="inlineStr"/>
    </row>
    <row r="6887" ht="15" customHeight="1">
      <c r="A6887" t="inlineStr">
        <is>
          <t>A 9981-2023</t>
        </is>
      </c>
      <c r="B6887" s="1" t="n">
        <v>44985</v>
      </c>
      <c r="C6887" s="1" t="n">
        <v>45344</v>
      </c>
      <c r="D6887" t="inlineStr">
        <is>
          <t>GÄVLEBORGS LÄN</t>
        </is>
      </c>
      <c r="E6887" t="inlineStr">
        <is>
          <t>LJUSDAL</t>
        </is>
      </c>
      <c r="F6887" t="inlineStr">
        <is>
          <t>Bergvik skog väst AB</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9999-2023</t>
        </is>
      </c>
      <c r="B6888" s="1" t="n">
        <v>44985</v>
      </c>
      <c r="C6888" s="1" t="n">
        <v>45344</v>
      </c>
      <c r="D6888" t="inlineStr">
        <is>
          <t>GÄVLEBORGS LÄN</t>
        </is>
      </c>
      <c r="E6888" t="inlineStr">
        <is>
          <t>LJUSDAL</t>
        </is>
      </c>
      <c r="F6888" t="inlineStr">
        <is>
          <t>Bergvik skog väst AB</t>
        </is>
      </c>
      <c r="G6888" t="n">
        <v>13.7</v>
      </c>
      <c r="H6888" t="n">
        <v>0</v>
      </c>
      <c r="I6888" t="n">
        <v>0</v>
      </c>
      <c r="J6888" t="n">
        <v>0</v>
      </c>
      <c r="K6888" t="n">
        <v>0</v>
      </c>
      <c r="L6888" t="n">
        <v>0</v>
      </c>
      <c r="M6888" t="n">
        <v>0</v>
      </c>
      <c r="N6888" t="n">
        <v>0</v>
      </c>
      <c r="O6888" t="n">
        <v>0</v>
      </c>
      <c r="P6888" t="n">
        <v>0</v>
      </c>
      <c r="Q6888" t="n">
        <v>0</v>
      </c>
      <c r="R6888" s="2" t="inlineStr"/>
    </row>
    <row r="6889" ht="15" customHeight="1">
      <c r="A6889" t="inlineStr">
        <is>
          <t>A 10026-2023</t>
        </is>
      </c>
      <c r="B6889" s="1" t="n">
        <v>44985</v>
      </c>
      <c r="C6889" s="1" t="n">
        <v>45344</v>
      </c>
      <c r="D6889" t="inlineStr">
        <is>
          <t>GÄVLEBORGS LÄN</t>
        </is>
      </c>
      <c r="E6889" t="inlineStr">
        <is>
          <t>LJUSDAL</t>
        </is>
      </c>
      <c r="F6889" t="inlineStr">
        <is>
          <t>Holmen skog AB</t>
        </is>
      </c>
      <c r="G6889" t="n">
        <v>6.8</v>
      </c>
      <c r="H6889" t="n">
        <v>0</v>
      </c>
      <c r="I6889" t="n">
        <v>0</v>
      </c>
      <c r="J6889" t="n">
        <v>0</v>
      </c>
      <c r="K6889" t="n">
        <v>0</v>
      </c>
      <c r="L6889" t="n">
        <v>0</v>
      </c>
      <c r="M6889" t="n">
        <v>0</v>
      </c>
      <c r="N6889" t="n">
        <v>0</v>
      </c>
      <c r="O6889" t="n">
        <v>0</v>
      </c>
      <c r="P6889" t="n">
        <v>0</v>
      </c>
      <c r="Q6889" t="n">
        <v>0</v>
      </c>
      <c r="R6889" s="2" t="inlineStr"/>
    </row>
    <row r="6890" ht="15" customHeight="1">
      <c r="A6890" t="inlineStr">
        <is>
          <t>A 10150-2023</t>
        </is>
      </c>
      <c r="B6890" s="1" t="n">
        <v>44986</v>
      </c>
      <c r="C6890" s="1" t="n">
        <v>45344</v>
      </c>
      <c r="D6890" t="inlineStr">
        <is>
          <t>GÄVLEBORGS LÄN</t>
        </is>
      </c>
      <c r="E6890" t="inlineStr">
        <is>
          <t>OCKELBO</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10165-2023</t>
        </is>
      </c>
      <c r="B6891" s="1" t="n">
        <v>44986</v>
      </c>
      <c r="C6891" s="1" t="n">
        <v>45344</v>
      </c>
      <c r="D6891" t="inlineStr">
        <is>
          <t>GÄVLEBORGS LÄN</t>
        </is>
      </c>
      <c r="E6891" t="inlineStr">
        <is>
          <t>GÄVLE</t>
        </is>
      </c>
      <c r="F6891" t="inlineStr">
        <is>
          <t>Kyrkan</t>
        </is>
      </c>
      <c r="G6891" t="n">
        <v>2.5</v>
      </c>
      <c r="H6891" t="n">
        <v>0</v>
      </c>
      <c r="I6891" t="n">
        <v>0</v>
      </c>
      <c r="J6891" t="n">
        <v>0</v>
      </c>
      <c r="K6891" t="n">
        <v>0</v>
      </c>
      <c r="L6891" t="n">
        <v>0</v>
      </c>
      <c r="M6891" t="n">
        <v>0</v>
      </c>
      <c r="N6891" t="n">
        <v>0</v>
      </c>
      <c r="O6891" t="n">
        <v>0</v>
      </c>
      <c r="P6891" t="n">
        <v>0</v>
      </c>
      <c r="Q6891" t="n">
        <v>0</v>
      </c>
      <c r="R6891" s="2" t="inlineStr"/>
    </row>
    <row r="6892" ht="15" customHeight="1">
      <c r="A6892" t="inlineStr">
        <is>
          <t>A 10193-2023</t>
        </is>
      </c>
      <c r="B6892" s="1" t="n">
        <v>44986</v>
      </c>
      <c r="C6892" s="1" t="n">
        <v>45344</v>
      </c>
      <c r="D6892" t="inlineStr">
        <is>
          <t>GÄVLEBORGS LÄN</t>
        </is>
      </c>
      <c r="E6892" t="inlineStr">
        <is>
          <t>HUDIKSVALL</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10161-2023</t>
        </is>
      </c>
      <c r="B6893" s="1" t="n">
        <v>44986</v>
      </c>
      <c r="C6893" s="1" t="n">
        <v>45344</v>
      </c>
      <c r="D6893" t="inlineStr">
        <is>
          <t>GÄVLEBORGS LÄN</t>
        </is>
      </c>
      <c r="E6893" t="inlineStr">
        <is>
          <t>HOFORS</t>
        </is>
      </c>
      <c r="F6893" t="inlineStr">
        <is>
          <t>Övriga statliga verk och myndigheter</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10179-2023</t>
        </is>
      </c>
      <c r="B6894" s="1" t="n">
        <v>44986</v>
      </c>
      <c r="C6894" s="1" t="n">
        <v>45344</v>
      </c>
      <c r="D6894" t="inlineStr">
        <is>
          <t>GÄVLEBORGS LÄN</t>
        </is>
      </c>
      <c r="E6894" t="inlineStr">
        <is>
          <t>OVANÅKER</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10137-2023</t>
        </is>
      </c>
      <c r="B6895" s="1" t="n">
        <v>44986</v>
      </c>
      <c r="C6895" s="1" t="n">
        <v>45344</v>
      </c>
      <c r="D6895" t="inlineStr">
        <is>
          <t>GÄVLEBORGS LÄN</t>
        </is>
      </c>
      <c r="E6895" t="inlineStr">
        <is>
          <t>OVANÅKER</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10157-2023</t>
        </is>
      </c>
      <c r="B6896" s="1" t="n">
        <v>44986</v>
      </c>
      <c r="C6896" s="1" t="n">
        <v>45344</v>
      </c>
      <c r="D6896" t="inlineStr">
        <is>
          <t>GÄVLEBORGS LÄN</t>
        </is>
      </c>
      <c r="E6896" t="inlineStr">
        <is>
          <t>LJUSDAL</t>
        </is>
      </c>
      <c r="F6896" t="inlineStr">
        <is>
          <t>Bergvik skog väst AB</t>
        </is>
      </c>
      <c r="G6896" t="n">
        <v>16.3</v>
      </c>
      <c r="H6896" t="n">
        <v>0</v>
      </c>
      <c r="I6896" t="n">
        <v>0</v>
      </c>
      <c r="J6896" t="n">
        <v>0</v>
      </c>
      <c r="K6896" t="n">
        <v>0</v>
      </c>
      <c r="L6896" t="n">
        <v>0</v>
      </c>
      <c r="M6896" t="n">
        <v>0</v>
      </c>
      <c r="N6896" t="n">
        <v>0</v>
      </c>
      <c r="O6896" t="n">
        <v>0</v>
      </c>
      <c r="P6896" t="n">
        <v>0</v>
      </c>
      <c r="Q6896" t="n">
        <v>0</v>
      </c>
      <c r="R6896" s="2" t="inlineStr"/>
    </row>
    <row r="6897" ht="15" customHeight="1">
      <c r="A6897" t="inlineStr">
        <is>
          <t>A 10176-2023</t>
        </is>
      </c>
      <c r="B6897" s="1" t="n">
        <v>44986</v>
      </c>
      <c r="C6897" s="1" t="n">
        <v>45344</v>
      </c>
      <c r="D6897" t="inlineStr">
        <is>
          <t>GÄVLEBORGS LÄN</t>
        </is>
      </c>
      <c r="E6897" t="inlineStr">
        <is>
          <t>LJUSDAL</t>
        </is>
      </c>
      <c r="F6897" t="inlineStr">
        <is>
          <t>Bergvik skog väst AB</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10190-2023</t>
        </is>
      </c>
      <c r="B6898" s="1" t="n">
        <v>44986</v>
      </c>
      <c r="C6898" s="1" t="n">
        <v>45344</v>
      </c>
      <c r="D6898" t="inlineStr">
        <is>
          <t>GÄVLEBORGS LÄN</t>
        </is>
      </c>
      <c r="E6898" t="inlineStr">
        <is>
          <t>HUDIKSVALL</t>
        </is>
      </c>
      <c r="G6898" t="n">
        <v>2.2</v>
      </c>
      <c r="H6898" t="n">
        <v>0</v>
      </c>
      <c r="I6898" t="n">
        <v>0</v>
      </c>
      <c r="J6898" t="n">
        <v>0</v>
      </c>
      <c r="K6898" t="n">
        <v>0</v>
      </c>
      <c r="L6898" t="n">
        <v>0</v>
      </c>
      <c r="M6898" t="n">
        <v>0</v>
      </c>
      <c r="N6898" t="n">
        <v>0</v>
      </c>
      <c r="O6898" t="n">
        <v>0</v>
      </c>
      <c r="P6898" t="n">
        <v>0</v>
      </c>
      <c r="Q6898" t="n">
        <v>0</v>
      </c>
      <c r="R6898" s="2" t="inlineStr"/>
    </row>
    <row r="6899" ht="15" customHeight="1">
      <c r="A6899" t="inlineStr">
        <is>
          <t>A 10197-2023</t>
        </is>
      </c>
      <c r="B6899" s="1" t="n">
        <v>44986</v>
      </c>
      <c r="C6899" s="1" t="n">
        <v>45344</v>
      </c>
      <c r="D6899" t="inlineStr">
        <is>
          <t>GÄVLEBORGS LÄN</t>
        </is>
      </c>
      <c r="E6899" t="inlineStr">
        <is>
          <t>LJUSDAL</t>
        </is>
      </c>
      <c r="F6899" t="inlineStr">
        <is>
          <t>Bergvik skog väst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10163-2023</t>
        </is>
      </c>
      <c r="B6900" s="1" t="n">
        <v>44986</v>
      </c>
      <c r="C6900" s="1" t="n">
        <v>45344</v>
      </c>
      <c r="D6900" t="inlineStr">
        <is>
          <t>GÄVLEBORGS LÄN</t>
        </is>
      </c>
      <c r="E6900" t="inlineStr">
        <is>
          <t>LJUSDAL</t>
        </is>
      </c>
      <c r="F6900" t="inlineStr">
        <is>
          <t>Bergvik skog väst AB</t>
        </is>
      </c>
      <c r="G6900" t="n">
        <v>9.699999999999999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10186-2023</t>
        </is>
      </c>
      <c r="B6901" s="1" t="n">
        <v>44986</v>
      </c>
      <c r="C6901" s="1" t="n">
        <v>45344</v>
      </c>
      <c r="D6901" t="inlineStr">
        <is>
          <t>GÄVLEBORGS LÄN</t>
        </is>
      </c>
      <c r="E6901" t="inlineStr">
        <is>
          <t>LJUSDAL</t>
        </is>
      </c>
      <c r="G6901" t="n">
        <v>2.4</v>
      </c>
      <c r="H6901" t="n">
        <v>0</v>
      </c>
      <c r="I6901" t="n">
        <v>0</v>
      </c>
      <c r="J6901" t="n">
        <v>0</v>
      </c>
      <c r="K6901" t="n">
        <v>0</v>
      </c>
      <c r="L6901" t="n">
        <v>0</v>
      </c>
      <c r="M6901" t="n">
        <v>0</v>
      </c>
      <c r="N6901" t="n">
        <v>0</v>
      </c>
      <c r="O6901" t="n">
        <v>0</v>
      </c>
      <c r="P6901" t="n">
        <v>0</v>
      </c>
      <c r="Q6901" t="n">
        <v>0</v>
      </c>
      <c r="R6901" s="2" t="inlineStr"/>
    </row>
    <row r="6902" ht="15" customHeight="1">
      <c r="A6902" t="inlineStr">
        <is>
          <t>A 10195-2023</t>
        </is>
      </c>
      <c r="B6902" s="1" t="n">
        <v>44986</v>
      </c>
      <c r="C6902" s="1" t="n">
        <v>45344</v>
      </c>
      <c r="D6902" t="inlineStr">
        <is>
          <t>GÄVLEBORGS LÄN</t>
        </is>
      </c>
      <c r="E6902" t="inlineStr">
        <is>
          <t>HUDIKSVALL</t>
        </is>
      </c>
      <c r="G6902" t="n">
        <v>6</v>
      </c>
      <c r="H6902" t="n">
        <v>0</v>
      </c>
      <c r="I6902" t="n">
        <v>0</v>
      </c>
      <c r="J6902" t="n">
        <v>0</v>
      </c>
      <c r="K6902" t="n">
        <v>0</v>
      </c>
      <c r="L6902" t="n">
        <v>0</v>
      </c>
      <c r="M6902" t="n">
        <v>0</v>
      </c>
      <c r="N6902" t="n">
        <v>0</v>
      </c>
      <c r="O6902" t="n">
        <v>0</v>
      </c>
      <c r="P6902" t="n">
        <v>0</v>
      </c>
      <c r="Q6902" t="n">
        <v>0</v>
      </c>
      <c r="R6902" s="2" t="inlineStr"/>
    </row>
    <row r="6903" ht="15" customHeight="1">
      <c r="A6903" t="inlineStr">
        <is>
          <t>A 10213-2023</t>
        </is>
      </c>
      <c r="B6903" s="1" t="n">
        <v>44986</v>
      </c>
      <c r="C6903" s="1" t="n">
        <v>45344</v>
      </c>
      <c r="D6903" t="inlineStr">
        <is>
          <t>GÄVLEBORGS LÄN</t>
        </is>
      </c>
      <c r="E6903" t="inlineStr">
        <is>
          <t>LJUSDAL</t>
        </is>
      </c>
      <c r="F6903" t="inlineStr">
        <is>
          <t>Bergvik skog väst AB</t>
        </is>
      </c>
      <c r="G6903" t="n">
        <v>4.3</v>
      </c>
      <c r="H6903" t="n">
        <v>0</v>
      </c>
      <c r="I6903" t="n">
        <v>0</v>
      </c>
      <c r="J6903" t="n">
        <v>0</v>
      </c>
      <c r="K6903" t="n">
        <v>0</v>
      </c>
      <c r="L6903" t="n">
        <v>0</v>
      </c>
      <c r="M6903" t="n">
        <v>0</v>
      </c>
      <c r="N6903" t="n">
        <v>0</v>
      </c>
      <c r="O6903" t="n">
        <v>0</v>
      </c>
      <c r="P6903" t="n">
        <v>0</v>
      </c>
      <c r="Q6903" t="n">
        <v>0</v>
      </c>
      <c r="R6903" s="2" t="inlineStr"/>
    </row>
    <row r="6904" ht="15" customHeight="1">
      <c r="A6904" t="inlineStr">
        <is>
          <t>A 10253-2023</t>
        </is>
      </c>
      <c r="B6904" s="1" t="n">
        <v>44986</v>
      </c>
      <c r="C6904" s="1" t="n">
        <v>45344</v>
      </c>
      <c r="D6904" t="inlineStr">
        <is>
          <t>GÄVLEBORGS LÄN</t>
        </is>
      </c>
      <c r="E6904" t="inlineStr">
        <is>
          <t>OVANÅKER</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10375-2023</t>
        </is>
      </c>
      <c r="B6905" s="1" t="n">
        <v>44987</v>
      </c>
      <c r="C6905" s="1" t="n">
        <v>45344</v>
      </c>
      <c r="D6905" t="inlineStr">
        <is>
          <t>GÄVLEBORGS LÄN</t>
        </is>
      </c>
      <c r="E6905" t="inlineStr">
        <is>
          <t>HUDIKSVALL</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10325-2023</t>
        </is>
      </c>
      <c r="B6906" s="1" t="n">
        <v>44987</v>
      </c>
      <c r="C6906" s="1" t="n">
        <v>45344</v>
      </c>
      <c r="D6906" t="inlineStr">
        <is>
          <t>GÄVLEBORGS LÄN</t>
        </is>
      </c>
      <c r="E6906" t="inlineStr">
        <is>
          <t>OCKELBO</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10484-2023</t>
        </is>
      </c>
      <c r="B6907" s="1" t="n">
        <v>44987</v>
      </c>
      <c r="C6907" s="1" t="n">
        <v>45344</v>
      </c>
      <c r="D6907" t="inlineStr">
        <is>
          <t>GÄVLEBORGS LÄN</t>
        </is>
      </c>
      <c r="E6907" t="inlineStr">
        <is>
          <t>NORDANSTIG</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10332-2023</t>
        </is>
      </c>
      <c r="B6908" s="1" t="n">
        <v>44987</v>
      </c>
      <c r="C6908" s="1" t="n">
        <v>45344</v>
      </c>
      <c r="D6908" t="inlineStr">
        <is>
          <t>GÄVLEBORGS LÄN</t>
        </is>
      </c>
      <c r="E6908" t="inlineStr">
        <is>
          <t>HUDIKSVALL</t>
        </is>
      </c>
      <c r="F6908" t="inlineStr">
        <is>
          <t>Holmen skog AB</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10326-2023</t>
        </is>
      </c>
      <c r="B6909" s="1" t="n">
        <v>44987</v>
      </c>
      <c r="C6909" s="1" t="n">
        <v>45344</v>
      </c>
      <c r="D6909" t="inlineStr">
        <is>
          <t>GÄVLEBORGS LÄN</t>
        </is>
      </c>
      <c r="E6909" t="inlineStr">
        <is>
          <t>OCKELBO</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10470-2023</t>
        </is>
      </c>
      <c r="B6910" s="1" t="n">
        <v>44987</v>
      </c>
      <c r="C6910" s="1" t="n">
        <v>45344</v>
      </c>
      <c r="D6910" t="inlineStr">
        <is>
          <t>GÄVLEBORGS LÄN</t>
        </is>
      </c>
      <c r="E6910" t="inlineStr">
        <is>
          <t>LJUSDAL</t>
        </is>
      </c>
      <c r="F6910" t="inlineStr">
        <is>
          <t>Sveaskog</t>
        </is>
      </c>
      <c r="G6910" t="n">
        <v>16.2</v>
      </c>
      <c r="H6910" t="n">
        <v>0</v>
      </c>
      <c r="I6910" t="n">
        <v>0</v>
      </c>
      <c r="J6910" t="n">
        <v>0</v>
      </c>
      <c r="K6910" t="n">
        <v>0</v>
      </c>
      <c r="L6910" t="n">
        <v>0</v>
      </c>
      <c r="M6910" t="n">
        <v>0</v>
      </c>
      <c r="N6910" t="n">
        <v>0</v>
      </c>
      <c r="O6910" t="n">
        <v>0</v>
      </c>
      <c r="P6910" t="n">
        <v>0</v>
      </c>
      <c r="Q6910" t="n">
        <v>0</v>
      </c>
      <c r="R6910" s="2" t="inlineStr"/>
    </row>
    <row r="6911" ht="15" customHeight="1">
      <c r="A6911" t="inlineStr">
        <is>
          <t>A 10577-2023</t>
        </is>
      </c>
      <c r="B6911" s="1" t="n">
        <v>44988</v>
      </c>
      <c r="C6911" s="1" t="n">
        <v>45344</v>
      </c>
      <c r="D6911" t="inlineStr">
        <is>
          <t>GÄVLEBORGS LÄN</t>
        </is>
      </c>
      <c r="E6911" t="inlineStr">
        <is>
          <t>GÄVLE</t>
        </is>
      </c>
      <c r="F6911" t="inlineStr">
        <is>
          <t>Kyrkan</t>
        </is>
      </c>
      <c r="G6911" t="n">
        <v>3.6</v>
      </c>
      <c r="H6911" t="n">
        <v>0</v>
      </c>
      <c r="I6911" t="n">
        <v>0</v>
      </c>
      <c r="J6911" t="n">
        <v>0</v>
      </c>
      <c r="K6911" t="n">
        <v>0</v>
      </c>
      <c r="L6911" t="n">
        <v>0</v>
      </c>
      <c r="M6911" t="n">
        <v>0</v>
      </c>
      <c r="N6911" t="n">
        <v>0</v>
      </c>
      <c r="O6911" t="n">
        <v>0</v>
      </c>
      <c r="P6911" t="n">
        <v>0</v>
      </c>
      <c r="Q6911" t="n">
        <v>0</v>
      </c>
      <c r="R6911" s="2" t="inlineStr"/>
    </row>
    <row r="6912" ht="15" customHeight="1">
      <c r="A6912" t="inlineStr">
        <is>
          <t>A 11375-2023</t>
        </is>
      </c>
      <c r="B6912" s="1" t="n">
        <v>44988</v>
      </c>
      <c r="C6912" s="1" t="n">
        <v>45344</v>
      </c>
      <c r="D6912" t="inlineStr">
        <is>
          <t>GÄVLEBORGS LÄN</t>
        </is>
      </c>
      <c r="E6912" t="inlineStr">
        <is>
          <t>SANDVIKEN</t>
        </is>
      </c>
      <c r="G6912" t="n">
        <v>10.2</v>
      </c>
      <c r="H6912" t="n">
        <v>0</v>
      </c>
      <c r="I6912" t="n">
        <v>0</v>
      </c>
      <c r="J6912" t="n">
        <v>0</v>
      </c>
      <c r="K6912" t="n">
        <v>0</v>
      </c>
      <c r="L6912" t="n">
        <v>0</v>
      </c>
      <c r="M6912" t="n">
        <v>0</v>
      </c>
      <c r="N6912" t="n">
        <v>0</v>
      </c>
      <c r="O6912" t="n">
        <v>0</v>
      </c>
      <c r="P6912" t="n">
        <v>0</v>
      </c>
      <c r="Q6912" t="n">
        <v>0</v>
      </c>
      <c r="R6912" s="2" t="inlineStr"/>
    </row>
    <row r="6913" ht="15" customHeight="1">
      <c r="A6913" t="inlineStr">
        <is>
          <t>A 11393-2023</t>
        </is>
      </c>
      <c r="B6913" s="1" t="n">
        <v>44988</v>
      </c>
      <c r="C6913" s="1" t="n">
        <v>45344</v>
      </c>
      <c r="D6913" t="inlineStr">
        <is>
          <t>GÄVLEBORGS LÄN</t>
        </is>
      </c>
      <c r="E6913" t="inlineStr">
        <is>
          <t>SANDVIKEN</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11406-2023</t>
        </is>
      </c>
      <c r="B6914" s="1" t="n">
        <v>44988</v>
      </c>
      <c r="C6914" s="1" t="n">
        <v>45344</v>
      </c>
      <c r="D6914" t="inlineStr">
        <is>
          <t>GÄVLEBORGS LÄN</t>
        </is>
      </c>
      <c r="E6914" t="inlineStr">
        <is>
          <t>SANDVIKEN</t>
        </is>
      </c>
      <c r="G6914" t="n">
        <v>4.4</v>
      </c>
      <c r="H6914" t="n">
        <v>0</v>
      </c>
      <c r="I6914" t="n">
        <v>0</v>
      </c>
      <c r="J6914" t="n">
        <v>0</v>
      </c>
      <c r="K6914" t="n">
        <v>0</v>
      </c>
      <c r="L6914" t="n">
        <v>0</v>
      </c>
      <c r="M6914" t="n">
        <v>0</v>
      </c>
      <c r="N6914" t="n">
        <v>0</v>
      </c>
      <c r="O6914" t="n">
        <v>0</v>
      </c>
      <c r="P6914" t="n">
        <v>0</v>
      </c>
      <c r="Q6914" t="n">
        <v>0</v>
      </c>
      <c r="R6914" s="2" t="inlineStr"/>
    </row>
    <row r="6915" ht="15" customHeight="1">
      <c r="A6915" t="inlineStr">
        <is>
          <t>A 11421-2023</t>
        </is>
      </c>
      <c r="B6915" s="1" t="n">
        <v>44988</v>
      </c>
      <c r="C6915" s="1" t="n">
        <v>45344</v>
      </c>
      <c r="D6915" t="inlineStr">
        <is>
          <t>GÄVLEBORGS LÄN</t>
        </is>
      </c>
      <c r="E6915" t="inlineStr">
        <is>
          <t>SANDVIKEN</t>
        </is>
      </c>
      <c r="G6915" t="n">
        <v>12.3</v>
      </c>
      <c r="H6915" t="n">
        <v>0</v>
      </c>
      <c r="I6915" t="n">
        <v>0</v>
      </c>
      <c r="J6915" t="n">
        <v>0</v>
      </c>
      <c r="K6915" t="n">
        <v>0</v>
      </c>
      <c r="L6915" t="n">
        <v>0</v>
      </c>
      <c r="M6915" t="n">
        <v>0</v>
      </c>
      <c r="N6915" t="n">
        <v>0</v>
      </c>
      <c r="O6915" t="n">
        <v>0</v>
      </c>
      <c r="P6915" t="n">
        <v>0</v>
      </c>
      <c r="Q6915" t="n">
        <v>0</v>
      </c>
      <c r="R6915" s="2" t="inlineStr"/>
    </row>
    <row r="6916" ht="15" customHeight="1">
      <c r="A6916" t="inlineStr">
        <is>
          <t>A 11419-2023</t>
        </is>
      </c>
      <c r="B6916" s="1" t="n">
        <v>44988</v>
      </c>
      <c r="C6916" s="1" t="n">
        <v>45344</v>
      </c>
      <c r="D6916" t="inlineStr">
        <is>
          <t>GÄVLEBORGS LÄN</t>
        </is>
      </c>
      <c r="E6916" t="inlineStr">
        <is>
          <t>SANDVIKEN</t>
        </is>
      </c>
      <c r="G6916" t="n">
        <v>5.5</v>
      </c>
      <c r="H6916" t="n">
        <v>0</v>
      </c>
      <c r="I6916" t="n">
        <v>0</v>
      </c>
      <c r="J6916" t="n">
        <v>0</v>
      </c>
      <c r="K6916" t="n">
        <v>0</v>
      </c>
      <c r="L6916" t="n">
        <v>0</v>
      </c>
      <c r="M6916" t="n">
        <v>0</v>
      </c>
      <c r="N6916" t="n">
        <v>0</v>
      </c>
      <c r="O6916" t="n">
        <v>0</v>
      </c>
      <c r="P6916" t="n">
        <v>0</v>
      </c>
      <c r="Q6916" t="n">
        <v>0</v>
      </c>
      <c r="R6916" s="2" t="inlineStr"/>
    </row>
    <row r="6917" ht="15" customHeight="1">
      <c r="A6917" t="inlineStr">
        <is>
          <t>A 11435-2023</t>
        </is>
      </c>
      <c r="B6917" s="1" t="n">
        <v>44988</v>
      </c>
      <c r="C6917" s="1" t="n">
        <v>45344</v>
      </c>
      <c r="D6917" t="inlineStr">
        <is>
          <t>GÄVLEBORGS LÄN</t>
        </is>
      </c>
      <c r="E6917" t="inlineStr">
        <is>
          <t>SANDVIKEN</t>
        </is>
      </c>
      <c r="G6917" t="n">
        <v>9.6</v>
      </c>
      <c r="H6917" t="n">
        <v>0</v>
      </c>
      <c r="I6917" t="n">
        <v>0</v>
      </c>
      <c r="J6917" t="n">
        <v>0</v>
      </c>
      <c r="K6917" t="n">
        <v>0</v>
      </c>
      <c r="L6917" t="n">
        <v>0</v>
      </c>
      <c r="M6917" t="n">
        <v>0</v>
      </c>
      <c r="N6917" t="n">
        <v>0</v>
      </c>
      <c r="O6917" t="n">
        <v>0</v>
      </c>
      <c r="P6917" t="n">
        <v>0</v>
      </c>
      <c r="Q6917" t="n">
        <v>0</v>
      </c>
      <c r="R6917" s="2" t="inlineStr"/>
    </row>
    <row r="6918" ht="15" customHeight="1">
      <c r="A6918" t="inlineStr">
        <is>
          <t>A 11442-2023</t>
        </is>
      </c>
      <c r="B6918" s="1" t="n">
        <v>44988</v>
      </c>
      <c r="C6918" s="1" t="n">
        <v>45344</v>
      </c>
      <c r="D6918" t="inlineStr">
        <is>
          <t>GÄVLEBORGS LÄN</t>
        </is>
      </c>
      <c r="E6918" t="inlineStr">
        <is>
          <t>SANDVIKEN</t>
        </is>
      </c>
      <c r="G6918" t="n">
        <v>5.7</v>
      </c>
      <c r="H6918" t="n">
        <v>0</v>
      </c>
      <c r="I6918" t="n">
        <v>0</v>
      </c>
      <c r="J6918" t="n">
        <v>0</v>
      </c>
      <c r="K6918" t="n">
        <v>0</v>
      </c>
      <c r="L6918" t="n">
        <v>0</v>
      </c>
      <c r="M6918" t="n">
        <v>0</v>
      </c>
      <c r="N6918" t="n">
        <v>0</v>
      </c>
      <c r="O6918" t="n">
        <v>0</v>
      </c>
      <c r="P6918" t="n">
        <v>0</v>
      </c>
      <c r="Q6918" t="n">
        <v>0</v>
      </c>
      <c r="R6918" s="2" t="inlineStr"/>
    </row>
    <row r="6919" ht="15" customHeight="1">
      <c r="A6919" t="inlineStr">
        <is>
          <t>A 11385-2023</t>
        </is>
      </c>
      <c r="B6919" s="1" t="n">
        <v>44988</v>
      </c>
      <c r="C6919" s="1" t="n">
        <v>45344</v>
      </c>
      <c r="D6919" t="inlineStr">
        <is>
          <t>GÄVLEBORGS LÄN</t>
        </is>
      </c>
      <c r="E6919" t="inlineStr">
        <is>
          <t>SANDVIKEN</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11401-2023</t>
        </is>
      </c>
      <c r="B6920" s="1" t="n">
        <v>44988</v>
      </c>
      <c r="C6920" s="1" t="n">
        <v>45344</v>
      </c>
      <c r="D6920" t="inlineStr">
        <is>
          <t>GÄVLEBORGS LÄN</t>
        </is>
      </c>
      <c r="E6920" t="inlineStr">
        <is>
          <t>SANDVIKEN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11426-2023</t>
        </is>
      </c>
      <c r="B6921" s="1" t="n">
        <v>44988</v>
      </c>
      <c r="C6921" s="1" t="n">
        <v>45344</v>
      </c>
      <c r="D6921" t="inlineStr">
        <is>
          <t>GÄVLEBORGS LÄN</t>
        </is>
      </c>
      <c r="E6921" t="inlineStr">
        <is>
          <t>SANDVIKEN</t>
        </is>
      </c>
      <c r="G6921" t="n">
        <v>17.7</v>
      </c>
      <c r="H6921" t="n">
        <v>0</v>
      </c>
      <c r="I6921" t="n">
        <v>0</v>
      </c>
      <c r="J6921" t="n">
        <v>0</v>
      </c>
      <c r="K6921" t="n">
        <v>0</v>
      </c>
      <c r="L6921" t="n">
        <v>0</v>
      </c>
      <c r="M6921" t="n">
        <v>0</v>
      </c>
      <c r="N6921" t="n">
        <v>0</v>
      </c>
      <c r="O6921" t="n">
        <v>0</v>
      </c>
      <c r="P6921" t="n">
        <v>0</v>
      </c>
      <c r="Q6921" t="n">
        <v>0</v>
      </c>
      <c r="R6921" s="2" t="inlineStr"/>
    </row>
    <row r="6922" ht="15" customHeight="1">
      <c r="A6922" t="inlineStr">
        <is>
          <t>A 11436-2023</t>
        </is>
      </c>
      <c r="B6922" s="1" t="n">
        <v>44988</v>
      </c>
      <c r="C6922" s="1" t="n">
        <v>45344</v>
      </c>
      <c r="D6922" t="inlineStr">
        <is>
          <t>GÄVLEBORGS LÄN</t>
        </is>
      </c>
      <c r="E6922" t="inlineStr">
        <is>
          <t>SANDVIKEN</t>
        </is>
      </c>
      <c r="G6922" t="n">
        <v>3.1</v>
      </c>
      <c r="H6922" t="n">
        <v>0</v>
      </c>
      <c r="I6922" t="n">
        <v>0</v>
      </c>
      <c r="J6922" t="n">
        <v>0</v>
      </c>
      <c r="K6922" t="n">
        <v>0</v>
      </c>
      <c r="L6922" t="n">
        <v>0</v>
      </c>
      <c r="M6922" t="n">
        <v>0</v>
      </c>
      <c r="N6922" t="n">
        <v>0</v>
      </c>
      <c r="O6922" t="n">
        <v>0</v>
      </c>
      <c r="P6922" t="n">
        <v>0</v>
      </c>
      <c r="Q6922" t="n">
        <v>0</v>
      </c>
      <c r="R6922" s="2" t="inlineStr"/>
    </row>
    <row r="6923" ht="15" customHeight="1">
      <c r="A6923" t="inlineStr">
        <is>
          <t>A 11447-2023</t>
        </is>
      </c>
      <c r="B6923" s="1" t="n">
        <v>44988</v>
      </c>
      <c r="C6923" s="1" t="n">
        <v>45344</v>
      </c>
      <c r="D6923" t="inlineStr">
        <is>
          <t>GÄVLEBORGS LÄN</t>
        </is>
      </c>
      <c r="E6923" t="inlineStr">
        <is>
          <t>SANDVIKEN</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11430-2023</t>
        </is>
      </c>
      <c r="B6924" s="1" t="n">
        <v>44988</v>
      </c>
      <c r="C6924" s="1" t="n">
        <v>45344</v>
      </c>
      <c r="D6924" t="inlineStr">
        <is>
          <t>GÄVLEBORGS LÄN</t>
        </is>
      </c>
      <c r="E6924" t="inlineStr">
        <is>
          <t>SANDVIKEN</t>
        </is>
      </c>
      <c r="G6924" t="n">
        <v>10.4</v>
      </c>
      <c r="H6924" t="n">
        <v>0</v>
      </c>
      <c r="I6924" t="n">
        <v>0</v>
      </c>
      <c r="J6924" t="n">
        <v>0</v>
      </c>
      <c r="K6924" t="n">
        <v>0</v>
      </c>
      <c r="L6924" t="n">
        <v>0</v>
      </c>
      <c r="M6924" t="n">
        <v>0</v>
      </c>
      <c r="N6924" t="n">
        <v>0</v>
      </c>
      <c r="O6924" t="n">
        <v>0</v>
      </c>
      <c r="P6924" t="n">
        <v>0</v>
      </c>
      <c r="Q6924" t="n">
        <v>0</v>
      </c>
      <c r="R6924" s="2" t="inlineStr"/>
    </row>
    <row r="6925" ht="15" customHeight="1">
      <c r="A6925" t="inlineStr">
        <is>
          <t>A 11438-2023</t>
        </is>
      </c>
      <c r="B6925" s="1" t="n">
        <v>44988</v>
      </c>
      <c r="C6925" s="1" t="n">
        <v>45344</v>
      </c>
      <c r="D6925" t="inlineStr">
        <is>
          <t>GÄVLEBORGS LÄN</t>
        </is>
      </c>
      <c r="E6925" t="inlineStr">
        <is>
          <t>SANDVIKEN</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11453-2023</t>
        </is>
      </c>
      <c r="B6926" s="1" t="n">
        <v>44988</v>
      </c>
      <c r="C6926" s="1" t="n">
        <v>45344</v>
      </c>
      <c r="D6926" t="inlineStr">
        <is>
          <t>GÄVLEBORGS LÄN</t>
        </is>
      </c>
      <c r="E6926" t="inlineStr">
        <is>
          <t>SANDVIKEN</t>
        </is>
      </c>
      <c r="G6926" t="n">
        <v>17.9</v>
      </c>
      <c r="H6926" t="n">
        <v>0</v>
      </c>
      <c r="I6926" t="n">
        <v>0</v>
      </c>
      <c r="J6926" t="n">
        <v>0</v>
      </c>
      <c r="K6926" t="n">
        <v>0</v>
      </c>
      <c r="L6926" t="n">
        <v>0</v>
      </c>
      <c r="M6926" t="n">
        <v>0</v>
      </c>
      <c r="N6926" t="n">
        <v>0</v>
      </c>
      <c r="O6926" t="n">
        <v>0</v>
      </c>
      <c r="P6926" t="n">
        <v>0</v>
      </c>
      <c r="Q6926" t="n">
        <v>0</v>
      </c>
      <c r="R6926" s="2" t="inlineStr"/>
    </row>
    <row r="6927" ht="15" customHeight="1">
      <c r="A6927" t="inlineStr">
        <is>
          <t>A 11397-2023</t>
        </is>
      </c>
      <c r="B6927" s="1" t="n">
        <v>44988</v>
      </c>
      <c r="C6927" s="1" t="n">
        <v>45344</v>
      </c>
      <c r="D6927" t="inlineStr">
        <is>
          <t>GÄVLEBORGS LÄN</t>
        </is>
      </c>
      <c r="E6927" t="inlineStr">
        <is>
          <t>SANDVIKEN</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11411-2023</t>
        </is>
      </c>
      <c r="B6928" s="1" t="n">
        <v>44988</v>
      </c>
      <c r="C6928" s="1" t="n">
        <v>45344</v>
      </c>
      <c r="D6928" t="inlineStr">
        <is>
          <t>GÄVLEBORGS LÄN</t>
        </is>
      </c>
      <c r="E6928" t="inlineStr">
        <is>
          <t>SANDVIKEN</t>
        </is>
      </c>
      <c r="G6928" t="n">
        <v>10.7</v>
      </c>
      <c r="H6928" t="n">
        <v>0</v>
      </c>
      <c r="I6928" t="n">
        <v>0</v>
      </c>
      <c r="J6928" t="n">
        <v>0</v>
      </c>
      <c r="K6928" t="n">
        <v>0</v>
      </c>
      <c r="L6928" t="n">
        <v>0</v>
      </c>
      <c r="M6928" t="n">
        <v>0</v>
      </c>
      <c r="N6928" t="n">
        <v>0</v>
      </c>
      <c r="O6928" t="n">
        <v>0</v>
      </c>
      <c r="P6928" t="n">
        <v>0</v>
      </c>
      <c r="Q6928" t="n">
        <v>0</v>
      </c>
      <c r="R6928" s="2" t="inlineStr"/>
    </row>
    <row r="6929" ht="15" customHeight="1">
      <c r="A6929" t="inlineStr">
        <is>
          <t>A 11422-2023</t>
        </is>
      </c>
      <c r="B6929" s="1" t="n">
        <v>44988</v>
      </c>
      <c r="C6929" s="1" t="n">
        <v>45344</v>
      </c>
      <c r="D6929" t="inlineStr">
        <is>
          <t>GÄVLEBORGS LÄN</t>
        </is>
      </c>
      <c r="E6929" t="inlineStr">
        <is>
          <t>SANDVIKEN</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11431-2023</t>
        </is>
      </c>
      <c r="B6930" s="1" t="n">
        <v>44988</v>
      </c>
      <c r="C6930" s="1" t="n">
        <v>45344</v>
      </c>
      <c r="D6930" t="inlineStr">
        <is>
          <t>GÄVLEBORGS LÄN</t>
        </is>
      </c>
      <c r="E6930" t="inlineStr">
        <is>
          <t>SANDVIKEN</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11440-2023</t>
        </is>
      </c>
      <c r="B6931" s="1" t="n">
        <v>44988</v>
      </c>
      <c r="C6931" s="1" t="n">
        <v>45344</v>
      </c>
      <c r="D6931" t="inlineStr">
        <is>
          <t>GÄVLEBORGS LÄN</t>
        </is>
      </c>
      <c r="E6931" t="inlineStr">
        <is>
          <t>SANDVIKEN</t>
        </is>
      </c>
      <c r="G6931" t="n">
        <v>2.2</v>
      </c>
      <c r="H6931" t="n">
        <v>0</v>
      </c>
      <c r="I6931" t="n">
        <v>0</v>
      </c>
      <c r="J6931" t="n">
        <v>0</v>
      </c>
      <c r="K6931" t="n">
        <v>0</v>
      </c>
      <c r="L6931" t="n">
        <v>0</v>
      </c>
      <c r="M6931" t="n">
        <v>0</v>
      </c>
      <c r="N6931" t="n">
        <v>0</v>
      </c>
      <c r="O6931" t="n">
        <v>0</v>
      </c>
      <c r="P6931" t="n">
        <v>0</v>
      </c>
      <c r="Q6931" t="n">
        <v>0</v>
      </c>
      <c r="R6931" s="2" t="inlineStr"/>
    </row>
    <row r="6932" ht="15" customHeight="1">
      <c r="A6932" t="inlineStr">
        <is>
          <t>A 11467-2023</t>
        </is>
      </c>
      <c r="B6932" s="1" t="n">
        <v>44988</v>
      </c>
      <c r="C6932" s="1" t="n">
        <v>45344</v>
      </c>
      <c r="D6932" t="inlineStr">
        <is>
          <t>GÄVLEBORGS LÄN</t>
        </is>
      </c>
      <c r="E6932" t="inlineStr">
        <is>
          <t>SANDVIKEN</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10853-2023</t>
        </is>
      </c>
      <c r="B6933" s="1" t="n">
        <v>44991</v>
      </c>
      <c r="C6933" s="1" t="n">
        <v>45344</v>
      </c>
      <c r="D6933" t="inlineStr">
        <is>
          <t>GÄVLEBORGS LÄN</t>
        </is>
      </c>
      <c r="E6933" t="inlineStr">
        <is>
          <t>LJUSDAL</t>
        </is>
      </c>
      <c r="F6933" t="inlineStr">
        <is>
          <t>Bergvik skog väst AB</t>
        </is>
      </c>
      <c r="G6933" t="n">
        <v>12.3</v>
      </c>
      <c r="H6933" t="n">
        <v>0</v>
      </c>
      <c r="I6933" t="n">
        <v>0</v>
      </c>
      <c r="J6933" t="n">
        <v>0</v>
      </c>
      <c r="K6933" t="n">
        <v>0</v>
      </c>
      <c r="L6933" t="n">
        <v>0</v>
      </c>
      <c r="M6933" t="n">
        <v>0</v>
      </c>
      <c r="N6933" t="n">
        <v>0</v>
      </c>
      <c r="O6933" t="n">
        <v>0</v>
      </c>
      <c r="P6933" t="n">
        <v>0</v>
      </c>
      <c r="Q6933" t="n">
        <v>0</v>
      </c>
      <c r="R6933" s="2" t="inlineStr"/>
    </row>
    <row r="6934" ht="15" customHeight="1">
      <c r="A6934" t="inlineStr">
        <is>
          <t>A 10942-2023</t>
        </is>
      </c>
      <c r="B6934" s="1" t="n">
        <v>44991</v>
      </c>
      <c r="C6934" s="1" t="n">
        <v>45344</v>
      </c>
      <c r="D6934" t="inlineStr">
        <is>
          <t>GÄVLEBORGS LÄN</t>
        </is>
      </c>
      <c r="E6934" t="inlineStr">
        <is>
          <t>GÄVLE</t>
        </is>
      </c>
      <c r="F6934" t="inlineStr">
        <is>
          <t>Bergvik skog väst AB</t>
        </is>
      </c>
      <c r="G6934" t="n">
        <v>3</v>
      </c>
      <c r="H6934" t="n">
        <v>0</v>
      </c>
      <c r="I6934" t="n">
        <v>0</v>
      </c>
      <c r="J6934" t="n">
        <v>0</v>
      </c>
      <c r="K6934" t="n">
        <v>0</v>
      </c>
      <c r="L6934" t="n">
        <v>0</v>
      </c>
      <c r="M6934" t="n">
        <v>0</v>
      </c>
      <c r="N6934" t="n">
        <v>0</v>
      </c>
      <c r="O6934" t="n">
        <v>0</v>
      </c>
      <c r="P6934" t="n">
        <v>0</v>
      </c>
      <c r="Q6934" t="n">
        <v>0</v>
      </c>
      <c r="R6934" s="2" t="inlineStr"/>
    </row>
    <row r="6935" ht="15" customHeight="1">
      <c r="A6935" t="inlineStr">
        <is>
          <t>A 10850-2023</t>
        </is>
      </c>
      <c r="B6935" s="1" t="n">
        <v>44991</v>
      </c>
      <c r="C6935" s="1" t="n">
        <v>45344</v>
      </c>
      <c r="D6935" t="inlineStr">
        <is>
          <t>GÄVLEBORGS LÄN</t>
        </is>
      </c>
      <c r="E6935" t="inlineStr">
        <is>
          <t>LJUSDAL</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10986-2023</t>
        </is>
      </c>
      <c r="B6936" s="1" t="n">
        <v>44991</v>
      </c>
      <c r="C6936" s="1" t="n">
        <v>45344</v>
      </c>
      <c r="D6936" t="inlineStr">
        <is>
          <t>GÄVLEBORGS LÄN</t>
        </is>
      </c>
      <c r="E6936" t="inlineStr">
        <is>
          <t>GÄVLE</t>
        </is>
      </c>
      <c r="F6936" t="inlineStr">
        <is>
          <t>Bergvik skog väst AB</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11082-2023</t>
        </is>
      </c>
      <c r="B6937" s="1" t="n">
        <v>44992</v>
      </c>
      <c r="C6937" s="1" t="n">
        <v>45344</v>
      </c>
      <c r="D6937" t="inlineStr">
        <is>
          <t>GÄVLEBORGS LÄN</t>
        </is>
      </c>
      <c r="E6937" t="inlineStr">
        <is>
          <t>HUDIKSVALL</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11215-2023</t>
        </is>
      </c>
      <c r="B6938" s="1" t="n">
        <v>44992</v>
      </c>
      <c r="C6938" s="1" t="n">
        <v>45344</v>
      </c>
      <c r="D6938" t="inlineStr">
        <is>
          <t>GÄVLEBORGS LÄN</t>
        </is>
      </c>
      <c r="E6938" t="inlineStr">
        <is>
          <t>SÖDERHAMN</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11108-2023</t>
        </is>
      </c>
      <c r="B6939" s="1" t="n">
        <v>44992</v>
      </c>
      <c r="C6939" s="1" t="n">
        <v>45344</v>
      </c>
      <c r="D6939" t="inlineStr">
        <is>
          <t>GÄVLEBORGS LÄN</t>
        </is>
      </c>
      <c r="E6939" t="inlineStr">
        <is>
          <t>HUDIKSVALL</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11075-2023</t>
        </is>
      </c>
      <c r="B6940" s="1" t="n">
        <v>44992</v>
      </c>
      <c r="C6940" s="1" t="n">
        <v>45344</v>
      </c>
      <c r="D6940" t="inlineStr">
        <is>
          <t>GÄVLEBORGS LÄN</t>
        </is>
      </c>
      <c r="E6940" t="inlineStr">
        <is>
          <t>SÖDERHAMN</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11081-2023</t>
        </is>
      </c>
      <c r="B6941" s="1" t="n">
        <v>44992</v>
      </c>
      <c r="C6941" s="1" t="n">
        <v>45344</v>
      </c>
      <c r="D6941" t="inlineStr">
        <is>
          <t>GÄVLEBORGS LÄN</t>
        </is>
      </c>
      <c r="E6941" t="inlineStr">
        <is>
          <t>GÄVLE</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11157-2023</t>
        </is>
      </c>
      <c r="B6942" s="1" t="n">
        <v>44992</v>
      </c>
      <c r="C6942" s="1" t="n">
        <v>45344</v>
      </c>
      <c r="D6942" t="inlineStr">
        <is>
          <t>GÄVLEBORGS LÄN</t>
        </is>
      </c>
      <c r="E6942" t="inlineStr">
        <is>
          <t>BOLLNÄS</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11267-2023</t>
        </is>
      </c>
      <c r="B6943" s="1" t="n">
        <v>44992</v>
      </c>
      <c r="C6943" s="1" t="n">
        <v>45344</v>
      </c>
      <c r="D6943" t="inlineStr">
        <is>
          <t>GÄVLEBORGS LÄN</t>
        </is>
      </c>
      <c r="E6943" t="inlineStr">
        <is>
          <t>HUDIKSVALL</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11206-2023</t>
        </is>
      </c>
      <c r="B6944" s="1" t="n">
        <v>44992</v>
      </c>
      <c r="C6944" s="1" t="n">
        <v>45344</v>
      </c>
      <c r="D6944" t="inlineStr">
        <is>
          <t>GÄVLEBORGS LÄN</t>
        </is>
      </c>
      <c r="E6944" t="inlineStr">
        <is>
          <t>SÖDERHAMN</t>
        </is>
      </c>
      <c r="G6944" t="n">
        <v>2.6</v>
      </c>
      <c r="H6944" t="n">
        <v>0</v>
      </c>
      <c r="I6944" t="n">
        <v>0</v>
      </c>
      <c r="J6944" t="n">
        <v>0</v>
      </c>
      <c r="K6944" t="n">
        <v>0</v>
      </c>
      <c r="L6944" t="n">
        <v>0</v>
      </c>
      <c r="M6944" t="n">
        <v>0</v>
      </c>
      <c r="N6944" t="n">
        <v>0</v>
      </c>
      <c r="O6944" t="n">
        <v>0</v>
      </c>
      <c r="P6944" t="n">
        <v>0</v>
      </c>
      <c r="Q6944" t="n">
        <v>0</v>
      </c>
      <c r="R6944" s="2" t="inlineStr"/>
    </row>
    <row r="6945" ht="15" customHeight="1">
      <c r="A6945" t="inlineStr">
        <is>
          <t>A 11410-2023</t>
        </is>
      </c>
      <c r="B6945" s="1" t="n">
        <v>44993</v>
      </c>
      <c r="C6945" s="1" t="n">
        <v>45344</v>
      </c>
      <c r="D6945" t="inlineStr">
        <is>
          <t>GÄVLEBORGS LÄN</t>
        </is>
      </c>
      <c r="E6945" t="inlineStr">
        <is>
          <t>BOLLNÄS</t>
        </is>
      </c>
      <c r="G6945" t="n">
        <v>8.6</v>
      </c>
      <c r="H6945" t="n">
        <v>0</v>
      </c>
      <c r="I6945" t="n">
        <v>0</v>
      </c>
      <c r="J6945" t="n">
        <v>0</v>
      </c>
      <c r="K6945" t="n">
        <v>0</v>
      </c>
      <c r="L6945" t="n">
        <v>0</v>
      </c>
      <c r="M6945" t="n">
        <v>0</v>
      </c>
      <c r="N6945" t="n">
        <v>0</v>
      </c>
      <c r="O6945" t="n">
        <v>0</v>
      </c>
      <c r="P6945" t="n">
        <v>0</v>
      </c>
      <c r="Q6945" t="n">
        <v>0</v>
      </c>
      <c r="R6945" s="2" t="inlineStr"/>
    </row>
    <row r="6946" ht="15" customHeight="1">
      <c r="A6946" t="inlineStr">
        <is>
          <t>A 11459-2023</t>
        </is>
      </c>
      <c r="B6946" s="1" t="n">
        <v>44993</v>
      </c>
      <c r="C6946" s="1" t="n">
        <v>45344</v>
      </c>
      <c r="D6946" t="inlineStr">
        <is>
          <t>GÄVLEBORGS LÄN</t>
        </is>
      </c>
      <c r="E6946" t="inlineStr">
        <is>
          <t>BOLLNÄS</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11465-2023</t>
        </is>
      </c>
      <c r="B6947" s="1" t="n">
        <v>44993</v>
      </c>
      <c r="C6947" s="1" t="n">
        <v>45344</v>
      </c>
      <c r="D6947" t="inlineStr">
        <is>
          <t>GÄVLEBORGS LÄN</t>
        </is>
      </c>
      <c r="E6947" t="inlineStr">
        <is>
          <t>BOLLNÄS</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11338-2023</t>
        </is>
      </c>
      <c r="B6948" s="1" t="n">
        <v>44993</v>
      </c>
      <c r="C6948" s="1" t="n">
        <v>45344</v>
      </c>
      <c r="D6948" t="inlineStr">
        <is>
          <t>GÄVLEBORGS LÄN</t>
        </is>
      </c>
      <c r="E6948" t="inlineStr">
        <is>
          <t>NORDANSTIG</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11432-2023</t>
        </is>
      </c>
      <c r="B6949" s="1" t="n">
        <v>44993</v>
      </c>
      <c r="C6949" s="1" t="n">
        <v>45344</v>
      </c>
      <c r="D6949" t="inlineStr">
        <is>
          <t>GÄVLEBORGS LÄN</t>
        </is>
      </c>
      <c r="E6949" t="inlineStr">
        <is>
          <t>HUDIKSVALL</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11439-2023</t>
        </is>
      </c>
      <c r="B6950" s="1" t="n">
        <v>44993</v>
      </c>
      <c r="C6950" s="1" t="n">
        <v>45344</v>
      </c>
      <c r="D6950" t="inlineStr">
        <is>
          <t>GÄVLEBORGS LÄN</t>
        </is>
      </c>
      <c r="E6950" t="inlineStr">
        <is>
          <t>BOLLNÄS</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11455-2023</t>
        </is>
      </c>
      <c r="B6951" s="1" t="n">
        <v>44993</v>
      </c>
      <c r="C6951" s="1" t="n">
        <v>45344</v>
      </c>
      <c r="D6951" t="inlineStr">
        <is>
          <t>GÄVLEBORGS LÄN</t>
        </is>
      </c>
      <c r="E6951" t="inlineStr">
        <is>
          <t>NORDANSTIG</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11652-2023</t>
        </is>
      </c>
      <c r="B6952" s="1" t="n">
        <v>44994</v>
      </c>
      <c r="C6952" s="1" t="n">
        <v>45344</v>
      </c>
      <c r="D6952" t="inlineStr">
        <is>
          <t>GÄVLEBORGS LÄN</t>
        </is>
      </c>
      <c r="E6952" t="inlineStr">
        <is>
          <t>GÄVLE</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11607-2023</t>
        </is>
      </c>
      <c r="B6953" s="1" t="n">
        <v>44994</v>
      </c>
      <c r="C6953" s="1" t="n">
        <v>45344</v>
      </c>
      <c r="D6953" t="inlineStr">
        <is>
          <t>GÄVLEBORGS LÄN</t>
        </is>
      </c>
      <c r="E6953" t="inlineStr">
        <is>
          <t>HOFORS</t>
        </is>
      </c>
      <c r="F6953" t="inlineStr">
        <is>
          <t>Övriga statliga verk och myndigheter</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11762-2023</t>
        </is>
      </c>
      <c r="B6954" s="1" t="n">
        <v>44994</v>
      </c>
      <c r="C6954" s="1" t="n">
        <v>45344</v>
      </c>
      <c r="D6954" t="inlineStr">
        <is>
          <t>GÄVLEBORGS LÄN</t>
        </is>
      </c>
      <c r="E6954" t="inlineStr">
        <is>
          <t>NORDANSTIG</t>
        </is>
      </c>
      <c r="G6954" t="n">
        <v>9.5</v>
      </c>
      <c r="H6954" t="n">
        <v>0</v>
      </c>
      <c r="I6954" t="n">
        <v>0</v>
      </c>
      <c r="J6954" t="n">
        <v>0</v>
      </c>
      <c r="K6954" t="n">
        <v>0</v>
      </c>
      <c r="L6954" t="n">
        <v>0</v>
      </c>
      <c r="M6954" t="n">
        <v>0</v>
      </c>
      <c r="N6954" t="n">
        <v>0</v>
      </c>
      <c r="O6954" t="n">
        <v>0</v>
      </c>
      <c r="P6954" t="n">
        <v>0</v>
      </c>
      <c r="Q6954" t="n">
        <v>0</v>
      </c>
      <c r="R6954" s="2" t="inlineStr"/>
    </row>
    <row r="6955" ht="15" customHeight="1">
      <c r="A6955" t="inlineStr">
        <is>
          <t>A 11811-2023</t>
        </is>
      </c>
      <c r="B6955" s="1" t="n">
        <v>44994</v>
      </c>
      <c r="C6955" s="1" t="n">
        <v>45344</v>
      </c>
      <c r="D6955" t="inlineStr">
        <is>
          <t>GÄVLEBORGS LÄN</t>
        </is>
      </c>
      <c r="E6955" t="inlineStr">
        <is>
          <t>SANDVIKEN</t>
        </is>
      </c>
      <c r="G6955" t="n">
        <v>9.6</v>
      </c>
      <c r="H6955" t="n">
        <v>0</v>
      </c>
      <c r="I6955" t="n">
        <v>0</v>
      </c>
      <c r="J6955" t="n">
        <v>0</v>
      </c>
      <c r="K6955" t="n">
        <v>0</v>
      </c>
      <c r="L6955" t="n">
        <v>0</v>
      </c>
      <c r="M6955" t="n">
        <v>0</v>
      </c>
      <c r="N6955" t="n">
        <v>0</v>
      </c>
      <c r="O6955" t="n">
        <v>0</v>
      </c>
      <c r="P6955" t="n">
        <v>0</v>
      </c>
      <c r="Q6955" t="n">
        <v>0</v>
      </c>
      <c r="R6955" s="2" t="inlineStr"/>
    </row>
    <row r="6956" ht="15" customHeight="1">
      <c r="A6956" t="inlineStr">
        <is>
          <t>A 11756-2023</t>
        </is>
      </c>
      <c r="B6956" s="1" t="n">
        <v>44994</v>
      </c>
      <c r="C6956" s="1" t="n">
        <v>45344</v>
      </c>
      <c r="D6956" t="inlineStr">
        <is>
          <t>GÄVLEBORGS LÄN</t>
        </is>
      </c>
      <c r="E6956" t="inlineStr">
        <is>
          <t>SANDVIKEN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11810-2023</t>
        </is>
      </c>
      <c r="B6957" s="1" t="n">
        <v>44994</v>
      </c>
      <c r="C6957" s="1" t="n">
        <v>45344</v>
      </c>
      <c r="D6957" t="inlineStr">
        <is>
          <t>GÄVLEBORGS LÄN</t>
        </is>
      </c>
      <c r="E6957" t="inlineStr">
        <is>
          <t>SANDVIKEN</t>
        </is>
      </c>
      <c r="G6957" t="n">
        <v>4.9</v>
      </c>
      <c r="H6957" t="n">
        <v>0</v>
      </c>
      <c r="I6957" t="n">
        <v>0</v>
      </c>
      <c r="J6957" t="n">
        <v>0</v>
      </c>
      <c r="K6957" t="n">
        <v>0</v>
      </c>
      <c r="L6957" t="n">
        <v>0</v>
      </c>
      <c r="M6957" t="n">
        <v>0</v>
      </c>
      <c r="N6957" t="n">
        <v>0</v>
      </c>
      <c r="O6957" t="n">
        <v>0</v>
      </c>
      <c r="P6957" t="n">
        <v>0</v>
      </c>
      <c r="Q6957" t="n">
        <v>0</v>
      </c>
      <c r="R6957" s="2" t="inlineStr"/>
    </row>
    <row r="6958" ht="15" customHeight="1">
      <c r="A6958" t="inlineStr">
        <is>
          <t>A 11736-2023</t>
        </is>
      </c>
      <c r="B6958" s="1" t="n">
        <v>44994</v>
      </c>
      <c r="C6958" s="1" t="n">
        <v>45344</v>
      </c>
      <c r="D6958" t="inlineStr">
        <is>
          <t>GÄVLEBORGS LÄN</t>
        </is>
      </c>
      <c r="E6958" t="inlineStr">
        <is>
          <t>NORDANSTIG</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11764-2023</t>
        </is>
      </c>
      <c r="B6959" s="1" t="n">
        <v>44994</v>
      </c>
      <c r="C6959" s="1" t="n">
        <v>45344</v>
      </c>
      <c r="D6959" t="inlineStr">
        <is>
          <t>GÄVLEBORGS LÄN</t>
        </is>
      </c>
      <c r="E6959" t="inlineStr">
        <is>
          <t>SANDVIKEN</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11808-2023</t>
        </is>
      </c>
      <c r="B6960" s="1" t="n">
        <v>44994</v>
      </c>
      <c r="C6960" s="1" t="n">
        <v>45344</v>
      </c>
      <c r="D6960" t="inlineStr">
        <is>
          <t>GÄVLEBORGS LÄN</t>
        </is>
      </c>
      <c r="E6960" t="inlineStr">
        <is>
          <t>SANDVIKEN</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11956-2023</t>
        </is>
      </c>
      <c r="B6961" s="1" t="n">
        <v>44995</v>
      </c>
      <c r="C6961" s="1" t="n">
        <v>45344</v>
      </c>
      <c r="D6961" t="inlineStr">
        <is>
          <t>GÄVLEBORGS LÄN</t>
        </is>
      </c>
      <c r="E6961" t="inlineStr">
        <is>
          <t>BOLLNÄS</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11914-2023</t>
        </is>
      </c>
      <c r="B6962" s="1" t="n">
        <v>44995</v>
      </c>
      <c r="C6962" s="1" t="n">
        <v>45344</v>
      </c>
      <c r="D6962" t="inlineStr">
        <is>
          <t>GÄVLEBORGS LÄN</t>
        </is>
      </c>
      <c r="E6962" t="inlineStr">
        <is>
          <t>LJUSDAL</t>
        </is>
      </c>
      <c r="F6962" t="inlineStr">
        <is>
          <t>Holmen skog AB</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11923-2023</t>
        </is>
      </c>
      <c r="B6963" s="1" t="n">
        <v>44995</v>
      </c>
      <c r="C6963" s="1" t="n">
        <v>45344</v>
      </c>
      <c r="D6963" t="inlineStr">
        <is>
          <t>GÄVLEBORGS LÄN</t>
        </is>
      </c>
      <c r="E6963" t="inlineStr">
        <is>
          <t>LJUSDAL</t>
        </is>
      </c>
      <c r="F6963" t="inlineStr">
        <is>
          <t>Holmen skog AB</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11964-2023</t>
        </is>
      </c>
      <c r="B6964" s="1" t="n">
        <v>44995</v>
      </c>
      <c r="C6964" s="1" t="n">
        <v>45344</v>
      </c>
      <c r="D6964" t="inlineStr">
        <is>
          <t>GÄVLEBORGS LÄN</t>
        </is>
      </c>
      <c r="E6964" t="inlineStr">
        <is>
          <t>LJUSDAL</t>
        </is>
      </c>
      <c r="G6964" t="n">
        <v>4.8</v>
      </c>
      <c r="H6964" t="n">
        <v>0</v>
      </c>
      <c r="I6964" t="n">
        <v>0</v>
      </c>
      <c r="J6964" t="n">
        <v>0</v>
      </c>
      <c r="K6964" t="n">
        <v>0</v>
      </c>
      <c r="L6964" t="n">
        <v>0</v>
      </c>
      <c r="M6964" t="n">
        <v>0</v>
      </c>
      <c r="N6964" t="n">
        <v>0</v>
      </c>
      <c r="O6964" t="n">
        <v>0</v>
      </c>
      <c r="P6964" t="n">
        <v>0</v>
      </c>
      <c r="Q6964" t="n">
        <v>0</v>
      </c>
      <c r="R6964" s="2" t="inlineStr"/>
    </row>
    <row r="6965" ht="15" customHeight="1">
      <c r="A6965" t="inlineStr">
        <is>
          <t>A 11994-2023</t>
        </is>
      </c>
      <c r="B6965" s="1" t="n">
        <v>44995</v>
      </c>
      <c r="C6965" s="1" t="n">
        <v>45344</v>
      </c>
      <c r="D6965" t="inlineStr">
        <is>
          <t>GÄVLEBORGS LÄN</t>
        </is>
      </c>
      <c r="E6965" t="inlineStr">
        <is>
          <t>SANDVIKEN</t>
        </is>
      </c>
      <c r="G6965" t="n">
        <v>4.5</v>
      </c>
      <c r="H6965" t="n">
        <v>0</v>
      </c>
      <c r="I6965" t="n">
        <v>0</v>
      </c>
      <c r="J6965" t="n">
        <v>0</v>
      </c>
      <c r="K6965" t="n">
        <v>0</v>
      </c>
      <c r="L6965" t="n">
        <v>0</v>
      </c>
      <c r="M6965" t="n">
        <v>0</v>
      </c>
      <c r="N6965" t="n">
        <v>0</v>
      </c>
      <c r="O6965" t="n">
        <v>0</v>
      </c>
      <c r="P6965" t="n">
        <v>0</v>
      </c>
      <c r="Q6965" t="n">
        <v>0</v>
      </c>
      <c r="R6965" s="2" t="inlineStr"/>
    </row>
    <row r="6966" ht="15" customHeight="1">
      <c r="A6966" t="inlineStr">
        <is>
          <t>A 11979-2023</t>
        </is>
      </c>
      <c r="B6966" s="1" t="n">
        <v>44995</v>
      </c>
      <c r="C6966" s="1" t="n">
        <v>45344</v>
      </c>
      <c r="D6966" t="inlineStr">
        <is>
          <t>GÄVLEBORGS LÄN</t>
        </is>
      </c>
      <c r="E6966" t="inlineStr">
        <is>
          <t>LJUSDAL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12004-2023</t>
        </is>
      </c>
      <c r="B6967" s="1" t="n">
        <v>44995</v>
      </c>
      <c r="C6967" s="1" t="n">
        <v>45344</v>
      </c>
      <c r="D6967" t="inlineStr">
        <is>
          <t>GÄVLEBORGS LÄN</t>
        </is>
      </c>
      <c r="E6967" t="inlineStr">
        <is>
          <t>LJUSDAL</t>
        </is>
      </c>
      <c r="F6967" t="inlineStr">
        <is>
          <t>Holmen skog AB</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12047-2023</t>
        </is>
      </c>
      <c r="B6968" s="1" t="n">
        <v>44995</v>
      </c>
      <c r="C6968" s="1" t="n">
        <v>45344</v>
      </c>
      <c r="D6968" t="inlineStr">
        <is>
          <t>GÄVLEBORGS LÄN</t>
        </is>
      </c>
      <c r="E6968" t="inlineStr">
        <is>
          <t>GÄVLE</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12048-2023</t>
        </is>
      </c>
      <c r="B6969" s="1" t="n">
        <v>44996</v>
      </c>
      <c r="C6969" s="1" t="n">
        <v>45344</v>
      </c>
      <c r="D6969" t="inlineStr">
        <is>
          <t>GÄVLEBORGS LÄN</t>
        </is>
      </c>
      <c r="E6969" t="inlineStr">
        <is>
          <t>SÖDERHAMN</t>
        </is>
      </c>
      <c r="G6969" t="n">
        <v>3.6</v>
      </c>
      <c r="H6969" t="n">
        <v>0</v>
      </c>
      <c r="I6969" t="n">
        <v>0</v>
      </c>
      <c r="J6969" t="n">
        <v>0</v>
      </c>
      <c r="K6969" t="n">
        <v>0</v>
      </c>
      <c r="L6969" t="n">
        <v>0</v>
      </c>
      <c r="M6969" t="n">
        <v>0</v>
      </c>
      <c r="N6969" t="n">
        <v>0</v>
      </c>
      <c r="O6969" t="n">
        <v>0</v>
      </c>
      <c r="P6969" t="n">
        <v>0</v>
      </c>
      <c r="Q6969" t="n">
        <v>0</v>
      </c>
      <c r="R6969" s="2" t="inlineStr"/>
    </row>
    <row r="6970" ht="15" customHeight="1">
      <c r="A6970" t="inlineStr">
        <is>
          <t>A 12239-2023</t>
        </is>
      </c>
      <c r="B6970" s="1" t="n">
        <v>44998</v>
      </c>
      <c r="C6970" s="1" t="n">
        <v>45344</v>
      </c>
      <c r="D6970" t="inlineStr">
        <is>
          <t>GÄVLEBORGS LÄN</t>
        </is>
      </c>
      <c r="E6970" t="inlineStr">
        <is>
          <t>HUDIKSVALL</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12095-2023</t>
        </is>
      </c>
      <c r="B6971" s="1" t="n">
        <v>44998</v>
      </c>
      <c r="C6971" s="1" t="n">
        <v>45344</v>
      </c>
      <c r="D6971" t="inlineStr">
        <is>
          <t>GÄVLEBORGS LÄN</t>
        </is>
      </c>
      <c r="E6971" t="inlineStr">
        <is>
          <t>NORDANSTIG</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12226-2023</t>
        </is>
      </c>
      <c r="B6972" s="1" t="n">
        <v>44998</v>
      </c>
      <c r="C6972" s="1" t="n">
        <v>45344</v>
      </c>
      <c r="D6972" t="inlineStr">
        <is>
          <t>GÄVLEBORGS LÄN</t>
        </is>
      </c>
      <c r="E6972" t="inlineStr">
        <is>
          <t>HUDIKSVALL</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12379-2023</t>
        </is>
      </c>
      <c r="B6973" s="1" t="n">
        <v>44999</v>
      </c>
      <c r="C6973" s="1" t="n">
        <v>45344</v>
      </c>
      <c r="D6973" t="inlineStr">
        <is>
          <t>GÄVLEBORGS LÄN</t>
        </is>
      </c>
      <c r="E6973" t="inlineStr">
        <is>
          <t>NORDANSTIG</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12398-2023</t>
        </is>
      </c>
      <c r="B6974" s="1" t="n">
        <v>44999</v>
      </c>
      <c r="C6974" s="1" t="n">
        <v>45344</v>
      </c>
      <c r="D6974" t="inlineStr">
        <is>
          <t>GÄVLEBORGS LÄN</t>
        </is>
      </c>
      <c r="E6974" t="inlineStr">
        <is>
          <t>NORDANSTIG</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12403-2023</t>
        </is>
      </c>
      <c r="B6975" s="1" t="n">
        <v>44999</v>
      </c>
      <c r="C6975" s="1" t="n">
        <v>45344</v>
      </c>
      <c r="D6975" t="inlineStr">
        <is>
          <t>GÄVLEBORGS LÄN</t>
        </is>
      </c>
      <c r="E6975" t="inlineStr">
        <is>
          <t>NORDANSTIG</t>
        </is>
      </c>
      <c r="G6975" t="n">
        <v>1.2</v>
      </c>
      <c r="H6975" t="n">
        <v>0</v>
      </c>
      <c r="I6975" t="n">
        <v>0</v>
      </c>
      <c r="J6975" t="n">
        <v>0</v>
      </c>
      <c r="K6975" t="n">
        <v>0</v>
      </c>
      <c r="L6975" t="n">
        <v>0</v>
      </c>
      <c r="M6975" t="n">
        <v>0</v>
      </c>
      <c r="N6975" t="n">
        <v>0</v>
      </c>
      <c r="O6975" t="n">
        <v>0</v>
      </c>
      <c r="P6975" t="n">
        <v>0</v>
      </c>
      <c r="Q6975" t="n">
        <v>0</v>
      </c>
      <c r="R6975" s="2" t="inlineStr"/>
    </row>
    <row r="6976" ht="15" customHeight="1">
      <c r="A6976" t="inlineStr">
        <is>
          <t>A 12381-2023</t>
        </is>
      </c>
      <c r="B6976" s="1" t="n">
        <v>44999</v>
      </c>
      <c r="C6976" s="1" t="n">
        <v>45344</v>
      </c>
      <c r="D6976" t="inlineStr">
        <is>
          <t>GÄVLEBORGS LÄN</t>
        </is>
      </c>
      <c r="E6976" t="inlineStr">
        <is>
          <t>GÄVLE</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12389-2023</t>
        </is>
      </c>
      <c r="B6977" s="1" t="n">
        <v>44999</v>
      </c>
      <c r="C6977" s="1" t="n">
        <v>45344</v>
      </c>
      <c r="D6977" t="inlineStr">
        <is>
          <t>GÄVLEBORGS LÄN</t>
        </is>
      </c>
      <c r="E6977" t="inlineStr">
        <is>
          <t>NORDANSTIG</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12450-2023</t>
        </is>
      </c>
      <c r="B6978" s="1" t="n">
        <v>44999</v>
      </c>
      <c r="C6978" s="1" t="n">
        <v>45344</v>
      </c>
      <c r="D6978" t="inlineStr">
        <is>
          <t>GÄVLEBORGS LÄN</t>
        </is>
      </c>
      <c r="E6978" t="inlineStr">
        <is>
          <t>BOLLNÄS</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12454-2023</t>
        </is>
      </c>
      <c r="B6979" s="1" t="n">
        <v>44999</v>
      </c>
      <c r="C6979" s="1" t="n">
        <v>45344</v>
      </c>
      <c r="D6979" t="inlineStr">
        <is>
          <t>GÄVLEBORGS LÄN</t>
        </is>
      </c>
      <c r="E6979" t="inlineStr">
        <is>
          <t>BOLLNÄS</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12451-2023</t>
        </is>
      </c>
      <c r="B6980" s="1" t="n">
        <v>44999</v>
      </c>
      <c r="C6980" s="1" t="n">
        <v>45344</v>
      </c>
      <c r="D6980" t="inlineStr">
        <is>
          <t>GÄVLEBORGS LÄN</t>
        </is>
      </c>
      <c r="E6980" t="inlineStr">
        <is>
          <t>BOLLNÄS</t>
        </is>
      </c>
      <c r="G6980" t="n">
        <v>0.2</v>
      </c>
      <c r="H6980" t="n">
        <v>0</v>
      </c>
      <c r="I6980" t="n">
        <v>0</v>
      </c>
      <c r="J6980" t="n">
        <v>0</v>
      </c>
      <c r="K6980" t="n">
        <v>0</v>
      </c>
      <c r="L6980" t="n">
        <v>0</v>
      </c>
      <c r="M6980" t="n">
        <v>0</v>
      </c>
      <c r="N6980" t="n">
        <v>0</v>
      </c>
      <c r="O6980" t="n">
        <v>0</v>
      </c>
      <c r="P6980" t="n">
        <v>0</v>
      </c>
      <c r="Q6980" t="n">
        <v>0</v>
      </c>
      <c r="R6980" s="2" t="inlineStr"/>
    </row>
    <row r="6981" ht="15" customHeight="1">
      <c r="A6981" t="inlineStr">
        <is>
          <t>A 12674-2023</t>
        </is>
      </c>
      <c r="B6981" s="1" t="n">
        <v>45000</v>
      </c>
      <c r="C6981" s="1" t="n">
        <v>45344</v>
      </c>
      <c r="D6981" t="inlineStr">
        <is>
          <t>GÄVLEBORGS LÄN</t>
        </is>
      </c>
      <c r="E6981" t="inlineStr">
        <is>
          <t>HUDIKSVALL</t>
        </is>
      </c>
      <c r="F6981" t="inlineStr">
        <is>
          <t>Holmen skog AB</t>
        </is>
      </c>
      <c r="G6981" t="n">
        <v>1.3</v>
      </c>
      <c r="H6981" t="n">
        <v>0</v>
      </c>
      <c r="I6981" t="n">
        <v>0</v>
      </c>
      <c r="J6981" t="n">
        <v>0</v>
      </c>
      <c r="K6981" t="n">
        <v>0</v>
      </c>
      <c r="L6981" t="n">
        <v>0</v>
      </c>
      <c r="M6981" t="n">
        <v>0</v>
      </c>
      <c r="N6981" t="n">
        <v>0</v>
      </c>
      <c r="O6981" t="n">
        <v>0</v>
      </c>
      <c r="P6981" t="n">
        <v>0</v>
      </c>
      <c r="Q6981" t="n">
        <v>0</v>
      </c>
      <c r="R6981" s="2" t="inlineStr"/>
    </row>
    <row r="6982" ht="15" customHeight="1">
      <c r="A6982" t="inlineStr">
        <is>
          <t>A 12528-2023</t>
        </is>
      </c>
      <c r="B6982" s="1" t="n">
        <v>45000</v>
      </c>
      <c r="C6982" s="1" t="n">
        <v>45344</v>
      </c>
      <c r="D6982" t="inlineStr">
        <is>
          <t>GÄVLEBORGS LÄN</t>
        </is>
      </c>
      <c r="E6982" t="inlineStr">
        <is>
          <t>SÖDERHAMN</t>
        </is>
      </c>
      <c r="G6982" t="n">
        <v>7.9</v>
      </c>
      <c r="H6982" t="n">
        <v>0</v>
      </c>
      <c r="I6982" t="n">
        <v>0</v>
      </c>
      <c r="J6982" t="n">
        <v>0</v>
      </c>
      <c r="K6982" t="n">
        <v>0</v>
      </c>
      <c r="L6982" t="n">
        <v>0</v>
      </c>
      <c r="M6982" t="n">
        <v>0</v>
      </c>
      <c r="N6982" t="n">
        <v>0</v>
      </c>
      <c r="O6982" t="n">
        <v>0</v>
      </c>
      <c r="P6982" t="n">
        <v>0</v>
      </c>
      <c r="Q6982" t="n">
        <v>0</v>
      </c>
      <c r="R6982" s="2" t="inlineStr"/>
    </row>
    <row r="6983" ht="15" customHeight="1">
      <c r="A6983" t="inlineStr">
        <is>
          <t>A 12555-2023</t>
        </is>
      </c>
      <c r="B6983" s="1" t="n">
        <v>45000</v>
      </c>
      <c r="C6983" s="1" t="n">
        <v>45344</v>
      </c>
      <c r="D6983" t="inlineStr">
        <is>
          <t>GÄVLEBORGS LÄN</t>
        </is>
      </c>
      <c r="E6983" t="inlineStr">
        <is>
          <t>LJUSDAL</t>
        </is>
      </c>
      <c r="G6983" t="n">
        <v>8.4</v>
      </c>
      <c r="H6983" t="n">
        <v>0</v>
      </c>
      <c r="I6983" t="n">
        <v>0</v>
      </c>
      <c r="J6983" t="n">
        <v>0</v>
      </c>
      <c r="K6983" t="n">
        <v>0</v>
      </c>
      <c r="L6983" t="n">
        <v>0</v>
      </c>
      <c r="M6983" t="n">
        <v>0</v>
      </c>
      <c r="N6983" t="n">
        <v>0</v>
      </c>
      <c r="O6983" t="n">
        <v>0</v>
      </c>
      <c r="P6983" t="n">
        <v>0</v>
      </c>
      <c r="Q6983" t="n">
        <v>0</v>
      </c>
      <c r="R6983" s="2" t="inlineStr"/>
    </row>
    <row r="6984" ht="15" customHeight="1">
      <c r="A6984" t="inlineStr">
        <is>
          <t>A 12613-2023</t>
        </is>
      </c>
      <c r="B6984" s="1" t="n">
        <v>45000</v>
      </c>
      <c r="C6984" s="1" t="n">
        <v>45344</v>
      </c>
      <c r="D6984" t="inlineStr">
        <is>
          <t>GÄVLEBORGS LÄN</t>
        </is>
      </c>
      <c r="E6984" t="inlineStr">
        <is>
          <t>OVANÅKER</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12815-2023</t>
        </is>
      </c>
      <c r="B6985" s="1" t="n">
        <v>45001</v>
      </c>
      <c r="C6985" s="1" t="n">
        <v>45344</v>
      </c>
      <c r="D6985" t="inlineStr">
        <is>
          <t>GÄVLEBORGS LÄN</t>
        </is>
      </c>
      <c r="E6985" t="inlineStr">
        <is>
          <t>NORDANSTIG</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12880-2023</t>
        </is>
      </c>
      <c r="B6986" s="1" t="n">
        <v>45001</v>
      </c>
      <c r="C6986" s="1" t="n">
        <v>45344</v>
      </c>
      <c r="D6986" t="inlineStr">
        <is>
          <t>GÄVLEBORGS LÄN</t>
        </is>
      </c>
      <c r="E6986" t="inlineStr">
        <is>
          <t>HUDIKSVALL</t>
        </is>
      </c>
      <c r="G6986" t="n">
        <v>11.4</v>
      </c>
      <c r="H6986" t="n">
        <v>0</v>
      </c>
      <c r="I6986" t="n">
        <v>0</v>
      </c>
      <c r="J6986" t="n">
        <v>0</v>
      </c>
      <c r="K6986" t="n">
        <v>0</v>
      </c>
      <c r="L6986" t="n">
        <v>0</v>
      </c>
      <c r="M6986" t="n">
        <v>0</v>
      </c>
      <c r="N6986" t="n">
        <v>0</v>
      </c>
      <c r="O6986" t="n">
        <v>0</v>
      </c>
      <c r="P6986" t="n">
        <v>0</v>
      </c>
      <c r="Q6986" t="n">
        <v>0</v>
      </c>
      <c r="R6986" s="2" t="inlineStr"/>
    </row>
    <row r="6987" ht="15" customHeight="1">
      <c r="A6987" t="inlineStr">
        <is>
          <t>A 12791-2023</t>
        </is>
      </c>
      <c r="B6987" s="1" t="n">
        <v>45001</v>
      </c>
      <c r="C6987" s="1" t="n">
        <v>45344</v>
      </c>
      <c r="D6987" t="inlineStr">
        <is>
          <t>GÄVLEBORGS LÄN</t>
        </is>
      </c>
      <c r="E6987" t="inlineStr">
        <is>
          <t>SANDVIKEN</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13039-2023</t>
        </is>
      </c>
      <c r="B6988" s="1" t="n">
        <v>45002</v>
      </c>
      <c r="C6988" s="1" t="n">
        <v>45344</v>
      </c>
      <c r="D6988" t="inlineStr">
        <is>
          <t>GÄVLEBORGS LÄN</t>
        </is>
      </c>
      <c r="E6988" t="inlineStr">
        <is>
          <t>HUDIKSVALL</t>
        </is>
      </c>
      <c r="G6988" t="n">
        <v>2.2</v>
      </c>
      <c r="H6988" t="n">
        <v>0</v>
      </c>
      <c r="I6988" t="n">
        <v>0</v>
      </c>
      <c r="J6988" t="n">
        <v>0</v>
      </c>
      <c r="K6988" t="n">
        <v>0</v>
      </c>
      <c r="L6988" t="n">
        <v>0</v>
      </c>
      <c r="M6988" t="n">
        <v>0</v>
      </c>
      <c r="N6988" t="n">
        <v>0</v>
      </c>
      <c r="O6988" t="n">
        <v>0</v>
      </c>
      <c r="P6988" t="n">
        <v>0</v>
      </c>
      <c r="Q6988" t="n">
        <v>0</v>
      </c>
      <c r="R6988" s="2" t="inlineStr"/>
    </row>
    <row r="6989" ht="15" customHeight="1">
      <c r="A6989" t="inlineStr">
        <is>
          <t>A 13094-2023</t>
        </is>
      </c>
      <c r="B6989" s="1" t="n">
        <v>45002</v>
      </c>
      <c r="C6989" s="1" t="n">
        <v>45344</v>
      </c>
      <c r="D6989" t="inlineStr">
        <is>
          <t>GÄVLEBORGS LÄN</t>
        </is>
      </c>
      <c r="E6989" t="inlineStr">
        <is>
          <t>LJUSDAL</t>
        </is>
      </c>
      <c r="F6989" t="inlineStr">
        <is>
          <t>Holmen skog AB</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13123-2023</t>
        </is>
      </c>
      <c r="B6990" s="1" t="n">
        <v>45002</v>
      </c>
      <c r="C6990" s="1" t="n">
        <v>45344</v>
      </c>
      <c r="D6990" t="inlineStr">
        <is>
          <t>GÄVLEBORGS LÄN</t>
        </is>
      </c>
      <c r="E6990" t="inlineStr">
        <is>
          <t>OVANÅKER</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13014-2023</t>
        </is>
      </c>
      <c r="B6991" s="1" t="n">
        <v>45002</v>
      </c>
      <c r="C6991" s="1" t="n">
        <v>45344</v>
      </c>
      <c r="D6991" t="inlineStr">
        <is>
          <t>GÄVLEBORGS LÄN</t>
        </is>
      </c>
      <c r="E6991" t="inlineStr">
        <is>
          <t>OVANÅKER</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13085-2023</t>
        </is>
      </c>
      <c r="B6992" s="1" t="n">
        <v>45002</v>
      </c>
      <c r="C6992" s="1" t="n">
        <v>45344</v>
      </c>
      <c r="D6992" t="inlineStr">
        <is>
          <t>GÄVLEBORGS LÄN</t>
        </is>
      </c>
      <c r="E6992" t="inlineStr">
        <is>
          <t>HUDIKSVALL</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13037-2023</t>
        </is>
      </c>
      <c r="B6993" s="1" t="n">
        <v>45002</v>
      </c>
      <c r="C6993" s="1" t="n">
        <v>45344</v>
      </c>
      <c r="D6993" t="inlineStr">
        <is>
          <t>GÄVLEBORGS LÄN</t>
        </is>
      </c>
      <c r="E6993" t="inlineStr">
        <is>
          <t>SANDVIKEN</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13047-2023</t>
        </is>
      </c>
      <c r="B6994" s="1" t="n">
        <v>45002</v>
      </c>
      <c r="C6994" s="1" t="n">
        <v>45344</v>
      </c>
      <c r="D6994" t="inlineStr">
        <is>
          <t>GÄVLEBORGS LÄN</t>
        </is>
      </c>
      <c r="E6994" t="inlineStr">
        <is>
          <t>OVANÅKER</t>
        </is>
      </c>
      <c r="G6994" t="n">
        <v>0.2</v>
      </c>
      <c r="H6994" t="n">
        <v>0</v>
      </c>
      <c r="I6994" t="n">
        <v>0</v>
      </c>
      <c r="J6994" t="n">
        <v>0</v>
      </c>
      <c r="K6994" t="n">
        <v>0</v>
      </c>
      <c r="L6994" t="n">
        <v>0</v>
      </c>
      <c r="M6994" t="n">
        <v>0</v>
      </c>
      <c r="N6994" t="n">
        <v>0</v>
      </c>
      <c r="O6994" t="n">
        <v>0</v>
      </c>
      <c r="P6994" t="n">
        <v>0</v>
      </c>
      <c r="Q6994" t="n">
        <v>0</v>
      </c>
      <c r="R6994" s="2" t="inlineStr"/>
    </row>
    <row r="6995" ht="15" customHeight="1">
      <c r="A6995" t="inlineStr">
        <is>
          <t>A 13116-2023</t>
        </is>
      </c>
      <c r="B6995" s="1" t="n">
        <v>45002</v>
      </c>
      <c r="C6995" s="1" t="n">
        <v>45344</v>
      </c>
      <c r="D6995" t="inlineStr">
        <is>
          <t>GÄVLEBORGS LÄN</t>
        </is>
      </c>
      <c r="E6995" t="inlineStr">
        <is>
          <t>LJUSDAL</t>
        </is>
      </c>
      <c r="F6995" t="inlineStr">
        <is>
          <t>Allmännings- och besparingsskogar</t>
        </is>
      </c>
      <c r="G6995" t="n">
        <v>8.800000000000001</v>
      </c>
      <c r="H6995" t="n">
        <v>0</v>
      </c>
      <c r="I6995" t="n">
        <v>0</v>
      </c>
      <c r="J6995" t="n">
        <v>0</v>
      </c>
      <c r="K6995" t="n">
        <v>0</v>
      </c>
      <c r="L6995" t="n">
        <v>0</v>
      </c>
      <c r="M6995" t="n">
        <v>0</v>
      </c>
      <c r="N6995" t="n">
        <v>0</v>
      </c>
      <c r="O6995" t="n">
        <v>0</v>
      </c>
      <c r="P6995" t="n">
        <v>0</v>
      </c>
      <c r="Q6995" t="n">
        <v>0</v>
      </c>
      <c r="R6995" s="2" t="inlineStr"/>
    </row>
    <row r="6996" ht="15" customHeight="1">
      <c r="A6996" t="inlineStr">
        <is>
          <t>A 13145-2023</t>
        </is>
      </c>
      <c r="B6996" s="1" t="n">
        <v>45002</v>
      </c>
      <c r="C6996" s="1" t="n">
        <v>45344</v>
      </c>
      <c r="D6996" t="inlineStr">
        <is>
          <t>GÄVLEBORGS LÄN</t>
        </is>
      </c>
      <c r="E6996" t="inlineStr">
        <is>
          <t>SÖDERHAMN</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13011-2023</t>
        </is>
      </c>
      <c r="B6997" s="1" t="n">
        <v>45002</v>
      </c>
      <c r="C6997" s="1" t="n">
        <v>45344</v>
      </c>
      <c r="D6997" t="inlineStr">
        <is>
          <t>GÄVLEBORGS LÄN</t>
        </is>
      </c>
      <c r="E6997" t="inlineStr">
        <is>
          <t>OVANÅKER</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13035-2023</t>
        </is>
      </c>
      <c r="B6998" s="1" t="n">
        <v>45002</v>
      </c>
      <c r="C6998" s="1" t="n">
        <v>45344</v>
      </c>
      <c r="D6998" t="inlineStr">
        <is>
          <t>GÄVLEBORGS LÄN</t>
        </is>
      </c>
      <c r="E6998" t="inlineStr">
        <is>
          <t>SANDVIKEN</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13144-2023</t>
        </is>
      </c>
      <c r="B6999" s="1" t="n">
        <v>45002</v>
      </c>
      <c r="C6999" s="1" t="n">
        <v>45344</v>
      </c>
      <c r="D6999" t="inlineStr">
        <is>
          <t>GÄVLEBORGS LÄN</t>
        </is>
      </c>
      <c r="E6999" t="inlineStr">
        <is>
          <t>SÖDERHAMN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13159-2023</t>
        </is>
      </c>
      <c r="B7000" s="1" t="n">
        <v>45002</v>
      </c>
      <c r="C7000" s="1" t="n">
        <v>45344</v>
      </c>
      <c r="D7000" t="inlineStr">
        <is>
          <t>GÄVLEBORGS LÄN</t>
        </is>
      </c>
      <c r="E7000" t="inlineStr">
        <is>
          <t>HUDIKSVALL</t>
        </is>
      </c>
      <c r="F7000" t="inlineStr">
        <is>
          <t>Holmen skog AB</t>
        </is>
      </c>
      <c r="G7000" t="n">
        <v>3</v>
      </c>
      <c r="H7000" t="n">
        <v>0</v>
      </c>
      <c r="I7000" t="n">
        <v>0</v>
      </c>
      <c r="J7000" t="n">
        <v>0</v>
      </c>
      <c r="K7000" t="n">
        <v>0</v>
      </c>
      <c r="L7000" t="n">
        <v>0</v>
      </c>
      <c r="M7000" t="n">
        <v>0</v>
      </c>
      <c r="N7000" t="n">
        <v>0</v>
      </c>
      <c r="O7000" t="n">
        <v>0</v>
      </c>
      <c r="P7000" t="n">
        <v>0</v>
      </c>
      <c r="Q7000" t="n">
        <v>0</v>
      </c>
      <c r="R7000" s="2" t="inlineStr"/>
    </row>
    <row r="7001" ht="15" customHeight="1">
      <c r="A7001" t="inlineStr">
        <is>
          <t>A 13163-2023</t>
        </is>
      </c>
      <c r="B7001" s="1" t="n">
        <v>45002</v>
      </c>
      <c r="C7001" s="1" t="n">
        <v>45344</v>
      </c>
      <c r="D7001" t="inlineStr">
        <is>
          <t>GÄVLEBORGS LÄN</t>
        </is>
      </c>
      <c r="E7001" t="inlineStr">
        <is>
          <t>SÖDERHAMN</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13167-2023</t>
        </is>
      </c>
      <c r="B7002" s="1" t="n">
        <v>45002</v>
      </c>
      <c r="C7002" s="1" t="n">
        <v>45344</v>
      </c>
      <c r="D7002" t="inlineStr">
        <is>
          <t>GÄVLEBORGS LÄN</t>
        </is>
      </c>
      <c r="E7002" t="inlineStr">
        <is>
          <t>SÖDERHAMN</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13324-2023</t>
        </is>
      </c>
      <c r="B7003" s="1" t="n">
        <v>45005</v>
      </c>
      <c r="C7003" s="1" t="n">
        <v>45344</v>
      </c>
      <c r="D7003" t="inlineStr">
        <is>
          <t>GÄVLEBORGS LÄN</t>
        </is>
      </c>
      <c r="E7003" t="inlineStr">
        <is>
          <t>HUDIKSVALL</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13365-2023</t>
        </is>
      </c>
      <c r="B7004" s="1" t="n">
        <v>45005</v>
      </c>
      <c r="C7004" s="1" t="n">
        <v>45344</v>
      </c>
      <c r="D7004" t="inlineStr">
        <is>
          <t>GÄVLEBORGS LÄN</t>
        </is>
      </c>
      <c r="E7004" t="inlineStr">
        <is>
          <t>OVANÅKER</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13484-2023</t>
        </is>
      </c>
      <c r="B7005" s="1" t="n">
        <v>45005</v>
      </c>
      <c r="C7005" s="1" t="n">
        <v>45344</v>
      </c>
      <c r="D7005" t="inlineStr">
        <is>
          <t>GÄVLEBORGS LÄN</t>
        </is>
      </c>
      <c r="E7005" t="inlineStr">
        <is>
          <t>HUDIKSVALL</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13345-2023</t>
        </is>
      </c>
      <c r="B7006" s="1" t="n">
        <v>45005</v>
      </c>
      <c r="C7006" s="1" t="n">
        <v>45344</v>
      </c>
      <c r="D7006" t="inlineStr">
        <is>
          <t>GÄVLEBORGS LÄN</t>
        </is>
      </c>
      <c r="E7006" t="inlineStr">
        <is>
          <t>LJUSDAL</t>
        </is>
      </c>
      <c r="F7006" t="inlineStr">
        <is>
          <t>Holmen skog AB</t>
        </is>
      </c>
      <c r="G7006" t="n">
        <v>17.8</v>
      </c>
      <c r="H7006" t="n">
        <v>0</v>
      </c>
      <c r="I7006" t="n">
        <v>0</v>
      </c>
      <c r="J7006" t="n">
        <v>0</v>
      </c>
      <c r="K7006" t="n">
        <v>0</v>
      </c>
      <c r="L7006" t="n">
        <v>0</v>
      </c>
      <c r="M7006" t="n">
        <v>0</v>
      </c>
      <c r="N7006" t="n">
        <v>0</v>
      </c>
      <c r="O7006" t="n">
        <v>0</v>
      </c>
      <c r="P7006" t="n">
        <v>0</v>
      </c>
      <c r="Q7006" t="n">
        <v>0</v>
      </c>
      <c r="R7006" s="2" t="inlineStr"/>
    </row>
    <row r="7007" ht="15" customHeight="1">
      <c r="A7007" t="inlineStr">
        <is>
          <t>A 13398-2023</t>
        </is>
      </c>
      <c r="B7007" s="1" t="n">
        <v>45005</v>
      </c>
      <c r="C7007" s="1" t="n">
        <v>45344</v>
      </c>
      <c r="D7007" t="inlineStr">
        <is>
          <t>GÄVLEBORGS LÄN</t>
        </is>
      </c>
      <c r="E7007" t="inlineStr">
        <is>
          <t>HUDIKSVALL</t>
        </is>
      </c>
      <c r="F7007" t="inlineStr">
        <is>
          <t>Holmen skog AB</t>
        </is>
      </c>
      <c r="G7007" t="n">
        <v>7.6</v>
      </c>
      <c r="H7007" t="n">
        <v>0</v>
      </c>
      <c r="I7007" t="n">
        <v>0</v>
      </c>
      <c r="J7007" t="n">
        <v>0</v>
      </c>
      <c r="K7007" t="n">
        <v>0</v>
      </c>
      <c r="L7007" t="n">
        <v>0</v>
      </c>
      <c r="M7007" t="n">
        <v>0</v>
      </c>
      <c r="N7007" t="n">
        <v>0</v>
      </c>
      <c r="O7007" t="n">
        <v>0</v>
      </c>
      <c r="P7007" t="n">
        <v>0</v>
      </c>
      <c r="Q7007" t="n">
        <v>0</v>
      </c>
      <c r="R7007" s="2" t="inlineStr"/>
    </row>
    <row r="7008" ht="15" customHeight="1">
      <c r="A7008" t="inlineStr">
        <is>
          <t>A 13500-2023</t>
        </is>
      </c>
      <c r="B7008" s="1" t="n">
        <v>45006</v>
      </c>
      <c r="C7008" s="1" t="n">
        <v>45344</v>
      </c>
      <c r="D7008" t="inlineStr">
        <is>
          <t>GÄVLEBORGS LÄN</t>
        </is>
      </c>
      <c r="E7008" t="inlineStr">
        <is>
          <t>GÄVLE</t>
        </is>
      </c>
      <c r="F7008" t="inlineStr">
        <is>
          <t>Bergvik skog öst AB</t>
        </is>
      </c>
      <c r="G7008" t="n">
        <v>10.6</v>
      </c>
      <c r="H7008" t="n">
        <v>0</v>
      </c>
      <c r="I7008" t="n">
        <v>0</v>
      </c>
      <c r="J7008" t="n">
        <v>0</v>
      </c>
      <c r="K7008" t="n">
        <v>0</v>
      </c>
      <c r="L7008" t="n">
        <v>0</v>
      </c>
      <c r="M7008" t="n">
        <v>0</v>
      </c>
      <c r="N7008" t="n">
        <v>0</v>
      </c>
      <c r="O7008" t="n">
        <v>0</v>
      </c>
      <c r="P7008" t="n">
        <v>0</v>
      </c>
      <c r="Q7008" t="n">
        <v>0</v>
      </c>
      <c r="R7008" s="2" t="inlineStr"/>
    </row>
    <row r="7009" ht="15" customHeight="1">
      <c r="A7009" t="inlineStr">
        <is>
          <t>A 13677-2023</t>
        </is>
      </c>
      <c r="B7009" s="1" t="n">
        <v>45006</v>
      </c>
      <c r="C7009" s="1" t="n">
        <v>45344</v>
      </c>
      <c r="D7009" t="inlineStr">
        <is>
          <t>GÄVLEBORGS LÄN</t>
        </is>
      </c>
      <c r="E7009" t="inlineStr">
        <is>
          <t>SÖDERHAMN</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13667-2023</t>
        </is>
      </c>
      <c r="B7010" s="1" t="n">
        <v>45006</v>
      </c>
      <c r="C7010" s="1" t="n">
        <v>45344</v>
      </c>
      <c r="D7010" t="inlineStr">
        <is>
          <t>GÄVLEBORGS LÄN</t>
        </is>
      </c>
      <c r="E7010" t="inlineStr">
        <is>
          <t>LJUSDAL</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13742-2023</t>
        </is>
      </c>
      <c r="B7011" s="1" t="n">
        <v>45007</v>
      </c>
      <c r="C7011" s="1" t="n">
        <v>45344</v>
      </c>
      <c r="D7011" t="inlineStr">
        <is>
          <t>GÄVLEBORGS LÄN</t>
        </is>
      </c>
      <c r="E7011" t="inlineStr">
        <is>
          <t>HOFORS</t>
        </is>
      </c>
      <c r="F7011" t="inlineStr">
        <is>
          <t>Övriga statliga verk och myndigheter</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13744-2023</t>
        </is>
      </c>
      <c r="B7012" s="1" t="n">
        <v>45007</v>
      </c>
      <c r="C7012" s="1" t="n">
        <v>45344</v>
      </c>
      <c r="D7012" t="inlineStr">
        <is>
          <t>GÄVLEBORGS LÄN</t>
        </is>
      </c>
      <c r="E7012" t="inlineStr">
        <is>
          <t>HOFORS</t>
        </is>
      </c>
      <c r="F7012" t="inlineStr">
        <is>
          <t>Övriga statliga verk och myndigheter</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13745-2023</t>
        </is>
      </c>
      <c r="B7013" s="1" t="n">
        <v>45007</v>
      </c>
      <c r="C7013" s="1" t="n">
        <v>45344</v>
      </c>
      <c r="D7013" t="inlineStr">
        <is>
          <t>GÄVLEBORGS LÄN</t>
        </is>
      </c>
      <c r="E7013" t="inlineStr">
        <is>
          <t>HOFORS</t>
        </is>
      </c>
      <c r="F7013" t="inlineStr">
        <is>
          <t>Övriga statliga verk och myndigheter</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13854-2023</t>
        </is>
      </c>
      <c r="B7014" s="1" t="n">
        <v>45007</v>
      </c>
      <c r="C7014" s="1" t="n">
        <v>45344</v>
      </c>
      <c r="D7014" t="inlineStr">
        <is>
          <t>GÄVLEBORGS LÄN</t>
        </is>
      </c>
      <c r="E7014" t="inlineStr">
        <is>
          <t>LJUSDAL</t>
        </is>
      </c>
      <c r="G7014" t="n">
        <v>4.6</v>
      </c>
      <c r="H7014" t="n">
        <v>0</v>
      </c>
      <c r="I7014" t="n">
        <v>0</v>
      </c>
      <c r="J7014" t="n">
        <v>0</v>
      </c>
      <c r="K7014" t="n">
        <v>0</v>
      </c>
      <c r="L7014" t="n">
        <v>0</v>
      </c>
      <c r="M7014" t="n">
        <v>0</v>
      </c>
      <c r="N7014" t="n">
        <v>0</v>
      </c>
      <c r="O7014" t="n">
        <v>0</v>
      </c>
      <c r="P7014" t="n">
        <v>0</v>
      </c>
      <c r="Q7014" t="n">
        <v>0</v>
      </c>
      <c r="R7014" s="2" t="inlineStr"/>
    </row>
    <row r="7015" ht="15" customHeight="1">
      <c r="A7015" t="inlineStr">
        <is>
          <t>A 14016-2023</t>
        </is>
      </c>
      <c r="B7015" s="1" t="n">
        <v>45008</v>
      </c>
      <c r="C7015" s="1" t="n">
        <v>45344</v>
      </c>
      <c r="D7015" t="inlineStr">
        <is>
          <t>GÄVLEBORGS LÄN</t>
        </is>
      </c>
      <c r="E7015" t="inlineStr">
        <is>
          <t>HUDIKSVALL</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14029-2023</t>
        </is>
      </c>
      <c r="B7016" s="1" t="n">
        <v>45008</v>
      </c>
      <c r="C7016" s="1" t="n">
        <v>45344</v>
      </c>
      <c r="D7016" t="inlineStr">
        <is>
          <t>GÄVLEBORGS LÄN</t>
        </is>
      </c>
      <c r="E7016" t="inlineStr">
        <is>
          <t>SÖDERHAMN</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14036-2023</t>
        </is>
      </c>
      <c r="B7017" s="1" t="n">
        <v>45008</v>
      </c>
      <c r="C7017" s="1" t="n">
        <v>45344</v>
      </c>
      <c r="D7017" t="inlineStr">
        <is>
          <t>GÄVLEBORGS LÄN</t>
        </is>
      </c>
      <c r="E7017" t="inlineStr">
        <is>
          <t>LJUSDAL</t>
        </is>
      </c>
      <c r="F7017" t="inlineStr">
        <is>
          <t>Holmen skog AB</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14050-2023</t>
        </is>
      </c>
      <c r="B7018" s="1" t="n">
        <v>45008</v>
      </c>
      <c r="C7018" s="1" t="n">
        <v>45344</v>
      </c>
      <c r="D7018" t="inlineStr">
        <is>
          <t>GÄVLEBORGS LÄN</t>
        </is>
      </c>
      <c r="E7018" t="inlineStr">
        <is>
          <t>BOLLNÄS</t>
        </is>
      </c>
      <c r="G7018" t="n">
        <v>0.4</v>
      </c>
      <c r="H7018" t="n">
        <v>0</v>
      </c>
      <c r="I7018" t="n">
        <v>0</v>
      </c>
      <c r="J7018" t="n">
        <v>0</v>
      </c>
      <c r="K7018" t="n">
        <v>0</v>
      </c>
      <c r="L7018" t="n">
        <v>0</v>
      </c>
      <c r="M7018" t="n">
        <v>0</v>
      </c>
      <c r="N7018" t="n">
        <v>0</v>
      </c>
      <c r="O7018" t="n">
        <v>0</v>
      </c>
      <c r="P7018" t="n">
        <v>0</v>
      </c>
      <c r="Q7018" t="n">
        <v>0</v>
      </c>
      <c r="R7018" s="2" t="inlineStr"/>
    </row>
    <row r="7019" ht="15" customHeight="1">
      <c r="A7019" t="inlineStr">
        <is>
          <t>A 14155-2023</t>
        </is>
      </c>
      <c r="B7019" s="1" t="n">
        <v>45009</v>
      </c>
      <c r="C7019" s="1" t="n">
        <v>45344</v>
      </c>
      <c r="D7019" t="inlineStr">
        <is>
          <t>GÄVLEBORGS LÄN</t>
        </is>
      </c>
      <c r="E7019" t="inlineStr">
        <is>
          <t>GÄVLE</t>
        </is>
      </c>
      <c r="F7019" t="inlineStr">
        <is>
          <t>Bergvik skog öst AB</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14240-2023</t>
        </is>
      </c>
      <c r="B7020" s="1" t="n">
        <v>45009</v>
      </c>
      <c r="C7020" s="1" t="n">
        <v>45344</v>
      </c>
      <c r="D7020" t="inlineStr">
        <is>
          <t>GÄVLEBORGS LÄN</t>
        </is>
      </c>
      <c r="E7020" t="inlineStr">
        <is>
          <t>OVANÅKER</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14238-2023</t>
        </is>
      </c>
      <c r="B7021" s="1" t="n">
        <v>45009</v>
      </c>
      <c r="C7021" s="1" t="n">
        <v>45344</v>
      </c>
      <c r="D7021" t="inlineStr">
        <is>
          <t>GÄVLEBORGS LÄN</t>
        </is>
      </c>
      <c r="E7021" t="inlineStr">
        <is>
          <t>OVANÅKER</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14259-2023</t>
        </is>
      </c>
      <c r="B7022" s="1" t="n">
        <v>45009</v>
      </c>
      <c r="C7022" s="1" t="n">
        <v>45344</v>
      </c>
      <c r="D7022" t="inlineStr">
        <is>
          <t>GÄVLEBORGS LÄN</t>
        </is>
      </c>
      <c r="E7022" t="inlineStr">
        <is>
          <t>BOLLNÄS</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14384-2023</t>
        </is>
      </c>
      <c r="B7023" s="1" t="n">
        <v>45012</v>
      </c>
      <c r="C7023" s="1" t="n">
        <v>45344</v>
      </c>
      <c r="D7023" t="inlineStr">
        <is>
          <t>GÄVLEBORGS LÄN</t>
        </is>
      </c>
      <c r="E7023" t="inlineStr">
        <is>
          <t>HUDIKSVALL</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14473-2023</t>
        </is>
      </c>
      <c r="B7024" s="1" t="n">
        <v>45012</v>
      </c>
      <c r="C7024" s="1" t="n">
        <v>45344</v>
      </c>
      <c r="D7024" t="inlineStr">
        <is>
          <t>GÄVLEBORGS LÄN</t>
        </is>
      </c>
      <c r="E7024" t="inlineStr">
        <is>
          <t>LJUSDAL</t>
        </is>
      </c>
      <c r="F7024" t="inlineStr">
        <is>
          <t>Kyrkan</t>
        </is>
      </c>
      <c r="G7024" t="n">
        <v>5.1</v>
      </c>
      <c r="H7024" t="n">
        <v>0</v>
      </c>
      <c r="I7024" t="n">
        <v>0</v>
      </c>
      <c r="J7024" t="n">
        <v>0</v>
      </c>
      <c r="K7024" t="n">
        <v>0</v>
      </c>
      <c r="L7024" t="n">
        <v>0</v>
      </c>
      <c r="M7024" t="n">
        <v>0</v>
      </c>
      <c r="N7024" t="n">
        <v>0</v>
      </c>
      <c r="O7024" t="n">
        <v>0</v>
      </c>
      <c r="P7024" t="n">
        <v>0</v>
      </c>
      <c r="Q7024" t="n">
        <v>0</v>
      </c>
      <c r="R7024" s="2" t="inlineStr"/>
    </row>
    <row r="7025" ht="15" customHeight="1">
      <c r="A7025" t="inlineStr">
        <is>
          <t>A 14479-2023</t>
        </is>
      </c>
      <c r="B7025" s="1" t="n">
        <v>45012</v>
      </c>
      <c r="C7025" s="1" t="n">
        <v>45344</v>
      </c>
      <c r="D7025" t="inlineStr">
        <is>
          <t>GÄVLEBORGS LÄN</t>
        </is>
      </c>
      <c r="E7025" t="inlineStr">
        <is>
          <t>LJUSDAL</t>
        </is>
      </c>
      <c r="F7025" t="inlineStr">
        <is>
          <t>Kyrkan</t>
        </is>
      </c>
      <c r="G7025" t="n">
        <v>27.5</v>
      </c>
      <c r="H7025" t="n">
        <v>0</v>
      </c>
      <c r="I7025" t="n">
        <v>0</v>
      </c>
      <c r="J7025" t="n">
        <v>0</v>
      </c>
      <c r="K7025" t="n">
        <v>0</v>
      </c>
      <c r="L7025" t="n">
        <v>0</v>
      </c>
      <c r="M7025" t="n">
        <v>0</v>
      </c>
      <c r="N7025" t="n">
        <v>0</v>
      </c>
      <c r="O7025" t="n">
        <v>0</v>
      </c>
      <c r="P7025" t="n">
        <v>0</v>
      </c>
      <c r="Q7025" t="n">
        <v>0</v>
      </c>
      <c r="R7025" s="2" t="inlineStr"/>
    </row>
    <row r="7026" ht="15" customHeight="1">
      <c r="A7026" t="inlineStr">
        <is>
          <t>A 14498-2023</t>
        </is>
      </c>
      <c r="B7026" s="1" t="n">
        <v>45012</v>
      </c>
      <c r="C7026" s="1" t="n">
        <v>45344</v>
      </c>
      <c r="D7026" t="inlineStr">
        <is>
          <t>GÄVLEBORGS LÄN</t>
        </is>
      </c>
      <c r="E7026" t="inlineStr">
        <is>
          <t>SÖDERHAMN</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14423-2023</t>
        </is>
      </c>
      <c r="B7027" s="1" t="n">
        <v>45012</v>
      </c>
      <c r="C7027" s="1" t="n">
        <v>45344</v>
      </c>
      <c r="D7027" t="inlineStr">
        <is>
          <t>GÄVLEBORGS LÄN</t>
        </is>
      </c>
      <c r="E7027" t="inlineStr">
        <is>
          <t>BOLLNÄS</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14472-2023</t>
        </is>
      </c>
      <c r="B7028" s="1" t="n">
        <v>45012</v>
      </c>
      <c r="C7028" s="1" t="n">
        <v>45344</v>
      </c>
      <c r="D7028" t="inlineStr">
        <is>
          <t>GÄVLEBORGS LÄN</t>
        </is>
      </c>
      <c r="E7028" t="inlineStr">
        <is>
          <t>SANDVIKEN</t>
        </is>
      </c>
      <c r="F7028" t="inlineStr">
        <is>
          <t>Kommuner</t>
        </is>
      </c>
      <c r="G7028" t="n">
        <v>3.1</v>
      </c>
      <c r="H7028" t="n">
        <v>0</v>
      </c>
      <c r="I7028" t="n">
        <v>0</v>
      </c>
      <c r="J7028" t="n">
        <v>0</v>
      </c>
      <c r="K7028" t="n">
        <v>0</v>
      </c>
      <c r="L7028" t="n">
        <v>0</v>
      </c>
      <c r="M7028" t="n">
        <v>0</v>
      </c>
      <c r="N7028" t="n">
        <v>0</v>
      </c>
      <c r="O7028" t="n">
        <v>0</v>
      </c>
      <c r="P7028" t="n">
        <v>0</v>
      </c>
      <c r="Q7028" t="n">
        <v>0</v>
      </c>
      <c r="R7028" s="2" t="inlineStr"/>
    </row>
    <row r="7029" ht="15" customHeight="1">
      <c r="A7029" t="inlineStr">
        <is>
          <t>A 14401-2023</t>
        </is>
      </c>
      <c r="B7029" s="1" t="n">
        <v>45012</v>
      </c>
      <c r="C7029" s="1" t="n">
        <v>45344</v>
      </c>
      <c r="D7029" t="inlineStr">
        <is>
          <t>GÄVLEBORGS LÄN</t>
        </is>
      </c>
      <c r="E7029" t="inlineStr">
        <is>
          <t>HUDIKSVALL</t>
        </is>
      </c>
      <c r="F7029" t="inlineStr">
        <is>
          <t>Holmen skog AB</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14411-2023</t>
        </is>
      </c>
      <c r="B7030" s="1" t="n">
        <v>45012</v>
      </c>
      <c r="C7030" s="1" t="n">
        <v>45344</v>
      </c>
      <c r="D7030" t="inlineStr">
        <is>
          <t>GÄVLEBORGS LÄN</t>
        </is>
      </c>
      <c r="E7030" t="inlineStr">
        <is>
          <t>GÄVLE</t>
        </is>
      </c>
      <c r="F7030" t="inlineStr">
        <is>
          <t>Bergvik skog öst AB</t>
        </is>
      </c>
      <c r="G7030" t="n">
        <v>13.6</v>
      </c>
      <c r="H7030" t="n">
        <v>0</v>
      </c>
      <c r="I7030" t="n">
        <v>0</v>
      </c>
      <c r="J7030" t="n">
        <v>0</v>
      </c>
      <c r="K7030" t="n">
        <v>0</v>
      </c>
      <c r="L7030" t="n">
        <v>0</v>
      </c>
      <c r="M7030" t="n">
        <v>0</v>
      </c>
      <c r="N7030" t="n">
        <v>0</v>
      </c>
      <c r="O7030" t="n">
        <v>0</v>
      </c>
      <c r="P7030" t="n">
        <v>0</v>
      </c>
      <c r="Q7030" t="n">
        <v>0</v>
      </c>
      <c r="R7030" s="2" t="inlineStr"/>
    </row>
    <row r="7031" ht="15" customHeight="1">
      <c r="A7031" t="inlineStr">
        <is>
          <t>A 14426-2023</t>
        </is>
      </c>
      <c r="B7031" s="1" t="n">
        <v>45012</v>
      </c>
      <c r="C7031" s="1" t="n">
        <v>45344</v>
      </c>
      <c r="D7031" t="inlineStr">
        <is>
          <t>GÄVLEBORGS LÄN</t>
        </is>
      </c>
      <c r="E7031" t="inlineStr">
        <is>
          <t>GÄVLE</t>
        </is>
      </c>
      <c r="F7031" t="inlineStr">
        <is>
          <t>Bergvik skog öst AB</t>
        </is>
      </c>
      <c r="G7031" t="n">
        <v>5.1</v>
      </c>
      <c r="H7031" t="n">
        <v>0</v>
      </c>
      <c r="I7031" t="n">
        <v>0</v>
      </c>
      <c r="J7031" t="n">
        <v>0</v>
      </c>
      <c r="K7031" t="n">
        <v>0</v>
      </c>
      <c r="L7031" t="n">
        <v>0</v>
      </c>
      <c r="M7031" t="n">
        <v>0</v>
      </c>
      <c r="N7031" t="n">
        <v>0</v>
      </c>
      <c r="O7031" t="n">
        <v>0</v>
      </c>
      <c r="P7031" t="n">
        <v>0</v>
      </c>
      <c r="Q7031" t="n">
        <v>0</v>
      </c>
      <c r="R7031" s="2" t="inlineStr"/>
    </row>
    <row r="7032" ht="15" customHeight="1">
      <c r="A7032" t="inlineStr">
        <is>
          <t>A 14623-2023</t>
        </is>
      </c>
      <c r="B7032" s="1" t="n">
        <v>45013</v>
      </c>
      <c r="C7032" s="1" t="n">
        <v>45344</v>
      </c>
      <c r="D7032" t="inlineStr">
        <is>
          <t>GÄVLEBORGS LÄN</t>
        </is>
      </c>
      <c r="E7032" t="inlineStr">
        <is>
          <t>BOLLNÄS</t>
        </is>
      </c>
      <c r="G7032" t="n">
        <v>5.3</v>
      </c>
      <c r="H7032" t="n">
        <v>0</v>
      </c>
      <c r="I7032" t="n">
        <v>0</v>
      </c>
      <c r="J7032" t="n">
        <v>0</v>
      </c>
      <c r="K7032" t="n">
        <v>0</v>
      </c>
      <c r="L7032" t="n">
        <v>0</v>
      </c>
      <c r="M7032" t="n">
        <v>0</v>
      </c>
      <c r="N7032" t="n">
        <v>0</v>
      </c>
      <c r="O7032" t="n">
        <v>0</v>
      </c>
      <c r="P7032" t="n">
        <v>0</v>
      </c>
      <c r="Q7032" t="n">
        <v>0</v>
      </c>
      <c r="R7032" s="2" t="inlineStr"/>
    </row>
    <row r="7033" ht="15" customHeight="1">
      <c r="A7033" t="inlineStr">
        <is>
          <t>A 14664-2023</t>
        </is>
      </c>
      <c r="B7033" s="1" t="n">
        <v>45014</v>
      </c>
      <c r="C7033" s="1" t="n">
        <v>45344</v>
      </c>
      <c r="D7033" t="inlineStr">
        <is>
          <t>GÄVLEBORGS LÄN</t>
        </is>
      </c>
      <c r="E7033" t="inlineStr">
        <is>
          <t>LJUSDAL</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14681-2023</t>
        </is>
      </c>
      <c r="B7034" s="1" t="n">
        <v>45014</v>
      </c>
      <c r="C7034" s="1" t="n">
        <v>45344</v>
      </c>
      <c r="D7034" t="inlineStr">
        <is>
          <t>GÄVLEBORGS LÄN</t>
        </is>
      </c>
      <c r="E7034" t="inlineStr">
        <is>
          <t>BOLLNÄS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14707-2023</t>
        </is>
      </c>
      <c r="B7035" s="1" t="n">
        <v>45014</v>
      </c>
      <c r="C7035" s="1" t="n">
        <v>45344</v>
      </c>
      <c r="D7035" t="inlineStr">
        <is>
          <t>GÄVLEBORGS LÄN</t>
        </is>
      </c>
      <c r="E7035" t="inlineStr">
        <is>
          <t>HUDIKSVALL</t>
        </is>
      </c>
      <c r="F7035" t="inlineStr">
        <is>
          <t>Holmen skog AB</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14796-2023</t>
        </is>
      </c>
      <c r="B7036" s="1" t="n">
        <v>45014</v>
      </c>
      <c r="C7036" s="1" t="n">
        <v>45344</v>
      </c>
      <c r="D7036" t="inlineStr">
        <is>
          <t>GÄVLEBORGS LÄN</t>
        </is>
      </c>
      <c r="E7036" t="inlineStr">
        <is>
          <t>HUDIKSVALL</t>
        </is>
      </c>
      <c r="F7036" t="inlineStr">
        <is>
          <t>Holmen skog AB</t>
        </is>
      </c>
      <c r="G7036" t="n">
        <v>10.4</v>
      </c>
      <c r="H7036" t="n">
        <v>0</v>
      </c>
      <c r="I7036" t="n">
        <v>0</v>
      </c>
      <c r="J7036" t="n">
        <v>0</v>
      </c>
      <c r="K7036" t="n">
        <v>0</v>
      </c>
      <c r="L7036" t="n">
        <v>0</v>
      </c>
      <c r="M7036" t="n">
        <v>0</v>
      </c>
      <c r="N7036" t="n">
        <v>0</v>
      </c>
      <c r="O7036" t="n">
        <v>0</v>
      </c>
      <c r="P7036" t="n">
        <v>0</v>
      </c>
      <c r="Q7036" t="n">
        <v>0</v>
      </c>
      <c r="R7036" s="2" t="inlineStr"/>
    </row>
    <row r="7037" ht="15" customHeight="1">
      <c r="A7037" t="inlineStr">
        <is>
          <t>A 14807-2023</t>
        </is>
      </c>
      <c r="B7037" s="1" t="n">
        <v>45014</v>
      </c>
      <c r="C7037" s="1" t="n">
        <v>45344</v>
      </c>
      <c r="D7037" t="inlineStr">
        <is>
          <t>GÄVLEBORGS LÄN</t>
        </is>
      </c>
      <c r="E7037" t="inlineStr">
        <is>
          <t>GÄVLE</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14850-2023</t>
        </is>
      </c>
      <c r="B7038" s="1" t="n">
        <v>45014</v>
      </c>
      <c r="C7038" s="1" t="n">
        <v>45344</v>
      </c>
      <c r="D7038" t="inlineStr">
        <is>
          <t>GÄVLEBORGS LÄN</t>
        </is>
      </c>
      <c r="E7038" t="inlineStr">
        <is>
          <t>GÄVLE</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14783-2023</t>
        </is>
      </c>
      <c r="B7039" s="1" t="n">
        <v>45014</v>
      </c>
      <c r="C7039" s="1" t="n">
        <v>45344</v>
      </c>
      <c r="D7039" t="inlineStr">
        <is>
          <t>GÄVLEBORGS LÄN</t>
        </is>
      </c>
      <c r="E7039" t="inlineStr">
        <is>
          <t>HUDIKSVALL</t>
        </is>
      </c>
      <c r="F7039" t="inlineStr">
        <is>
          <t>Holmen skog AB</t>
        </is>
      </c>
      <c r="G7039" t="n">
        <v>4.1</v>
      </c>
      <c r="H7039" t="n">
        <v>0</v>
      </c>
      <c r="I7039" t="n">
        <v>0</v>
      </c>
      <c r="J7039" t="n">
        <v>0</v>
      </c>
      <c r="K7039" t="n">
        <v>0</v>
      </c>
      <c r="L7039" t="n">
        <v>0</v>
      </c>
      <c r="M7039" t="n">
        <v>0</v>
      </c>
      <c r="N7039" t="n">
        <v>0</v>
      </c>
      <c r="O7039" t="n">
        <v>0</v>
      </c>
      <c r="P7039" t="n">
        <v>0</v>
      </c>
      <c r="Q7039" t="n">
        <v>0</v>
      </c>
      <c r="R7039" s="2" t="inlineStr"/>
    </row>
    <row r="7040" ht="15" customHeight="1">
      <c r="A7040" t="inlineStr">
        <is>
          <t>A 14792-2023</t>
        </is>
      </c>
      <c r="B7040" s="1" t="n">
        <v>45014</v>
      </c>
      <c r="C7040" s="1" t="n">
        <v>45344</v>
      </c>
      <c r="D7040" t="inlineStr">
        <is>
          <t>GÄVLEBORGS LÄN</t>
        </is>
      </c>
      <c r="E7040" t="inlineStr">
        <is>
          <t>GÄVLE</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14801-2023</t>
        </is>
      </c>
      <c r="B7041" s="1" t="n">
        <v>45014</v>
      </c>
      <c r="C7041" s="1" t="n">
        <v>45344</v>
      </c>
      <c r="D7041" t="inlineStr">
        <is>
          <t>GÄVLEBORGS LÄN</t>
        </is>
      </c>
      <c r="E7041" t="inlineStr">
        <is>
          <t>GÄVLE</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14811-2023</t>
        </is>
      </c>
      <c r="B7042" s="1" t="n">
        <v>45014</v>
      </c>
      <c r="C7042" s="1" t="n">
        <v>45344</v>
      </c>
      <c r="D7042" t="inlineStr">
        <is>
          <t>GÄVLEBORGS LÄN</t>
        </is>
      </c>
      <c r="E7042" t="inlineStr">
        <is>
          <t>HOFORS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14912-2023</t>
        </is>
      </c>
      <c r="B7043" s="1" t="n">
        <v>45014</v>
      </c>
      <c r="C7043" s="1" t="n">
        <v>45344</v>
      </c>
      <c r="D7043" t="inlineStr">
        <is>
          <t>GÄVLEBORGS LÄN</t>
        </is>
      </c>
      <c r="E7043" t="inlineStr">
        <is>
          <t>BOLLNÄS</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14910-2023</t>
        </is>
      </c>
      <c r="B7044" s="1" t="n">
        <v>45015</v>
      </c>
      <c r="C7044" s="1" t="n">
        <v>45344</v>
      </c>
      <c r="D7044" t="inlineStr">
        <is>
          <t>GÄVLEBORGS LÄN</t>
        </is>
      </c>
      <c r="E7044" t="inlineStr">
        <is>
          <t>SANDVIKEN</t>
        </is>
      </c>
      <c r="F7044" t="inlineStr">
        <is>
          <t>Bergvik skog öst AB</t>
        </is>
      </c>
      <c r="G7044" t="n">
        <v>26.7</v>
      </c>
      <c r="H7044" t="n">
        <v>0</v>
      </c>
      <c r="I7044" t="n">
        <v>0</v>
      </c>
      <c r="J7044" t="n">
        <v>0</v>
      </c>
      <c r="K7044" t="n">
        <v>0</v>
      </c>
      <c r="L7044" t="n">
        <v>0</v>
      </c>
      <c r="M7044" t="n">
        <v>0</v>
      </c>
      <c r="N7044" t="n">
        <v>0</v>
      </c>
      <c r="O7044" t="n">
        <v>0</v>
      </c>
      <c r="P7044" t="n">
        <v>0</v>
      </c>
      <c r="Q7044" t="n">
        <v>0</v>
      </c>
      <c r="R7044" s="2" t="inlineStr"/>
    </row>
    <row r="7045" ht="15" customHeight="1">
      <c r="A7045" t="inlineStr">
        <is>
          <t>A 14919-2023</t>
        </is>
      </c>
      <c r="B7045" s="1" t="n">
        <v>45015</v>
      </c>
      <c r="C7045" s="1" t="n">
        <v>45344</v>
      </c>
      <c r="D7045" t="inlineStr">
        <is>
          <t>GÄVLEBORGS LÄN</t>
        </is>
      </c>
      <c r="E7045" t="inlineStr">
        <is>
          <t>SANDVIKEN</t>
        </is>
      </c>
      <c r="F7045" t="inlineStr">
        <is>
          <t>Bergvik skog öst AB</t>
        </is>
      </c>
      <c r="G7045" t="n">
        <v>5.5</v>
      </c>
      <c r="H7045" t="n">
        <v>0</v>
      </c>
      <c r="I7045" t="n">
        <v>0</v>
      </c>
      <c r="J7045" t="n">
        <v>0</v>
      </c>
      <c r="K7045" t="n">
        <v>0</v>
      </c>
      <c r="L7045" t="n">
        <v>0</v>
      </c>
      <c r="M7045" t="n">
        <v>0</v>
      </c>
      <c r="N7045" t="n">
        <v>0</v>
      </c>
      <c r="O7045" t="n">
        <v>0</v>
      </c>
      <c r="P7045" t="n">
        <v>0</v>
      </c>
      <c r="Q7045" t="n">
        <v>0</v>
      </c>
      <c r="R7045" s="2" t="inlineStr"/>
    </row>
    <row r="7046" ht="15" customHeight="1">
      <c r="A7046" t="inlineStr">
        <is>
          <t>A 14957-2023</t>
        </is>
      </c>
      <c r="B7046" s="1" t="n">
        <v>45015</v>
      </c>
      <c r="C7046" s="1" t="n">
        <v>45344</v>
      </c>
      <c r="D7046" t="inlineStr">
        <is>
          <t>GÄVLEBORGS LÄN</t>
        </is>
      </c>
      <c r="E7046" t="inlineStr">
        <is>
          <t>GÄVLE</t>
        </is>
      </c>
      <c r="F7046" t="inlineStr">
        <is>
          <t>Bergvik skog öst AB</t>
        </is>
      </c>
      <c r="G7046" t="n">
        <v>6.2</v>
      </c>
      <c r="H7046" t="n">
        <v>0</v>
      </c>
      <c r="I7046" t="n">
        <v>0</v>
      </c>
      <c r="J7046" t="n">
        <v>0</v>
      </c>
      <c r="K7046" t="n">
        <v>0</v>
      </c>
      <c r="L7046" t="n">
        <v>0</v>
      </c>
      <c r="M7046" t="n">
        <v>0</v>
      </c>
      <c r="N7046" t="n">
        <v>0</v>
      </c>
      <c r="O7046" t="n">
        <v>0</v>
      </c>
      <c r="P7046" t="n">
        <v>0</v>
      </c>
      <c r="Q7046" t="n">
        <v>0</v>
      </c>
      <c r="R7046" s="2" t="inlineStr"/>
    </row>
    <row r="7047" ht="15" customHeight="1">
      <c r="A7047" t="inlineStr">
        <is>
          <t>A 14955-2023</t>
        </is>
      </c>
      <c r="B7047" s="1" t="n">
        <v>45015</v>
      </c>
      <c r="C7047" s="1" t="n">
        <v>45344</v>
      </c>
      <c r="D7047" t="inlineStr">
        <is>
          <t>GÄVLEBORGS LÄN</t>
        </is>
      </c>
      <c r="E7047" t="inlineStr">
        <is>
          <t>HUDIKSVALL</t>
        </is>
      </c>
      <c r="G7047" t="n">
        <v>9.699999999999999</v>
      </c>
      <c r="H7047" t="n">
        <v>0</v>
      </c>
      <c r="I7047" t="n">
        <v>0</v>
      </c>
      <c r="J7047" t="n">
        <v>0</v>
      </c>
      <c r="K7047" t="n">
        <v>0</v>
      </c>
      <c r="L7047" t="n">
        <v>0</v>
      </c>
      <c r="M7047" t="n">
        <v>0</v>
      </c>
      <c r="N7047" t="n">
        <v>0</v>
      </c>
      <c r="O7047" t="n">
        <v>0</v>
      </c>
      <c r="P7047" t="n">
        <v>0</v>
      </c>
      <c r="Q7047" t="n">
        <v>0</v>
      </c>
      <c r="R7047" s="2" t="inlineStr"/>
    </row>
    <row r="7048" ht="15" customHeight="1">
      <c r="A7048" t="inlineStr">
        <is>
          <t>A 14964-2023</t>
        </is>
      </c>
      <c r="B7048" s="1" t="n">
        <v>45015</v>
      </c>
      <c r="C7048" s="1" t="n">
        <v>45344</v>
      </c>
      <c r="D7048" t="inlineStr">
        <is>
          <t>GÄVLEBORGS LÄN</t>
        </is>
      </c>
      <c r="E7048" t="inlineStr">
        <is>
          <t>GÄVLE</t>
        </is>
      </c>
      <c r="F7048" t="inlineStr">
        <is>
          <t>Bergvik skog öst AB</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15001-2023</t>
        </is>
      </c>
      <c r="B7049" s="1" t="n">
        <v>45015</v>
      </c>
      <c r="C7049" s="1" t="n">
        <v>45344</v>
      </c>
      <c r="D7049" t="inlineStr">
        <is>
          <t>GÄVLEBORGS LÄN</t>
        </is>
      </c>
      <c r="E7049" t="inlineStr">
        <is>
          <t>GÄVLE</t>
        </is>
      </c>
      <c r="F7049" t="inlineStr">
        <is>
          <t>Bergvik skog öst AB</t>
        </is>
      </c>
      <c r="G7049" t="n">
        <v>2.7</v>
      </c>
      <c r="H7049" t="n">
        <v>0</v>
      </c>
      <c r="I7049" t="n">
        <v>0</v>
      </c>
      <c r="J7049" t="n">
        <v>0</v>
      </c>
      <c r="K7049" t="n">
        <v>0</v>
      </c>
      <c r="L7049" t="n">
        <v>0</v>
      </c>
      <c r="M7049" t="n">
        <v>0</v>
      </c>
      <c r="N7049" t="n">
        <v>0</v>
      </c>
      <c r="O7049" t="n">
        <v>0</v>
      </c>
      <c r="P7049" t="n">
        <v>0</v>
      </c>
      <c r="Q7049" t="n">
        <v>0</v>
      </c>
      <c r="R7049" s="2" t="inlineStr"/>
    </row>
    <row r="7050" ht="15" customHeight="1">
      <c r="A7050" t="inlineStr">
        <is>
          <t>A 15015-2023</t>
        </is>
      </c>
      <c r="B7050" s="1" t="n">
        <v>45015</v>
      </c>
      <c r="C7050" s="1" t="n">
        <v>45344</v>
      </c>
      <c r="D7050" t="inlineStr">
        <is>
          <t>GÄVLEBORGS LÄN</t>
        </is>
      </c>
      <c r="E7050" t="inlineStr">
        <is>
          <t>LJUSDAL</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14994-2023</t>
        </is>
      </c>
      <c r="B7051" s="1" t="n">
        <v>45015</v>
      </c>
      <c r="C7051" s="1" t="n">
        <v>45344</v>
      </c>
      <c r="D7051" t="inlineStr">
        <is>
          <t>GÄVLEBORGS LÄN</t>
        </is>
      </c>
      <c r="E7051" t="inlineStr">
        <is>
          <t>GÄVLE</t>
        </is>
      </c>
      <c r="F7051" t="inlineStr">
        <is>
          <t>Bergvik skog öst AB</t>
        </is>
      </c>
      <c r="G7051" t="n">
        <v>2.6</v>
      </c>
      <c r="H7051" t="n">
        <v>0</v>
      </c>
      <c r="I7051" t="n">
        <v>0</v>
      </c>
      <c r="J7051" t="n">
        <v>0</v>
      </c>
      <c r="K7051" t="n">
        <v>0</v>
      </c>
      <c r="L7051" t="n">
        <v>0</v>
      </c>
      <c r="M7051" t="n">
        <v>0</v>
      </c>
      <c r="N7051" t="n">
        <v>0</v>
      </c>
      <c r="O7051" t="n">
        <v>0</v>
      </c>
      <c r="P7051" t="n">
        <v>0</v>
      </c>
      <c r="Q7051" t="n">
        <v>0</v>
      </c>
      <c r="R7051" s="2" t="inlineStr"/>
    </row>
    <row r="7052" ht="15" customHeight="1">
      <c r="A7052" t="inlineStr">
        <is>
          <t>A 15004-2023</t>
        </is>
      </c>
      <c r="B7052" s="1" t="n">
        <v>45015</v>
      </c>
      <c r="C7052" s="1" t="n">
        <v>45344</v>
      </c>
      <c r="D7052" t="inlineStr">
        <is>
          <t>GÄVLEBORGS LÄN</t>
        </is>
      </c>
      <c r="E7052" t="inlineStr">
        <is>
          <t>HUDIKSVALL</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14989-2023</t>
        </is>
      </c>
      <c r="B7053" s="1" t="n">
        <v>45015</v>
      </c>
      <c r="C7053" s="1" t="n">
        <v>45344</v>
      </c>
      <c r="D7053" t="inlineStr">
        <is>
          <t>GÄVLEBORGS LÄN</t>
        </is>
      </c>
      <c r="E7053" t="inlineStr">
        <is>
          <t>GÄVLE</t>
        </is>
      </c>
      <c r="F7053" t="inlineStr">
        <is>
          <t>Bergvik skog öst AB</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15074-2023</t>
        </is>
      </c>
      <c r="B7054" s="1" t="n">
        <v>45016</v>
      </c>
      <c r="C7054" s="1" t="n">
        <v>45344</v>
      </c>
      <c r="D7054" t="inlineStr">
        <is>
          <t>GÄVLEBORGS LÄN</t>
        </is>
      </c>
      <c r="E7054" t="inlineStr">
        <is>
          <t>SÖDERHAMN</t>
        </is>
      </c>
      <c r="G7054" t="n">
        <v>11.7</v>
      </c>
      <c r="H7054" t="n">
        <v>0</v>
      </c>
      <c r="I7054" t="n">
        <v>0</v>
      </c>
      <c r="J7054" t="n">
        <v>0</v>
      </c>
      <c r="K7054" t="n">
        <v>0</v>
      </c>
      <c r="L7054" t="n">
        <v>0</v>
      </c>
      <c r="M7054" t="n">
        <v>0</v>
      </c>
      <c r="N7054" t="n">
        <v>0</v>
      </c>
      <c r="O7054" t="n">
        <v>0</v>
      </c>
      <c r="P7054" t="n">
        <v>0</v>
      </c>
      <c r="Q7054" t="n">
        <v>0</v>
      </c>
      <c r="R7054" s="2" t="inlineStr"/>
    </row>
    <row r="7055" ht="15" customHeight="1">
      <c r="A7055" t="inlineStr">
        <is>
          <t>A 15146-2023</t>
        </is>
      </c>
      <c r="B7055" s="1" t="n">
        <v>45016</v>
      </c>
      <c r="C7055" s="1" t="n">
        <v>45344</v>
      </c>
      <c r="D7055" t="inlineStr">
        <is>
          <t>GÄVLEBORGS LÄN</t>
        </is>
      </c>
      <c r="E7055" t="inlineStr">
        <is>
          <t>BOLLNÄS</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15096-2023</t>
        </is>
      </c>
      <c r="B7056" s="1" t="n">
        <v>45016</v>
      </c>
      <c r="C7056" s="1" t="n">
        <v>45344</v>
      </c>
      <c r="D7056" t="inlineStr">
        <is>
          <t>GÄVLEBORGS LÄN</t>
        </is>
      </c>
      <c r="E7056" t="inlineStr">
        <is>
          <t>BOLLNÄS</t>
        </is>
      </c>
      <c r="G7056" t="n">
        <v>2.4</v>
      </c>
      <c r="H7056" t="n">
        <v>0</v>
      </c>
      <c r="I7056" t="n">
        <v>0</v>
      </c>
      <c r="J7056" t="n">
        <v>0</v>
      </c>
      <c r="K7056" t="n">
        <v>0</v>
      </c>
      <c r="L7056" t="n">
        <v>0</v>
      </c>
      <c r="M7056" t="n">
        <v>0</v>
      </c>
      <c r="N7056" t="n">
        <v>0</v>
      </c>
      <c r="O7056" t="n">
        <v>0</v>
      </c>
      <c r="P7056" t="n">
        <v>0</v>
      </c>
      <c r="Q7056" t="n">
        <v>0</v>
      </c>
      <c r="R7056" s="2" t="inlineStr"/>
    </row>
    <row r="7057" ht="15" customHeight="1">
      <c r="A7057" t="inlineStr">
        <is>
          <t>A 15142-2023</t>
        </is>
      </c>
      <c r="B7057" s="1" t="n">
        <v>45016</v>
      </c>
      <c r="C7057" s="1" t="n">
        <v>45344</v>
      </c>
      <c r="D7057" t="inlineStr">
        <is>
          <t>GÄVLEBORGS LÄN</t>
        </is>
      </c>
      <c r="E7057" t="inlineStr">
        <is>
          <t>BOLLNÄS</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15147-2023</t>
        </is>
      </c>
      <c r="B7058" s="1" t="n">
        <v>45016</v>
      </c>
      <c r="C7058" s="1" t="n">
        <v>45344</v>
      </c>
      <c r="D7058" t="inlineStr">
        <is>
          <t>GÄVLEBORGS LÄN</t>
        </is>
      </c>
      <c r="E7058" t="inlineStr">
        <is>
          <t>BOLLNÄS</t>
        </is>
      </c>
      <c r="G7058" t="n">
        <v>3.1</v>
      </c>
      <c r="H7058" t="n">
        <v>0</v>
      </c>
      <c r="I7058" t="n">
        <v>0</v>
      </c>
      <c r="J7058" t="n">
        <v>0</v>
      </c>
      <c r="K7058" t="n">
        <v>0</v>
      </c>
      <c r="L7058" t="n">
        <v>0</v>
      </c>
      <c r="M7058" t="n">
        <v>0</v>
      </c>
      <c r="N7058" t="n">
        <v>0</v>
      </c>
      <c r="O7058" t="n">
        <v>0</v>
      </c>
      <c r="P7058" t="n">
        <v>0</v>
      </c>
      <c r="Q7058" t="n">
        <v>0</v>
      </c>
      <c r="R7058" s="2" t="inlineStr"/>
    </row>
    <row r="7059" ht="15" customHeight="1">
      <c r="A7059" t="inlineStr">
        <is>
          <t>A 15102-2023</t>
        </is>
      </c>
      <c r="B7059" s="1" t="n">
        <v>45016</v>
      </c>
      <c r="C7059" s="1" t="n">
        <v>45344</v>
      </c>
      <c r="D7059" t="inlineStr">
        <is>
          <t>GÄVLEBORGS LÄN</t>
        </is>
      </c>
      <c r="E7059" t="inlineStr">
        <is>
          <t>BOLLNÄS</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15107-2023</t>
        </is>
      </c>
      <c r="B7060" s="1" t="n">
        <v>45016</v>
      </c>
      <c r="C7060" s="1" t="n">
        <v>45344</v>
      </c>
      <c r="D7060" t="inlineStr">
        <is>
          <t>GÄVLEBORGS LÄN</t>
        </is>
      </c>
      <c r="E7060" t="inlineStr">
        <is>
          <t>HUDIKSVALL</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15123-2023</t>
        </is>
      </c>
      <c r="B7061" s="1" t="n">
        <v>45016</v>
      </c>
      <c r="C7061" s="1" t="n">
        <v>45344</v>
      </c>
      <c r="D7061" t="inlineStr">
        <is>
          <t>GÄVLEBORGS LÄN</t>
        </is>
      </c>
      <c r="E7061" t="inlineStr">
        <is>
          <t>NORDANSTIG</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15148-2023</t>
        </is>
      </c>
      <c r="B7062" s="1" t="n">
        <v>45016</v>
      </c>
      <c r="C7062" s="1" t="n">
        <v>45344</v>
      </c>
      <c r="D7062" t="inlineStr">
        <is>
          <t>GÄVLEBORGS LÄN</t>
        </is>
      </c>
      <c r="E7062" t="inlineStr">
        <is>
          <t>BOLLNÄS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15138-2023</t>
        </is>
      </c>
      <c r="B7063" s="1" t="n">
        <v>45016</v>
      </c>
      <c r="C7063" s="1" t="n">
        <v>45344</v>
      </c>
      <c r="D7063" t="inlineStr">
        <is>
          <t>GÄVLEBORGS LÄN</t>
        </is>
      </c>
      <c r="E7063" t="inlineStr">
        <is>
          <t>LJUSDAL</t>
        </is>
      </c>
      <c r="F7063" t="inlineStr">
        <is>
          <t>Holmen skog AB</t>
        </is>
      </c>
      <c r="G7063" t="n">
        <v>3.8</v>
      </c>
      <c r="H7063" t="n">
        <v>0</v>
      </c>
      <c r="I7063" t="n">
        <v>0</v>
      </c>
      <c r="J7063" t="n">
        <v>0</v>
      </c>
      <c r="K7063" t="n">
        <v>0</v>
      </c>
      <c r="L7063" t="n">
        <v>0</v>
      </c>
      <c r="M7063" t="n">
        <v>0</v>
      </c>
      <c r="N7063" t="n">
        <v>0</v>
      </c>
      <c r="O7063" t="n">
        <v>0</v>
      </c>
      <c r="P7063" t="n">
        <v>0</v>
      </c>
      <c r="Q7063" t="n">
        <v>0</v>
      </c>
      <c r="R7063" s="2" t="inlineStr"/>
    </row>
    <row r="7064" ht="15" customHeight="1">
      <c r="A7064" t="inlineStr">
        <is>
          <t>A 15150-2023</t>
        </is>
      </c>
      <c r="B7064" s="1" t="n">
        <v>45016</v>
      </c>
      <c r="C7064" s="1" t="n">
        <v>45344</v>
      </c>
      <c r="D7064" t="inlineStr">
        <is>
          <t>GÄVLEBORGS LÄN</t>
        </is>
      </c>
      <c r="E7064" t="inlineStr">
        <is>
          <t>BOLLNÄS</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15168-2023</t>
        </is>
      </c>
      <c r="B7065" s="1" t="n">
        <v>45016</v>
      </c>
      <c r="C7065" s="1" t="n">
        <v>45344</v>
      </c>
      <c r="D7065" t="inlineStr">
        <is>
          <t>GÄVLEBORGS LÄN</t>
        </is>
      </c>
      <c r="E7065" t="inlineStr">
        <is>
          <t>SANDVIKEN</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15171-2023</t>
        </is>
      </c>
      <c r="B7066" s="1" t="n">
        <v>45016</v>
      </c>
      <c r="C7066" s="1" t="n">
        <v>45344</v>
      </c>
      <c r="D7066" t="inlineStr">
        <is>
          <t>GÄVLEBORGS LÄN</t>
        </is>
      </c>
      <c r="E7066" t="inlineStr">
        <is>
          <t>LJUSDAL</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15178-2023</t>
        </is>
      </c>
      <c r="B7067" s="1" t="n">
        <v>45016</v>
      </c>
      <c r="C7067" s="1" t="n">
        <v>45344</v>
      </c>
      <c r="D7067" t="inlineStr">
        <is>
          <t>GÄVLEBORGS LÄN</t>
        </is>
      </c>
      <c r="E7067" t="inlineStr">
        <is>
          <t>LJUSDAL</t>
        </is>
      </c>
      <c r="F7067" t="inlineStr">
        <is>
          <t>Holmen skog AB</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15226-2023</t>
        </is>
      </c>
      <c r="B7068" s="1" t="n">
        <v>45019</v>
      </c>
      <c r="C7068" s="1" t="n">
        <v>45344</v>
      </c>
      <c r="D7068" t="inlineStr">
        <is>
          <t>GÄVLEBORGS LÄN</t>
        </is>
      </c>
      <c r="E7068" t="inlineStr">
        <is>
          <t>NORDANSTIG</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15242-2023</t>
        </is>
      </c>
      <c r="B7069" s="1" t="n">
        <v>45019</v>
      </c>
      <c r="C7069" s="1" t="n">
        <v>45344</v>
      </c>
      <c r="D7069" t="inlineStr">
        <is>
          <t>GÄVLEBORGS LÄN</t>
        </is>
      </c>
      <c r="E7069" t="inlineStr">
        <is>
          <t>HUDIKSVALL</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15233-2023</t>
        </is>
      </c>
      <c r="B7070" s="1" t="n">
        <v>45019</v>
      </c>
      <c r="C7070" s="1" t="n">
        <v>45344</v>
      </c>
      <c r="D7070" t="inlineStr">
        <is>
          <t>GÄVLEBORGS LÄN</t>
        </is>
      </c>
      <c r="E7070" t="inlineStr">
        <is>
          <t>HUDIKSVALL</t>
        </is>
      </c>
      <c r="F7070" t="inlineStr">
        <is>
          <t>Holmen skog AB</t>
        </is>
      </c>
      <c r="G7070" t="n">
        <v>4.8</v>
      </c>
      <c r="H7070" t="n">
        <v>0</v>
      </c>
      <c r="I7070" t="n">
        <v>0</v>
      </c>
      <c r="J7070" t="n">
        <v>0</v>
      </c>
      <c r="K7070" t="n">
        <v>0</v>
      </c>
      <c r="L7070" t="n">
        <v>0</v>
      </c>
      <c r="M7070" t="n">
        <v>0</v>
      </c>
      <c r="N7070" t="n">
        <v>0</v>
      </c>
      <c r="O7070" t="n">
        <v>0</v>
      </c>
      <c r="P7070" t="n">
        <v>0</v>
      </c>
      <c r="Q7070" t="n">
        <v>0</v>
      </c>
      <c r="R7070" s="2" t="inlineStr"/>
    </row>
    <row r="7071" ht="15" customHeight="1">
      <c r="A7071" t="inlineStr">
        <is>
          <t>A 15285-2023</t>
        </is>
      </c>
      <c r="B7071" s="1" t="n">
        <v>45019</v>
      </c>
      <c r="C7071" s="1" t="n">
        <v>45344</v>
      </c>
      <c r="D7071" t="inlineStr">
        <is>
          <t>GÄVLEBORGS LÄN</t>
        </is>
      </c>
      <c r="E7071" t="inlineStr">
        <is>
          <t>LJUSDAL</t>
        </is>
      </c>
      <c r="F7071" t="inlineStr">
        <is>
          <t>Holmen skog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15336-2023</t>
        </is>
      </c>
      <c r="B7072" s="1" t="n">
        <v>45019</v>
      </c>
      <c r="C7072" s="1" t="n">
        <v>45344</v>
      </c>
      <c r="D7072" t="inlineStr">
        <is>
          <t>GÄVLEBORGS LÄN</t>
        </is>
      </c>
      <c r="E7072" t="inlineStr">
        <is>
          <t>HUDIKSVALL</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15314-2023</t>
        </is>
      </c>
      <c r="B7073" s="1" t="n">
        <v>45019</v>
      </c>
      <c r="C7073" s="1" t="n">
        <v>45344</v>
      </c>
      <c r="D7073" t="inlineStr">
        <is>
          <t>GÄVLEBORGS LÄN</t>
        </is>
      </c>
      <c r="E7073" t="inlineStr">
        <is>
          <t>GÄVLE</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15311-2023</t>
        </is>
      </c>
      <c r="B7074" s="1" t="n">
        <v>45019</v>
      </c>
      <c r="C7074" s="1" t="n">
        <v>45344</v>
      </c>
      <c r="D7074" t="inlineStr">
        <is>
          <t>GÄVLEBORGS LÄN</t>
        </is>
      </c>
      <c r="E7074" t="inlineStr">
        <is>
          <t>GÄVLE</t>
        </is>
      </c>
      <c r="G7074" t="n">
        <v>2.7</v>
      </c>
      <c r="H7074" t="n">
        <v>0</v>
      </c>
      <c r="I7074" t="n">
        <v>0</v>
      </c>
      <c r="J7074" t="n">
        <v>0</v>
      </c>
      <c r="K7074" t="n">
        <v>0</v>
      </c>
      <c r="L7074" t="n">
        <v>0</v>
      </c>
      <c r="M7074" t="n">
        <v>0</v>
      </c>
      <c r="N7074" t="n">
        <v>0</v>
      </c>
      <c r="O7074" t="n">
        <v>0</v>
      </c>
      <c r="P7074" t="n">
        <v>0</v>
      </c>
      <c r="Q7074" t="n">
        <v>0</v>
      </c>
      <c r="R7074" s="2" t="inlineStr"/>
    </row>
    <row r="7075" ht="15" customHeight="1">
      <c r="A7075" t="inlineStr">
        <is>
          <t>A 15385-2023</t>
        </is>
      </c>
      <c r="B7075" s="1" t="n">
        <v>45019</v>
      </c>
      <c r="C7075" s="1" t="n">
        <v>45344</v>
      </c>
      <c r="D7075" t="inlineStr">
        <is>
          <t>GÄVLEBORGS LÄN</t>
        </is>
      </c>
      <c r="E7075" t="inlineStr">
        <is>
          <t>NORDANSTIG</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15306-2023</t>
        </is>
      </c>
      <c r="B7076" s="1" t="n">
        <v>45019</v>
      </c>
      <c r="C7076" s="1" t="n">
        <v>45344</v>
      </c>
      <c r="D7076" t="inlineStr">
        <is>
          <t>GÄVLEBORGS LÄN</t>
        </is>
      </c>
      <c r="E7076" t="inlineStr">
        <is>
          <t>HUDIKSVALL</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15312-2023</t>
        </is>
      </c>
      <c r="B7077" s="1" t="n">
        <v>45019</v>
      </c>
      <c r="C7077" s="1" t="n">
        <v>45344</v>
      </c>
      <c r="D7077" t="inlineStr">
        <is>
          <t>GÄVLEBORGS LÄN</t>
        </is>
      </c>
      <c r="E7077" t="inlineStr">
        <is>
          <t>GÄVLE</t>
        </is>
      </c>
      <c r="G7077" t="n">
        <v>2.4</v>
      </c>
      <c r="H7077" t="n">
        <v>0</v>
      </c>
      <c r="I7077" t="n">
        <v>0</v>
      </c>
      <c r="J7077" t="n">
        <v>0</v>
      </c>
      <c r="K7077" t="n">
        <v>0</v>
      </c>
      <c r="L7077" t="n">
        <v>0</v>
      </c>
      <c r="M7077" t="n">
        <v>0</v>
      </c>
      <c r="N7077" t="n">
        <v>0</v>
      </c>
      <c r="O7077" t="n">
        <v>0</v>
      </c>
      <c r="P7077" t="n">
        <v>0</v>
      </c>
      <c r="Q7077" t="n">
        <v>0</v>
      </c>
      <c r="R7077" s="2" t="inlineStr"/>
    </row>
    <row r="7078" ht="15" customHeight="1">
      <c r="A7078" t="inlineStr">
        <is>
          <t>A 15390-2023</t>
        </is>
      </c>
      <c r="B7078" s="1" t="n">
        <v>45019</v>
      </c>
      <c r="C7078" s="1" t="n">
        <v>45344</v>
      </c>
      <c r="D7078" t="inlineStr">
        <is>
          <t>GÄVLEBORGS LÄN</t>
        </is>
      </c>
      <c r="E7078" t="inlineStr">
        <is>
          <t>NORDANSTIG</t>
        </is>
      </c>
      <c r="G7078" t="n">
        <v>6.9</v>
      </c>
      <c r="H7078" t="n">
        <v>0</v>
      </c>
      <c r="I7078" t="n">
        <v>0</v>
      </c>
      <c r="J7078" t="n">
        <v>0</v>
      </c>
      <c r="K7078" t="n">
        <v>0</v>
      </c>
      <c r="L7078" t="n">
        <v>0</v>
      </c>
      <c r="M7078" t="n">
        <v>0</v>
      </c>
      <c r="N7078" t="n">
        <v>0</v>
      </c>
      <c r="O7078" t="n">
        <v>0</v>
      </c>
      <c r="P7078" t="n">
        <v>0</v>
      </c>
      <c r="Q7078" t="n">
        <v>0</v>
      </c>
      <c r="R7078" s="2" t="inlineStr"/>
    </row>
    <row r="7079" ht="15" customHeight="1">
      <c r="A7079" t="inlineStr">
        <is>
          <t>A 15494-2023</t>
        </is>
      </c>
      <c r="B7079" s="1" t="n">
        <v>45020</v>
      </c>
      <c r="C7079" s="1" t="n">
        <v>45344</v>
      </c>
      <c r="D7079" t="inlineStr">
        <is>
          <t>GÄVLEBORGS LÄN</t>
        </is>
      </c>
      <c r="E7079" t="inlineStr">
        <is>
          <t>NORDANSTIG</t>
        </is>
      </c>
      <c r="F7079" t="inlineStr">
        <is>
          <t>Holmen skog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15464-2023</t>
        </is>
      </c>
      <c r="B7080" s="1" t="n">
        <v>45020</v>
      </c>
      <c r="C7080" s="1" t="n">
        <v>45344</v>
      </c>
      <c r="D7080" t="inlineStr">
        <is>
          <t>GÄVLEBORGS LÄN</t>
        </is>
      </c>
      <c r="E7080" t="inlineStr">
        <is>
          <t>NORDANSTIG</t>
        </is>
      </c>
      <c r="F7080" t="inlineStr">
        <is>
          <t>Holmen skog AB</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15496-2023</t>
        </is>
      </c>
      <c r="B7081" s="1" t="n">
        <v>45020</v>
      </c>
      <c r="C7081" s="1" t="n">
        <v>45344</v>
      </c>
      <c r="D7081" t="inlineStr">
        <is>
          <t>GÄVLEBORGS LÄN</t>
        </is>
      </c>
      <c r="E7081" t="inlineStr">
        <is>
          <t>NORDANSTIG</t>
        </is>
      </c>
      <c r="F7081" t="inlineStr">
        <is>
          <t>Holmen skog AB</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15521-2023</t>
        </is>
      </c>
      <c r="B7082" s="1" t="n">
        <v>45020</v>
      </c>
      <c r="C7082" s="1" t="n">
        <v>45344</v>
      </c>
      <c r="D7082" t="inlineStr">
        <is>
          <t>GÄVLEBORGS LÄN</t>
        </is>
      </c>
      <c r="E7082" t="inlineStr">
        <is>
          <t>HUDIKSVALL</t>
        </is>
      </c>
      <c r="F7082" t="inlineStr">
        <is>
          <t>Holmen skog AB</t>
        </is>
      </c>
      <c r="G7082" t="n">
        <v>4.6</v>
      </c>
      <c r="H7082" t="n">
        <v>0</v>
      </c>
      <c r="I7082" t="n">
        <v>0</v>
      </c>
      <c r="J7082" t="n">
        <v>0</v>
      </c>
      <c r="K7082" t="n">
        <v>0</v>
      </c>
      <c r="L7082" t="n">
        <v>0</v>
      </c>
      <c r="M7082" t="n">
        <v>0</v>
      </c>
      <c r="N7082" t="n">
        <v>0</v>
      </c>
      <c r="O7082" t="n">
        <v>0</v>
      </c>
      <c r="P7082" t="n">
        <v>0</v>
      </c>
      <c r="Q7082" t="n">
        <v>0</v>
      </c>
      <c r="R7082" s="2" t="inlineStr"/>
    </row>
    <row r="7083" ht="15" customHeight="1">
      <c r="A7083" t="inlineStr">
        <is>
          <t>A 15553-2023</t>
        </is>
      </c>
      <c r="B7083" s="1" t="n">
        <v>45020</v>
      </c>
      <c r="C7083" s="1" t="n">
        <v>45344</v>
      </c>
      <c r="D7083" t="inlineStr">
        <is>
          <t>GÄVLEBORGS LÄN</t>
        </is>
      </c>
      <c r="E7083" t="inlineStr">
        <is>
          <t>HUDIKSVALL</t>
        </is>
      </c>
      <c r="G7083" t="n">
        <v>11.1</v>
      </c>
      <c r="H7083" t="n">
        <v>0</v>
      </c>
      <c r="I7083" t="n">
        <v>0</v>
      </c>
      <c r="J7083" t="n">
        <v>0</v>
      </c>
      <c r="K7083" t="n">
        <v>0</v>
      </c>
      <c r="L7083" t="n">
        <v>0</v>
      </c>
      <c r="M7083" t="n">
        <v>0</v>
      </c>
      <c r="N7083" t="n">
        <v>0</v>
      </c>
      <c r="O7083" t="n">
        <v>0</v>
      </c>
      <c r="P7083" t="n">
        <v>0</v>
      </c>
      <c r="Q7083" t="n">
        <v>0</v>
      </c>
      <c r="R7083" s="2" t="inlineStr"/>
    </row>
    <row r="7084" ht="15" customHeight="1">
      <c r="A7084" t="inlineStr">
        <is>
          <t>A 15585-2023</t>
        </is>
      </c>
      <c r="B7084" s="1" t="n">
        <v>45020</v>
      </c>
      <c r="C7084" s="1" t="n">
        <v>45344</v>
      </c>
      <c r="D7084" t="inlineStr">
        <is>
          <t>GÄVLEBORGS LÄN</t>
        </is>
      </c>
      <c r="E7084" t="inlineStr">
        <is>
          <t>OVANÅKER</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15539-2023</t>
        </is>
      </c>
      <c r="B7085" s="1" t="n">
        <v>45020</v>
      </c>
      <c r="C7085" s="1" t="n">
        <v>45344</v>
      </c>
      <c r="D7085" t="inlineStr">
        <is>
          <t>GÄVLEBORGS LÄN</t>
        </is>
      </c>
      <c r="E7085" t="inlineStr">
        <is>
          <t>NORDANSTIG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15537-2023</t>
        </is>
      </c>
      <c r="B7086" s="1" t="n">
        <v>45020</v>
      </c>
      <c r="C7086" s="1" t="n">
        <v>45344</v>
      </c>
      <c r="D7086" t="inlineStr">
        <is>
          <t>GÄVLEBORGS LÄN</t>
        </is>
      </c>
      <c r="E7086" t="inlineStr">
        <is>
          <t>LJUSDAL</t>
        </is>
      </c>
      <c r="G7086" t="n">
        <v>9.5</v>
      </c>
      <c r="H7086" t="n">
        <v>0</v>
      </c>
      <c r="I7086" t="n">
        <v>0</v>
      </c>
      <c r="J7086" t="n">
        <v>0</v>
      </c>
      <c r="K7086" t="n">
        <v>0</v>
      </c>
      <c r="L7086" t="n">
        <v>0</v>
      </c>
      <c r="M7086" t="n">
        <v>0</v>
      </c>
      <c r="N7086" t="n">
        <v>0</v>
      </c>
      <c r="O7086" t="n">
        <v>0</v>
      </c>
      <c r="P7086" t="n">
        <v>0</v>
      </c>
      <c r="Q7086" t="n">
        <v>0</v>
      </c>
      <c r="R7086" s="2" t="inlineStr"/>
    </row>
    <row r="7087" ht="15" customHeight="1">
      <c r="A7087" t="inlineStr">
        <is>
          <t>A 15736-2023</t>
        </is>
      </c>
      <c r="B7087" s="1" t="n">
        <v>45021</v>
      </c>
      <c r="C7087" s="1" t="n">
        <v>45344</v>
      </c>
      <c r="D7087" t="inlineStr">
        <is>
          <t>GÄVLEBORGS LÄN</t>
        </is>
      </c>
      <c r="E7087" t="inlineStr">
        <is>
          <t>HUDIKSVALL</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15737-2023</t>
        </is>
      </c>
      <c r="B7088" s="1" t="n">
        <v>45021</v>
      </c>
      <c r="C7088" s="1" t="n">
        <v>45344</v>
      </c>
      <c r="D7088" t="inlineStr">
        <is>
          <t>GÄVLEBORGS LÄN</t>
        </is>
      </c>
      <c r="E7088" t="inlineStr">
        <is>
          <t>BOLLNÄS</t>
        </is>
      </c>
      <c r="G7088" t="n">
        <v>6.6</v>
      </c>
      <c r="H7088" t="n">
        <v>0</v>
      </c>
      <c r="I7088" t="n">
        <v>0</v>
      </c>
      <c r="J7088" t="n">
        <v>0</v>
      </c>
      <c r="K7088" t="n">
        <v>0</v>
      </c>
      <c r="L7088" t="n">
        <v>0</v>
      </c>
      <c r="M7088" t="n">
        <v>0</v>
      </c>
      <c r="N7088" t="n">
        <v>0</v>
      </c>
      <c r="O7088" t="n">
        <v>0</v>
      </c>
      <c r="P7088" t="n">
        <v>0</v>
      </c>
      <c r="Q7088" t="n">
        <v>0</v>
      </c>
      <c r="R7088" s="2" t="inlineStr"/>
    </row>
    <row r="7089" ht="15" customHeight="1">
      <c r="A7089" t="inlineStr">
        <is>
          <t>A 15833-2023</t>
        </is>
      </c>
      <c r="B7089" s="1" t="n">
        <v>45022</v>
      </c>
      <c r="C7089" s="1" t="n">
        <v>45344</v>
      </c>
      <c r="D7089" t="inlineStr">
        <is>
          <t>GÄVLEBORGS LÄN</t>
        </is>
      </c>
      <c r="E7089" t="inlineStr">
        <is>
          <t>OCKELBO</t>
        </is>
      </c>
      <c r="F7089" t="inlineStr">
        <is>
          <t>Bergvik skog väst AB</t>
        </is>
      </c>
      <c r="G7089" t="n">
        <v>6.8</v>
      </c>
      <c r="H7089" t="n">
        <v>0</v>
      </c>
      <c r="I7089" t="n">
        <v>0</v>
      </c>
      <c r="J7089" t="n">
        <v>0</v>
      </c>
      <c r="K7089" t="n">
        <v>0</v>
      </c>
      <c r="L7089" t="n">
        <v>0</v>
      </c>
      <c r="M7089" t="n">
        <v>0</v>
      </c>
      <c r="N7089" t="n">
        <v>0</v>
      </c>
      <c r="O7089" t="n">
        <v>0</v>
      </c>
      <c r="P7089" t="n">
        <v>0</v>
      </c>
      <c r="Q7089" t="n">
        <v>0</v>
      </c>
      <c r="R7089" s="2" t="inlineStr"/>
    </row>
    <row r="7090" ht="15" customHeight="1">
      <c r="A7090" t="inlineStr">
        <is>
          <t>A 15921-2023</t>
        </is>
      </c>
      <c r="B7090" s="1" t="n">
        <v>45022</v>
      </c>
      <c r="C7090" s="1" t="n">
        <v>45344</v>
      </c>
      <c r="D7090" t="inlineStr">
        <is>
          <t>GÄVLEBORGS LÄN</t>
        </is>
      </c>
      <c r="E7090" t="inlineStr">
        <is>
          <t>BOLLNÄS</t>
        </is>
      </c>
      <c r="G7090" t="n">
        <v>11.3</v>
      </c>
      <c r="H7090" t="n">
        <v>0</v>
      </c>
      <c r="I7090" t="n">
        <v>0</v>
      </c>
      <c r="J7090" t="n">
        <v>0</v>
      </c>
      <c r="K7090" t="n">
        <v>0</v>
      </c>
      <c r="L7090" t="n">
        <v>0</v>
      </c>
      <c r="M7090" t="n">
        <v>0</v>
      </c>
      <c r="N7090" t="n">
        <v>0</v>
      </c>
      <c r="O7090" t="n">
        <v>0</v>
      </c>
      <c r="P7090" t="n">
        <v>0</v>
      </c>
      <c r="Q7090" t="n">
        <v>0</v>
      </c>
      <c r="R7090" s="2" t="inlineStr"/>
    </row>
    <row r="7091" ht="15" customHeight="1">
      <c r="A7091" t="inlineStr">
        <is>
          <t>A 15834-2023</t>
        </is>
      </c>
      <c r="B7091" s="1" t="n">
        <v>45022</v>
      </c>
      <c r="C7091" s="1" t="n">
        <v>45344</v>
      </c>
      <c r="D7091" t="inlineStr">
        <is>
          <t>GÄVLEBORGS LÄN</t>
        </is>
      </c>
      <c r="E7091" t="inlineStr">
        <is>
          <t>OCKELBO</t>
        </is>
      </c>
      <c r="F7091" t="inlineStr">
        <is>
          <t>Bergvik skog väst AB</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15838-2023</t>
        </is>
      </c>
      <c r="B7092" s="1" t="n">
        <v>45022</v>
      </c>
      <c r="C7092" s="1" t="n">
        <v>45344</v>
      </c>
      <c r="D7092" t="inlineStr">
        <is>
          <t>GÄVLEBORGS LÄN</t>
        </is>
      </c>
      <c r="E7092" t="inlineStr">
        <is>
          <t>OCKELBO</t>
        </is>
      </c>
      <c r="F7092" t="inlineStr">
        <is>
          <t>Bergvik skog väst AB</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15849-2023</t>
        </is>
      </c>
      <c r="B7093" s="1" t="n">
        <v>45022</v>
      </c>
      <c r="C7093" s="1" t="n">
        <v>45344</v>
      </c>
      <c r="D7093" t="inlineStr">
        <is>
          <t>GÄVLEBORGS LÄN</t>
        </is>
      </c>
      <c r="E7093" t="inlineStr">
        <is>
          <t>OCKELBO</t>
        </is>
      </c>
      <c r="F7093" t="inlineStr">
        <is>
          <t>Bergvik skog väst AB</t>
        </is>
      </c>
      <c r="G7093" t="n">
        <v>4.2</v>
      </c>
      <c r="H7093" t="n">
        <v>0</v>
      </c>
      <c r="I7093" t="n">
        <v>0</v>
      </c>
      <c r="J7093" t="n">
        <v>0</v>
      </c>
      <c r="K7093" t="n">
        <v>0</v>
      </c>
      <c r="L7093" t="n">
        <v>0</v>
      </c>
      <c r="M7093" t="n">
        <v>0</v>
      </c>
      <c r="N7093" t="n">
        <v>0</v>
      </c>
      <c r="O7093" t="n">
        <v>0</v>
      </c>
      <c r="P7093" t="n">
        <v>0</v>
      </c>
      <c r="Q7093" t="n">
        <v>0</v>
      </c>
      <c r="R7093" s="2" t="inlineStr"/>
    </row>
    <row r="7094" ht="15" customHeight="1">
      <c r="A7094" t="inlineStr">
        <is>
          <t>A 15835-2023</t>
        </is>
      </c>
      <c r="B7094" s="1" t="n">
        <v>45022</v>
      </c>
      <c r="C7094" s="1" t="n">
        <v>45344</v>
      </c>
      <c r="D7094" t="inlineStr">
        <is>
          <t>GÄVLEBORGS LÄN</t>
        </is>
      </c>
      <c r="E7094" t="inlineStr">
        <is>
          <t>OCKELBO</t>
        </is>
      </c>
      <c r="F7094" t="inlineStr">
        <is>
          <t>Bergvik skog väst AB</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15839-2023</t>
        </is>
      </c>
      <c r="B7095" s="1" t="n">
        <v>45022</v>
      </c>
      <c r="C7095" s="1" t="n">
        <v>45344</v>
      </c>
      <c r="D7095" t="inlineStr">
        <is>
          <t>GÄVLEBORGS LÄN</t>
        </is>
      </c>
      <c r="E7095" t="inlineStr">
        <is>
          <t>OCKELBO</t>
        </is>
      </c>
      <c r="F7095" t="inlineStr">
        <is>
          <t>Bergvik skog väst AB</t>
        </is>
      </c>
      <c r="G7095" t="n">
        <v>5.8</v>
      </c>
      <c r="H7095" t="n">
        <v>0</v>
      </c>
      <c r="I7095" t="n">
        <v>0</v>
      </c>
      <c r="J7095" t="n">
        <v>0</v>
      </c>
      <c r="K7095" t="n">
        <v>0</v>
      </c>
      <c r="L7095" t="n">
        <v>0</v>
      </c>
      <c r="M7095" t="n">
        <v>0</v>
      </c>
      <c r="N7095" t="n">
        <v>0</v>
      </c>
      <c r="O7095" t="n">
        <v>0</v>
      </c>
      <c r="P7095" t="n">
        <v>0</v>
      </c>
      <c r="Q7095" t="n">
        <v>0</v>
      </c>
      <c r="R7095" s="2" t="inlineStr"/>
    </row>
    <row r="7096" ht="15" customHeight="1">
      <c r="A7096" t="inlineStr">
        <is>
          <t>A 15859-2023</t>
        </is>
      </c>
      <c r="B7096" s="1" t="n">
        <v>45022</v>
      </c>
      <c r="C7096" s="1" t="n">
        <v>45344</v>
      </c>
      <c r="D7096" t="inlineStr">
        <is>
          <t>GÄVLEBORGS LÄN</t>
        </is>
      </c>
      <c r="E7096" t="inlineStr">
        <is>
          <t>HUDIKSVALL</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15873-2023</t>
        </is>
      </c>
      <c r="B7097" s="1" t="n">
        <v>45022</v>
      </c>
      <c r="C7097" s="1" t="n">
        <v>45344</v>
      </c>
      <c r="D7097" t="inlineStr">
        <is>
          <t>GÄVLEBORGS LÄN</t>
        </is>
      </c>
      <c r="E7097" t="inlineStr">
        <is>
          <t>GÄVLE</t>
        </is>
      </c>
      <c r="F7097" t="inlineStr">
        <is>
          <t>Bergvik skog öst AB</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15961-2023</t>
        </is>
      </c>
      <c r="B7098" s="1" t="n">
        <v>45022</v>
      </c>
      <c r="C7098" s="1" t="n">
        <v>45344</v>
      </c>
      <c r="D7098" t="inlineStr">
        <is>
          <t>GÄVLEBORGS LÄN</t>
        </is>
      </c>
      <c r="E7098" t="inlineStr">
        <is>
          <t>HUDIKSVALL</t>
        </is>
      </c>
      <c r="F7098" t="inlineStr">
        <is>
          <t>Holmen skog AB</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15966-2023</t>
        </is>
      </c>
      <c r="B7099" s="1" t="n">
        <v>45022</v>
      </c>
      <c r="C7099" s="1" t="n">
        <v>45344</v>
      </c>
      <c r="D7099" t="inlineStr">
        <is>
          <t>GÄVLEBORGS LÄN</t>
        </is>
      </c>
      <c r="E7099" t="inlineStr">
        <is>
          <t>OCKELBO</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15923-2023</t>
        </is>
      </c>
      <c r="B7100" s="1" t="n">
        <v>45022</v>
      </c>
      <c r="C7100" s="1" t="n">
        <v>45344</v>
      </c>
      <c r="D7100" t="inlineStr">
        <is>
          <t>GÄVLEBORGS LÄN</t>
        </is>
      </c>
      <c r="E7100" t="inlineStr">
        <is>
          <t>BOLLNÄS</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16247-2023</t>
        </is>
      </c>
      <c r="B7101" s="1" t="n">
        <v>45022</v>
      </c>
      <c r="C7101" s="1" t="n">
        <v>45344</v>
      </c>
      <c r="D7101" t="inlineStr">
        <is>
          <t>GÄVLEBORGS LÄN</t>
        </is>
      </c>
      <c r="E7101" t="inlineStr">
        <is>
          <t>GÄVLE</t>
        </is>
      </c>
      <c r="F7101" t="inlineStr">
        <is>
          <t>Bergvik skog väst AB</t>
        </is>
      </c>
      <c r="G7101" t="n">
        <v>31.7</v>
      </c>
      <c r="H7101" t="n">
        <v>0</v>
      </c>
      <c r="I7101" t="n">
        <v>0</v>
      </c>
      <c r="J7101" t="n">
        <v>0</v>
      </c>
      <c r="K7101" t="n">
        <v>0</v>
      </c>
      <c r="L7101" t="n">
        <v>0</v>
      </c>
      <c r="M7101" t="n">
        <v>0</v>
      </c>
      <c r="N7101" t="n">
        <v>0</v>
      </c>
      <c r="O7101" t="n">
        <v>0</v>
      </c>
      <c r="P7101" t="n">
        <v>0</v>
      </c>
      <c r="Q7101" t="n">
        <v>0</v>
      </c>
      <c r="R7101" s="2" t="inlineStr"/>
    </row>
    <row r="7102" ht="15" customHeight="1">
      <c r="A7102" t="inlineStr">
        <is>
          <t>A 16260-2023</t>
        </is>
      </c>
      <c r="B7102" s="1" t="n">
        <v>45022</v>
      </c>
      <c r="C7102" s="1" t="n">
        <v>45344</v>
      </c>
      <c r="D7102" t="inlineStr">
        <is>
          <t>GÄVLEBORGS LÄN</t>
        </is>
      </c>
      <c r="E7102" t="inlineStr">
        <is>
          <t>SANDVIKEN</t>
        </is>
      </c>
      <c r="F7102" t="inlineStr">
        <is>
          <t>Bergvik skog väst AB</t>
        </is>
      </c>
      <c r="G7102" t="n">
        <v>9.1</v>
      </c>
      <c r="H7102" t="n">
        <v>0</v>
      </c>
      <c r="I7102" t="n">
        <v>0</v>
      </c>
      <c r="J7102" t="n">
        <v>0</v>
      </c>
      <c r="K7102" t="n">
        <v>0</v>
      </c>
      <c r="L7102" t="n">
        <v>0</v>
      </c>
      <c r="M7102" t="n">
        <v>0</v>
      </c>
      <c r="N7102" t="n">
        <v>0</v>
      </c>
      <c r="O7102" t="n">
        <v>0</v>
      </c>
      <c r="P7102" t="n">
        <v>0</v>
      </c>
      <c r="Q7102" t="n">
        <v>0</v>
      </c>
      <c r="R7102" s="2" t="inlineStr"/>
    </row>
    <row r="7103" ht="15" customHeight="1">
      <c r="A7103" t="inlineStr">
        <is>
          <t>A 15872-2023</t>
        </is>
      </c>
      <c r="B7103" s="1" t="n">
        <v>45022</v>
      </c>
      <c r="C7103" s="1" t="n">
        <v>45344</v>
      </c>
      <c r="D7103" t="inlineStr">
        <is>
          <t>GÄVLEBORGS LÄN</t>
        </is>
      </c>
      <c r="E7103" t="inlineStr">
        <is>
          <t>HUDIKSVALL</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15877-2023</t>
        </is>
      </c>
      <c r="B7104" s="1" t="n">
        <v>45022</v>
      </c>
      <c r="C7104" s="1" t="n">
        <v>45344</v>
      </c>
      <c r="D7104" t="inlineStr">
        <is>
          <t>GÄVLEBORGS LÄN</t>
        </is>
      </c>
      <c r="E7104" t="inlineStr">
        <is>
          <t>HUDIKSVALL</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15883-2023</t>
        </is>
      </c>
      <c r="B7105" s="1" t="n">
        <v>45022</v>
      </c>
      <c r="C7105" s="1" t="n">
        <v>45344</v>
      </c>
      <c r="D7105" t="inlineStr">
        <is>
          <t>GÄVLEBORGS LÄN</t>
        </is>
      </c>
      <c r="E7105" t="inlineStr">
        <is>
          <t>HUDIKSVALL</t>
        </is>
      </c>
      <c r="G7105" t="n">
        <v>9.6</v>
      </c>
      <c r="H7105" t="n">
        <v>0</v>
      </c>
      <c r="I7105" t="n">
        <v>0</v>
      </c>
      <c r="J7105" t="n">
        <v>0</v>
      </c>
      <c r="K7105" t="n">
        <v>0</v>
      </c>
      <c r="L7105" t="n">
        <v>0</v>
      </c>
      <c r="M7105" t="n">
        <v>0</v>
      </c>
      <c r="N7105" t="n">
        <v>0</v>
      </c>
      <c r="O7105" t="n">
        <v>0</v>
      </c>
      <c r="P7105" t="n">
        <v>0</v>
      </c>
      <c r="Q7105" t="n">
        <v>0</v>
      </c>
      <c r="R7105" s="2" t="inlineStr"/>
      <c r="U7105">
        <f>HYPERLINK("https://klasma.github.io/Logging_2184/knärot/A 15883-2023 karta knärot.png", "A 15883-2023")</f>
        <v/>
      </c>
      <c r="V7105">
        <f>HYPERLINK("https://klasma.github.io/Logging_2184/klagomål/A 15883-2023 FSC-klagomål.docx", "A 15883-2023")</f>
        <v/>
      </c>
      <c r="W7105">
        <f>HYPERLINK("https://klasma.github.io/Logging_2184/klagomålsmail/A 15883-2023 FSC-klagomål mail.docx", "A 15883-2023")</f>
        <v/>
      </c>
      <c r="X7105">
        <f>HYPERLINK("https://klasma.github.io/Logging_2184/tillsyn/A 15883-2023 tillsynsbegäran.docx", "A 15883-2023")</f>
        <v/>
      </c>
      <c r="Y7105">
        <f>HYPERLINK("https://klasma.github.io/Logging_2184/tillsynsmail/A 15883-2023 tillsynsbegäran mail.docx", "A 15883-2023")</f>
        <v/>
      </c>
    </row>
    <row r="7106" ht="15" customHeight="1">
      <c r="A7106" t="inlineStr">
        <is>
          <t>A 15907-2023</t>
        </is>
      </c>
      <c r="B7106" s="1" t="n">
        <v>45022</v>
      </c>
      <c r="C7106" s="1" t="n">
        <v>45344</v>
      </c>
      <c r="D7106" t="inlineStr">
        <is>
          <t>GÄVLEBORGS LÄN</t>
        </is>
      </c>
      <c r="E7106" t="inlineStr">
        <is>
          <t>SANDVIKEN</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16385-2023</t>
        </is>
      </c>
      <c r="B7107" s="1" t="n">
        <v>45022</v>
      </c>
      <c r="C7107" s="1" t="n">
        <v>45344</v>
      </c>
      <c r="D7107" t="inlineStr">
        <is>
          <t>GÄVLEBORGS LÄN</t>
        </is>
      </c>
      <c r="E7107" t="inlineStr">
        <is>
          <t>SANDVIKEN</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16242-2023</t>
        </is>
      </c>
      <c r="B7108" s="1" t="n">
        <v>45022</v>
      </c>
      <c r="C7108" s="1" t="n">
        <v>45344</v>
      </c>
      <c r="D7108" t="inlineStr">
        <is>
          <t>GÄVLEBORGS LÄN</t>
        </is>
      </c>
      <c r="E7108" t="inlineStr">
        <is>
          <t>GÄVLE</t>
        </is>
      </c>
      <c r="F7108" t="inlineStr">
        <is>
          <t>Bergvik skog väst AB</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16258-2023</t>
        </is>
      </c>
      <c r="B7109" s="1" t="n">
        <v>45022</v>
      </c>
      <c r="C7109" s="1" t="n">
        <v>45344</v>
      </c>
      <c r="D7109" t="inlineStr">
        <is>
          <t>GÄVLEBORGS LÄN</t>
        </is>
      </c>
      <c r="E7109" t="inlineStr">
        <is>
          <t>SANDVIKEN</t>
        </is>
      </c>
      <c r="F7109" t="inlineStr">
        <is>
          <t>Bergvik skog väst AB</t>
        </is>
      </c>
      <c r="G7109" t="n">
        <v>5.2</v>
      </c>
      <c r="H7109" t="n">
        <v>0</v>
      </c>
      <c r="I7109" t="n">
        <v>0</v>
      </c>
      <c r="J7109" t="n">
        <v>0</v>
      </c>
      <c r="K7109" t="n">
        <v>0</v>
      </c>
      <c r="L7109" t="n">
        <v>0</v>
      </c>
      <c r="M7109" t="n">
        <v>0</v>
      </c>
      <c r="N7109" t="n">
        <v>0</v>
      </c>
      <c r="O7109" t="n">
        <v>0</v>
      </c>
      <c r="P7109" t="n">
        <v>0</v>
      </c>
      <c r="Q7109" t="n">
        <v>0</v>
      </c>
      <c r="R7109" s="2" t="inlineStr"/>
    </row>
    <row r="7110" ht="15" customHeight="1">
      <c r="A7110" t="inlineStr">
        <is>
          <t>A 16254-2023</t>
        </is>
      </c>
      <c r="B7110" s="1" t="n">
        <v>45022</v>
      </c>
      <c r="C7110" s="1" t="n">
        <v>45344</v>
      </c>
      <c r="D7110" t="inlineStr">
        <is>
          <t>GÄVLEBORGS LÄN</t>
        </is>
      </c>
      <c r="E7110" t="inlineStr">
        <is>
          <t>GÄVLE</t>
        </is>
      </c>
      <c r="F7110" t="inlineStr">
        <is>
          <t>Bergvik skog väst AB</t>
        </is>
      </c>
      <c r="G7110" t="n">
        <v>39.2</v>
      </c>
      <c r="H7110" t="n">
        <v>0</v>
      </c>
      <c r="I7110" t="n">
        <v>0</v>
      </c>
      <c r="J7110" t="n">
        <v>0</v>
      </c>
      <c r="K7110" t="n">
        <v>0</v>
      </c>
      <c r="L7110" t="n">
        <v>0</v>
      </c>
      <c r="M7110" t="n">
        <v>0</v>
      </c>
      <c r="N7110" t="n">
        <v>0</v>
      </c>
      <c r="O7110" t="n">
        <v>0</v>
      </c>
      <c r="P7110" t="n">
        <v>0</v>
      </c>
      <c r="Q7110" t="n">
        <v>0</v>
      </c>
      <c r="R7110" s="2" t="inlineStr"/>
    </row>
    <row r="7111" ht="15" customHeight="1">
      <c r="A7111" t="inlineStr">
        <is>
          <t>A 16384-2023</t>
        </is>
      </c>
      <c r="B7111" s="1" t="n">
        <v>45022</v>
      </c>
      <c r="C7111" s="1" t="n">
        <v>45344</v>
      </c>
      <c r="D7111" t="inlineStr">
        <is>
          <t>GÄVLEBORGS LÄN</t>
        </is>
      </c>
      <c r="E7111" t="inlineStr">
        <is>
          <t>SANDVIKEN</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16023-2023</t>
        </is>
      </c>
      <c r="B7112" s="1" t="n">
        <v>45026</v>
      </c>
      <c r="C7112" s="1" t="n">
        <v>45344</v>
      </c>
      <c r="D7112" t="inlineStr">
        <is>
          <t>GÄVLEBORGS LÄN</t>
        </is>
      </c>
      <c r="E7112" t="inlineStr">
        <is>
          <t>GÄVLE</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16025-2023</t>
        </is>
      </c>
      <c r="B7113" s="1" t="n">
        <v>45027</v>
      </c>
      <c r="C7113" s="1" t="n">
        <v>45344</v>
      </c>
      <c r="D7113" t="inlineStr">
        <is>
          <t>GÄVLEBORGS LÄN</t>
        </is>
      </c>
      <c r="E7113" t="inlineStr">
        <is>
          <t>HUDIKSVALL</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16057-2023</t>
        </is>
      </c>
      <c r="B7114" s="1" t="n">
        <v>45027</v>
      </c>
      <c r="C7114" s="1" t="n">
        <v>45344</v>
      </c>
      <c r="D7114" t="inlineStr">
        <is>
          <t>GÄVLEBORGS LÄN</t>
        </is>
      </c>
      <c r="E7114" t="inlineStr">
        <is>
          <t>GÄVLE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16081-2023</t>
        </is>
      </c>
      <c r="B7115" s="1" t="n">
        <v>45027</v>
      </c>
      <c r="C7115" s="1" t="n">
        <v>45344</v>
      </c>
      <c r="D7115" t="inlineStr">
        <is>
          <t>GÄVLEBORGS LÄN</t>
        </is>
      </c>
      <c r="E7115" t="inlineStr">
        <is>
          <t>LJUSDAL</t>
        </is>
      </c>
      <c r="F7115" t="inlineStr">
        <is>
          <t>Bergvik skog väst AB</t>
        </is>
      </c>
      <c r="G7115" t="n">
        <v>46.6</v>
      </c>
      <c r="H7115" t="n">
        <v>0</v>
      </c>
      <c r="I7115" t="n">
        <v>0</v>
      </c>
      <c r="J7115" t="n">
        <v>0</v>
      </c>
      <c r="K7115" t="n">
        <v>0</v>
      </c>
      <c r="L7115" t="n">
        <v>0</v>
      </c>
      <c r="M7115" t="n">
        <v>0</v>
      </c>
      <c r="N7115" t="n">
        <v>0</v>
      </c>
      <c r="O7115" t="n">
        <v>0</v>
      </c>
      <c r="P7115" t="n">
        <v>0</v>
      </c>
      <c r="Q7115" t="n">
        <v>0</v>
      </c>
      <c r="R7115" s="2" t="inlineStr"/>
    </row>
    <row r="7116" ht="15" customHeight="1">
      <c r="A7116" t="inlineStr">
        <is>
          <t>A 16104-2023</t>
        </is>
      </c>
      <c r="B7116" s="1" t="n">
        <v>45027</v>
      </c>
      <c r="C7116" s="1" t="n">
        <v>45344</v>
      </c>
      <c r="D7116" t="inlineStr">
        <is>
          <t>GÄVLEBORGS LÄN</t>
        </is>
      </c>
      <c r="E7116" t="inlineStr">
        <is>
          <t>LJUSDAL</t>
        </is>
      </c>
      <c r="F7116" t="inlineStr">
        <is>
          <t>Bergvik skog väst AB</t>
        </is>
      </c>
      <c r="G7116" t="n">
        <v>18.5</v>
      </c>
      <c r="H7116" t="n">
        <v>0</v>
      </c>
      <c r="I7116" t="n">
        <v>0</v>
      </c>
      <c r="J7116" t="n">
        <v>0</v>
      </c>
      <c r="K7116" t="n">
        <v>0</v>
      </c>
      <c r="L7116" t="n">
        <v>0</v>
      </c>
      <c r="M7116" t="n">
        <v>0</v>
      </c>
      <c r="N7116" t="n">
        <v>0</v>
      </c>
      <c r="O7116" t="n">
        <v>0</v>
      </c>
      <c r="P7116" t="n">
        <v>0</v>
      </c>
      <c r="Q7116" t="n">
        <v>0</v>
      </c>
      <c r="R7116" s="2" t="inlineStr"/>
    </row>
    <row r="7117" ht="15" customHeight="1">
      <c r="A7117" t="inlineStr">
        <is>
          <t>A 16106-2023</t>
        </is>
      </c>
      <c r="B7117" s="1" t="n">
        <v>45027</v>
      </c>
      <c r="C7117" s="1" t="n">
        <v>45344</v>
      </c>
      <c r="D7117" t="inlineStr">
        <is>
          <t>GÄVLEBORGS LÄN</t>
        </is>
      </c>
      <c r="E7117" t="inlineStr">
        <is>
          <t>SÖDERHAMN</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16111-2023</t>
        </is>
      </c>
      <c r="B7118" s="1" t="n">
        <v>45027</v>
      </c>
      <c r="C7118" s="1" t="n">
        <v>45344</v>
      </c>
      <c r="D7118" t="inlineStr">
        <is>
          <t>GÄVLEBORGS LÄN</t>
        </is>
      </c>
      <c r="E7118" t="inlineStr">
        <is>
          <t>LJUSDAL</t>
        </is>
      </c>
      <c r="F7118" t="inlineStr">
        <is>
          <t>Bergvik skog väst AB</t>
        </is>
      </c>
      <c r="G7118" t="n">
        <v>21.5</v>
      </c>
      <c r="H7118" t="n">
        <v>0</v>
      </c>
      <c r="I7118" t="n">
        <v>0</v>
      </c>
      <c r="J7118" t="n">
        <v>0</v>
      </c>
      <c r="K7118" t="n">
        <v>0</v>
      </c>
      <c r="L7118" t="n">
        <v>0</v>
      </c>
      <c r="M7118" t="n">
        <v>0</v>
      </c>
      <c r="N7118" t="n">
        <v>0</v>
      </c>
      <c r="O7118" t="n">
        <v>0</v>
      </c>
      <c r="P7118" t="n">
        <v>0</v>
      </c>
      <c r="Q7118" t="n">
        <v>0</v>
      </c>
      <c r="R7118" s="2" t="inlineStr"/>
    </row>
    <row r="7119" ht="15" customHeight="1">
      <c r="A7119" t="inlineStr">
        <is>
          <t>A 16047-2023</t>
        </is>
      </c>
      <c r="B7119" s="1" t="n">
        <v>45027</v>
      </c>
      <c r="C7119" s="1" t="n">
        <v>45344</v>
      </c>
      <c r="D7119" t="inlineStr">
        <is>
          <t>GÄVLEBORGS LÄN</t>
        </is>
      </c>
      <c r="E7119" t="inlineStr">
        <is>
          <t>LJUSDAL</t>
        </is>
      </c>
      <c r="F7119" t="inlineStr">
        <is>
          <t>Holmen skog AB</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16062-2023</t>
        </is>
      </c>
      <c r="B7120" s="1" t="n">
        <v>45027</v>
      </c>
      <c r="C7120" s="1" t="n">
        <v>45344</v>
      </c>
      <c r="D7120" t="inlineStr">
        <is>
          <t>GÄVLEBORGS LÄN</t>
        </is>
      </c>
      <c r="E7120" t="inlineStr">
        <is>
          <t>GÄVLE</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16116-2023</t>
        </is>
      </c>
      <c r="B7121" s="1" t="n">
        <v>45027</v>
      </c>
      <c r="C7121" s="1" t="n">
        <v>45344</v>
      </c>
      <c r="D7121" t="inlineStr">
        <is>
          <t>GÄVLEBORGS LÄN</t>
        </is>
      </c>
      <c r="E7121" t="inlineStr">
        <is>
          <t>SÖDERHAMN</t>
        </is>
      </c>
      <c r="F7121" t="inlineStr">
        <is>
          <t>Bergvik skog väst AB</t>
        </is>
      </c>
      <c r="G7121" t="n">
        <v>15.9</v>
      </c>
      <c r="H7121" t="n">
        <v>0</v>
      </c>
      <c r="I7121" t="n">
        <v>0</v>
      </c>
      <c r="J7121" t="n">
        <v>0</v>
      </c>
      <c r="K7121" t="n">
        <v>0</v>
      </c>
      <c r="L7121" t="n">
        <v>0</v>
      </c>
      <c r="M7121" t="n">
        <v>0</v>
      </c>
      <c r="N7121" t="n">
        <v>0</v>
      </c>
      <c r="O7121" t="n">
        <v>0</v>
      </c>
      <c r="P7121" t="n">
        <v>0</v>
      </c>
      <c r="Q7121" t="n">
        <v>0</v>
      </c>
      <c r="R7121" s="2" t="inlineStr"/>
    </row>
    <row r="7122" ht="15" customHeight="1">
      <c r="A7122" t="inlineStr">
        <is>
          <t>A 16125-2023</t>
        </is>
      </c>
      <c r="B7122" s="1" t="n">
        <v>45027</v>
      </c>
      <c r="C7122" s="1" t="n">
        <v>45344</v>
      </c>
      <c r="D7122" t="inlineStr">
        <is>
          <t>GÄVLEBORGS LÄN</t>
        </is>
      </c>
      <c r="E7122" t="inlineStr">
        <is>
          <t>NORDANSTIG</t>
        </is>
      </c>
      <c r="F7122" t="inlineStr">
        <is>
          <t>Holmen skog AB</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16124-2023</t>
        </is>
      </c>
      <c r="B7123" s="1" t="n">
        <v>45027</v>
      </c>
      <c r="C7123" s="1" t="n">
        <v>45344</v>
      </c>
      <c r="D7123" t="inlineStr">
        <is>
          <t>GÄVLEBORGS LÄN</t>
        </is>
      </c>
      <c r="E7123" t="inlineStr">
        <is>
          <t>SÖDERHAMN</t>
        </is>
      </c>
      <c r="F7123" t="inlineStr">
        <is>
          <t>Bergvik skog väst AB</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16101-2023</t>
        </is>
      </c>
      <c r="B7124" s="1" t="n">
        <v>45027</v>
      </c>
      <c r="C7124" s="1" t="n">
        <v>45344</v>
      </c>
      <c r="D7124" t="inlineStr">
        <is>
          <t>GÄVLEBORGS LÄN</t>
        </is>
      </c>
      <c r="E7124" t="inlineStr">
        <is>
          <t>SÖDERHAMN</t>
        </is>
      </c>
      <c r="G7124" t="n">
        <v>2.7</v>
      </c>
      <c r="H7124" t="n">
        <v>0</v>
      </c>
      <c r="I7124" t="n">
        <v>0</v>
      </c>
      <c r="J7124" t="n">
        <v>0</v>
      </c>
      <c r="K7124" t="n">
        <v>0</v>
      </c>
      <c r="L7124" t="n">
        <v>0</v>
      </c>
      <c r="M7124" t="n">
        <v>0</v>
      </c>
      <c r="N7124" t="n">
        <v>0</v>
      </c>
      <c r="O7124" t="n">
        <v>0</v>
      </c>
      <c r="P7124" t="n">
        <v>0</v>
      </c>
      <c r="Q7124" t="n">
        <v>0</v>
      </c>
      <c r="R7124" s="2" t="inlineStr"/>
    </row>
    <row r="7125" ht="15" customHeight="1">
      <c r="A7125" t="inlineStr">
        <is>
          <t>A 16113-2023</t>
        </is>
      </c>
      <c r="B7125" s="1" t="n">
        <v>45027</v>
      </c>
      <c r="C7125" s="1" t="n">
        <v>45344</v>
      </c>
      <c r="D7125" t="inlineStr">
        <is>
          <t>GÄVLEBORGS LÄN</t>
        </is>
      </c>
      <c r="E7125" t="inlineStr">
        <is>
          <t>SÖDERHAMN</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16123-2023</t>
        </is>
      </c>
      <c r="B7126" s="1" t="n">
        <v>45027</v>
      </c>
      <c r="C7126" s="1" t="n">
        <v>45344</v>
      </c>
      <c r="D7126" t="inlineStr">
        <is>
          <t>GÄVLEBORGS LÄN</t>
        </is>
      </c>
      <c r="E7126" t="inlineStr">
        <is>
          <t>HUDIKSVALL</t>
        </is>
      </c>
      <c r="G7126" t="n">
        <v>4.6</v>
      </c>
      <c r="H7126" t="n">
        <v>0</v>
      </c>
      <c r="I7126" t="n">
        <v>0</v>
      </c>
      <c r="J7126" t="n">
        <v>0</v>
      </c>
      <c r="K7126" t="n">
        <v>0</v>
      </c>
      <c r="L7126" t="n">
        <v>0</v>
      </c>
      <c r="M7126" t="n">
        <v>0</v>
      </c>
      <c r="N7126" t="n">
        <v>0</v>
      </c>
      <c r="O7126" t="n">
        <v>0</v>
      </c>
      <c r="P7126" t="n">
        <v>0</v>
      </c>
      <c r="Q7126" t="n">
        <v>0</v>
      </c>
      <c r="R7126" s="2" t="inlineStr"/>
    </row>
    <row r="7127" ht="15" customHeight="1">
      <c r="A7127" t="inlineStr">
        <is>
          <t>A 16144-2023</t>
        </is>
      </c>
      <c r="B7127" s="1" t="n">
        <v>45027</v>
      </c>
      <c r="C7127" s="1" t="n">
        <v>45344</v>
      </c>
      <c r="D7127" t="inlineStr">
        <is>
          <t>GÄVLEBORGS LÄN</t>
        </is>
      </c>
      <c r="E7127" t="inlineStr">
        <is>
          <t>OCKELBO</t>
        </is>
      </c>
      <c r="F7127" t="inlineStr">
        <is>
          <t>Bergvik skog väst AB</t>
        </is>
      </c>
      <c r="G7127" t="n">
        <v>5.2</v>
      </c>
      <c r="H7127" t="n">
        <v>0</v>
      </c>
      <c r="I7127" t="n">
        <v>0</v>
      </c>
      <c r="J7127" t="n">
        <v>0</v>
      </c>
      <c r="K7127" t="n">
        <v>0</v>
      </c>
      <c r="L7127" t="n">
        <v>0</v>
      </c>
      <c r="M7127" t="n">
        <v>0</v>
      </c>
      <c r="N7127" t="n">
        <v>0</v>
      </c>
      <c r="O7127" t="n">
        <v>0</v>
      </c>
      <c r="P7127" t="n">
        <v>0</v>
      </c>
      <c r="Q7127" t="n">
        <v>0</v>
      </c>
      <c r="R7127" s="2" t="inlineStr"/>
    </row>
    <row r="7128" ht="15" customHeight="1">
      <c r="A7128" t="inlineStr">
        <is>
          <t>A 16073-2023</t>
        </is>
      </c>
      <c r="B7128" s="1" t="n">
        <v>45027</v>
      </c>
      <c r="C7128" s="1" t="n">
        <v>45344</v>
      </c>
      <c r="D7128" t="inlineStr">
        <is>
          <t>GÄVLEBORGS LÄN</t>
        </is>
      </c>
      <c r="E7128" t="inlineStr">
        <is>
          <t>HUDIKSVALL</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16100-2023</t>
        </is>
      </c>
      <c r="B7129" s="1" t="n">
        <v>45027</v>
      </c>
      <c r="C7129" s="1" t="n">
        <v>45344</v>
      </c>
      <c r="D7129" t="inlineStr">
        <is>
          <t>GÄVLEBORGS LÄN</t>
        </is>
      </c>
      <c r="E7129" t="inlineStr">
        <is>
          <t>LJUSDAL</t>
        </is>
      </c>
      <c r="F7129" t="inlineStr">
        <is>
          <t>Bergvik skog väst AB</t>
        </is>
      </c>
      <c r="G7129" t="n">
        <v>7</v>
      </c>
      <c r="H7129" t="n">
        <v>0</v>
      </c>
      <c r="I7129" t="n">
        <v>0</v>
      </c>
      <c r="J7129" t="n">
        <v>0</v>
      </c>
      <c r="K7129" t="n">
        <v>0</v>
      </c>
      <c r="L7129" t="n">
        <v>0</v>
      </c>
      <c r="M7129" t="n">
        <v>0</v>
      </c>
      <c r="N7129" t="n">
        <v>0</v>
      </c>
      <c r="O7129" t="n">
        <v>0</v>
      </c>
      <c r="P7129" t="n">
        <v>0</v>
      </c>
      <c r="Q7129" t="n">
        <v>0</v>
      </c>
      <c r="R7129" s="2" t="inlineStr"/>
    </row>
    <row r="7130" ht="15" customHeight="1">
      <c r="A7130" t="inlineStr">
        <is>
          <t>A 16107-2023</t>
        </is>
      </c>
      <c r="B7130" s="1" t="n">
        <v>45027</v>
      </c>
      <c r="C7130" s="1" t="n">
        <v>45344</v>
      </c>
      <c r="D7130" t="inlineStr">
        <is>
          <t>GÄVLEBORGS LÄN</t>
        </is>
      </c>
      <c r="E7130" t="inlineStr">
        <is>
          <t>SÖDERHAMN</t>
        </is>
      </c>
      <c r="F7130" t="inlineStr">
        <is>
          <t>Bergvik skog väst AB</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16141-2023</t>
        </is>
      </c>
      <c r="B7131" s="1" t="n">
        <v>45027</v>
      </c>
      <c r="C7131" s="1" t="n">
        <v>45344</v>
      </c>
      <c r="D7131" t="inlineStr">
        <is>
          <t>GÄVLEBORGS LÄN</t>
        </is>
      </c>
      <c r="E7131" t="inlineStr">
        <is>
          <t>OCKELBO</t>
        </is>
      </c>
      <c r="F7131" t="inlineStr">
        <is>
          <t>Bergvik skog väst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16178-2023</t>
        </is>
      </c>
      <c r="B7132" s="1" t="n">
        <v>45027</v>
      </c>
      <c r="C7132" s="1" t="n">
        <v>45344</v>
      </c>
      <c r="D7132" t="inlineStr">
        <is>
          <t>GÄVLEBORGS LÄN</t>
        </is>
      </c>
      <c r="E7132" t="inlineStr">
        <is>
          <t>SÖDERHAMN</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16231-2023</t>
        </is>
      </c>
      <c r="B7133" s="1" t="n">
        <v>45028</v>
      </c>
      <c r="C7133" s="1" t="n">
        <v>45344</v>
      </c>
      <c r="D7133" t="inlineStr">
        <is>
          <t>GÄVLEBORGS LÄN</t>
        </is>
      </c>
      <c r="E7133" t="inlineStr">
        <is>
          <t>SÖDERHAMN</t>
        </is>
      </c>
      <c r="F7133" t="inlineStr">
        <is>
          <t>Bergvik skog väst AB</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16244-2023</t>
        </is>
      </c>
      <c r="B7134" s="1" t="n">
        <v>45028</v>
      </c>
      <c r="C7134" s="1" t="n">
        <v>45344</v>
      </c>
      <c r="D7134" t="inlineStr">
        <is>
          <t>GÄVLEBORGS LÄN</t>
        </is>
      </c>
      <c r="E7134" t="inlineStr">
        <is>
          <t>SÖDERHAMN</t>
        </is>
      </c>
      <c r="F7134" t="inlineStr">
        <is>
          <t>Bergvik skog väst AB</t>
        </is>
      </c>
      <c r="G7134" t="n">
        <v>15.5</v>
      </c>
      <c r="H7134" t="n">
        <v>0</v>
      </c>
      <c r="I7134" t="n">
        <v>0</v>
      </c>
      <c r="J7134" t="n">
        <v>0</v>
      </c>
      <c r="K7134" t="n">
        <v>0</v>
      </c>
      <c r="L7134" t="n">
        <v>0</v>
      </c>
      <c r="M7134" t="n">
        <v>0</v>
      </c>
      <c r="N7134" t="n">
        <v>0</v>
      </c>
      <c r="O7134" t="n">
        <v>0</v>
      </c>
      <c r="P7134" t="n">
        <v>0</v>
      </c>
      <c r="Q7134" t="n">
        <v>0</v>
      </c>
      <c r="R7134" s="2" t="inlineStr"/>
    </row>
    <row r="7135" ht="15" customHeight="1">
      <c r="A7135" t="inlineStr">
        <is>
          <t>A 16197-2023</t>
        </is>
      </c>
      <c r="B7135" s="1" t="n">
        <v>45028</v>
      </c>
      <c r="C7135" s="1" t="n">
        <v>45344</v>
      </c>
      <c r="D7135" t="inlineStr">
        <is>
          <t>GÄVLEBORGS LÄN</t>
        </is>
      </c>
      <c r="E7135" t="inlineStr">
        <is>
          <t>LJUSDAL</t>
        </is>
      </c>
      <c r="G7135" t="n">
        <v>4.4</v>
      </c>
      <c r="H7135" t="n">
        <v>0</v>
      </c>
      <c r="I7135" t="n">
        <v>0</v>
      </c>
      <c r="J7135" t="n">
        <v>0</v>
      </c>
      <c r="K7135" t="n">
        <v>0</v>
      </c>
      <c r="L7135" t="n">
        <v>0</v>
      </c>
      <c r="M7135" t="n">
        <v>0</v>
      </c>
      <c r="N7135" t="n">
        <v>0</v>
      </c>
      <c r="O7135" t="n">
        <v>0</v>
      </c>
      <c r="P7135" t="n">
        <v>0</v>
      </c>
      <c r="Q7135" t="n">
        <v>0</v>
      </c>
      <c r="R7135" s="2" t="inlineStr"/>
    </row>
    <row r="7136" ht="15" customHeight="1">
      <c r="A7136" t="inlineStr">
        <is>
          <t>A 16206-2023</t>
        </is>
      </c>
      <c r="B7136" s="1" t="n">
        <v>45028</v>
      </c>
      <c r="C7136" s="1" t="n">
        <v>45344</v>
      </c>
      <c r="D7136" t="inlineStr">
        <is>
          <t>GÄVLEBORGS LÄN</t>
        </is>
      </c>
      <c r="E7136" t="inlineStr">
        <is>
          <t>SÖDERHAMN</t>
        </is>
      </c>
      <c r="F7136" t="inlineStr">
        <is>
          <t>Bergvik skog väst AB</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16228-2023</t>
        </is>
      </c>
      <c r="B7137" s="1" t="n">
        <v>45028</v>
      </c>
      <c r="C7137" s="1" t="n">
        <v>45344</v>
      </c>
      <c r="D7137" t="inlineStr">
        <is>
          <t>GÄVLEBORGS LÄN</t>
        </is>
      </c>
      <c r="E7137" t="inlineStr">
        <is>
          <t>LJUSDAL</t>
        </is>
      </c>
      <c r="F7137" t="inlineStr">
        <is>
          <t>Bergvik skog väst AB</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16327-2023</t>
        </is>
      </c>
      <c r="B7138" s="1" t="n">
        <v>45028</v>
      </c>
      <c r="C7138" s="1" t="n">
        <v>45344</v>
      </c>
      <c r="D7138" t="inlineStr">
        <is>
          <t>GÄVLEBORGS LÄN</t>
        </is>
      </c>
      <c r="E7138" t="inlineStr">
        <is>
          <t>HUDIKSVALL</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16340-2023</t>
        </is>
      </c>
      <c r="B7139" s="1" t="n">
        <v>45028</v>
      </c>
      <c r="C7139" s="1" t="n">
        <v>45344</v>
      </c>
      <c r="D7139" t="inlineStr">
        <is>
          <t>GÄVLEBORGS LÄN</t>
        </is>
      </c>
      <c r="E7139" t="inlineStr">
        <is>
          <t>SÖDERHAMN</t>
        </is>
      </c>
      <c r="F7139" t="inlineStr">
        <is>
          <t>Bergvik skog väst AB</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16209-2023</t>
        </is>
      </c>
      <c r="B7140" s="1" t="n">
        <v>45028</v>
      </c>
      <c r="C7140" s="1" t="n">
        <v>45344</v>
      </c>
      <c r="D7140" t="inlineStr">
        <is>
          <t>GÄVLEBORGS LÄN</t>
        </is>
      </c>
      <c r="E7140" t="inlineStr">
        <is>
          <t>SÖDERHAMN</t>
        </is>
      </c>
      <c r="F7140" t="inlineStr">
        <is>
          <t>Bergvik skog väst AB</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16243-2023</t>
        </is>
      </c>
      <c r="B7141" s="1" t="n">
        <v>45028</v>
      </c>
      <c r="C7141" s="1" t="n">
        <v>45344</v>
      </c>
      <c r="D7141" t="inlineStr">
        <is>
          <t>GÄVLEBORGS LÄN</t>
        </is>
      </c>
      <c r="E7141" t="inlineStr">
        <is>
          <t>SÖDERHAMN</t>
        </is>
      </c>
      <c r="F7141" t="inlineStr">
        <is>
          <t>Bergvik skog väst AB</t>
        </is>
      </c>
      <c r="G7141" t="n">
        <v>8.199999999999999</v>
      </c>
      <c r="H7141" t="n">
        <v>0</v>
      </c>
      <c r="I7141" t="n">
        <v>0</v>
      </c>
      <c r="J7141" t="n">
        <v>0</v>
      </c>
      <c r="K7141" t="n">
        <v>0</v>
      </c>
      <c r="L7141" t="n">
        <v>0</v>
      </c>
      <c r="M7141" t="n">
        <v>0</v>
      </c>
      <c r="N7141" t="n">
        <v>0</v>
      </c>
      <c r="O7141" t="n">
        <v>0</v>
      </c>
      <c r="P7141" t="n">
        <v>0</v>
      </c>
      <c r="Q7141" t="n">
        <v>0</v>
      </c>
      <c r="R7141" s="2" t="inlineStr"/>
    </row>
    <row r="7142" ht="15" customHeight="1">
      <c r="A7142" t="inlineStr">
        <is>
          <t>A 16248-2023</t>
        </is>
      </c>
      <c r="B7142" s="1" t="n">
        <v>45028</v>
      </c>
      <c r="C7142" s="1" t="n">
        <v>45344</v>
      </c>
      <c r="D7142" t="inlineStr">
        <is>
          <t>GÄVLEBORGS LÄN</t>
        </is>
      </c>
      <c r="E7142" t="inlineStr">
        <is>
          <t>SÖDERHAMN</t>
        </is>
      </c>
      <c r="F7142" t="inlineStr">
        <is>
          <t>Bergvik skog väst AB</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16337-2023</t>
        </is>
      </c>
      <c r="B7143" s="1" t="n">
        <v>45028</v>
      </c>
      <c r="C7143" s="1" t="n">
        <v>45344</v>
      </c>
      <c r="D7143" t="inlineStr">
        <is>
          <t>GÄVLEBORGS LÄN</t>
        </is>
      </c>
      <c r="E7143" t="inlineStr">
        <is>
          <t>SÖDERHAMN</t>
        </is>
      </c>
      <c r="F7143" t="inlineStr">
        <is>
          <t>Bergvik skog väst AB</t>
        </is>
      </c>
      <c r="G7143" t="n">
        <v>5.1</v>
      </c>
      <c r="H7143" t="n">
        <v>0</v>
      </c>
      <c r="I7143" t="n">
        <v>0</v>
      </c>
      <c r="J7143" t="n">
        <v>0</v>
      </c>
      <c r="K7143" t="n">
        <v>0</v>
      </c>
      <c r="L7143" t="n">
        <v>0</v>
      </c>
      <c r="M7143" t="n">
        <v>0</v>
      </c>
      <c r="N7143" t="n">
        <v>0</v>
      </c>
      <c r="O7143" t="n">
        <v>0</v>
      </c>
      <c r="P7143" t="n">
        <v>0</v>
      </c>
      <c r="Q7143" t="n">
        <v>0</v>
      </c>
      <c r="R7143" s="2" t="inlineStr"/>
    </row>
    <row r="7144" ht="15" customHeight="1">
      <c r="A7144" t="inlineStr">
        <is>
          <t>A 16421-2023</t>
        </is>
      </c>
      <c r="B7144" s="1" t="n">
        <v>45029</v>
      </c>
      <c r="C7144" s="1" t="n">
        <v>45344</v>
      </c>
      <c r="D7144" t="inlineStr">
        <is>
          <t>GÄVLEBORGS LÄN</t>
        </is>
      </c>
      <c r="E7144" t="inlineStr">
        <is>
          <t>GÄVLE</t>
        </is>
      </c>
      <c r="F7144" t="inlineStr">
        <is>
          <t>Bergvik skog öst AB</t>
        </is>
      </c>
      <c r="G7144" t="n">
        <v>9.199999999999999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16432-2023</t>
        </is>
      </c>
      <c r="B7145" s="1" t="n">
        <v>45029</v>
      </c>
      <c r="C7145" s="1" t="n">
        <v>45344</v>
      </c>
      <c r="D7145" t="inlineStr">
        <is>
          <t>GÄVLEBORGS LÄN</t>
        </is>
      </c>
      <c r="E7145" t="inlineStr">
        <is>
          <t>GÄVLE</t>
        </is>
      </c>
      <c r="F7145" t="inlineStr">
        <is>
          <t>Bergvik skog öst AB</t>
        </is>
      </c>
      <c r="G7145" t="n">
        <v>4.3</v>
      </c>
      <c r="H7145" t="n">
        <v>0</v>
      </c>
      <c r="I7145" t="n">
        <v>0</v>
      </c>
      <c r="J7145" t="n">
        <v>0</v>
      </c>
      <c r="K7145" t="n">
        <v>0</v>
      </c>
      <c r="L7145" t="n">
        <v>0</v>
      </c>
      <c r="M7145" t="n">
        <v>0</v>
      </c>
      <c r="N7145" t="n">
        <v>0</v>
      </c>
      <c r="O7145" t="n">
        <v>0</v>
      </c>
      <c r="P7145" t="n">
        <v>0</v>
      </c>
      <c r="Q7145" t="n">
        <v>0</v>
      </c>
      <c r="R7145" s="2" t="inlineStr"/>
    </row>
    <row r="7146" ht="15" customHeight="1">
      <c r="A7146" t="inlineStr">
        <is>
          <t>A 16443-2023</t>
        </is>
      </c>
      <c r="B7146" s="1" t="n">
        <v>45029</v>
      </c>
      <c r="C7146" s="1" t="n">
        <v>45344</v>
      </c>
      <c r="D7146" t="inlineStr">
        <is>
          <t>GÄVLEBORGS LÄN</t>
        </is>
      </c>
      <c r="E7146" t="inlineStr">
        <is>
          <t>LJUSDAL</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16575-2023</t>
        </is>
      </c>
      <c r="B7147" s="1" t="n">
        <v>45030</v>
      </c>
      <c r="C7147" s="1" t="n">
        <v>45344</v>
      </c>
      <c r="D7147" t="inlineStr">
        <is>
          <t>GÄVLEBORGS LÄN</t>
        </is>
      </c>
      <c r="E7147" t="inlineStr">
        <is>
          <t>LJUSDAL</t>
        </is>
      </c>
      <c r="F7147" t="inlineStr">
        <is>
          <t>SCA</t>
        </is>
      </c>
      <c r="G7147" t="n">
        <v>4.8</v>
      </c>
      <c r="H7147" t="n">
        <v>0</v>
      </c>
      <c r="I7147" t="n">
        <v>0</v>
      </c>
      <c r="J7147" t="n">
        <v>0</v>
      </c>
      <c r="K7147" t="n">
        <v>0</v>
      </c>
      <c r="L7147" t="n">
        <v>0</v>
      </c>
      <c r="M7147" t="n">
        <v>0</v>
      </c>
      <c r="N7147" t="n">
        <v>0</v>
      </c>
      <c r="O7147" t="n">
        <v>0</v>
      </c>
      <c r="P7147" t="n">
        <v>0</v>
      </c>
      <c r="Q7147" t="n">
        <v>0</v>
      </c>
      <c r="R7147" s="2" t="inlineStr"/>
    </row>
    <row r="7148" ht="15" customHeight="1">
      <c r="A7148" t="inlineStr">
        <is>
          <t>A 16504-2023</t>
        </is>
      </c>
      <c r="B7148" s="1" t="n">
        <v>45029</v>
      </c>
      <c r="C7148" s="1" t="n">
        <v>45344</v>
      </c>
      <c r="D7148" t="inlineStr">
        <is>
          <t>GÄVLEBORGS LÄN</t>
        </is>
      </c>
      <c r="E7148" t="inlineStr">
        <is>
          <t>GÄVLE</t>
        </is>
      </c>
      <c r="F7148" t="inlineStr">
        <is>
          <t>Kyrkan</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16515-2023</t>
        </is>
      </c>
      <c r="B7149" s="1" t="n">
        <v>45029</v>
      </c>
      <c r="C7149" s="1" t="n">
        <v>45344</v>
      </c>
      <c r="D7149" t="inlineStr">
        <is>
          <t>GÄVLEBORGS LÄN</t>
        </is>
      </c>
      <c r="E7149" t="inlineStr">
        <is>
          <t>NORDANSTIG</t>
        </is>
      </c>
      <c r="F7149" t="inlineStr">
        <is>
          <t>Holmen skog AB</t>
        </is>
      </c>
      <c r="G7149" t="n">
        <v>2.6</v>
      </c>
      <c r="H7149" t="n">
        <v>0</v>
      </c>
      <c r="I7149" t="n">
        <v>0</v>
      </c>
      <c r="J7149" t="n">
        <v>0</v>
      </c>
      <c r="K7149" t="n">
        <v>0</v>
      </c>
      <c r="L7149" t="n">
        <v>0</v>
      </c>
      <c r="M7149" t="n">
        <v>0</v>
      </c>
      <c r="N7149" t="n">
        <v>0</v>
      </c>
      <c r="O7149" t="n">
        <v>0</v>
      </c>
      <c r="P7149" t="n">
        <v>0</v>
      </c>
      <c r="Q7149" t="n">
        <v>0</v>
      </c>
      <c r="R7149" s="2" t="inlineStr"/>
    </row>
    <row r="7150" ht="15" customHeight="1">
      <c r="A7150" t="inlineStr">
        <is>
          <t>A 16520-2023</t>
        </is>
      </c>
      <c r="B7150" s="1" t="n">
        <v>45029</v>
      </c>
      <c r="C7150" s="1" t="n">
        <v>45344</v>
      </c>
      <c r="D7150" t="inlineStr">
        <is>
          <t>GÄVLEBORGS LÄN</t>
        </is>
      </c>
      <c r="E7150" t="inlineStr">
        <is>
          <t>NORDANSTIG</t>
        </is>
      </c>
      <c r="G7150" t="n">
        <v>2.8</v>
      </c>
      <c r="H7150" t="n">
        <v>0</v>
      </c>
      <c r="I7150" t="n">
        <v>0</v>
      </c>
      <c r="J7150" t="n">
        <v>0</v>
      </c>
      <c r="K7150" t="n">
        <v>0</v>
      </c>
      <c r="L7150" t="n">
        <v>0</v>
      </c>
      <c r="M7150" t="n">
        <v>0</v>
      </c>
      <c r="N7150" t="n">
        <v>0</v>
      </c>
      <c r="O7150" t="n">
        <v>0</v>
      </c>
      <c r="P7150" t="n">
        <v>0</v>
      </c>
      <c r="Q7150" t="n">
        <v>0</v>
      </c>
      <c r="R7150" s="2" t="inlineStr"/>
    </row>
    <row r="7151" ht="15" customHeight="1">
      <c r="A7151" t="inlineStr">
        <is>
          <t>A 16632-2023</t>
        </is>
      </c>
      <c r="B7151" s="1" t="n">
        <v>45030</v>
      </c>
      <c r="C7151" s="1" t="n">
        <v>45344</v>
      </c>
      <c r="D7151" t="inlineStr">
        <is>
          <t>GÄVLEBORGS LÄN</t>
        </is>
      </c>
      <c r="E7151" t="inlineStr">
        <is>
          <t>GÄVLE</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16624-2023</t>
        </is>
      </c>
      <c r="B7152" s="1" t="n">
        <v>45030</v>
      </c>
      <c r="C7152" s="1" t="n">
        <v>45344</v>
      </c>
      <c r="D7152" t="inlineStr">
        <is>
          <t>GÄVLEBORGS LÄN</t>
        </is>
      </c>
      <c r="E7152" t="inlineStr">
        <is>
          <t>GÄVLE</t>
        </is>
      </c>
      <c r="F7152" t="inlineStr">
        <is>
          <t>Bergvik skog väst AB</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16663-2023</t>
        </is>
      </c>
      <c r="B7153" s="1" t="n">
        <v>45030</v>
      </c>
      <c r="C7153" s="1" t="n">
        <v>45344</v>
      </c>
      <c r="D7153" t="inlineStr">
        <is>
          <t>GÄVLEBORGS LÄN</t>
        </is>
      </c>
      <c r="E7153" t="inlineStr">
        <is>
          <t>GÄVLE</t>
        </is>
      </c>
      <c r="F7153" t="inlineStr">
        <is>
          <t>Bergvik skog väst AB</t>
        </is>
      </c>
      <c r="G7153" t="n">
        <v>7.1</v>
      </c>
      <c r="H7153" t="n">
        <v>0</v>
      </c>
      <c r="I7153" t="n">
        <v>0</v>
      </c>
      <c r="J7153" t="n">
        <v>0</v>
      </c>
      <c r="K7153" t="n">
        <v>0</v>
      </c>
      <c r="L7153" t="n">
        <v>0</v>
      </c>
      <c r="M7153" t="n">
        <v>0</v>
      </c>
      <c r="N7153" t="n">
        <v>0</v>
      </c>
      <c r="O7153" t="n">
        <v>0</v>
      </c>
      <c r="P7153" t="n">
        <v>0</v>
      </c>
      <c r="Q7153" t="n">
        <v>0</v>
      </c>
      <c r="R7153" s="2" t="inlineStr"/>
    </row>
    <row r="7154" ht="15" customHeight="1">
      <c r="A7154" t="inlineStr">
        <is>
          <t>A 16715-2023</t>
        </is>
      </c>
      <c r="B7154" s="1" t="n">
        <v>45030</v>
      </c>
      <c r="C7154" s="1" t="n">
        <v>45344</v>
      </c>
      <c r="D7154" t="inlineStr">
        <is>
          <t>GÄVLEBORGS LÄN</t>
        </is>
      </c>
      <c r="E7154" t="inlineStr">
        <is>
          <t>OCKELBO</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16717-2023</t>
        </is>
      </c>
      <c r="B7155" s="1" t="n">
        <v>45030</v>
      </c>
      <c r="C7155" s="1" t="n">
        <v>45344</v>
      </c>
      <c r="D7155" t="inlineStr">
        <is>
          <t>GÄVLEBORGS LÄN</t>
        </is>
      </c>
      <c r="E7155" t="inlineStr">
        <is>
          <t>BOLLNÄS</t>
        </is>
      </c>
      <c r="G7155" t="n">
        <v>3.2</v>
      </c>
      <c r="H7155" t="n">
        <v>0</v>
      </c>
      <c r="I7155" t="n">
        <v>0</v>
      </c>
      <c r="J7155" t="n">
        <v>0</v>
      </c>
      <c r="K7155" t="n">
        <v>0</v>
      </c>
      <c r="L7155" t="n">
        <v>0</v>
      </c>
      <c r="M7155" t="n">
        <v>0</v>
      </c>
      <c r="N7155" t="n">
        <v>0</v>
      </c>
      <c r="O7155" t="n">
        <v>0</v>
      </c>
      <c r="P7155" t="n">
        <v>0</v>
      </c>
      <c r="Q7155" t="n">
        <v>0</v>
      </c>
      <c r="R7155" s="2" t="inlineStr"/>
    </row>
    <row r="7156" ht="15" customHeight="1">
      <c r="A7156" t="inlineStr">
        <is>
          <t>A 16849-2023</t>
        </is>
      </c>
      <c r="B7156" s="1" t="n">
        <v>45033</v>
      </c>
      <c r="C7156" s="1" t="n">
        <v>45344</v>
      </c>
      <c r="D7156" t="inlineStr">
        <is>
          <t>GÄVLEBORGS LÄN</t>
        </is>
      </c>
      <c r="E7156" t="inlineStr">
        <is>
          <t>HUDIKSVALL</t>
        </is>
      </c>
      <c r="G7156" t="n">
        <v>2.4</v>
      </c>
      <c r="H7156" t="n">
        <v>0</v>
      </c>
      <c r="I7156" t="n">
        <v>0</v>
      </c>
      <c r="J7156" t="n">
        <v>0</v>
      </c>
      <c r="K7156" t="n">
        <v>0</v>
      </c>
      <c r="L7156" t="n">
        <v>0</v>
      </c>
      <c r="M7156" t="n">
        <v>0</v>
      </c>
      <c r="N7156" t="n">
        <v>0</v>
      </c>
      <c r="O7156" t="n">
        <v>0</v>
      </c>
      <c r="P7156" t="n">
        <v>0</v>
      </c>
      <c r="Q7156" t="n">
        <v>0</v>
      </c>
      <c r="R7156" s="2" t="inlineStr"/>
    </row>
    <row r="7157" ht="15" customHeight="1">
      <c r="A7157" t="inlineStr">
        <is>
          <t>A 16887-2023</t>
        </is>
      </c>
      <c r="B7157" s="1" t="n">
        <v>45033</v>
      </c>
      <c r="C7157" s="1" t="n">
        <v>45344</v>
      </c>
      <c r="D7157" t="inlineStr">
        <is>
          <t>GÄVLEBORGS LÄN</t>
        </is>
      </c>
      <c r="E7157" t="inlineStr">
        <is>
          <t>BOLLNÄS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16951-2023</t>
        </is>
      </c>
      <c r="B7158" s="1" t="n">
        <v>45033</v>
      </c>
      <c r="C7158" s="1" t="n">
        <v>45344</v>
      </c>
      <c r="D7158" t="inlineStr">
        <is>
          <t>GÄVLEBORGS LÄN</t>
        </is>
      </c>
      <c r="E7158" t="inlineStr">
        <is>
          <t>SÖDERHAMN</t>
        </is>
      </c>
      <c r="G7158" t="n">
        <v>3.4</v>
      </c>
      <c r="H7158" t="n">
        <v>0</v>
      </c>
      <c r="I7158" t="n">
        <v>0</v>
      </c>
      <c r="J7158" t="n">
        <v>0</v>
      </c>
      <c r="K7158" t="n">
        <v>0</v>
      </c>
      <c r="L7158" t="n">
        <v>0</v>
      </c>
      <c r="M7158" t="n">
        <v>0</v>
      </c>
      <c r="N7158" t="n">
        <v>0</v>
      </c>
      <c r="O7158" t="n">
        <v>0</v>
      </c>
      <c r="P7158" t="n">
        <v>0</v>
      </c>
      <c r="Q7158" t="n">
        <v>0</v>
      </c>
      <c r="R7158" s="2" t="inlineStr"/>
    </row>
    <row r="7159" ht="15" customHeight="1">
      <c r="A7159" t="inlineStr">
        <is>
          <t>A 16808-2023</t>
        </is>
      </c>
      <c r="B7159" s="1" t="n">
        <v>45033</v>
      </c>
      <c r="C7159" s="1" t="n">
        <v>45344</v>
      </c>
      <c r="D7159" t="inlineStr">
        <is>
          <t>GÄVLEBORGS LÄN</t>
        </is>
      </c>
      <c r="E7159" t="inlineStr">
        <is>
          <t>OCKELBO</t>
        </is>
      </c>
      <c r="F7159" t="inlineStr">
        <is>
          <t>Bergvik skog väst AB</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16846-2023</t>
        </is>
      </c>
      <c r="B7160" s="1" t="n">
        <v>45033</v>
      </c>
      <c r="C7160" s="1" t="n">
        <v>45344</v>
      </c>
      <c r="D7160" t="inlineStr">
        <is>
          <t>GÄVLEBORGS LÄN</t>
        </is>
      </c>
      <c r="E7160" t="inlineStr">
        <is>
          <t>OCKELBO</t>
        </is>
      </c>
      <c r="G7160" t="n">
        <v>3.8</v>
      </c>
      <c r="H7160" t="n">
        <v>0</v>
      </c>
      <c r="I7160" t="n">
        <v>0</v>
      </c>
      <c r="J7160" t="n">
        <v>0</v>
      </c>
      <c r="K7160" t="n">
        <v>0</v>
      </c>
      <c r="L7160" t="n">
        <v>0</v>
      </c>
      <c r="M7160" t="n">
        <v>0</v>
      </c>
      <c r="N7160" t="n">
        <v>0</v>
      </c>
      <c r="O7160" t="n">
        <v>0</v>
      </c>
      <c r="P7160" t="n">
        <v>0</v>
      </c>
      <c r="Q7160" t="n">
        <v>0</v>
      </c>
      <c r="R7160" s="2" t="inlineStr"/>
    </row>
    <row r="7161" ht="15" customHeight="1">
      <c r="A7161" t="inlineStr">
        <is>
          <t>A 16911-2023</t>
        </is>
      </c>
      <c r="B7161" s="1" t="n">
        <v>45033</v>
      </c>
      <c r="C7161" s="1" t="n">
        <v>45344</v>
      </c>
      <c r="D7161" t="inlineStr">
        <is>
          <t>GÄVLEBORGS LÄN</t>
        </is>
      </c>
      <c r="E7161" t="inlineStr">
        <is>
          <t>OCKELBO</t>
        </is>
      </c>
      <c r="F7161" t="inlineStr">
        <is>
          <t>Bergvik skog väst AB</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16950-2023</t>
        </is>
      </c>
      <c r="B7162" s="1" t="n">
        <v>45033</v>
      </c>
      <c r="C7162" s="1" t="n">
        <v>45344</v>
      </c>
      <c r="D7162" t="inlineStr">
        <is>
          <t>GÄVLEBORGS LÄN</t>
        </is>
      </c>
      <c r="E7162" t="inlineStr">
        <is>
          <t>OCKELBO</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16961-2023</t>
        </is>
      </c>
      <c r="B7163" s="1" t="n">
        <v>45033</v>
      </c>
      <c r="C7163" s="1" t="n">
        <v>45344</v>
      </c>
      <c r="D7163" t="inlineStr">
        <is>
          <t>GÄVLEBORGS LÄN</t>
        </is>
      </c>
      <c r="E7163" t="inlineStr">
        <is>
          <t>OVANÅKER</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16934-2023</t>
        </is>
      </c>
      <c r="B7164" s="1" t="n">
        <v>45033</v>
      </c>
      <c r="C7164" s="1" t="n">
        <v>45344</v>
      </c>
      <c r="D7164" t="inlineStr">
        <is>
          <t>GÄVLEBORGS LÄN</t>
        </is>
      </c>
      <c r="E7164" t="inlineStr">
        <is>
          <t>HUDIKSVALL</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16968-2023</t>
        </is>
      </c>
      <c r="B7165" s="1" t="n">
        <v>45033</v>
      </c>
      <c r="C7165" s="1" t="n">
        <v>45344</v>
      </c>
      <c r="D7165" t="inlineStr">
        <is>
          <t>GÄVLEBORGS LÄN</t>
        </is>
      </c>
      <c r="E7165" t="inlineStr">
        <is>
          <t>OVANÅKER</t>
        </is>
      </c>
      <c r="G7165" t="n">
        <v>1.5</v>
      </c>
      <c r="H7165" t="n">
        <v>0</v>
      </c>
      <c r="I7165" t="n">
        <v>0</v>
      </c>
      <c r="J7165" t="n">
        <v>0</v>
      </c>
      <c r="K7165" t="n">
        <v>0</v>
      </c>
      <c r="L7165" t="n">
        <v>0</v>
      </c>
      <c r="M7165" t="n">
        <v>0</v>
      </c>
      <c r="N7165" t="n">
        <v>0</v>
      </c>
      <c r="O7165" t="n">
        <v>0</v>
      </c>
      <c r="P7165" t="n">
        <v>0</v>
      </c>
      <c r="Q7165" t="n">
        <v>0</v>
      </c>
      <c r="R7165" s="2" t="inlineStr"/>
    </row>
    <row r="7166" ht="15" customHeight="1">
      <c r="A7166" t="inlineStr">
        <is>
          <t>A 17003-2023</t>
        </is>
      </c>
      <c r="B7166" s="1" t="n">
        <v>45034</v>
      </c>
      <c r="C7166" s="1" t="n">
        <v>45344</v>
      </c>
      <c r="D7166" t="inlineStr">
        <is>
          <t>GÄVLEBORGS LÄN</t>
        </is>
      </c>
      <c r="E7166" t="inlineStr">
        <is>
          <t>LJUSDAL</t>
        </is>
      </c>
      <c r="F7166" t="inlineStr">
        <is>
          <t>SCA</t>
        </is>
      </c>
      <c r="G7166" t="n">
        <v>10.8</v>
      </c>
      <c r="H7166" t="n">
        <v>0</v>
      </c>
      <c r="I7166" t="n">
        <v>0</v>
      </c>
      <c r="J7166" t="n">
        <v>0</v>
      </c>
      <c r="K7166" t="n">
        <v>0</v>
      </c>
      <c r="L7166" t="n">
        <v>0</v>
      </c>
      <c r="M7166" t="n">
        <v>0</v>
      </c>
      <c r="N7166" t="n">
        <v>0</v>
      </c>
      <c r="O7166" t="n">
        <v>0</v>
      </c>
      <c r="P7166" t="n">
        <v>0</v>
      </c>
      <c r="Q7166" t="n">
        <v>0</v>
      </c>
      <c r="R7166" s="2" t="inlineStr"/>
    </row>
    <row r="7167" ht="15" customHeight="1">
      <c r="A7167" t="inlineStr">
        <is>
          <t>A 16890-2023</t>
        </is>
      </c>
      <c r="B7167" s="1" t="n">
        <v>45033</v>
      </c>
      <c r="C7167" s="1" t="n">
        <v>45344</v>
      </c>
      <c r="D7167" t="inlineStr">
        <is>
          <t>GÄVLEBORGS LÄN</t>
        </is>
      </c>
      <c r="E7167" t="inlineStr">
        <is>
          <t>BOLLNÄS</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16902-2023</t>
        </is>
      </c>
      <c r="B7168" s="1" t="n">
        <v>45033</v>
      </c>
      <c r="C7168" s="1" t="n">
        <v>45344</v>
      </c>
      <c r="D7168" t="inlineStr">
        <is>
          <t>GÄVLEBORGS LÄN</t>
        </is>
      </c>
      <c r="E7168" t="inlineStr">
        <is>
          <t>BOLLNÄS</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16907-2023</t>
        </is>
      </c>
      <c r="B7169" s="1" t="n">
        <v>45033</v>
      </c>
      <c r="C7169" s="1" t="n">
        <v>45344</v>
      </c>
      <c r="D7169" t="inlineStr">
        <is>
          <t>GÄVLEBORGS LÄN</t>
        </is>
      </c>
      <c r="E7169" t="inlineStr">
        <is>
          <t>BOLLNÄS</t>
        </is>
      </c>
      <c r="G7169" t="n">
        <v>10</v>
      </c>
      <c r="H7169" t="n">
        <v>0</v>
      </c>
      <c r="I7169" t="n">
        <v>0</v>
      </c>
      <c r="J7169" t="n">
        <v>0</v>
      </c>
      <c r="K7169" t="n">
        <v>0</v>
      </c>
      <c r="L7169" t="n">
        <v>0</v>
      </c>
      <c r="M7169" t="n">
        <v>0</v>
      </c>
      <c r="N7169" t="n">
        <v>0</v>
      </c>
      <c r="O7169" t="n">
        <v>0</v>
      </c>
      <c r="P7169" t="n">
        <v>0</v>
      </c>
      <c r="Q7169" t="n">
        <v>0</v>
      </c>
      <c r="R7169" s="2" t="inlineStr"/>
    </row>
    <row r="7170" ht="15" customHeight="1">
      <c r="A7170" t="inlineStr">
        <is>
          <t>A 16931-2023</t>
        </is>
      </c>
      <c r="B7170" s="1" t="n">
        <v>45033</v>
      </c>
      <c r="C7170" s="1" t="n">
        <v>45344</v>
      </c>
      <c r="D7170" t="inlineStr">
        <is>
          <t>GÄVLEBORGS LÄN</t>
        </is>
      </c>
      <c r="E7170" t="inlineStr">
        <is>
          <t>SÖDERHAMN</t>
        </is>
      </c>
      <c r="G7170" t="n">
        <v>6.1</v>
      </c>
      <c r="H7170" t="n">
        <v>0</v>
      </c>
      <c r="I7170" t="n">
        <v>0</v>
      </c>
      <c r="J7170" t="n">
        <v>0</v>
      </c>
      <c r="K7170" t="n">
        <v>0</v>
      </c>
      <c r="L7170" t="n">
        <v>0</v>
      </c>
      <c r="M7170" t="n">
        <v>0</v>
      </c>
      <c r="N7170" t="n">
        <v>0</v>
      </c>
      <c r="O7170" t="n">
        <v>0</v>
      </c>
      <c r="P7170" t="n">
        <v>0</v>
      </c>
      <c r="Q7170" t="n">
        <v>0</v>
      </c>
      <c r="R7170" s="2" t="inlineStr"/>
    </row>
    <row r="7171" ht="15" customHeight="1">
      <c r="A7171" t="inlineStr">
        <is>
          <t>A 17004-2023</t>
        </is>
      </c>
      <c r="B7171" s="1" t="n">
        <v>45033</v>
      </c>
      <c r="C7171" s="1" t="n">
        <v>45344</v>
      </c>
      <c r="D7171" t="inlineStr">
        <is>
          <t>GÄVLEBORGS LÄN</t>
        </is>
      </c>
      <c r="E7171" t="inlineStr">
        <is>
          <t>LJUSDAL</t>
        </is>
      </c>
      <c r="F7171" t="inlineStr">
        <is>
          <t>SCA</t>
        </is>
      </c>
      <c r="G7171" t="n">
        <v>8.5</v>
      </c>
      <c r="H7171" t="n">
        <v>0</v>
      </c>
      <c r="I7171" t="n">
        <v>0</v>
      </c>
      <c r="J7171" t="n">
        <v>0</v>
      </c>
      <c r="K7171" t="n">
        <v>0</v>
      </c>
      <c r="L7171" t="n">
        <v>0</v>
      </c>
      <c r="M7171" t="n">
        <v>0</v>
      </c>
      <c r="N7171" t="n">
        <v>0</v>
      </c>
      <c r="O7171" t="n">
        <v>0</v>
      </c>
      <c r="P7171" t="n">
        <v>0</v>
      </c>
      <c r="Q7171" t="n">
        <v>0</v>
      </c>
      <c r="R7171" s="2" t="inlineStr"/>
    </row>
    <row r="7172" ht="15" customHeight="1">
      <c r="A7172" t="inlineStr">
        <is>
          <t>A 17005-2023</t>
        </is>
      </c>
      <c r="B7172" s="1" t="n">
        <v>45034</v>
      </c>
      <c r="C7172" s="1" t="n">
        <v>45344</v>
      </c>
      <c r="D7172" t="inlineStr">
        <is>
          <t>GÄVLEBORGS LÄN</t>
        </is>
      </c>
      <c r="E7172" t="inlineStr">
        <is>
          <t>LJUSDAL</t>
        </is>
      </c>
      <c r="F7172" t="inlineStr">
        <is>
          <t>SCA</t>
        </is>
      </c>
      <c r="G7172" t="n">
        <v>7.2</v>
      </c>
      <c r="H7172" t="n">
        <v>0</v>
      </c>
      <c r="I7172" t="n">
        <v>0</v>
      </c>
      <c r="J7172" t="n">
        <v>0</v>
      </c>
      <c r="K7172" t="n">
        <v>0</v>
      </c>
      <c r="L7172" t="n">
        <v>0</v>
      </c>
      <c r="M7172" t="n">
        <v>0</v>
      </c>
      <c r="N7172" t="n">
        <v>0</v>
      </c>
      <c r="O7172" t="n">
        <v>0</v>
      </c>
      <c r="P7172" t="n">
        <v>0</v>
      </c>
      <c r="Q7172" t="n">
        <v>0</v>
      </c>
      <c r="R7172" s="2" t="inlineStr"/>
    </row>
    <row r="7173" ht="15" customHeight="1">
      <c r="A7173" t="inlineStr">
        <is>
          <t>A 17360-2023</t>
        </is>
      </c>
      <c r="B7173" s="1" t="n">
        <v>45033</v>
      </c>
      <c r="C7173" s="1" t="n">
        <v>45344</v>
      </c>
      <c r="D7173" t="inlineStr">
        <is>
          <t>GÄVLEBORGS LÄN</t>
        </is>
      </c>
      <c r="E7173" t="inlineStr">
        <is>
          <t>HUDIKSVALL</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17052-2023</t>
        </is>
      </c>
      <c r="B7174" s="1" t="n">
        <v>45034</v>
      </c>
      <c r="C7174" s="1" t="n">
        <v>45344</v>
      </c>
      <c r="D7174" t="inlineStr">
        <is>
          <t>GÄVLEBORGS LÄN</t>
        </is>
      </c>
      <c r="E7174" t="inlineStr">
        <is>
          <t>NORDANSTIG</t>
        </is>
      </c>
      <c r="F7174" t="inlineStr">
        <is>
          <t>Holmen skog AB</t>
        </is>
      </c>
      <c r="G7174" t="n">
        <v>8.6</v>
      </c>
      <c r="H7174" t="n">
        <v>0</v>
      </c>
      <c r="I7174" t="n">
        <v>0</v>
      </c>
      <c r="J7174" t="n">
        <v>0</v>
      </c>
      <c r="K7174" t="n">
        <v>0</v>
      </c>
      <c r="L7174" t="n">
        <v>0</v>
      </c>
      <c r="M7174" t="n">
        <v>0</v>
      </c>
      <c r="N7174" t="n">
        <v>0</v>
      </c>
      <c r="O7174" t="n">
        <v>0</v>
      </c>
      <c r="P7174" t="n">
        <v>0</v>
      </c>
      <c r="Q7174" t="n">
        <v>0</v>
      </c>
      <c r="R7174" s="2" t="inlineStr"/>
    </row>
    <row r="7175" ht="15" customHeight="1">
      <c r="A7175" t="inlineStr">
        <is>
          <t>A 17097-2023</t>
        </is>
      </c>
      <c r="B7175" s="1" t="n">
        <v>45034</v>
      </c>
      <c r="C7175" s="1" t="n">
        <v>45344</v>
      </c>
      <c r="D7175" t="inlineStr">
        <is>
          <t>GÄVLEBORGS LÄN</t>
        </is>
      </c>
      <c r="E7175" t="inlineStr">
        <is>
          <t>HUDIKSVALL</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17062-2023</t>
        </is>
      </c>
      <c r="B7176" s="1" t="n">
        <v>45034</v>
      </c>
      <c r="C7176" s="1" t="n">
        <v>45344</v>
      </c>
      <c r="D7176" t="inlineStr">
        <is>
          <t>GÄVLEBORGS LÄN</t>
        </is>
      </c>
      <c r="E7176" t="inlineStr">
        <is>
          <t>GÄVLE</t>
        </is>
      </c>
      <c r="G7176" t="n">
        <v>2.4</v>
      </c>
      <c r="H7176" t="n">
        <v>0</v>
      </c>
      <c r="I7176" t="n">
        <v>0</v>
      </c>
      <c r="J7176" t="n">
        <v>0</v>
      </c>
      <c r="K7176" t="n">
        <v>0</v>
      </c>
      <c r="L7176" t="n">
        <v>0</v>
      </c>
      <c r="M7176" t="n">
        <v>0</v>
      </c>
      <c r="N7176" t="n">
        <v>0</v>
      </c>
      <c r="O7176" t="n">
        <v>0</v>
      </c>
      <c r="P7176" t="n">
        <v>0</v>
      </c>
      <c r="Q7176" t="n">
        <v>0</v>
      </c>
      <c r="R7176" s="2" t="inlineStr"/>
    </row>
    <row r="7177" ht="15" customHeight="1">
      <c r="A7177" t="inlineStr">
        <is>
          <t>A 17088-2023</t>
        </is>
      </c>
      <c r="B7177" s="1" t="n">
        <v>45034</v>
      </c>
      <c r="C7177" s="1" t="n">
        <v>45344</v>
      </c>
      <c r="D7177" t="inlineStr">
        <is>
          <t>GÄVLEBORGS LÄN</t>
        </is>
      </c>
      <c r="E7177" t="inlineStr">
        <is>
          <t>GÄVLE</t>
        </is>
      </c>
      <c r="F7177" t="inlineStr">
        <is>
          <t>Bergvik skog öst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17106-2023</t>
        </is>
      </c>
      <c r="B7178" s="1" t="n">
        <v>45034</v>
      </c>
      <c r="C7178" s="1" t="n">
        <v>45344</v>
      </c>
      <c r="D7178" t="inlineStr">
        <is>
          <t>GÄVLEBORGS LÄN</t>
        </is>
      </c>
      <c r="E7178" t="inlineStr">
        <is>
          <t>SANDVIKEN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17146-2023</t>
        </is>
      </c>
      <c r="B7179" s="1" t="n">
        <v>45034</v>
      </c>
      <c r="C7179" s="1" t="n">
        <v>45344</v>
      </c>
      <c r="D7179" t="inlineStr">
        <is>
          <t>GÄVLEBORGS LÄN</t>
        </is>
      </c>
      <c r="E7179" t="inlineStr">
        <is>
          <t>SÖDERHAMN</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17164-2023</t>
        </is>
      </c>
      <c r="B7180" s="1" t="n">
        <v>45034</v>
      </c>
      <c r="C7180" s="1" t="n">
        <v>45344</v>
      </c>
      <c r="D7180" t="inlineStr">
        <is>
          <t>GÄVLEBORGS LÄN</t>
        </is>
      </c>
      <c r="E7180" t="inlineStr">
        <is>
          <t>HUDIKSVALL</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17154-2023</t>
        </is>
      </c>
      <c r="B7181" s="1" t="n">
        <v>45034</v>
      </c>
      <c r="C7181" s="1" t="n">
        <v>45344</v>
      </c>
      <c r="D7181" t="inlineStr">
        <is>
          <t>GÄVLEBORGS LÄN</t>
        </is>
      </c>
      <c r="E7181" t="inlineStr">
        <is>
          <t>SANDVIKEN</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17057-2023</t>
        </is>
      </c>
      <c r="B7182" s="1" t="n">
        <v>45034</v>
      </c>
      <c r="C7182" s="1" t="n">
        <v>45344</v>
      </c>
      <c r="D7182" t="inlineStr">
        <is>
          <t>GÄVLEBORGS LÄN</t>
        </is>
      </c>
      <c r="E7182" t="inlineStr">
        <is>
          <t>GÄVLE</t>
        </is>
      </c>
      <c r="F7182" t="inlineStr">
        <is>
          <t>Bergvik skog öst AB</t>
        </is>
      </c>
      <c r="G7182" t="n">
        <v>7.8</v>
      </c>
      <c r="H7182" t="n">
        <v>0</v>
      </c>
      <c r="I7182" t="n">
        <v>0</v>
      </c>
      <c r="J7182" t="n">
        <v>0</v>
      </c>
      <c r="K7182" t="n">
        <v>0</v>
      </c>
      <c r="L7182" t="n">
        <v>0</v>
      </c>
      <c r="M7182" t="n">
        <v>0</v>
      </c>
      <c r="N7182" t="n">
        <v>0</v>
      </c>
      <c r="O7182" t="n">
        <v>0</v>
      </c>
      <c r="P7182" t="n">
        <v>0</v>
      </c>
      <c r="Q7182" t="n">
        <v>0</v>
      </c>
      <c r="R7182" s="2" t="inlineStr"/>
    </row>
    <row r="7183" ht="15" customHeight="1">
      <c r="A7183" t="inlineStr">
        <is>
          <t>A 17182-2023</t>
        </is>
      </c>
      <c r="B7183" s="1" t="n">
        <v>45034</v>
      </c>
      <c r="C7183" s="1" t="n">
        <v>45344</v>
      </c>
      <c r="D7183" t="inlineStr">
        <is>
          <t>GÄVLEBORGS LÄN</t>
        </is>
      </c>
      <c r="E7183" t="inlineStr">
        <is>
          <t>HUDIKSVALL</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17406-2023</t>
        </is>
      </c>
      <c r="B7184" s="1" t="n">
        <v>45035</v>
      </c>
      <c r="C7184" s="1" t="n">
        <v>45344</v>
      </c>
      <c r="D7184" t="inlineStr">
        <is>
          <t>GÄVLEBORGS LÄN</t>
        </is>
      </c>
      <c r="E7184" t="inlineStr">
        <is>
          <t>SANDVIKEN</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17412-2023</t>
        </is>
      </c>
      <c r="B7185" s="1" t="n">
        <v>45035</v>
      </c>
      <c r="C7185" s="1" t="n">
        <v>45344</v>
      </c>
      <c r="D7185" t="inlineStr">
        <is>
          <t>GÄVLEBORGS LÄN</t>
        </is>
      </c>
      <c r="E7185" t="inlineStr">
        <is>
          <t>SÖDERHAMN</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17244-2023</t>
        </is>
      </c>
      <c r="B7186" s="1" t="n">
        <v>45035</v>
      </c>
      <c r="C7186" s="1" t="n">
        <v>45344</v>
      </c>
      <c r="D7186" t="inlineStr">
        <is>
          <t>GÄVLEBORGS LÄN</t>
        </is>
      </c>
      <c r="E7186" t="inlineStr">
        <is>
          <t>LJUSDAL</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17230-2023</t>
        </is>
      </c>
      <c r="B7187" s="1" t="n">
        <v>45035</v>
      </c>
      <c r="C7187" s="1" t="n">
        <v>45344</v>
      </c>
      <c r="D7187" t="inlineStr">
        <is>
          <t>GÄVLEBORGS LÄN</t>
        </is>
      </c>
      <c r="E7187" t="inlineStr">
        <is>
          <t>LJUSDAL</t>
        </is>
      </c>
      <c r="F7187" t="inlineStr">
        <is>
          <t>Holmen skog AB</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17228-2023</t>
        </is>
      </c>
      <c r="B7188" s="1" t="n">
        <v>45035</v>
      </c>
      <c r="C7188" s="1" t="n">
        <v>45344</v>
      </c>
      <c r="D7188" t="inlineStr">
        <is>
          <t>GÄVLEBORGS LÄN</t>
        </is>
      </c>
      <c r="E7188" t="inlineStr">
        <is>
          <t>LJUSDAL</t>
        </is>
      </c>
      <c r="F7188" t="inlineStr">
        <is>
          <t>Holmen skog AB</t>
        </is>
      </c>
      <c r="G7188" t="n">
        <v>1.8</v>
      </c>
      <c r="H7188" t="n">
        <v>0</v>
      </c>
      <c r="I7188" t="n">
        <v>0</v>
      </c>
      <c r="J7188" t="n">
        <v>0</v>
      </c>
      <c r="K7188" t="n">
        <v>0</v>
      </c>
      <c r="L7188" t="n">
        <v>0</v>
      </c>
      <c r="M7188" t="n">
        <v>0</v>
      </c>
      <c r="N7188" t="n">
        <v>0</v>
      </c>
      <c r="O7188" t="n">
        <v>0</v>
      </c>
      <c r="P7188" t="n">
        <v>0</v>
      </c>
      <c r="Q7188" t="n">
        <v>0</v>
      </c>
      <c r="R7188" s="2" t="inlineStr"/>
      <c r="U7188">
        <f>HYPERLINK("https://klasma.github.io/Logging_2161/knärot/A 17228-2023 karta knärot.png", "A 17228-2023")</f>
        <v/>
      </c>
      <c r="V7188">
        <f>HYPERLINK("https://klasma.github.io/Logging_2161/klagomål/A 17228-2023 FSC-klagomål.docx", "A 17228-2023")</f>
        <v/>
      </c>
      <c r="W7188">
        <f>HYPERLINK("https://klasma.github.io/Logging_2161/klagomålsmail/A 17228-2023 FSC-klagomål mail.docx", "A 17228-2023")</f>
        <v/>
      </c>
      <c r="X7188">
        <f>HYPERLINK("https://klasma.github.io/Logging_2161/tillsyn/A 17228-2023 tillsynsbegäran.docx", "A 17228-2023")</f>
        <v/>
      </c>
      <c r="Y7188">
        <f>HYPERLINK("https://klasma.github.io/Logging_2161/tillsynsmail/A 17228-2023 tillsynsbegäran mail.docx", "A 17228-2023")</f>
        <v/>
      </c>
    </row>
    <row r="7189" ht="15" customHeight="1">
      <c r="A7189" t="inlineStr">
        <is>
          <t>A 17241-2023</t>
        </is>
      </c>
      <c r="B7189" s="1" t="n">
        <v>45035</v>
      </c>
      <c r="C7189" s="1" t="n">
        <v>45344</v>
      </c>
      <c r="D7189" t="inlineStr">
        <is>
          <t>GÄVLEBORGS LÄN</t>
        </is>
      </c>
      <c r="E7189" t="inlineStr">
        <is>
          <t>LJUSDAL</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17384-2023</t>
        </is>
      </c>
      <c r="B7190" s="1" t="n">
        <v>45035</v>
      </c>
      <c r="C7190" s="1" t="n">
        <v>45344</v>
      </c>
      <c r="D7190" t="inlineStr">
        <is>
          <t>GÄVLEBORGS LÄN</t>
        </is>
      </c>
      <c r="E7190" t="inlineStr">
        <is>
          <t>OVANÅKER</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17426-2023</t>
        </is>
      </c>
      <c r="B7191" s="1" t="n">
        <v>45035</v>
      </c>
      <c r="C7191" s="1" t="n">
        <v>45344</v>
      </c>
      <c r="D7191" t="inlineStr">
        <is>
          <t>GÄVLEBORGS LÄN</t>
        </is>
      </c>
      <c r="E7191" t="inlineStr">
        <is>
          <t>HUDIKSVALL</t>
        </is>
      </c>
      <c r="G7191" t="n">
        <v>3.5</v>
      </c>
      <c r="H7191" t="n">
        <v>0</v>
      </c>
      <c r="I7191" t="n">
        <v>0</v>
      </c>
      <c r="J7191" t="n">
        <v>0</v>
      </c>
      <c r="K7191" t="n">
        <v>0</v>
      </c>
      <c r="L7191" t="n">
        <v>0</v>
      </c>
      <c r="M7191" t="n">
        <v>0</v>
      </c>
      <c r="N7191" t="n">
        <v>0</v>
      </c>
      <c r="O7191" t="n">
        <v>0</v>
      </c>
      <c r="P7191" t="n">
        <v>0</v>
      </c>
      <c r="Q7191" t="n">
        <v>0</v>
      </c>
      <c r="R7191" s="2" t="inlineStr"/>
    </row>
    <row r="7192" ht="15" customHeight="1">
      <c r="A7192" t="inlineStr">
        <is>
          <t>A 17449-2023</t>
        </is>
      </c>
      <c r="B7192" s="1" t="n">
        <v>45036</v>
      </c>
      <c r="C7192" s="1" t="n">
        <v>45344</v>
      </c>
      <c r="D7192" t="inlineStr">
        <is>
          <t>GÄVLEBORGS LÄN</t>
        </is>
      </c>
      <c r="E7192" t="inlineStr">
        <is>
          <t>GÄVLE</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17601-2023</t>
        </is>
      </c>
      <c r="B7193" s="1" t="n">
        <v>45036</v>
      </c>
      <c r="C7193" s="1" t="n">
        <v>45344</v>
      </c>
      <c r="D7193" t="inlineStr">
        <is>
          <t>GÄVLEBORGS LÄN</t>
        </is>
      </c>
      <c r="E7193" t="inlineStr">
        <is>
          <t>SANDVIKEN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17466-2023</t>
        </is>
      </c>
      <c r="B7194" s="1" t="n">
        <v>45036</v>
      </c>
      <c r="C7194" s="1" t="n">
        <v>45344</v>
      </c>
      <c r="D7194" t="inlineStr">
        <is>
          <t>GÄVLEBORGS LÄN</t>
        </is>
      </c>
      <c r="E7194" t="inlineStr">
        <is>
          <t>OVANÅKER</t>
        </is>
      </c>
      <c r="G7194" t="n">
        <v>4.4</v>
      </c>
      <c r="H7194" t="n">
        <v>0</v>
      </c>
      <c r="I7194" t="n">
        <v>0</v>
      </c>
      <c r="J7194" t="n">
        <v>0</v>
      </c>
      <c r="K7194" t="n">
        <v>0</v>
      </c>
      <c r="L7194" t="n">
        <v>0</v>
      </c>
      <c r="M7194" t="n">
        <v>0</v>
      </c>
      <c r="N7194" t="n">
        <v>0</v>
      </c>
      <c r="O7194" t="n">
        <v>0</v>
      </c>
      <c r="P7194" t="n">
        <v>0</v>
      </c>
      <c r="Q7194" t="n">
        <v>0</v>
      </c>
      <c r="R7194" s="2" t="inlineStr"/>
    </row>
    <row r="7195" ht="15" customHeight="1">
      <c r="A7195" t="inlineStr">
        <is>
          <t>A 17489-2023</t>
        </is>
      </c>
      <c r="B7195" s="1" t="n">
        <v>45036</v>
      </c>
      <c r="C7195" s="1" t="n">
        <v>45344</v>
      </c>
      <c r="D7195" t="inlineStr">
        <is>
          <t>GÄVLEBORGS LÄN</t>
        </is>
      </c>
      <c r="E7195" t="inlineStr">
        <is>
          <t>OVANÅKER</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17492-2023</t>
        </is>
      </c>
      <c r="B7196" s="1" t="n">
        <v>45036</v>
      </c>
      <c r="C7196" s="1" t="n">
        <v>45344</v>
      </c>
      <c r="D7196" t="inlineStr">
        <is>
          <t>GÄVLEBORGS LÄN</t>
        </is>
      </c>
      <c r="E7196" t="inlineStr">
        <is>
          <t>OVANÅKER</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17499-2023</t>
        </is>
      </c>
      <c r="B7197" s="1" t="n">
        <v>45036</v>
      </c>
      <c r="C7197" s="1" t="n">
        <v>45344</v>
      </c>
      <c r="D7197" t="inlineStr">
        <is>
          <t>GÄVLEBORGS LÄN</t>
        </is>
      </c>
      <c r="E7197" t="inlineStr">
        <is>
          <t>LJUSDAL</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17521-2023</t>
        </is>
      </c>
      <c r="B7198" s="1" t="n">
        <v>45036</v>
      </c>
      <c r="C7198" s="1" t="n">
        <v>45344</v>
      </c>
      <c r="D7198" t="inlineStr">
        <is>
          <t>GÄVLEBORGS LÄN</t>
        </is>
      </c>
      <c r="E7198" t="inlineStr">
        <is>
          <t>OVANÅKER</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17570-2023</t>
        </is>
      </c>
      <c r="B7199" s="1" t="n">
        <v>45036</v>
      </c>
      <c r="C7199" s="1" t="n">
        <v>45344</v>
      </c>
      <c r="D7199" t="inlineStr">
        <is>
          <t>GÄVLEBORGS LÄN</t>
        </is>
      </c>
      <c r="E7199" t="inlineStr">
        <is>
          <t>GÄVLE</t>
        </is>
      </c>
      <c r="F7199" t="inlineStr">
        <is>
          <t>Bergvik skog öst AB</t>
        </is>
      </c>
      <c r="G7199" t="n">
        <v>2.1</v>
      </c>
      <c r="H7199" t="n">
        <v>0</v>
      </c>
      <c r="I7199" t="n">
        <v>0</v>
      </c>
      <c r="J7199" t="n">
        <v>0</v>
      </c>
      <c r="K7199" t="n">
        <v>0</v>
      </c>
      <c r="L7199" t="n">
        <v>0</v>
      </c>
      <c r="M7199" t="n">
        <v>0</v>
      </c>
      <c r="N7199" t="n">
        <v>0</v>
      </c>
      <c r="O7199" t="n">
        <v>0</v>
      </c>
      <c r="P7199" t="n">
        <v>0</v>
      </c>
      <c r="Q7199" t="n">
        <v>0</v>
      </c>
      <c r="R7199" s="2" t="inlineStr"/>
    </row>
    <row r="7200" ht="15" customHeight="1">
      <c r="A7200" t="inlineStr">
        <is>
          <t>A 17526-2023</t>
        </is>
      </c>
      <c r="B7200" s="1" t="n">
        <v>45036</v>
      </c>
      <c r="C7200" s="1" t="n">
        <v>45344</v>
      </c>
      <c r="D7200" t="inlineStr">
        <is>
          <t>GÄVLEBORGS LÄN</t>
        </is>
      </c>
      <c r="E7200" t="inlineStr">
        <is>
          <t>LJUSDAL</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17522-2023</t>
        </is>
      </c>
      <c r="B7201" s="1" t="n">
        <v>45036</v>
      </c>
      <c r="C7201" s="1" t="n">
        <v>45344</v>
      </c>
      <c r="D7201" t="inlineStr">
        <is>
          <t>GÄVLEBORGS LÄN</t>
        </is>
      </c>
      <c r="E7201" t="inlineStr">
        <is>
          <t>LJUSDAL</t>
        </is>
      </c>
      <c r="G7201" t="n">
        <v>6</v>
      </c>
      <c r="H7201" t="n">
        <v>0</v>
      </c>
      <c r="I7201" t="n">
        <v>0</v>
      </c>
      <c r="J7201" t="n">
        <v>0</v>
      </c>
      <c r="K7201" t="n">
        <v>0</v>
      </c>
      <c r="L7201" t="n">
        <v>0</v>
      </c>
      <c r="M7201" t="n">
        <v>0</v>
      </c>
      <c r="N7201" t="n">
        <v>0</v>
      </c>
      <c r="O7201" t="n">
        <v>0</v>
      </c>
      <c r="P7201" t="n">
        <v>0</v>
      </c>
      <c r="Q7201" t="n">
        <v>0</v>
      </c>
      <c r="R7201" s="2" t="inlineStr"/>
    </row>
    <row r="7202" ht="15" customHeight="1">
      <c r="A7202" t="inlineStr">
        <is>
          <t>A 17604-2023</t>
        </is>
      </c>
      <c r="B7202" s="1" t="n">
        <v>45036</v>
      </c>
      <c r="C7202" s="1" t="n">
        <v>45344</v>
      </c>
      <c r="D7202" t="inlineStr">
        <is>
          <t>GÄVLEBORGS LÄN</t>
        </is>
      </c>
      <c r="E7202" t="inlineStr">
        <is>
          <t>BOLLNÄS</t>
        </is>
      </c>
      <c r="G7202" t="n">
        <v>6.1</v>
      </c>
      <c r="H7202" t="n">
        <v>0</v>
      </c>
      <c r="I7202" t="n">
        <v>0</v>
      </c>
      <c r="J7202" t="n">
        <v>0</v>
      </c>
      <c r="K7202" t="n">
        <v>0</v>
      </c>
      <c r="L7202" t="n">
        <v>0</v>
      </c>
      <c r="M7202" t="n">
        <v>0</v>
      </c>
      <c r="N7202" t="n">
        <v>0</v>
      </c>
      <c r="O7202" t="n">
        <v>0</v>
      </c>
      <c r="P7202" t="n">
        <v>0</v>
      </c>
      <c r="Q7202" t="n">
        <v>0</v>
      </c>
      <c r="R7202" s="2" t="inlineStr"/>
    </row>
    <row r="7203" ht="15" customHeight="1">
      <c r="A7203" t="inlineStr">
        <is>
          <t>A 17667-2023</t>
        </is>
      </c>
      <c r="B7203" s="1" t="n">
        <v>45037</v>
      </c>
      <c r="C7203" s="1" t="n">
        <v>45344</v>
      </c>
      <c r="D7203" t="inlineStr">
        <is>
          <t>GÄVLEBORGS LÄN</t>
        </is>
      </c>
      <c r="E7203" t="inlineStr">
        <is>
          <t>LJUSDAL</t>
        </is>
      </c>
      <c r="F7203" t="inlineStr">
        <is>
          <t>SCA</t>
        </is>
      </c>
      <c r="G7203" t="n">
        <v>5.4</v>
      </c>
      <c r="H7203" t="n">
        <v>0</v>
      </c>
      <c r="I7203" t="n">
        <v>0</v>
      </c>
      <c r="J7203" t="n">
        <v>0</v>
      </c>
      <c r="K7203" t="n">
        <v>0</v>
      </c>
      <c r="L7203" t="n">
        <v>0</v>
      </c>
      <c r="M7203" t="n">
        <v>0</v>
      </c>
      <c r="N7203" t="n">
        <v>0</v>
      </c>
      <c r="O7203" t="n">
        <v>0</v>
      </c>
      <c r="P7203" t="n">
        <v>0</v>
      </c>
      <c r="Q7203" t="n">
        <v>0</v>
      </c>
      <c r="R7203" s="2" t="inlineStr"/>
    </row>
    <row r="7204" ht="15" customHeight="1">
      <c r="A7204" t="inlineStr">
        <is>
          <t>A 17699-2023</t>
        </is>
      </c>
      <c r="B7204" s="1" t="n">
        <v>45037</v>
      </c>
      <c r="C7204" s="1" t="n">
        <v>45344</v>
      </c>
      <c r="D7204" t="inlineStr">
        <is>
          <t>GÄVLEBORGS LÄN</t>
        </is>
      </c>
      <c r="E7204" t="inlineStr">
        <is>
          <t>LJUSDAL</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17681-2023</t>
        </is>
      </c>
      <c r="B7205" s="1" t="n">
        <v>45037</v>
      </c>
      <c r="C7205" s="1" t="n">
        <v>45344</v>
      </c>
      <c r="D7205" t="inlineStr">
        <is>
          <t>GÄVLEBORGS LÄN</t>
        </is>
      </c>
      <c r="E7205" t="inlineStr">
        <is>
          <t>LJUSDAL</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17696-2023</t>
        </is>
      </c>
      <c r="B7206" s="1" t="n">
        <v>45037</v>
      </c>
      <c r="C7206" s="1" t="n">
        <v>45344</v>
      </c>
      <c r="D7206" t="inlineStr">
        <is>
          <t>GÄVLEBORGS LÄN</t>
        </is>
      </c>
      <c r="E7206" t="inlineStr">
        <is>
          <t>LJUSDAL</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17804-2023</t>
        </is>
      </c>
      <c r="B7207" s="1" t="n">
        <v>45037</v>
      </c>
      <c r="C7207" s="1" t="n">
        <v>45344</v>
      </c>
      <c r="D7207" t="inlineStr">
        <is>
          <t>GÄVLEBORGS LÄN</t>
        </is>
      </c>
      <c r="E7207" t="inlineStr">
        <is>
          <t>OVANÅKER</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17822-2023</t>
        </is>
      </c>
      <c r="B7208" s="1" t="n">
        <v>45037</v>
      </c>
      <c r="C7208" s="1" t="n">
        <v>45344</v>
      </c>
      <c r="D7208" t="inlineStr">
        <is>
          <t>GÄVLEBORGS LÄN</t>
        </is>
      </c>
      <c r="E7208" t="inlineStr">
        <is>
          <t>OVANÅKER</t>
        </is>
      </c>
      <c r="G7208" t="n">
        <v>1.9</v>
      </c>
      <c r="H7208" t="n">
        <v>0</v>
      </c>
      <c r="I7208" t="n">
        <v>0</v>
      </c>
      <c r="J7208" t="n">
        <v>0</v>
      </c>
      <c r="K7208" t="n">
        <v>0</v>
      </c>
      <c r="L7208" t="n">
        <v>0</v>
      </c>
      <c r="M7208" t="n">
        <v>0</v>
      </c>
      <c r="N7208" t="n">
        <v>0</v>
      </c>
      <c r="O7208" t="n">
        <v>0</v>
      </c>
      <c r="P7208" t="n">
        <v>0</v>
      </c>
      <c r="Q7208" t="n">
        <v>0</v>
      </c>
      <c r="R7208" s="2" t="inlineStr"/>
    </row>
    <row r="7209" ht="15" customHeight="1">
      <c r="A7209" t="inlineStr">
        <is>
          <t>A 17792-2023</t>
        </is>
      </c>
      <c r="B7209" s="1" t="n">
        <v>45037</v>
      </c>
      <c r="C7209" s="1" t="n">
        <v>45344</v>
      </c>
      <c r="D7209" t="inlineStr">
        <is>
          <t>GÄVLEBORGS LÄN</t>
        </is>
      </c>
      <c r="E7209" t="inlineStr">
        <is>
          <t>BOLLNÄS</t>
        </is>
      </c>
      <c r="F7209" t="inlineStr">
        <is>
          <t>Kyrkan</t>
        </is>
      </c>
      <c r="G7209" t="n">
        <v>4.1</v>
      </c>
      <c r="H7209" t="n">
        <v>0</v>
      </c>
      <c r="I7209" t="n">
        <v>0</v>
      </c>
      <c r="J7209" t="n">
        <v>0</v>
      </c>
      <c r="K7209" t="n">
        <v>0</v>
      </c>
      <c r="L7209" t="n">
        <v>0</v>
      </c>
      <c r="M7209" t="n">
        <v>0</v>
      </c>
      <c r="N7209" t="n">
        <v>0</v>
      </c>
      <c r="O7209" t="n">
        <v>0</v>
      </c>
      <c r="P7209" t="n">
        <v>0</v>
      </c>
      <c r="Q7209" t="n">
        <v>0</v>
      </c>
      <c r="R7209" s="2" t="inlineStr"/>
    </row>
    <row r="7210" ht="15" customHeight="1">
      <c r="A7210" t="inlineStr">
        <is>
          <t>A 17840-2023</t>
        </is>
      </c>
      <c r="B7210" s="1" t="n">
        <v>45037</v>
      </c>
      <c r="C7210" s="1" t="n">
        <v>45344</v>
      </c>
      <c r="D7210" t="inlineStr">
        <is>
          <t>GÄVLEBORGS LÄN</t>
        </is>
      </c>
      <c r="E7210" t="inlineStr">
        <is>
          <t>NORDANSTIG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17843-2023</t>
        </is>
      </c>
      <c r="B7211" s="1" t="n">
        <v>45037</v>
      </c>
      <c r="C7211" s="1" t="n">
        <v>45344</v>
      </c>
      <c r="D7211" t="inlineStr">
        <is>
          <t>GÄVLEBORGS LÄN</t>
        </is>
      </c>
      <c r="E7211" t="inlineStr">
        <is>
          <t>NORDANSTIG</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17867-2023</t>
        </is>
      </c>
      <c r="B7212" s="1" t="n">
        <v>45038</v>
      </c>
      <c r="C7212" s="1" t="n">
        <v>45344</v>
      </c>
      <c r="D7212" t="inlineStr">
        <is>
          <t>GÄVLEBORGS LÄN</t>
        </is>
      </c>
      <c r="E7212" t="inlineStr">
        <is>
          <t>BOLLNÄS</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17903-2023</t>
        </is>
      </c>
      <c r="B7213" s="1" t="n">
        <v>45040</v>
      </c>
      <c r="C7213" s="1" t="n">
        <v>45344</v>
      </c>
      <c r="D7213" t="inlineStr">
        <is>
          <t>GÄVLEBORGS LÄN</t>
        </is>
      </c>
      <c r="E7213" t="inlineStr">
        <is>
          <t>GÄVLE</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18137-2023</t>
        </is>
      </c>
      <c r="B7214" s="1" t="n">
        <v>45040</v>
      </c>
      <c r="C7214" s="1" t="n">
        <v>45344</v>
      </c>
      <c r="D7214" t="inlineStr">
        <is>
          <t>GÄVLEBORGS LÄN</t>
        </is>
      </c>
      <c r="E7214" t="inlineStr">
        <is>
          <t>SÖDERHAMN</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17911-2023</t>
        </is>
      </c>
      <c r="B7215" s="1" t="n">
        <v>45040</v>
      </c>
      <c r="C7215" s="1" t="n">
        <v>45344</v>
      </c>
      <c r="D7215" t="inlineStr">
        <is>
          <t>GÄVLEBORGS LÄN</t>
        </is>
      </c>
      <c r="E7215" t="inlineStr">
        <is>
          <t>GÄVLE</t>
        </is>
      </c>
      <c r="F7215" t="inlineStr">
        <is>
          <t>Bergvik skog väst AB</t>
        </is>
      </c>
      <c r="G7215" t="n">
        <v>5.3</v>
      </c>
      <c r="H7215" t="n">
        <v>0</v>
      </c>
      <c r="I7215" t="n">
        <v>0</v>
      </c>
      <c r="J7215" t="n">
        <v>0</v>
      </c>
      <c r="K7215" t="n">
        <v>0</v>
      </c>
      <c r="L7215" t="n">
        <v>0</v>
      </c>
      <c r="M7215" t="n">
        <v>0</v>
      </c>
      <c r="N7215" t="n">
        <v>0</v>
      </c>
      <c r="O7215" t="n">
        <v>0</v>
      </c>
      <c r="P7215" t="n">
        <v>0</v>
      </c>
      <c r="Q7215" t="n">
        <v>0</v>
      </c>
      <c r="R7215" s="2" t="inlineStr"/>
    </row>
    <row r="7216" ht="15" customHeight="1">
      <c r="A7216" t="inlineStr">
        <is>
          <t>A 18043-2023</t>
        </is>
      </c>
      <c r="B7216" s="1" t="n">
        <v>45040</v>
      </c>
      <c r="C7216" s="1" t="n">
        <v>45344</v>
      </c>
      <c r="D7216" t="inlineStr">
        <is>
          <t>GÄVLEBORGS LÄN</t>
        </is>
      </c>
      <c r="E7216" t="inlineStr">
        <is>
          <t>LJUSDAL</t>
        </is>
      </c>
      <c r="F7216" t="inlineStr">
        <is>
          <t>Holmen skog AB</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17966-2023</t>
        </is>
      </c>
      <c r="B7217" s="1" t="n">
        <v>45040</v>
      </c>
      <c r="C7217" s="1" t="n">
        <v>45344</v>
      </c>
      <c r="D7217" t="inlineStr">
        <is>
          <t>GÄVLEBORGS LÄN</t>
        </is>
      </c>
      <c r="E7217" t="inlineStr">
        <is>
          <t>HUDIKSVALL</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18013-2023</t>
        </is>
      </c>
      <c r="B7218" s="1" t="n">
        <v>45040</v>
      </c>
      <c r="C7218" s="1" t="n">
        <v>45344</v>
      </c>
      <c r="D7218" t="inlineStr">
        <is>
          <t>GÄVLEBORGS LÄN</t>
        </is>
      </c>
      <c r="E7218" t="inlineStr">
        <is>
          <t>BOLLNÄS</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18140-2023</t>
        </is>
      </c>
      <c r="B7219" s="1" t="n">
        <v>45041</v>
      </c>
      <c r="C7219" s="1" t="n">
        <v>45344</v>
      </c>
      <c r="D7219" t="inlineStr">
        <is>
          <t>GÄVLEBORGS LÄN</t>
        </is>
      </c>
      <c r="E7219" t="inlineStr">
        <is>
          <t>SÖDERHAMN</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18141-2023</t>
        </is>
      </c>
      <c r="B7220" s="1" t="n">
        <v>45041</v>
      </c>
      <c r="C7220" s="1" t="n">
        <v>45344</v>
      </c>
      <c r="D7220" t="inlineStr">
        <is>
          <t>GÄVLEBORGS LÄN</t>
        </is>
      </c>
      <c r="E7220" t="inlineStr">
        <is>
          <t>SÖDERHAMN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18011-2023</t>
        </is>
      </c>
      <c r="B7221" s="1" t="n">
        <v>45040</v>
      </c>
      <c r="C7221" s="1" t="n">
        <v>45344</v>
      </c>
      <c r="D7221" t="inlineStr">
        <is>
          <t>GÄVLEBORGS LÄN</t>
        </is>
      </c>
      <c r="E7221" t="inlineStr">
        <is>
          <t>SANDVIKEN</t>
        </is>
      </c>
      <c r="F7221" t="inlineStr">
        <is>
          <t>Sveaskog</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18138-2023</t>
        </is>
      </c>
      <c r="B7222" s="1" t="n">
        <v>45040</v>
      </c>
      <c r="C7222" s="1" t="n">
        <v>45344</v>
      </c>
      <c r="D7222" t="inlineStr">
        <is>
          <t>GÄVLEBORGS LÄN</t>
        </is>
      </c>
      <c r="E7222" t="inlineStr">
        <is>
          <t>SÖDERHAMN</t>
        </is>
      </c>
      <c r="G7222" t="n">
        <v>3.3</v>
      </c>
      <c r="H7222" t="n">
        <v>0</v>
      </c>
      <c r="I7222" t="n">
        <v>0</v>
      </c>
      <c r="J7222" t="n">
        <v>0</v>
      </c>
      <c r="K7222" t="n">
        <v>0</v>
      </c>
      <c r="L7222" t="n">
        <v>0</v>
      </c>
      <c r="M7222" t="n">
        <v>0</v>
      </c>
      <c r="N7222" t="n">
        <v>0</v>
      </c>
      <c r="O7222" t="n">
        <v>0</v>
      </c>
      <c r="P7222" t="n">
        <v>0</v>
      </c>
      <c r="Q7222" t="n">
        <v>0</v>
      </c>
      <c r="R7222" s="2" t="inlineStr"/>
    </row>
    <row r="7223" ht="15" customHeight="1">
      <c r="A7223" t="inlineStr">
        <is>
          <t>A 18142-2023</t>
        </is>
      </c>
      <c r="B7223" s="1" t="n">
        <v>45041</v>
      </c>
      <c r="C7223" s="1" t="n">
        <v>45344</v>
      </c>
      <c r="D7223" t="inlineStr">
        <is>
          <t>GÄVLEBORGS LÄN</t>
        </is>
      </c>
      <c r="E7223" t="inlineStr">
        <is>
          <t>SÖDERHAMN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18027-2023</t>
        </is>
      </c>
      <c r="B7224" s="1" t="n">
        <v>45040</v>
      </c>
      <c r="C7224" s="1" t="n">
        <v>45344</v>
      </c>
      <c r="D7224" t="inlineStr">
        <is>
          <t>GÄVLEBORGS LÄN</t>
        </is>
      </c>
      <c r="E7224" t="inlineStr">
        <is>
          <t>OVANÅKER</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18017-2023</t>
        </is>
      </c>
      <c r="B7225" s="1" t="n">
        <v>45040</v>
      </c>
      <c r="C7225" s="1" t="n">
        <v>45344</v>
      </c>
      <c r="D7225" t="inlineStr">
        <is>
          <t>GÄVLEBORGS LÄN</t>
        </is>
      </c>
      <c r="E7225" t="inlineStr">
        <is>
          <t>GÄVLE</t>
        </is>
      </c>
      <c r="F7225" t="inlineStr">
        <is>
          <t>Bergvik skog väst AB</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18195-2023</t>
        </is>
      </c>
      <c r="B7226" s="1" t="n">
        <v>45041</v>
      </c>
      <c r="C7226" s="1" t="n">
        <v>45344</v>
      </c>
      <c r="D7226" t="inlineStr">
        <is>
          <t>GÄVLEBORGS LÄN</t>
        </is>
      </c>
      <c r="E7226" t="inlineStr">
        <is>
          <t>SÖDERHAMN</t>
        </is>
      </c>
      <c r="F7226" t="inlineStr">
        <is>
          <t>Bergvik skog väst AB</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18200-2023</t>
        </is>
      </c>
      <c r="B7227" s="1" t="n">
        <v>45041</v>
      </c>
      <c r="C7227" s="1" t="n">
        <v>45344</v>
      </c>
      <c r="D7227" t="inlineStr">
        <is>
          <t>GÄVLEBORGS LÄN</t>
        </is>
      </c>
      <c r="E7227" t="inlineStr">
        <is>
          <t>SÖDERHAMN</t>
        </is>
      </c>
      <c r="F7227" t="inlineStr">
        <is>
          <t>Bergvik skog väst AB</t>
        </is>
      </c>
      <c r="G7227" t="n">
        <v>0.7</v>
      </c>
      <c r="H7227" t="n">
        <v>0</v>
      </c>
      <c r="I7227" t="n">
        <v>0</v>
      </c>
      <c r="J7227" t="n">
        <v>0</v>
      </c>
      <c r="K7227" t="n">
        <v>0</v>
      </c>
      <c r="L7227" t="n">
        <v>0</v>
      </c>
      <c r="M7227" t="n">
        <v>0</v>
      </c>
      <c r="N7227" t="n">
        <v>0</v>
      </c>
      <c r="O7227" t="n">
        <v>0</v>
      </c>
      <c r="P7227" t="n">
        <v>0</v>
      </c>
      <c r="Q7227" t="n">
        <v>0</v>
      </c>
      <c r="R7227" s="2" t="inlineStr"/>
    </row>
    <row r="7228" ht="15" customHeight="1">
      <c r="A7228" t="inlineStr">
        <is>
          <t>A 18251-2023</t>
        </is>
      </c>
      <c r="B7228" s="1" t="n">
        <v>45041</v>
      </c>
      <c r="C7228" s="1" t="n">
        <v>45344</v>
      </c>
      <c r="D7228" t="inlineStr">
        <is>
          <t>GÄVLEBORGS LÄN</t>
        </is>
      </c>
      <c r="E7228" t="inlineStr">
        <is>
          <t>HUDIKSVALL</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18180-2023</t>
        </is>
      </c>
      <c r="B7229" s="1" t="n">
        <v>45041</v>
      </c>
      <c r="C7229" s="1" t="n">
        <v>45344</v>
      </c>
      <c r="D7229" t="inlineStr">
        <is>
          <t>GÄVLEBORGS LÄN</t>
        </is>
      </c>
      <c r="E7229" t="inlineStr">
        <is>
          <t>HUDIKSVALL</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18189-2023</t>
        </is>
      </c>
      <c r="B7230" s="1" t="n">
        <v>45041</v>
      </c>
      <c r="C7230" s="1" t="n">
        <v>45344</v>
      </c>
      <c r="D7230" t="inlineStr">
        <is>
          <t>GÄVLEBORGS LÄN</t>
        </is>
      </c>
      <c r="E7230" t="inlineStr">
        <is>
          <t>HUDIKSVALL</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18193-2023</t>
        </is>
      </c>
      <c r="B7231" s="1" t="n">
        <v>45041</v>
      </c>
      <c r="C7231" s="1" t="n">
        <v>45344</v>
      </c>
      <c r="D7231" t="inlineStr">
        <is>
          <t>GÄVLEBORGS LÄN</t>
        </is>
      </c>
      <c r="E7231" t="inlineStr">
        <is>
          <t>SÖDERHAMN</t>
        </is>
      </c>
      <c r="F7231" t="inlineStr">
        <is>
          <t>Bergvik skog väst AB</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18272-2023</t>
        </is>
      </c>
      <c r="B7232" s="1" t="n">
        <v>45041</v>
      </c>
      <c r="C7232" s="1" t="n">
        <v>45344</v>
      </c>
      <c r="D7232" t="inlineStr">
        <is>
          <t>GÄVLEBORGS LÄN</t>
        </is>
      </c>
      <c r="E7232" t="inlineStr">
        <is>
          <t>SANDVIKEN</t>
        </is>
      </c>
      <c r="F7232" t="inlineStr">
        <is>
          <t>Kyrkan</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18205-2023</t>
        </is>
      </c>
      <c r="B7233" s="1" t="n">
        <v>45041</v>
      </c>
      <c r="C7233" s="1" t="n">
        <v>45344</v>
      </c>
      <c r="D7233" t="inlineStr">
        <is>
          <t>GÄVLEBORGS LÄN</t>
        </is>
      </c>
      <c r="E7233" t="inlineStr">
        <is>
          <t>HUDIKSVALL</t>
        </is>
      </c>
      <c r="G7233" t="n">
        <v>4.9</v>
      </c>
      <c r="H7233" t="n">
        <v>0</v>
      </c>
      <c r="I7233" t="n">
        <v>0</v>
      </c>
      <c r="J7233" t="n">
        <v>0</v>
      </c>
      <c r="K7233" t="n">
        <v>0</v>
      </c>
      <c r="L7233" t="n">
        <v>0</v>
      </c>
      <c r="M7233" t="n">
        <v>0</v>
      </c>
      <c r="N7233" t="n">
        <v>0</v>
      </c>
      <c r="O7233" t="n">
        <v>0</v>
      </c>
      <c r="P7233" t="n">
        <v>0</v>
      </c>
      <c r="Q7233" t="n">
        <v>0</v>
      </c>
      <c r="R7233" s="2" t="inlineStr"/>
    </row>
    <row r="7234" ht="15" customHeight="1">
      <c r="A7234" t="inlineStr">
        <is>
          <t>A 18226-2023</t>
        </is>
      </c>
      <c r="B7234" s="1" t="n">
        <v>45041</v>
      </c>
      <c r="C7234" s="1" t="n">
        <v>45344</v>
      </c>
      <c r="D7234" t="inlineStr">
        <is>
          <t>GÄVLEBORGS LÄN</t>
        </is>
      </c>
      <c r="E7234" t="inlineStr">
        <is>
          <t>HUDIKSVALL</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18213-2023</t>
        </is>
      </c>
      <c r="B7235" s="1" t="n">
        <v>45041</v>
      </c>
      <c r="C7235" s="1" t="n">
        <v>45344</v>
      </c>
      <c r="D7235" t="inlineStr">
        <is>
          <t>GÄVLEBORGS LÄN</t>
        </is>
      </c>
      <c r="E7235" t="inlineStr">
        <is>
          <t>SÖDERHAMN</t>
        </is>
      </c>
      <c r="F7235" t="inlineStr">
        <is>
          <t>Bergvik skog väst AB</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18279-2023</t>
        </is>
      </c>
      <c r="B7236" s="1" t="n">
        <v>45041</v>
      </c>
      <c r="C7236" s="1" t="n">
        <v>45344</v>
      </c>
      <c r="D7236" t="inlineStr">
        <is>
          <t>GÄVLEBORGS LÄN</t>
        </is>
      </c>
      <c r="E7236" t="inlineStr">
        <is>
          <t>NORDANSTIG</t>
        </is>
      </c>
      <c r="F7236" t="inlineStr">
        <is>
          <t>Holmen skog AB</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18212-2023</t>
        </is>
      </c>
      <c r="B7237" s="1" t="n">
        <v>45041</v>
      </c>
      <c r="C7237" s="1" t="n">
        <v>45344</v>
      </c>
      <c r="D7237" t="inlineStr">
        <is>
          <t>GÄVLEBORGS LÄN</t>
        </is>
      </c>
      <c r="E7237" t="inlineStr">
        <is>
          <t>BOLLNÄS</t>
        </is>
      </c>
      <c r="F7237" t="inlineStr">
        <is>
          <t>Bergvik skog väst AB</t>
        </is>
      </c>
      <c r="G7237" t="n">
        <v>19.1</v>
      </c>
      <c r="H7237" t="n">
        <v>0</v>
      </c>
      <c r="I7237" t="n">
        <v>0</v>
      </c>
      <c r="J7237" t="n">
        <v>0</v>
      </c>
      <c r="K7237" t="n">
        <v>0</v>
      </c>
      <c r="L7237" t="n">
        <v>0</v>
      </c>
      <c r="M7237" t="n">
        <v>0</v>
      </c>
      <c r="N7237" t="n">
        <v>0</v>
      </c>
      <c r="O7237" t="n">
        <v>0</v>
      </c>
      <c r="P7237" t="n">
        <v>0</v>
      </c>
      <c r="Q7237" t="n">
        <v>0</v>
      </c>
      <c r="R7237" s="2" t="inlineStr"/>
    </row>
    <row r="7238" ht="15" customHeight="1">
      <c r="A7238" t="inlineStr">
        <is>
          <t>A 18224-2023</t>
        </is>
      </c>
      <c r="B7238" s="1" t="n">
        <v>45041</v>
      </c>
      <c r="C7238" s="1" t="n">
        <v>45344</v>
      </c>
      <c r="D7238" t="inlineStr">
        <is>
          <t>GÄVLEBORGS LÄN</t>
        </is>
      </c>
      <c r="E7238" t="inlineStr">
        <is>
          <t>SÖDERHAMN</t>
        </is>
      </c>
      <c r="F7238" t="inlineStr">
        <is>
          <t>Bergvik skog väst AB</t>
        </is>
      </c>
      <c r="G7238" t="n">
        <v>34.6</v>
      </c>
      <c r="H7238" t="n">
        <v>0</v>
      </c>
      <c r="I7238" t="n">
        <v>0</v>
      </c>
      <c r="J7238" t="n">
        <v>0</v>
      </c>
      <c r="K7238" t="n">
        <v>0</v>
      </c>
      <c r="L7238" t="n">
        <v>0</v>
      </c>
      <c r="M7238" t="n">
        <v>0</v>
      </c>
      <c r="N7238" t="n">
        <v>0</v>
      </c>
      <c r="O7238" t="n">
        <v>0</v>
      </c>
      <c r="P7238" t="n">
        <v>0</v>
      </c>
      <c r="Q7238" t="n">
        <v>0</v>
      </c>
      <c r="R7238" s="2" t="inlineStr"/>
    </row>
    <row r="7239" ht="15" customHeight="1">
      <c r="A7239" t="inlineStr">
        <is>
          <t>A 18291-2023</t>
        </is>
      </c>
      <c r="B7239" s="1" t="n">
        <v>45041</v>
      </c>
      <c r="C7239" s="1" t="n">
        <v>45344</v>
      </c>
      <c r="D7239" t="inlineStr">
        <is>
          <t>GÄVLEBORGS LÄN</t>
        </is>
      </c>
      <c r="E7239" t="inlineStr">
        <is>
          <t>OCKELBO</t>
        </is>
      </c>
      <c r="F7239" t="inlineStr">
        <is>
          <t>Bergvik skog väst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18314-2023</t>
        </is>
      </c>
      <c r="B7240" s="1" t="n">
        <v>45041</v>
      </c>
      <c r="C7240" s="1" t="n">
        <v>45344</v>
      </c>
      <c r="D7240" t="inlineStr">
        <is>
          <t>GÄVLEBORGS LÄN</t>
        </is>
      </c>
      <c r="E7240" t="inlineStr">
        <is>
          <t>LJUSDAL</t>
        </is>
      </c>
      <c r="F7240" t="inlineStr">
        <is>
          <t>Holmen skog AB</t>
        </is>
      </c>
      <c r="G7240" t="n">
        <v>3.8</v>
      </c>
      <c r="H7240" t="n">
        <v>0</v>
      </c>
      <c r="I7240" t="n">
        <v>0</v>
      </c>
      <c r="J7240" t="n">
        <v>0</v>
      </c>
      <c r="K7240" t="n">
        <v>0</v>
      </c>
      <c r="L7240" t="n">
        <v>0</v>
      </c>
      <c r="M7240" t="n">
        <v>0</v>
      </c>
      <c r="N7240" t="n">
        <v>0</v>
      </c>
      <c r="O7240" t="n">
        <v>0</v>
      </c>
      <c r="P7240" t="n">
        <v>0</v>
      </c>
      <c r="Q7240" t="n">
        <v>0</v>
      </c>
      <c r="R7240" s="2" t="inlineStr"/>
    </row>
    <row r="7241" ht="15" customHeight="1">
      <c r="A7241" t="inlineStr">
        <is>
          <t>A 18238-2023</t>
        </is>
      </c>
      <c r="B7241" s="1" t="n">
        <v>45041</v>
      </c>
      <c r="C7241" s="1" t="n">
        <v>45344</v>
      </c>
      <c r="D7241" t="inlineStr">
        <is>
          <t>GÄVLEBORGS LÄN</t>
        </is>
      </c>
      <c r="E7241" t="inlineStr">
        <is>
          <t>OCKELBO</t>
        </is>
      </c>
      <c r="F7241" t="inlineStr">
        <is>
          <t>Bergvik skog väst AB</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18274-2023</t>
        </is>
      </c>
      <c r="B7242" s="1" t="n">
        <v>45041</v>
      </c>
      <c r="C7242" s="1" t="n">
        <v>45344</v>
      </c>
      <c r="D7242" t="inlineStr">
        <is>
          <t>GÄVLEBORGS LÄN</t>
        </is>
      </c>
      <c r="E7242" t="inlineStr">
        <is>
          <t>SÖDERHAMN</t>
        </is>
      </c>
      <c r="F7242" t="inlineStr">
        <is>
          <t>Bergvik skog väst AB</t>
        </is>
      </c>
      <c r="G7242" t="n">
        <v>10.6</v>
      </c>
      <c r="H7242" t="n">
        <v>0</v>
      </c>
      <c r="I7242" t="n">
        <v>0</v>
      </c>
      <c r="J7242" t="n">
        <v>0</v>
      </c>
      <c r="K7242" t="n">
        <v>0</v>
      </c>
      <c r="L7242" t="n">
        <v>0</v>
      </c>
      <c r="M7242" t="n">
        <v>0</v>
      </c>
      <c r="N7242" t="n">
        <v>0</v>
      </c>
      <c r="O7242" t="n">
        <v>0</v>
      </c>
      <c r="P7242" t="n">
        <v>0</v>
      </c>
      <c r="Q7242" t="n">
        <v>0</v>
      </c>
      <c r="R7242" s="2" t="inlineStr"/>
    </row>
    <row r="7243" ht="15" customHeight="1">
      <c r="A7243" t="inlineStr">
        <is>
          <t>A 18288-2023</t>
        </is>
      </c>
      <c r="B7243" s="1" t="n">
        <v>45041</v>
      </c>
      <c r="C7243" s="1" t="n">
        <v>45344</v>
      </c>
      <c r="D7243" t="inlineStr">
        <is>
          <t>GÄVLEBORGS LÄN</t>
        </is>
      </c>
      <c r="E7243" t="inlineStr">
        <is>
          <t>NORDANSTIG</t>
        </is>
      </c>
      <c r="F7243" t="inlineStr">
        <is>
          <t>Holmen skog AB</t>
        </is>
      </c>
      <c r="G7243" t="n">
        <v>4.4</v>
      </c>
      <c r="H7243" t="n">
        <v>0</v>
      </c>
      <c r="I7243" t="n">
        <v>0</v>
      </c>
      <c r="J7243" t="n">
        <v>0</v>
      </c>
      <c r="K7243" t="n">
        <v>0</v>
      </c>
      <c r="L7243" t="n">
        <v>0</v>
      </c>
      <c r="M7243" t="n">
        <v>0</v>
      </c>
      <c r="N7243" t="n">
        <v>0</v>
      </c>
      <c r="O7243" t="n">
        <v>0</v>
      </c>
      <c r="P7243" t="n">
        <v>0</v>
      </c>
      <c r="Q7243" t="n">
        <v>0</v>
      </c>
      <c r="R7243" s="2" t="inlineStr"/>
    </row>
    <row r="7244" ht="15" customHeight="1">
      <c r="A7244" t="inlineStr">
        <is>
          <t>A 18261-2023</t>
        </is>
      </c>
      <c r="B7244" s="1" t="n">
        <v>45041</v>
      </c>
      <c r="C7244" s="1" t="n">
        <v>45344</v>
      </c>
      <c r="D7244" t="inlineStr">
        <is>
          <t>GÄVLEBORGS LÄN</t>
        </is>
      </c>
      <c r="E7244" t="inlineStr">
        <is>
          <t>SANDVIKEN</t>
        </is>
      </c>
      <c r="F7244" t="inlineStr">
        <is>
          <t>Kyrkan</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18284-2023</t>
        </is>
      </c>
      <c r="B7245" s="1" t="n">
        <v>45041</v>
      </c>
      <c r="C7245" s="1" t="n">
        <v>45344</v>
      </c>
      <c r="D7245" t="inlineStr">
        <is>
          <t>GÄVLEBORGS LÄN</t>
        </is>
      </c>
      <c r="E7245" t="inlineStr">
        <is>
          <t>HUDIKSVALL</t>
        </is>
      </c>
      <c r="G7245" t="n">
        <v>5.9</v>
      </c>
      <c r="H7245" t="n">
        <v>0</v>
      </c>
      <c r="I7245" t="n">
        <v>0</v>
      </c>
      <c r="J7245" t="n">
        <v>0</v>
      </c>
      <c r="K7245" t="n">
        <v>0</v>
      </c>
      <c r="L7245" t="n">
        <v>0</v>
      </c>
      <c r="M7245" t="n">
        <v>0</v>
      </c>
      <c r="N7245" t="n">
        <v>0</v>
      </c>
      <c r="O7245" t="n">
        <v>0</v>
      </c>
      <c r="P7245" t="n">
        <v>0</v>
      </c>
      <c r="Q7245" t="n">
        <v>0</v>
      </c>
      <c r="R7245" s="2" t="inlineStr"/>
    </row>
    <row r="7246" ht="15" customHeight="1">
      <c r="A7246" t="inlineStr">
        <is>
          <t>A 18311-2023</t>
        </is>
      </c>
      <c r="B7246" s="1" t="n">
        <v>45041</v>
      </c>
      <c r="C7246" s="1" t="n">
        <v>45344</v>
      </c>
      <c r="D7246" t="inlineStr">
        <is>
          <t>GÄVLEBORGS LÄN</t>
        </is>
      </c>
      <c r="E7246" t="inlineStr">
        <is>
          <t>BOLLNÄS</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18308-2023</t>
        </is>
      </c>
      <c r="B7247" s="1" t="n">
        <v>45041</v>
      </c>
      <c r="C7247" s="1" t="n">
        <v>45344</v>
      </c>
      <c r="D7247" t="inlineStr">
        <is>
          <t>GÄVLEBORGS LÄN</t>
        </is>
      </c>
      <c r="E7247" t="inlineStr">
        <is>
          <t>BOLLNÄS</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18401-2023</t>
        </is>
      </c>
      <c r="B7248" s="1" t="n">
        <v>45042</v>
      </c>
      <c r="C7248" s="1" t="n">
        <v>45344</v>
      </c>
      <c r="D7248" t="inlineStr">
        <is>
          <t>GÄVLEBORGS LÄN</t>
        </is>
      </c>
      <c r="E7248" t="inlineStr">
        <is>
          <t>NORDANSTIG</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18420-2023</t>
        </is>
      </c>
      <c r="B7249" s="1" t="n">
        <v>45042</v>
      </c>
      <c r="C7249" s="1" t="n">
        <v>45344</v>
      </c>
      <c r="D7249" t="inlineStr">
        <is>
          <t>GÄVLEBORGS LÄN</t>
        </is>
      </c>
      <c r="E7249" t="inlineStr">
        <is>
          <t>HUDIKSVALL</t>
        </is>
      </c>
      <c r="G7249" t="n">
        <v>21.3</v>
      </c>
      <c r="H7249" t="n">
        <v>0</v>
      </c>
      <c r="I7249" t="n">
        <v>0</v>
      </c>
      <c r="J7249" t="n">
        <v>0</v>
      </c>
      <c r="K7249" t="n">
        <v>0</v>
      </c>
      <c r="L7249" t="n">
        <v>0</v>
      </c>
      <c r="M7249" t="n">
        <v>0</v>
      </c>
      <c r="N7249" t="n">
        <v>0</v>
      </c>
      <c r="O7249" t="n">
        <v>0</v>
      </c>
      <c r="P7249" t="n">
        <v>0</v>
      </c>
      <c r="Q7249" t="n">
        <v>0</v>
      </c>
      <c r="R7249" s="2" t="inlineStr"/>
    </row>
    <row r="7250" ht="15" customHeight="1">
      <c r="A7250" t="inlineStr">
        <is>
          <t>A 18488-2023</t>
        </is>
      </c>
      <c r="B7250" s="1" t="n">
        <v>45042</v>
      </c>
      <c r="C7250" s="1" t="n">
        <v>45344</v>
      </c>
      <c r="D7250" t="inlineStr">
        <is>
          <t>GÄVLEBORGS LÄN</t>
        </is>
      </c>
      <c r="E7250" t="inlineStr">
        <is>
          <t>LJUSDAL</t>
        </is>
      </c>
      <c r="F7250" t="inlineStr">
        <is>
          <t>Holmen skog AB</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18568-2023</t>
        </is>
      </c>
      <c r="B7251" s="1" t="n">
        <v>45043</v>
      </c>
      <c r="C7251" s="1" t="n">
        <v>45344</v>
      </c>
      <c r="D7251" t="inlineStr">
        <is>
          <t>GÄVLEBORGS LÄN</t>
        </is>
      </c>
      <c r="E7251" t="inlineStr">
        <is>
          <t>HUDIKSVALL</t>
        </is>
      </c>
      <c r="G7251" t="n">
        <v>1.1</v>
      </c>
      <c r="H7251" t="n">
        <v>0</v>
      </c>
      <c r="I7251" t="n">
        <v>0</v>
      </c>
      <c r="J7251" t="n">
        <v>0</v>
      </c>
      <c r="K7251" t="n">
        <v>0</v>
      </c>
      <c r="L7251" t="n">
        <v>0</v>
      </c>
      <c r="M7251" t="n">
        <v>0</v>
      </c>
      <c r="N7251" t="n">
        <v>0</v>
      </c>
      <c r="O7251" t="n">
        <v>0</v>
      </c>
      <c r="P7251" t="n">
        <v>0</v>
      </c>
      <c r="Q7251" t="n">
        <v>0</v>
      </c>
      <c r="R7251" s="2" t="inlineStr"/>
    </row>
    <row r="7252" ht="15" customHeight="1">
      <c r="A7252" t="inlineStr">
        <is>
          <t>A 18614-2023</t>
        </is>
      </c>
      <c r="B7252" s="1" t="n">
        <v>45043</v>
      </c>
      <c r="C7252" s="1" t="n">
        <v>45344</v>
      </c>
      <c r="D7252" t="inlineStr">
        <is>
          <t>GÄVLEBORGS LÄN</t>
        </is>
      </c>
      <c r="E7252" t="inlineStr">
        <is>
          <t>BOLLNÄS</t>
        </is>
      </c>
      <c r="G7252" t="n">
        <v>5.4</v>
      </c>
      <c r="H7252" t="n">
        <v>0</v>
      </c>
      <c r="I7252" t="n">
        <v>0</v>
      </c>
      <c r="J7252" t="n">
        <v>0</v>
      </c>
      <c r="K7252" t="n">
        <v>0</v>
      </c>
      <c r="L7252" t="n">
        <v>0</v>
      </c>
      <c r="M7252" t="n">
        <v>0</v>
      </c>
      <c r="N7252" t="n">
        <v>0</v>
      </c>
      <c r="O7252" t="n">
        <v>0</v>
      </c>
      <c r="P7252" t="n">
        <v>0</v>
      </c>
      <c r="Q7252" t="n">
        <v>0</v>
      </c>
      <c r="R7252" s="2" t="inlineStr"/>
    </row>
    <row r="7253" ht="15" customHeight="1">
      <c r="A7253" t="inlineStr">
        <is>
          <t>A 18638-2023</t>
        </is>
      </c>
      <c r="B7253" s="1" t="n">
        <v>45043</v>
      </c>
      <c r="C7253" s="1" t="n">
        <v>45344</v>
      </c>
      <c r="D7253" t="inlineStr">
        <is>
          <t>GÄVLEBORGS LÄN</t>
        </is>
      </c>
      <c r="E7253" t="inlineStr">
        <is>
          <t>NORDANSTIG</t>
        </is>
      </c>
      <c r="G7253" t="n">
        <v>11.3</v>
      </c>
      <c r="H7253" t="n">
        <v>0</v>
      </c>
      <c r="I7253" t="n">
        <v>0</v>
      </c>
      <c r="J7253" t="n">
        <v>0</v>
      </c>
      <c r="K7253" t="n">
        <v>0</v>
      </c>
      <c r="L7253" t="n">
        <v>0</v>
      </c>
      <c r="M7253" t="n">
        <v>0</v>
      </c>
      <c r="N7253" t="n">
        <v>0</v>
      </c>
      <c r="O7253" t="n">
        <v>0</v>
      </c>
      <c r="P7253" t="n">
        <v>0</v>
      </c>
      <c r="Q7253" t="n">
        <v>0</v>
      </c>
      <c r="R7253" s="2" t="inlineStr"/>
    </row>
    <row r="7254" ht="15" customHeight="1">
      <c r="A7254" t="inlineStr">
        <is>
          <t>A 18657-2023</t>
        </is>
      </c>
      <c r="B7254" s="1" t="n">
        <v>45043</v>
      </c>
      <c r="C7254" s="1" t="n">
        <v>45344</v>
      </c>
      <c r="D7254" t="inlineStr">
        <is>
          <t>GÄVLEBORGS LÄN</t>
        </is>
      </c>
      <c r="E7254" t="inlineStr">
        <is>
          <t>HUDIKSVALL</t>
        </is>
      </c>
      <c r="F7254" t="inlineStr">
        <is>
          <t>Holmen skog AB</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18693-2023</t>
        </is>
      </c>
      <c r="B7255" s="1" t="n">
        <v>45043</v>
      </c>
      <c r="C7255" s="1" t="n">
        <v>45344</v>
      </c>
      <c r="D7255" t="inlineStr">
        <is>
          <t>GÄVLEBORGS LÄN</t>
        </is>
      </c>
      <c r="E7255" t="inlineStr">
        <is>
          <t>HOFORS</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18669-2023</t>
        </is>
      </c>
      <c r="B7256" s="1" t="n">
        <v>45043</v>
      </c>
      <c r="C7256" s="1" t="n">
        <v>45344</v>
      </c>
      <c r="D7256" t="inlineStr">
        <is>
          <t>GÄVLEBORGS LÄN</t>
        </is>
      </c>
      <c r="E7256" t="inlineStr">
        <is>
          <t>SÖDERHAMN</t>
        </is>
      </c>
      <c r="G7256" t="n">
        <v>9.4</v>
      </c>
      <c r="H7256" t="n">
        <v>0</v>
      </c>
      <c r="I7256" t="n">
        <v>0</v>
      </c>
      <c r="J7256" t="n">
        <v>0</v>
      </c>
      <c r="K7256" t="n">
        <v>0</v>
      </c>
      <c r="L7256" t="n">
        <v>0</v>
      </c>
      <c r="M7256" t="n">
        <v>0</v>
      </c>
      <c r="N7256" t="n">
        <v>0</v>
      </c>
      <c r="O7256" t="n">
        <v>0</v>
      </c>
      <c r="P7256" t="n">
        <v>0</v>
      </c>
      <c r="Q7256" t="n">
        <v>0</v>
      </c>
      <c r="R7256" s="2" t="inlineStr"/>
    </row>
    <row r="7257" ht="15" customHeight="1">
      <c r="A7257" t="inlineStr">
        <is>
          <t>A 18690-2023</t>
        </is>
      </c>
      <c r="B7257" s="1" t="n">
        <v>45043</v>
      </c>
      <c r="C7257" s="1" t="n">
        <v>45344</v>
      </c>
      <c r="D7257" t="inlineStr">
        <is>
          <t>GÄVLEBORGS LÄN</t>
        </is>
      </c>
      <c r="E7257" t="inlineStr">
        <is>
          <t>HOFORS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18759-2023</t>
        </is>
      </c>
      <c r="B7258" s="1" t="n">
        <v>45044</v>
      </c>
      <c r="C7258" s="1" t="n">
        <v>45344</v>
      </c>
      <c r="D7258" t="inlineStr">
        <is>
          <t>GÄVLEBORGS LÄN</t>
        </is>
      </c>
      <c r="E7258" t="inlineStr">
        <is>
          <t>NORDANSTIG</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18852-2023</t>
        </is>
      </c>
      <c r="B7259" s="1" t="n">
        <v>45044</v>
      </c>
      <c r="C7259" s="1" t="n">
        <v>45344</v>
      </c>
      <c r="D7259" t="inlineStr">
        <is>
          <t>GÄVLEBORGS LÄN</t>
        </is>
      </c>
      <c r="E7259" t="inlineStr">
        <is>
          <t>BOLLNÄS</t>
        </is>
      </c>
      <c r="G7259" t="n">
        <v>4.8</v>
      </c>
      <c r="H7259" t="n">
        <v>0</v>
      </c>
      <c r="I7259" t="n">
        <v>0</v>
      </c>
      <c r="J7259" t="n">
        <v>0</v>
      </c>
      <c r="K7259" t="n">
        <v>0</v>
      </c>
      <c r="L7259" t="n">
        <v>0</v>
      </c>
      <c r="M7259" t="n">
        <v>0</v>
      </c>
      <c r="N7259" t="n">
        <v>0</v>
      </c>
      <c r="O7259" t="n">
        <v>0</v>
      </c>
      <c r="P7259" t="n">
        <v>0</v>
      </c>
      <c r="Q7259" t="n">
        <v>0</v>
      </c>
      <c r="R7259" s="2" t="inlineStr"/>
    </row>
    <row r="7260" ht="15" customHeight="1">
      <c r="A7260" t="inlineStr">
        <is>
          <t>A 18930-2023</t>
        </is>
      </c>
      <c r="B7260" s="1" t="n">
        <v>45044</v>
      </c>
      <c r="C7260" s="1" t="n">
        <v>45344</v>
      </c>
      <c r="D7260" t="inlineStr">
        <is>
          <t>GÄVLEBORGS LÄN</t>
        </is>
      </c>
      <c r="E7260" t="inlineStr">
        <is>
          <t>HOFORS</t>
        </is>
      </c>
      <c r="G7260" t="n">
        <v>5.9</v>
      </c>
      <c r="H7260" t="n">
        <v>0</v>
      </c>
      <c r="I7260" t="n">
        <v>0</v>
      </c>
      <c r="J7260" t="n">
        <v>0</v>
      </c>
      <c r="K7260" t="n">
        <v>0</v>
      </c>
      <c r="L7260" t="n">
        <v>0</v>
      </c>
      <c r="M7260" t="n">
        <v>0</v>
      </c>
      <c r="N7260" t="n">
        <v>0</v>
      </c>
      <c r="O7260" t="n">
        <v>0</v>
      </c>
      <c r="P7260" t="n">
        <v>0</v>
      </c>
      <c r="Q7260" t="n">
        <v>0</v>
      </c>
      <c r="R7260" s="2" t="inlineStr"/>
    </row>
    <row r="7261" ht="15" customHeight="1">
      <c r="A7261" t="inlineStr">
        <is>
          <t>A 18939-2023</t>
        </is>
      </c>
      <c r="B7261" s="1" t="n">
        <v>45044</v>
      </c>
      <c r="C7261" s="1" t="n">
        <v>45344</v>
      </c>
      <c r="D7261" t="inlineStr">
        <is>
          <t>GÄVLEBORGS LÄN</t>
        </is>
      </c>
      <c r="E7261" t="inlineStr">
        <is>
          <t>OCKELBO</t>
        </is>
      </c>
      <c r="F7261" t="inlineStr">
        <is>
          <t>Bergvik skog väst AB</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18849-2023</t>
        </is>
      </c>
      <c r="B7262" s="1" t="n">
        <v>45044</v>
      </c>
      <c r="C7262" s="1" t="n">
        <v>45344</v>
      </c>
      <c r="D7262" t="inlineStr">
        <is>
          <t>GÄVLEBORGS LÄN</t>
        </is>
      </c>
      <c r="E7262" t="inlineStr">
        <is>
          <t>GÄVLE</t>
        </is>
      </c>
      <c r="G7262" t="n">
        <v>7</v>
      </c>
      <c r="H7262" t="n">
        <v>0</v>
      </c>
      <c r="I7262" t="n">
        <v>0</v>
      </c>
      <c r="J7262" t="n">
        <v>0</v>
      </c>
      <c r="K7262" t="n">
        <v>0</v>
      </c>
      <c r="L7262" t="n">
        <v>0</v>
      </c>
      <c r="M7262" t="n">
        <v>0</v>
      </c>
      <c r="N7262" t="n">
        <v>0</v>
      </c>
      <c r="O7262" t="n">
        <v>0</v>
      </c>
      <c r="P7262" t="n">
        <v>0</v>
      </c>
      <c r="Q7262" t="n">
        <v>0</v>
      </c>
      <c r="R7262" s="2" t="inlineStr"/>
    </row>
    <row r="7263" ht="15" customHeight="1">
      <c r="A7263" t="inlineStr">
        <is>
          <t>A 18835-2023</t>
        </is>
      </c>
      <c r="B7263" s="1" t="n">
        <v>45044</v>
      </c>
      <c r="C7263" s="1" t="n">
        <v>45344</v>
      </c>
      <c r="D7263" t="inlineStr">
        <is>
          <t>GÄVLEBORGS LÄN</t>
        </is>
      </c>
      <c r="E7263" t="inlineStr">
        <is>
          <t>HUDIKSVALL</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18896-2023</t>
        </is>
      </c>
      <c r="B7264" s="1" t="n">
        <v>45044</v>
      </c>
      <c r="C7264" s="1" t="n">
        <v>45344</v>
      </c>
      <c r="D7264" t="inlineStr">
        <is>
          <t>GÄVLEBORGS LÄN</t>
        </is>
      </c>
      <c r="E7264" t="inlineStr">
        <is>
          <t>NORDANSTIG</t>
        </is>
      </c>
      <c r="G7264" t="n">
        <v>13.8</v>
      </c>
      <c r="H7264" t="n">
        <v>0</v>
      </c>
      <c r="I7264" t="n">
        <v>0</v>
      </c>
      <c r="J7264" t="n">
        <v>0</v>
      </c>
      <c r="K7264" t="n">
        <v>0</v>
      </c>
      <c r="L7264" t="n">
        <v>0</v>
      </c>
      <c r="M7264" t="n">
        <v>0</v>
      </c>
      <c r="N7264" t="n">
        <v>0</v>
      </c>
      <c r="O7264" t="n">
        <v>0</v>
      </c>
      <c r="P7264" t="n">
        <v>0</v>
      </c>
      <c r="Q7264" t="n">
        <v>0</v>
      </c>
      <c r="R7264" s="2" t="inlineStr"/>
    </row>
    <row r="7265" ht="15" customHeight="1">
      <c r="A7265" t="inlineStr">
        <is>
          <t>A 18904-2023</t>
        </is>
      </c>
      <c r="B7265" s="1" t="n">
        <v>45044</v>
      </c>
      <c r="C7265" s="1" t="n">
        <v>45344</v>
      </c>
      <c r="D7265" t="inlineStr">
        <is>
          <t>GÄVLEBORGS LÄN</t>
        </is>
      </c>
      <c r="E7265" t="inlineStr">
        <is>
          <t>HUDIKSVALL</t>
        </is>
      </c>
      <c r="F7265" t="inlineStr">
        <is>
          <t>Holmen skog AB</t>
        </is>
      </c>
      <c r="G7265" t="n">
        <v>12.5</v>
      </c>
      <c r="H7265" t="n">
        <v>0</v>
      </c>
      <c r="I7265" t="n">
        <v>0</v>
      </c>
      <c r="J7265" t="n">
        <v>0</v>
      </c>
      <c r="K7265" t="n">
        <v>0</v>
      </c>
      <c r="L7265" t="n">
        <v>0</v>
      </c>
      <c r="M7265" t="n">
        <v>0</v>
      </c>
      <c r="N7265" t="n">
        <v>0</v>
      </c>
      <c r="O7265" t="n">
        <v>0</v>
      </c>
      <c r="P7265" t="n">
        <v>0</v>
      </c>
      <c r="Q7265" t="n">
        <v>0</v>
      </c>
      <c r="R7265" s="2" t="inlineStr"/>
    </row>
    <row r="7266" ht="15" customHeight="1">
      <c r="A7266" t="inlineStr">
        <is>
          <t>A 18856-2023</t>
        </is>
      </c>
      <c r="B7266" s="1" t="n">
        <v>45044</v>
      </c>
      <c r="C7266" s="1" t="n">
        <v>45344</v>
      </c>
      <c r="D7266" t="inlineStr">
        <is>
          <t>GÄVLEBORGS LÄN</t>
        </is>
      </c>
      <c r="E7266" t="inlineStr">
        <is>
          <t>OVANÅKER</t>
        </is>
      </c>
      <c r="G7266" t="n">
        <v>6.4</v>
      </c>
      <c r="H7266" t="n">
        <v>0</v>
      </c>
      <c r="I7266" t="n">
        <v>0</v>
      </c>
      <c r="J7266" t="n">
        <v>0</v>
      </c>
      <c r="K7266" t="n">
        <v>0</v>
      </c>
      <c r="L7266" t="n">
        <v>0</v>
      </c>
      <c r="M7266" t="n">
        <v>0</v>
      </c>
      <c r="N7266" t="n">
        <v>0</v>
      </c>
      <c r="O7266" t="n">
        <v>0</v>
      </c>
      <c r="P7266" t="n">
        <v>0</v>
      </c>
      <c r="Q7266" t="n">
        <v>0</v>
      </c>
      <c r="R7266" s="2" t="inlineStr"/>
    </row>
    <row r="7267" ht="15" customHeight="1">
      <c r="A7267" t="inlineStr">
        <is>
          <t>A 18887-2023</t>
        </is>
      </c>
      <c r="B7267" s="1" t="n">
        <v>45044</v>
      </c>
      <c r="C7267" s="1" t="n">
        <v>45344</v>
      </c>
      <c r="D7267" t="inlineStr">
        <is>
          <t>GÄVLEBORGS LÄN</t>
        </is>
      </c>
      <c r="E7267" t="inlineStr">
        <is>
          <t>HUDIKSVALL</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18976-2023</t>
        </is>
      </c>
      <c r="B7268" s="1" t="n">
        <v>45044</v>
      </c>
      <c r="C7268" s="1" t="n">
        <v>45344</v>
      </c>
      <c r="D7268" t="inlineStr">
        <is>
          <t>GÄVLEBORGS LÄN</t>
        </is>
      </c>
      <c r="E7268" t="inlineStr">
        <is>
          <t>NORDANSTIG</t>
        </is>
      </c>
      <c r="G7268" t="n">
        <v>25.7</v>
      </c>
      <c r="H7268" t="n">
        <v>0</v>
      </c>
      <c r="I7268" t="n">
        <v>0</v>
      </c>
      <c r="J7268" t="n">
        <v>0</v>
      </c>
      <c r="K7268" t="n">
        <v>0</v>
      </c>
      <c r="L7268" t="n">
        <v>0</v>
      </c>
      <c r="M7268" t="n">
        <v>0</v>
      </c>
      <c r="N7268" t="n">
        <v>0</v>
      </c>
      <c r="O7268" t="n">
        <v>0</v>
      </c>
      <c r="P7268" t="n">
        <v>0</v>
      </c>
      <c r="Q7268" t="n">
        <v>0</v>
      </c>
      <c r="R7268" s="2" t="inlineStr"/>
    </row>
    <row r="7269" ht="15" customHeight="1">
      <c r="A7269" t="inlineStr">
        <is>
          <t>A 18910-2023</t>
        </is>
      </c>
      <c r="B7269" s="1" t="n">
        <v>45044</v>
      </c>
      <c r="C7269" s="1" t="n">
        <v>45344</v>
      </c>
      <c r="D7269" t="inlineStr">
        <is>
          <t>GÄVLEBORGS LÄN</t>
        </is>
      </c>
      <c r="E7269" t="inlineStr">
        <is>
          <t>HUDIKSVALL</t>
        </is>
      </c>
      <c r="F7269" t="inlineStr">
        <is>
          <t>Holmen skog AB</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18933-2023</t>
        </is>
      </c>
      <c r="B7270" s="1" t="n">
        <v>45044</v>
      </c>
      <c r="C7270" s="1" t="n">
        <v>45344</v>
      </c>
      <c r="D7270" t="inlineStr">
        <is>
          <t>GÄVLEBORGS LÄN</t>
        </is>
      </c>
      <c r="E7270" t="inlineStr">
        <is>
          <t>NORDANSTIG</t>
        </is>
      </c>
      <c r="G7270" t="n">
        <v>26.6</v>
      </c>
      <c r="H7270" t="n">
        <v>0</v>
      </c>
      <c r="I7270" t="n">
        <v>0</v>
      </c>
      <c r="J7270" t="n">
        <v>0</v>
      </c>
      <c r="K7270" t="n">
        <v>0</v>
      </c>
      <c r="L7270" t="n">
        <v>0</v>
      </c>
      <c r="M7270" t="n">
        <v>0</v>
      </c>
      <c r="N7270" t="n">
        <v>0</v>
      </c>
      <c r="O7270" t="n">
        <v>0</v>
      </c>
      <c r="P7270" t="n">
        <v>0</v>
      </c>
      <c r="Q7270" t="n">
        <v>0</v>
      </c>
      <c r="R7270" s="2" t="inlineStr"/>
    </row>
    <row r="7271" ht="15" customHeight="1">
      <c r="A7271" t="inlineStr">
        <is>
          <t>A 18977-2023</t>
        </is>
      </c>
      <c r="B7271" s="1" t="n">
        <v>45045</v>
      </c>
      <c r="C7271" s="1" t="n">
        <v>45344</v>
      </c>
      <c r="D7271" t="inlineStr">
        <is>
          <t>GÄVLEBORGS LÄN</t>
        </is>
      </c>
      <c r="E7271" t="inlineStr">
        <is>
          <t>NORDANSTIG</t>
        </is>
      </c>
      <c r="G7271" t="n">
        <v>9.9</v>
      </c>
      <c r="H7271" t="n">
        <v>0</v>
      </c>
      <c r="I7271" t="n">
        <v>0</v>
      </c>
      <c r="J7271" t="n">
        <v>0</v>
      </c>
      <c r="K7271" t="n">
        <v>0</v>
      </c>
      <c r="L7271" t="n">
        <v>0</v>
      </c>
      <c r="M7271" t="n">
        <v>0</v>
      </c>
      <c r="N7271" t="n">
        <v>0</v>
      </c>
      <c r="O7271" t="n">
        <v>0</v>
      </c>
      <c r="P7271" t="n">
        <v>0</v>
      </c>
      <c r="Q7271" t="n">
        <v>0</v>
      </c>
      <c r="R7271" s="2" t="inlineStr"/>
    </row>
    <row r="7272" ht="15" customHeight="1">
      <c r="A7272" t="inlineStr">
        <is>
          <t>A 18857-2023</t>
        </is>
      </c>
      <c r="B7272" s="1" t="n">
        <v>45044</v>
      </c>
      <c r="C7272" s="1" t="n">
        <v>45344</v>
      </c>
      <c r="D7272" t="inlineStr">
        <is>
          <t>GÄVLEBORGS LÄN</t>
        </is>
      </c>
      <c r="E7272" t="inlineStr">
        <is>
          <t>BOLLNÄS</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18906-2023</t>
        </is>
      </c>
      <c r="B7273" s="1" t="n">
        <v>45044</v>
      </c>
      <c r="C7273" s="1" t="n">
        <v>45344</v>
      </c>
      <c r="D7273" t="inlineStr">
        <is>
          <t>GÄVLEBORGS LÄN</t>
        </is>
      </c>
      <c r="E7273" t="inlineStr">
        <is>
          <t>OVANÅKER</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19405-2023</t>
        </is>
      </c>
      <c r="B7274" s="1" t="n">
        <v>45044</v>
      </c>
      <c r="C7274" s="1" t="n">
        <v>45344</v>
      </c>
      <c r="D7274" t="inlineStr">
        <is>
          <t>GÄVLEBORGS LÄN</t>
        </is>
      </c>
      <c r="E7274" t="inlineStr">
        <is>
          <t>BOLLNÄS</t>
        </is>
      </c>
      <c r="G7274" t="n">
        <v>7.4</v>
      </c>
      <c r="H7274" t="n">
        <v>0</v>
      </c>
      <c r="I7274" t="n">
        <v>0</v>
      </c>
      <c r="J7274" t="n">
        <v>0</v>
      </c>
      <c r="K7274" t="n">
        <v>0</v>
      </c>
      <c r="L7274" t="n">
        <v>0</v>
      </c>
      <c r="M7274" t="n">
        <v>0</v>
      </c>
      <c r="N7274" t="n">
        <v>0</v>
      </c>
      <c r="O7274" t="n">
        <v>0</v>
      </c>
      <c r="P7274" t="n">
        <v>0</v>
      </c>
      <c r="Q7274" t="n">
        <v>0</v>
      </c>
      <c r="R7274" s="2" t="inlineStr"/>
    </row>
    <row r="7275" ht="15" customHeight="1">
      <c r="A7275" t="inlineStr">
        <is>
          <t>A 19398-2023</t>
        </is>
      </c>
      <c r="B7275" s="1" t="n">
        <v>45044</v>
      </c>
      <c r="C7275" s="1" t="n">
        <v>45344</v>
      </c>
      <c r="D7275" t="inlineStr">
        <is>
          <t>GÄVLEBORGS LÄN</t>
        </is>
      </c>
      <c r="E7275" t="inlineStr">
        <is>
          <t>BOLLNÄS</t>
        </is>
      </c>
      <c r="G7275" t="n">
        <v>7.7</v>
      </c>
      <c r="H7275" t="n">
        <v>0</v>
      </c>
      <c r="I7275" t="n">
        <v>0</v>
      </c>
      <c r="J7275" t="n">
        <v>0</v>
      </c>
      <c r="K7275" t="n">
        <v>0</v>
      </c>
      <c r="L7275" t="n">
        <v>0</v>
      </c>
      <c r="M7275" t="n">
        <v>0</v>
      </c>
      <c r="N7275" t="n">
        <v>0</v>
      </c>
      <c r="O7275" t="n">
        <v>0</v>
      </c>
      <c r="P7275" t="n">
        <v>0</v>
      </c>
      <c r="Q7275" t="n">
        <v>0</v>
      </c>
      <c r="R7275" s="2" t="inlineStr"/>
    </row>
    <row r="7276" ht="15" customHeight="1">
      <c r="A7276" t="inlineStr">
        <is>
          <t>A 19033-2023</t>
        </is>
      </c>
      <c r="B7276" s="1" t="n">
        <v>45047</v>
      </c>
      <c r="C7276" s="1" t="n">
        <v>45344</v>
      </c>
      <c r="D7276" t="inlineStr">
        <is>
          <t>GÄVLEBORGS LÄN</t>
        </is>
      </c>
      <c r="E7276" t="inlineStr">
        <is>
          <t>LJUSDAL</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19022-2023</t>
        </is>
      </c>
      <c r="B7277" s="1" t="n">
        <v>45047</v>
      </c>
      <c r="C7277" s="1" t="n">
        <v>45344</v>
      </c>
      <c r="D7277" t="inlineStr">
        <is>
          <t>GÄVLEBORGS LÄN</t>
        </is>
      </c>
      <c r="E7277" t="inlineStr">
        <is>
          <t>LJUSDAL</t>
        </is>
      </c>
      <c r="G7277" t="n">
        <v>2.8</v>
      </c>
      <c r="H7277" t="n">
        <v>0</v>
      </c>
      <c r="I7277" t="n">
        <v>0</v>
      </c>
      <c r="J7277" t="n">
        <v>0</v>
      </c>
      <c r="K7277" t="n">
        <v>0</v>
      </c>
      <c r="L7277" t="n">
        <v>0</v>
      </c>
      <c r="M7277" t="n">
        <v>0</v>
      </c>
      <c r="N7277" t="n">
        <v>0</v>
      </c>
      <c r="O7277" t="n">
        <v>0</v>
      </c>
      <c r="P7277" t="n">
        <v>0</v>
      </c>
      <c r="Q7277" t="n">
        <v>0</v>
      </c>
      <c r="R7277" s="2" t="inlineStr"/>
    </row>
    <row r="7278" ht="15" customHeight="1">
      <c r="A7278" t="inlineStr">
        <is>
          <t>A 19035-2023</t>
        </is>
      </c>
      <c r="B7278" s="1" t="n">
        <v>45047</v>
      </c>
      <c r="C7278" s="1" t="n">
        <v>45344</v>
      </c>
      <c r="D7278" t="inlineStr">
        <is>
          <t>GÄVLEBORGS LÄN</t>
        </is>
      </c>
      <c r="E7278" t="inlineStr">
        <is>
          <t>LJUSDAL</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19034-2023</t>
        </is>
      </c>
      <c r="B7279" s="1" t="n">
        <v>45047</v>
      </c>
      <c r="C7279" s="1" t="n">
        <v>45344</v>
      </c>
      <c r="D7279" t="inlineStr">
        <is>
          <t>GÄVLEBORGS LÄN</t>
        </is>
      </c>
      <c r="E7279" t="inlineStr">
        <is>
          <t>LJUSDAL</t>
        </is>
      </c>
      <c r="G7279" t="n">
        <v>0.3</v>
      </c>
      <c r="H7279" t="n">
        <v>0</v>
      </c>
      <c r="I7279" t="n">
        <v>0</v>
      </c>
      <c r="J7279" t="n">
        <v>0</v>
      </c>
      <c r="K7279" t="n">
        <v>0</v>
      </c>
      <c r="L7279" t="n">
        <v>0</v>
      </c>
      <c r="M7279" t="n">
        <v>0</v>
      </c>
      <c r="N7279" t="n">
        <v>0</v>
      </c>
      <c r="O7279" t="n">
        <v>0</v>
      </c>
      <c r="P7279" t="n">
        <v>0</v>
      </c>
      <c r="Q7279" t="n">
        <v>0</v>
      </c>
      <c r="R7279" s="2" t="inlineStr"/>
    </row>
    <row r="7280" ht="15" customHeight="1">
      <c r="A7280" t="inlineStr">
        <is>
          <t>A 19078-2023</t>
        </is>
      </c>
      <c r="B7280" s="1" t="n">
        <v>45048</v>
      </c>
      <c r="C7280" s="1" t="n">
        <v>45344</v>
      </c>
      <c r="D7280" t="inlineStr">
        <is>
          <t>GÄVLEBORGS LÄN</t>
        </is>
      </c>
      <c r="E7280" t="inlineStr">
        <is>
          <t>LJUSDAL</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19156-2023</t>
        </is>
      </c>
      <c r="B7281" s="1" t="n">
        <v>45048</v>
      </c>
      <c r="C7281" s="1" t="n">
        <v>45344</v>
      </c>
      <c r="D7281" t="inlineStr">
        <is>
          <t>GÄVLEBORGS LÄN</t>
        </is>
      </c>
      <c r="E7281" t="inlineStr">
        <is>
          <t>HUDIKSVALL</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19171-2023</t>
        </is>
      </c>
      <c r="B7282" s="1" t="n">
        <v>45048</v>
      </c>
      <c r="C7282" s="1" t="n">
        <v>45344</v>
      </c>
      <c r="D7282" t="inlineStr">
        <is>
          <t>GÄVLEBORGS LÄN</t>
        </is>
      </c>
      <c r="E7282" t="inlineStr">
        <is>
          <t>HUDIKSVALL</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19096-2023</t>
        </is>
      </c>
      <c r="B7283" s="1" t="n">
        <v>45048</v>
      </c>
      <c r="C7283" s="1" t="n">
        <v>45344</v>
      </c>
      <c r="D7283" t="inlineStr">
        <is>
          <t>GÄVLEBORGS LÄN</t>
        </is>
      </c>
      <c r="E7283" t="inlineStr">
        <is>
          <t>HUDIKSVALL</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19104-2023</t>
        </is>
      </c>
      <c r="B7284" s="1" t="n">
        <v>45048</v>
      </c>
      <c r="C7284" s="1" t="n">
        <v>45344</v>
      </c>
      <c r="D7284" t="inlineStr">
        <is>
          <t>GÄVLEBORGS LÄN</t>
        </is>
      </c>
      <c r="E7284" t="inlineStr">
        <is>
          <t>HUDIKSVALL</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19225-2023</t>
        </is>
      </c>
      <c r="B7285" s="1" t="n">
        <v>45048</v>
      </c>
      <c r="C7285" s="1" t="n">
        <v>45344</v>
      </c>
      <c r="D7285" t="inlineStr">
        <is>
          <t>GÄVLEBORGS LÄN</t>
        </is>
      </c>
      <c r="E7285" t="inlineStr">
        <is>
          <t>SÖDERHAMN</t>
        </is>
      </c>
      <c r="F7285" t="inlineStr">
        <is>
          <t>Bergvik skog väst AB</t>
        </is>
      </c>
      <c r="G7285" t="n">
        <v>6.8</v>
      </c>
      <c r="H7285" t="n">
        <v>0</v>
      </c>
      <c r="I7285" t="n">
        <v>0</v>
      </c>
      <c r="J7285" t="n">
        <v>0</v>
      </c>
      <c r="K7285" t="n">
        <v>0</v>
      </c>
      <c r="L7285" t="n">
        <v>0</v>
      </c>
      <c r="M7285" t="n">
        <v>0</v>
      </c>
      <c r="N7285" t="n">
        <v>0</v>
      </c>
      <c r="O7285" t="n">
        <v>0</v>
      </c>
      <c r="P7285" t="n">
        <v>0</v>
      </c>
      <c r="Q7285" t="n">
        <v>0</v>
      </c>
      <c r="R7285" s="2" t="inlineStr"/>
    </row>
    <row r="7286" ht="15" customHeight="1">
      <c r="A7286" t="inlineStr">
        <is>
          <t>A 19178-2023</t>
        </is>
      </c>
      <c r="B7286" s="1" t="n">
        <v>45048</v>
      </c>
      <c r="C7286" s="1" t="n">
        <v>45344</v>
      </c>
      <c r="D7286" t="inlineStr">
        <is>
          <t>GÄVLEBORGS LÄN</t>
        </is>
      </c>
      <c r="E7286" t="inlineStr">
        <is>
          <t>OCKELBO</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19222-2023</t>
        </is>
      </c>
      <c r="B7287" s="1" t="n">
        <v>45048</v>
      </c>
      <c r="C7287" s="1" t="n">
        <v>45344</v>
      </c>
      <c r="D7287" t="inlineStr">
        <is>
          <t>GÄVLEBORGS LÄN</t>
        </is>
      </c>
      <c r="E7287" t="inlineStr">
        <is>
          <t>SÖDERHAMN</t>
        </is>
      </c>
      <c r="F7287" t="inlineStr">
        <is>
          <t>Bergvik skog väst AB</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19130-2023</t>
        </is>
      </c>
      <c r="B7288" s="1" t="n">
        <v>45048</v>
      </c>
      <c r="C7288" s="1" t="n">
        <v>45344</v>
      </c>
      <c r="D7288" t="inlineStr">
        <is>
          <t>GÄVLEBORGS LÄN</t>
        </is>
      </c>
      <c r="E7288" t="inlineStr">
        <is>
          <t>HUDIKSVALL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19343-2023</t>
        </is>
      </c>
      <c r="B7289" s="1" t="n">
        <v>45049</v>
      </c>
      <c r="C7289" s="1" t="n">
        <v>45344</v>
      </c>
      <c r="D7289" t="inlineStr">
        <is>
          <t>GÄVLEBORGS LÄN</t>
        </is>
      </c>
      <c r="E7289" t="inlineStr">
        <is>
          <t>SANDVIKEN</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19255-2023</t>
        </is>
      </c>
      <c r="B7290" s="1" t="n">
        <v>45049</v>
      </c>
      <c r="C7290" s="1" t="n">
        <v>45344</v>
      </c>
      <c r="D7290" t="inlineStr">
        <is>
          <t>GÄVLEBORGS LÄN</t>
        </is>
      </c>
      <c r="E7290" t="inlineStr">
        <is>
          <t>HUDIKSVALL</t>
        </is>
      </c>
      <c r="G7290" t="n">
        <v>8.4</v>
      </c>
      <c r="H7290" t="n">
        <v>0</v>
      </c>
      <c r="I7290" t="n">
        <v>0</v>
      </c>
      <c r="J7290" t="n">
        <v>0</v>
      </c>
      <c r="K7290" t="n">
        <v>0</v>
      </c>
      <c r="L7290" t="n">
        <v>0</v>
      </c>
      <c r="M7290" t="n">
        <v>0</v>
      </c>
      <c r="N7290" t="n">
        <v>0</v>
      </c>
      <c r="O7290" t="n">
        <v>0</v>
      </c>
      <c r="P7290" t="n">
        <v>0</v>
      </c>
      <c r="Q7290" t="n">
        <v>0</v>
      </c>
      <c r="R7290" s="2" t="inlineStr"/>
    </row>
    <row r="7291" ht="15" customHeight="1">
      <c r="A7291" t="inlineStr">
        <is>
          <t>A 19282-2023</t>
        </is>
      </c>
      <c r="B7291" s="1" t="n">
        <v>45049</v>
      </c>
      <c r="C7291" s="1" t="n">
        <v>45344</v>
      </c>
      <c r="D7291" t="inlineStr">
        <is>
          <t>GÄVLEBORGS LÄN</t>
        </is>
      </c>
      <c r="E7291" t="inlineStr">
        <is>
          <t>HUDIKSVALL</t>
        </is>
      </c>
      <c r="F7291" t="inlineStr">
        <is>
          <t>Holmen skog AB</t>
        </is>
      </c>
      <c r="G7291" t="n">
        <v>0.9</v>
      </c>
      <c r="H7291" t="n">
        <v>0</v>
      </c>
      <c r="I7291" t="n">
        <v>0</v>
      </c>
      <c r="J7291" t="n">
        <v>0</v>
      </c>
      <c r="K7291" t="n">
        <v>0</v>
      </c>
      <c r="L7291" t="n">
        <v>0</v>
      </c>
      <c r="M7291" t="n">
        <v>0</v>
      </c>
      <c r="N7291" t="n">
        <v>0</v>
      </c>
      <c r="O7291" t="n">
        <v>0</v>
      </c>
      <c r="P7291" t="n">
        <v>0</v>
      </c>
      <c r="Q7291" t="n">
        <v>0</v>
      </c>
      <c r="R7291" s="2" t="inlineStr"/>
    </row>
    <row r="7292" ht="15" customHeight="1">
      <c r="A7292" t="inlineStr">
        <is>
          <t>A 19346-2023</t>
        </is>
      </c>
      <c r="B7292" s="1" t="n">
        <v>45049</v>
      </c>
      <c r="C7292" s="1" t="n">
        <v>45344</v>
      </c>
      <c r="D7292" t="inlineStr">
        <is>
          <t>GÄVLEBORGS LÄN</t>
        </is>
      </c>
      <c r="E7292" t="inlineStr">
        <is>
          <t>SANDVIKEN</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19352-2023</t>
        </is>
      </c>
      <c r="B7293" s="1" t="n">
        <v>45049</v>
      </c>
      <c r="C7293" s="1" t="n">
        <v>45344</v>
      </c>
      <c r="D7293" t="inlineStr">
        <is>
          <t>GÄVLEBORGS LÄN</t>
        </is>
      </c>
      <c r="E7293" t="inlineStr">
        <is>
          <t>SANDVIKEN</t>
        </is>
      </c>
      <c r="G7293" t="n">
        <v>3</v>
      </c>
      <c r="H7293" t="n">
        <v>0</v>
      </c>
      <c r="I7293" t="n">
        <v>0</v>
      </c>
      <c r="J7293" t="n">
        <v>0</v>
      </c>
      <c r="K7293" t="n">
        <v>0</v>
      </c>
      <c r="L7293" t="n">
        <v>0</v>
      </c>
      <c r="M7293" t="n">
        <v>0</v>
      </c>
      <c r="N7293" t="n">
        <v>0</v>
      </c>
      <c r="O7293" t="n">
        <v>0</v>
      </c>
      <c r="P7293" t="n">
        <v>0</v>
      </c>
      <c r="Q7293" t="n">
        <v>0</v>
      </c>
      <c r="R7293" s="2" t="inlineStr"/>
    </row>
    <row r="7294" ht="15" customHeight="1">
      <c r="A7294" t="inlineStr">
        <is>
          <t>A 19476-2023</t>
        </is>
      </c>
      <c r="B7294" s="1" t="n">
        <v>45050</v>
      </c>
      <c r="C7294" s="1" t="n">
        <v>45344</v>
      </c>
      <c r="D7294" t="inlineStr">
        <is>
          <t>GÄVLEBORGS LÄN</t>
        </is>
      </c>
      <c r="E7294" t="inlineStr">
        <is>
          <t>HOFORS</t>
        </is>
      </c>
      <c r="G7294" t="n">
        <v>1.4</v>
      </c>
      <c r="H7294" t="n">
        <v>0</v>
      </c>
      <c r="I7294" t="n">
        <v>0</v>
      </c>
      <c r="J7294" t="n">
        <v>0</v>
      </c>
      <c r="K7294" t="n">
        <v>0</v>
      </c>
      <c r="L7294" t="n">
        <v>0</v>
      </c>
      <c r="M7294" t="n">
        <v>0</v>
      </c>
      <c r="N7294" t="n">
        <v>0</v>
      </c>
      <c r="O7294" t="n">
        <v>0</v>
      </c>
      <c r="P7294" t="n">
        <v>0</v>
      </c>
      <c r="Q7294" t="n">
        <v>0</v>
      </c>
      <c r="R7294" s="2" t="inlineStr"/>
    </row>
    <row r="7295" ht="15" customHeight="1">
      <c r="A7295" t="inlineStr">
        <is>
          <t>A 19499-2023</t>
        </is>
      </c>
      <c r="B7295" s="1" t="n">
        <v>45050</v>
      </c>
      <c r="C7295" s="1" t="n">
        <v>45344</v>
      </c>
      <c r="D7295" t="inlineStr">
        <is>
          <t>GÄVLEBORGS LÄN</t>
        </is>
      </c>
      <c r="E7295" t="inlineStr">
        <is>
          <t>HUDIKSVALL</t>
        </is>
      </c>
      <c r="F7295" t="inlineStr">
        <is>
          <t>Holmen skog AB</t>
        </is>
      </c>
      <c r="G7295" t="n">
        <v>8.199999999999999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19475-2023</t>
        </is>
      </c>
      <c r="B7296" s="1" t="n">
        <v>45050</v>
      </c>
      <c r="C7296" s="1" t="n">
        <v>45344</v>
      </c>
      <c r="D7296" t="inlineStr">
        <is>
          <t>GÄVLEBORGS LÄN</t>
        </is>
      </c>
      <c r="E7296" t="inlineStr">
        <is>
          <t>HOFORS</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19484-2023</t>
        </is>
      </c>
      <c r="B7297" s="1" t="n">
        <v>45050</v>
      </c>
      <c r="C7297" s="1" t="n">
        <v>45344</v>
      </c>
      <c r="D7297" t="inlineStr">
        <is>
          <t>GÄVLEBORGS LÄN</t>
        </is>
      </c>
      <c r="E7297" t="inlineStr">
        <is>
          <t>HUDIKSVALL</t>
        </is>
      </c>
      <c r="F7297" t="inlineStr">
        <is>
          <t>Holmen skog AB</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19525-2023</t>
        </is>
      </c>
      <c r="B7298" s="1" t="n">
        <v>45050</v>
      </c>
      <c r="C7298" s="1" t="n">
        <v>45344</v>
      </c>
      <c r="D7298" t="inlineStr">
        <is>
          <t>GÄVLEBORGS LÄN</t>
        </is>
      </c>
      <c r="E7298" t="inlineStr">
        <is>
          <t>OVANÅKER</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19473-2023</t>
        </is>
      </c>
      <c r="B7299" s="1" t="n">
        <v>45050</v>
      </c>
      <c r="C7299" s="1" t="n">
        <v>45344</v>
      </c>
      <c r="D7299" t="inlineStr">
        <is>
          <t>GÄVLEBORGS LÄN</t>
        </is>
      </c>
      <c r="E7299" t="inlineStr">
        <is>
          <t>BOLLNÄS</t>
        </is>
      </c>
      <c r="F7299" t="inlineStr">
        <is>
          <t>Bergvik skog väst AB</t>
        </is>
      </c>
      <c r="G7299" t="n">
        <v>3.5</v>
      </c>
      <c r="H7299" t="n">
        <v>0</v>
      </c>
      <c r="I7299" t="n">
        <v>0</v>
      </c>
      <c r="J7299" t="n">
        <v>0</v>
      </c>
      <c r="K7299" t="n">
        <v>0</v>
      </c>
      <c r="L7299" t="n">
        <v>0</v>
      </c>
      <c r="M7299" t="n">
        <v>0</v>
      </c>
      <c r="N7299" t="n">
        <v>0</v>
      </c>
      <c r="O7299" t="n">
        <v>0</v>
      </c>
      <c r="P7299" t="n">
        <v>0</v>
      </c>
      <c r="Q7299" t="n">
        <v>0</v>
      </c>
      <c r="R7299" s="2" t="inlineStr"/>
    </row>
    <row r="7300" ht="15" customHeight="1">
      <c r="A7300" t="inlineStr">
        <is>
          <t>A 19507-2023</t>
        </is>
      </c>
      <c r="B7300" s="1" t="n">
        <v>45050</v>
      </c>
      <c r="C7300" s="1" t="n">
        <v>45344</v>
      </c>
      <c r="D7300" t="inlineStr">
        <is>
          <t>GÄVLEBORGS LÄN</t>
        </is>
      </c>
      <c r="E7300" t="inlineStr">
        <is>
          <t>OVANÅKER</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19684-2023</t>
        </is>
      </c>
      <c r="B7301" s="1" t="n">
        <v>45051</v>
      </c>
      <c r="C7301" s="1" t="n">
        <v>45344</v>
      </c>
      <c r="D7301" t="inlineStr">
        <is>
          <t>GÄVLEBORGS LÄN</t>
        </is>
      </c>
      <c r="E7301" t="inlineStr">
        <is>
          <t>HOFORS</t>
        </is>
      </c>
      <c r="G7301" t="n">
        <v>3.3</v>
      </c>
      <c r="H7301" t="n">
        <v>0</v>
      </c>
      <c r="I7301" t="n">
        <v>0</v>
      </c>
      <c r="J7301" t="n">
        <v>0</v>
      </c>
      <c r="K7301" t="n">
        <v>0</v>
      </c>
      <c r="L7301" t="n">
        <v>0</v>
      </c>
      <c r="M7301" t="n">
        <v>0</v>
      </c>
      <c r="N7301" t="n">
        <v>0</v>
      </c>
      <c r="O7301" t="n">
        <v>0</v>
      </c>
      <c r="P7301" t="n">
        <v>0</v>
      </c>
      <c r="Q7301" t="n">
        <v>0</v>
      </c>
      <c r="R7301" s="2" t="inlineStr"/>
    </row>
    <row r="7302" ht="15" customHeight="1">
      <c r="A7302" t="inlineStr">
        <is>
          <t>A 19757-2023</t>
        </is>
      </c>
      <c r="B7302" s="1" t="n">
        <v>45051</v>
      </c>
      <c r="C7302" s="1" t="n">
        <v>45344</v>
      </c>
      <c r="D7302" t="inlineStr">
        <is>
          <t>GÄVLEBORGS LÄN</t>
        </is>
      </c>
      <c r="E7302" t="inlineStr">
        <is>
          <t>SANDVIKEN</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19637-2023</t>
        </is>
      </c>
      <c r="B7303" s="1" t="n">
        <v>45051</v>
      </c>
      <c r="C7303" s="1" t="n">
        <v>45344</v>
      </c>
      <c r="D7303" t="inlineStr">
        <is>
          <t>GÄVLEBORGS LÄN</t>
        </is>
      </c>
      <c r="E7303" t="inlineStr">
        <is>
          <t>BOLLNÄS</t>
        </is>
      </c>
      <c r="G7303" t="n">
        <v>3.9</v>
      </c>
      <c r="H7303" t="n">
        <v>0</v>
      </c>
      <c r="I7303" t="n">
        <v>0</v>
      </c>
      <c r="J7303" t="n">
        <v>0</v>
      </c>
      <c r="K7303" t="n">
        <v>0</v>
      </c>
      <c r="L7303" t="n">
        <v>0</v>
      </c>
      <c r="M7303" t="n">
        <v>0</v>
      </c>
      <c r="N7303" t="n">
        <v>0</v>
      </c>
      <c r="O7303" t="n">
        <v>0</v>
      </c>
      <c r="P7303" t="n">
        <v>0</v>
      </c>
      <c r="Q7303" t="n">
        <v>0</v>
      </c>
      <c r="R7303" s="2" t="inlineStr"/>
    </row>
    <row r="7304" ht="15" customHeight="1">
      <c r="A7304" t="inlineStr">
        <is>
          <t>A 19641-2023</t>
        </is>
      </c>
      <c r="B7304" s="1" t="n">
        <v>45051</v>
      </c>
      <c r="C7304" s="1" t="n">
        <v>45344</v>
      </c>
      <c r="D7304" t="inlineStr">
        <is>
          <t>GÄVLEBORGS LÄN</t>
        </is>
      </c>
      <c r="E7304" t="inlineStr">
        <is>
          <t>HUDIKSVALL</t>
        </is>
      </c>
      <c r="F7304" t="inlineStr">
        <is>
          <t>Holmen skog AB</t>
        </is>
      </c>
      <c r="G7304" t="n">
        <v>6.2</v>
      </c>
      <c r="H7304" t="n">
        <v>0</v>
      </c>
      <c r="I7304" t="n">
        <v>0</v>
      </c>
      <c r="J7304" t="n">
        <v>0</v>
      </c>
      <c r="K7304" t="n">
        <v>0</v>
      </c>
      <c r="L7304" t="n">
        <v>0</v>
      </c>
      <c r="M7304" t="n">
        <v>0</v>
      </c>
      <c r="N7304" t="n">
        <v>0</v>
      </c>
      <c r="O7304" t="n">
        <v>0</v>
      </c>
      <c r="P7304" t="n">
        <v>0</v>
      </c>
      <c r="Q7304" t="n">
        <v>0</v>
      </c>
      <c r="R7304" s="2" t="inlineStr"/>
    </row>
    <row r="7305" ht="15" customHeight="1">
      <c r="A7305" t="inlineStr">
        <is>
          <t>A 19657-2023</t>
        </is>
      </c>
      <c r="B7305" s="1" t="n">
        <v>45051</v>
      </c>
      <c r="C7305" s="1" t="n">
        <v>45344</v>
      </c>
      <c r="D7305" t="inlineStr">
        <is>
          <t>GÄVLEBORGS LÄN</t>
        </is>
      </c>
      <c r="E7305" t="inlineStr">
        <is>
          <t>OVANÅKER</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19685-2023</t>
        </is>
      </c>
      <c r="B7306" s="1" t="n">
        <v>45051</v>
      </c>
      <c r="C7306" s="1" t="n">
        <v>45344</v>
      </c>
      <c r="D7306" t="inlineStr">
        <is>
          <t>GÄVLEBORGS LÄN</t>
        </is>
      </c>
      <c r="E7306" t="inlineStr">
        <is>
          <t>HOFORS</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19635-2023</t>
        </is>
      </c>
      <c r="B7307" s="1" t="n">
        <v>45051</v>
      </c>
      <c r="C7307" s="1" t="n">
        <v>45344</v>
      </c>
      <c r="D7307" t="inlineStr">
        <is>
          <t>GÄVLEBORGS LÄN</t>
        </is>
      </c>
      <c r="E7307" t="inlineStr">
        <is>
          <t>BOLLNÄS</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19700-2023</t>
        </is>
      </c>
      <c r="B7308" s="1" t="n">
        <v>45051</v>
      </c>
      <c r="C7308" s="1" t="n">
        <v>45344</v>
      </c>
      <c r="D7308" t="inlineStr">
        <is>
          <t>GÄVLEBORGS LÄN</t>
        </is>
      </c>
      <c r="E7308" t="inlineStr">
        <is>
          <t>SÖDERHAMN</t>
        </is>
      </c>
      <c r="F7308" t="inlineStr">
        <is>
          <t>Bergvik skog väst AB</t>
        </is>
      </c>
      <c r="G7308" t="n">
        <v>4.1</v>
      </c>
      <c r="H7308" t="n">
        <v>0</v>
      </c>
      <c r="I7308" t="n">
        <v>0</v>
      </c>
      <c r="J7308" t="n">
        <v>0</v>
      </c>
      <c r="K7308" t="n">
        <v>0</v>
      </c>
      <c r="L7308" t="n">
        <v>0</v>
      </c>
      <c r="M7308" t="n">
        <v>0</v>
      </c>
      <c r="N7308" t="n">
        <v>0</v>
      </c>
      <c r="O7308" t="n">
        <v>0</v>
      </c>
      <c r="P7308" t="n">
        <v>0</v>
      </c>
      <c r="Q7308" t="n">
        <v>0</v>
      </c>
      <c r="R7308" s="2" t="inlineStr"/>
    </row>
    <row r="7309" ht="15" customHeight="1">
      <c r="A7309" t="inlineStr">
        <is>
          <t>A 19687-2023</t>
        </is>
      </c>
      <c r="B7309" s="1" t="n">
        <v>45051</v>
      </c>
      <c r="C7309" s="1" t="n">
        <v>45344</v>
      </c>
      <c r="D7309" t="inlineStr">
        <is>
          <t>GÄVLEBORGS LÄN</t>
        </is>
      </c>
      <c r="E7309" t="inlineStr">
        <is>
          <t>HOFORS</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19693-2023</t>
        </is>
      </c>
      <c r="B7310" s="1" t="n">
        <v>45051</v>
      </c>
      <c r="C7310" s="1" t="n">
        <v>45344</v>
      </c>
      <c r="D7310" t="inlineStr">
        <is>
          <t>GÄVLEBORGS LÄN</t>
        </is>
      </c>
      <c r="E7310" t="inlineStr">
        <is>
          <t>LJUSDAL</t>
        </is>
      </c>
      <c r="F7310" t="inlineStr">
        <is>
          <t>Holmen skog AB</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19697-2023</t>
        </is>
      </c>
      <c r="B7311" s="1" t="n">
        <v>45051</v>
      </c>
      <c r="C7311" s="1" t="n">
        <v>45344</v>
      </c>
      <c r="D7311" t="inlineStr">
        <is>
          <t>GÄVLEBORGS LÄN</t>
        </is>
      </c>
      <c r="E7311" t="inlineStr">
        <is>
          <t>OCKELBO</t>
        </is>
      </c>
      <c r="F7311" t="inlineStr">
        <is>
          <t>Bergvik skog väst AB</t>
        </is>
      </c>
      <c r="G7311" t="n">
        <v>4.6</v>
      </c>
      <c r="H7311" t="n">
        <v>0</v>
      </c>
      <c r="I7311" t="n">
        <v>0</v>
      </c>
      <c r="J7311" t="n">
        <v>0</v>
      </c>
      <c r="K7311" t="n">
        <v>0</v>
      </c>
      <c r="L7311" t="n">
        <v>0</v>
      </c>
      <c r="M7311" t="n">
        <v>0</v>
      </c>
      <c r="N7311" t="n">
        <v>0</v>
      </c>
      <c r="O7311" t="n">
        <v>0</v>
      </c>
      <c r="P7311" t="n">
        <v>0</v>
      </c>
      <c r="Q7311" t="n">
        <v>0</v>
      </c>
      <c r="R7311" s="2" t="inlineStr"/>
    </row>
    <row r="7312" ht="15" customHeight="1">
      <c r="A7312" t="inlineStr">
        <is>
          <t>A 19738-2023</t>
        </is>
      </c>
      <c r="B7312" s="1" t="n">
        <v>45051</v>
      </c>
      <c r="C7312" s="1" t="n">
        <v>45344</v>
      </c>
      <c r="D7312" t="inlineStr">
        <is>
          <t>GÄVLEBORGS LÄN</t>
        </is>
      </c>
      <c r="E7312" t="inlineStr">
        <is>
          <t>HUDIKSVALL</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19773-2023</t>
        </is>
      </c>
      <c r="B7313" s="1" t="n">
        <v>45051</v>
      </c>
      <c r="C7313" s="1" t="n">
        <v>45344</v>
      </c>
      <c r="D7313" t="inlineStr">
        <is>
          <t>GÄVLEBORGS LÄN</t>
        </is>
      </c>
      <c r="E7313" t="inlineStr">
        <is>
          <t>SÖDERHAMN</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19780-2023</t>
        </is>
      </c>
      <c r="B7314" s="1" t="n">
        <v>45051</v>
      </c>
      <c r="C7314" s="1" t="n">
        <v>45344</v>
      </c>
      <c r="D7314" t="inlineStr">
        <is>
          <t>GÄVLEBORGS LÄN</t>
        </is>
      </c>
      <c r="E7314" t="inlineStr">
        <is>
          <t>SANDVIKEN</t>
        </is>
      </c>
      <c r="G7314" t="n">
        <v>7.8</v>
      </c>
      <c r="H7314" t="n">
        <v>0</v>
      </c>
      <c r="I7314" t="n">
        <v>0</v>
      </c>
      <c r="J7314" t="n">
        <v>0</v>
      </c>
      <c r="K7314" t="n">
        <v>0</v>
      </c>
      <c r="L7314" t="n">
        <v>0</v>
      </c>
      <c r="M7314" t="n">
        <v>0</v>
      </c>
      <c r="N7314" t="n">
        <v>0</v>
      </c>
      <c r="O7314" t="n">
        <v>0</v>
      </c>
      <c r="P7314" t="n">
        <v>0</v>
      </c>
      <c r="Q7314" t="n">
        <v>0</v>
      </c>
      <c r="R7314" s="2" t="inlineStr"/>
    </row>
    <row r="7315" ht="15" customHeight="1">
      <c r="A7315" t="inlineStr">
        <is>
          <t>A 19728-2023</t>
        </is>
      </c>
      <c r="B7315" s="1" t="n">
        <v>45051</v>
      </c>
      <c r="C7315" s="1" t="n">
        <v>45344</v>
      </c>
      <c r="D7315" t="inlineStr">
        <is>
          <t>GÄVLEBORGS LÄN</t>
        </is>
      </c>
      <c r="E7315" t="inlineStr">
        <is>
          <t>SÖDERHAMN</t>
        </is>
      </c>
      <c r="F7315" t="inlineStr">
        <is>
          <t>Bergvik skog väst AB</t>
        </is>
      </c>
      <c r="G7315" t="n">
        <v>13.2</v>
      </c>
      <c r="H7315" t="n">
        <v>0</v>
      </c>
      <c r="I7315" t="n">
        <v>0</v>
      </c>
      <c r="J7315" t="n">
        <v>0</v>
      </c>
      <c r="K7315" t="n">
        <v>0</v>
      </c>
      <c r="L7315" t="n">
        <v>0</v>
      </c>
      <c r="M7315" t="n">
        <v>0</v>
      </c>
      <c r="N7315" t="n">
        <v>0</v>
      </c>
      <c r="O7315" t="n">
        <v>0</v>
      </c>
      <c r="P7315" t="n">
        <v>0</v>
      </c>
      <c r="Q7315" t="n">
        <v>0</v>
      </c>
      <c r="R7315" s="2" t="inlineStr"/>
    </row>
    <row r="7316" ht="15" customHeight="1">
      <c r="A7316" t="inlineStr">
        <is>
          <t>A 19736-2023</t>
        </is>
      </c>
      <c r="B7316" s="1" t="n">
        <v>45051</v>
      </c>
      <c r="C7316" s="1" t="n">
        <v>45344</v>
      </c>
      <c r="D7316" t="inlineStr">
        <is>
          <t>GÄVLEBORGS LÄN</t>
        </is>
      </c>
      <c r="E7316" t="inlineStr">
        <is>
          <t>HUDIKSVALL</t>
        </is>
      </c>
      <c r="G7316" t="n">
        <v>1.2</v>
      </c>
      <c r="H7316" t="n">
        <v>0</v>
      </c>
      <c r="I7316" t="n">
        <v>0</v>
      </c>
      <c r="J7316" t="n">
        <v>0</v>
      </c>
      <c r="K7316" t="n">
        <v>0</v>
      </c>
      <c r="L7316" t="n">
        <v>0</v>
      </c>
      <c r="M7316" t="n">
        <v>0</v>
      </c>
      <c r="N7316" t="n">
        <v>0</v>
      </c>
      <c r="O7316" t="n">
        <v>0</v>
      </c>
      <c r="P7316" t="n">
        <v>0</v>
      </c>
      <c r="Q7316" t="n">
        <v>0</v>
      </c>
      <c r="R7316" s="2" t="inlineStr"/>
    </row>
    <row r="7317" ht="15" customHeight="1">
      <c r="A7317" t="inlineStr">
        <is>
          <t>A 19759-2023</t>
        </is>
      </c>
      <c r="B7317" s="1" t="n">
        <v>45051</v>
      </c>
      <c r="C7317" s="1" t="n">
        <v>45344</v>
      </c>
      <c r="D7317" t="inlineStr">
        <is>
          <t>GÄVLEBORGS LÄN</t>
        </is>
      </c>
      <c r="E7317" t="inlineStr">
        <is>
          <t>SANDVIKEN</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19850-2023</t>
        </is>
      </c>
      <c r="B7318" s="1" t="n">
        <v>45053</v>
      </c>
      <c r="C7318" s="1" t="n">
        <v>45344</v>
      </c>
      <c r="D7318" t="inlineStr">
        <is>
          <t>GÄVLEBORGS LÄN</t>
        </is>
      </c>
      <c r="E7318" t="inlineStr">
        <is>
          <t>HUDIKSVALL</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19874-2023</t>
        </is>
      </c>
      <c r="B7319" s="1" t="n">
        <v>45054</v>
      </c>
      <c r="C7319" s="1" t="n">
        <v>45344</v>
      </c>
      <c r="D7319" t="inlineStr">
        <is>
          <t>GÄVLEBORGS LÄN</t>
        </is>
      </c>
      <c r="E7319" t="inlineStr">
        <is>
          <t>GÄVLE</t>
        </is>
      </c>
      <c r="F7319" t="inlineStr">
        <is>
          <t>Bergvik skog väst AB</t>
        </is>
      </c>
      <c r="G7319" t="n">
        <v>4.6</v>
      </c>
      <c r="H7319" t="n">
        <v>0</v>
      </c>
      <c r="I7319" t="n">
        <v>0</v>
      </c>
      <c r="J7319" t="n">
        <v>0</v>
      </c>
      <c r="K7319" t="n">
        <v>0</v>
      </c>
      <c r="L7319" t="n">
        <v>0</v>
      </c>
      <c r="M7319" t="n">
        <v>0</v>
      </c>
      <c r="N7319" t="n">
        <v>0</v>
      </c>
      <c r="O7319" t="n">
        <v>0</v>
      </c>
      <c r="P7319" t="n">
        <v>0</v>
      </c>
      <c r="Q7319" t="n">
        <v>0</v>
      </c>
      <c r="R7319" s="2" t="inlineStr"/>
    </row>
    <row r="7320" ht="15" customHeight="1">
      <c r="A7320" t="inlineStr">
        <is>
          <t>A 19886-2023</t>
        </is>
      </c>
      <c r="B7320" s="1" t="n">
        <v>45054</v>
      </c>
      <c r="C7320" s="1" t="n">
        <v>45344</v>
      </c>
      <c r="D7320" t="inlineStr">
        <is>
          <t>GÄVLEBORGS LÄN</t>
        </is>
      </c>
      <c r="E7320" t="inlineStr">
        <is>
          <t>OCKELBO</t>
        </is>
      </c>
      <c r="F7320" t="inlineStr">
        <is>
          <t>Bergvik skog väst AB</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19924-2023</t>
        </is>
      </c>
      <c r="B7321" s="1" t="n">
        <v>45054</v>
      </c>
      <c r="C7321" s="1" t="n">
        <v>45344</v>
      </c>
      <c r="D7321" t="inlineStr">
        <is>
          <t>GÄVLEBORGS LÄN</t>
        </is>
      </c>
      <c r="E7321" t="inlineStr">
        <is>
          <t>OVANÅKER</t>
        </is>
      </c>
      <c r="G7321" t="n">
        <v>4.5</v>
      </c>
      <c r="H7321" t="n">
        <v>0</v>
      </c>
      <c r="I7321" t="n">
        <v>0</v>
      </c>
      <c r="J7321" t="n">
        <v>0</v>
      </c>
      <c r="K7321" t="n">
        <v>0</v>
      </c>
      <c r="L7321" t="n">
        <v>0</v>
      </c>
      <c r="M7321" t="n">
        <v>0</v>
      </c>
      <c r="N7321" t="n">
        <v>0</v>
      </c>
      <c r="O7321" t="n">
        <v>0</v>
      </c>
      <c r="P7321" t="n">
        <v>0</v>
      </c>
      <c r="Q7321" t="n">
        <v>0</v>
      </c>
      <c r="R7321" s="2" t="inlineStr"/>
    </row>
    <row r="7322" ht="15" customHeight="1">
      <c r="A7322" t="inlineStr">
        <is>
          <t>A 19931-2023</t>
        </is>
      </c>
      <c r="B7322" s="1" t="n">
        <v>45054</v>
      </c>
      <c r="C7322" s="1" t="n">
        <v>45344</v>
      </c>
      <c r="D7322" t="inlineStr">
        <is>
          <t>GÄVLEBORGS LÄN</t>
        </is>
      </c>
      <c r="E7322" t="inlineStr">
        <is>
          <t>HUDIKSVALL</t>
        </is>
      </c>
      <c r="G7322" t="n">
        <v>10.1</v>
      </c>
      <c r="H7322" t="n">
        <v>0</v>
      </c>
      <c r="I7322" t="n">
        <v>0</v>
      </c>
      <c r="J7322" t="n">
        <v>0</v>
      </c>
      <c r="K7322" t="n">
        <v>0</v>
      </c>
      <c r="L7322" t="n">
        <v>0</v>
      </c>
      <c r="M7322" t="n">
        <v>0</v>
      </c>
      <c r="N7322" t="n">
        <v>0</v>
      </c>
      <c r="O7322" t="n">
        <v>0</v>
      </c>
      <c r="P7322" t="n">
        <v>0</v>
      </c>
      <c r="Q7322" t="n">
        <v>0</v>
      </c>
      <c r="R7322" s="2" t="inlineStr"/>
    </row>
    <row r="7323" ht="15" customHeight="1">
      <c r="A7323" t="inlineStr">
        <is>
          <t>A 19921-2023</t>
        </is>
      </c>
      <c r="B7323" s="1" t="n">
        <v>45054</v>
      </c>
      <c r="C7323" s="1" t="n">
        <v>45344</v>
      </c>
      <c r="D7323" t="inlineStr">
        <is>
          <t>GÄVLEBORGS LÄN</t>
        </is>
      </c>
      <c r="E7323" t="inlineStr">
        <is>
          <t>HUDIKSVALL</t>
        </is>
      </c>
      <c r="F7323" t="inlineStr">
        <is>
          <t>Holmen skog AB</t>
        </is>
      </c>
      <c r="G7323" t="n">
        <v>10.3</v>
      </c>
      <c r="H7323" t="n">
        <v>0</v>
      </c>
      <c r="I7323" t="n">
        <v>0</v>
      </c>
      <c r="J7323" t="n">
        <v>0</v>
      </c>
      <c r="K7323" t="n">
        <v>0</v>
      </c>
      <c r="L7323" t="n">
        <v>0</v>
      </c>
      <c r="M7323" t="n">
        <v>0</v>
      </c>
      <c r="N7323" t="n">
        <v>0</v>
      </c>
      <c r="O7323" t="n">
        <v>0</v>
      </c>
      <c r="P7323" t="n">
        <v>0</v>
      </c>
      <c r="Q7323" t="n">
        <v>0</v>
      </c>
      <c r="R7323" s="2" t="inlineStr"/>
    </row>
    <row r="7324" ht="15" customHeight="1">
      <c r="A7324" t="inlineStr">
        <is>
          <t>A 19954-2023</t>
        </is>
      </c>
      <c r="B7324" s="1" t="n">
        <v>45054</v>
      </c>
      <c r="C7324" s="1" t="n">
        <v>45344</v>
      </c>
      <c r="D7324" t="inlineStr">
        <is>
          <t>GÄVLEBORGS LÄN</t>
        </is>
      </c>
      <c r="E7324" t="inlineStr">
        <is>
          <t>LJUSDAL</t>
        </is>
      </c>
      <c r="F7324" t="inlineStr">
        <is>
          <t>Holmen skog AB</t>
        </is>
      </c>
      <c r="G7324" t="n">
        <v>6.1</v>
      </c>
      <c r="H7324" t="n">
        <v>0</v>
      </c>
      <c r="I7324" t="n">
        <v>0</v>
      </c>
      <c r="J7324" t="n">
        <v>0</v>
      </c>
      <c r="K7324" t="n">
        <v>0</v>
      </c>
      <c r="L7324" t="n">
        <v>0</v>
      </c>
      <c r="M7324" t="n">
        <v>0</v>
      </c>
      <c r="N7324" t="n">
        <v>0</v>
      </c>
      <c r="O7324" t="n">
        <v>0</v>
      </c>
      <c r="P7324" t="n">
        <v>0</v>
      </c>
      <c r="Q7324" t="n">
        <v>0</v>
      </c>
      <c r="R7324" s="2" t="inlineStr"/>
    </row>
    <row r="7325" ht="15" customHeight="1">
      <c r="A7325" t="inlineStr">
        <is>
          <t>A 19979-2023</t>
        </is>
      </c>
      <c r="B7325" s="1" t="n">
        <v>45054</v>
      </c>
      <c r="C7325" s="1" t="n">
        <v>45344</v>
      </c>
      <c r="D7325" t="inlineStr">
        <is>
          <t>GÄVLEBORGS LÄN</t>
        </is>
      </c>
      <c r="E7325" t="inlineStr">
        <is>
          <t>HUDIKSVALL</t>
        </is>
      </c>
      <c r="G7325" t="n">
        <v>6.9</v>
      </c>
      <c r="H7325" t="n">
        <v>0</v>
      </c>
      <c r="I7325" t="n">
        <v>0</v>
      </c>
      <c r="J7325" t="n">
        <v>0</v>
      </c>
      <c r="K7325" t="n">
        <v>0</v>
      </c>
      <c r="L7325" t="n">
        <v>0</v>
      </c>
      <c r="M7325" t="n">
        <v>0</v>
      </c>
      <c r="N7325" t="n">
        <v>0</v>
      </c>
      <c r="O7325" t="n">
        <v>0</v>
      </c>
      <c r="P7325" t="n">
        <v>0</v>
      </c>
      <c r="Q7325" t="n">
        <v>0</v>
      </c>
      <c r="R7325" s="2" t="inlineStr"/>
    </row>
    <row r="7326" ht="15" customHeight="1">
      <c r="A7326" t="inlineStr">
        <is>
          <t>A 19909-2023</t>
        </is>
      </c>
      <c r="B7326" s="1" t="n">
        <v>45054</v>
      </c>
      <c r="C7326" s="1" t="n">
        <v>45344</v>
      </c>
      <c r="D7326" t="inlineStr">
        <is>
          <t>GÄVLEBORGS LÄN</t>
        </is>
      </c>
      <c r="E7326" t="inlineStr">
        <is>
          <t>OCKELBO</t>
        </is>
      </c>
      <c r="F7326" t="inlineStr">
        <is>
          <t>Bergvik skog väst AB</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19919-2023</t>
        </is>
      </c>
      <c r="B7327" s="1" t="n">
        <v>45054</v>
      </c>
      <c r="C7327" s="1" t="n">
        <v>45344</v>
      </c>
      <c r="D7327" t="inlineStr">
        <is>
          <t>GÄVLEBORGS LÄN</t>
        </is>
      </c>
      <c r="E7327" t="inlineStr">
        <is>
          <t>OCKELBO</t>
        </is>
      </c>
      <c r="F7327" t="inlineStr">
        <is>
          <t>Bergvik skog väst AB</t>
        </is>
      </c>
      <c r="G7327" t="n">
        <v>8</v>
      </c>
      <c r="H7327" t="n">
        <v>0</v>
      </c>
      <c r="I7327" t="n">
        <v>0</v>
      </c>
      <c r="J7327" t="n">
        <v>0</v>
      </c>
      <c r="K7327" t="n">
        <v>0</v>
      </c>
      <c r="L7327" t="n">
        <v>0</v>
      </c>
      <c r="M7327" t="n">
        <v>0</v>
      </c>
      <c r="N7327" t="n">
        <v>0</v>
      </c>
      <c r="O7327" t="n">
        <v>0</v>
      </c>
      <c r="P7327" t="n">
        <v>0</v>
      </c>
      <c r="Q7327" t="n">
        <v>0</v>
      </c>
      <c r="R7327" s="2" t="inlineStr"/>
    </row>
    <row r="7328" ht="15" customHeight="1">
      <c r="A7328" t="inlineStr">
        <is>
          <t>A 20016-2023</t>
        </is>
      </c>
      <c r="B7328" s="1" t="n">
        <v>45054</v>
      </c>
      <c r="C7328" s="1" t="n">
        <v>45344</v>
      </c>
      <c r="D7328" t="inlineStr">
        <is>
          <t>GÄVLEBORGS LÄN</t>
        </is>
      </c>
      <c r="E7328" t="inlineStr">
        <is>
          <t>LJUSDAL</t>
        </is>
      </c>
      <c r="F7328" t="inlineStr">
        <is>
          <t>Kommuner</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20064-2023</t>
        </is>
      </c>
      <c r="B7329" s="1" t="n">
        <v>45054</v>
      </c>
      <c r="C7329" s="1" t="n">
        <v>45344</v>
      </c>
      <c r="D7329" t="inlineStr">
        <is>
          <t>GÄVLEBORGS LÄN</t>
        </is>
      </c>
      <c r="E7329" t="inlineStr">
        <is>
          <t>SANDVIKEN</t>
        </is>
      </c>
      <c r="F7329" t="inlineStr">
        <is>
          <t>Sveaskog</t>
        </is>
      </c>
      <c r="G7329" t="n">
        <v>5.2</v>
      </c>
      <c r="H7329" t="n">
        <v>0</v>
      </c>
      <c r="I7329" t="n">
        <v>0</v>
      </c>
      <c r="J7329" t="n">
        <v>0</v>
      </c>
      <c r="K7329" t="n">
        <v>0</v>
      </c>
      <c r="L7329" t="n">
        <v>0</v>
      </c>
      <c r="M7329" t="n">
        <v>0</v>
      </c>
      <c r="N7329" t="n">
        <v>0</v>
      </c>
      <c r="O7329" t="n">
        <v>0</v>
      </c>
      <c r="P7329" t="n">
        <v>0</v>
      </c>
      <c r="Q7329" t="n">
        <v>0</v>
      </c>
      <c r="R7329" s="2" t="inlineStr"/>
    </row>
    <row r="7330" ht="15" customHeight="1">
      <c r="A7330" t="inlineStr">
        <is>
          <t>A 20062-2023</t>
        </is>
      </c>
      <c r="B7330" s="1" t="n">
        <v>45054</v>
      </c>
      <c r="C7330" s="1" t="n">
        <v>45344</v>
      </c>
      <c r="D7330" t="inlineStr">
        <is>
          <t>GÄVLEBORGS LÄN</t>
        </is>
      </c>
      <c r="E7330" t="inlineStr">
        <is>
          <t>SANDVIKEN</t>
        </is>
      </c>
      <c r="F7330" t="inlineStr">
        <is>
          <t>Sveaskog</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20082-2023</t>
        </is>
      </c>
      <c r="B7331" s="1" t="n">
        <v>45055</v>
      </c>
      <c r="C7331" s="1" t="n">
        <v>45344</v>
      </c>
      <c r="D7331" t="inlineStr">
        <is>
          <t>GÄVLEBORGS LÄN</t>
        </is>
      </c>
      <c r="E7331" t="inlineStr">
        <is>
          <t>SÖDERHAMN</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20085-2023</t>
        </is>
      </c>
      <c r="B7332" s="1" t="n">
        <v>45055</v>
      </c>
      <c r="C7332" s="1" t="n">
        <v>45344</v>
      </c>
      <c r="D7332" t="inlineStr">
        <is>
          <t>GÄVLEBORGS LÄN</t>
        </is>
      </c>
      <c r="E7332" t="inlineStr">
        <is>
          <t>SÖDERHAMN</t>
        </is>
      </c>
      <c r="G7332" t="n">
        <v>2.4</v>
      </c>
      <c r="H7332" t="n">
        <v>0</v>
      </c>
      <c r="I7332" t="n">
        <v>0</v>
      </c>
      <c r="J7332" t="n">
        <v>0</v>
      </c>
      <c r="K7332" t="n">
        <v>0</v>
      </c>
      <c r="L7332" t="n">
        <v>0</v>
      </c>
      <c r="M7332" t="n">
        <v>0</v>
      </c>
      <c r="N7332" t="n">
        <v>0</v>
      </c>
      <c r="O7332" t="n">
        <v>0</v>
      </c>
      <c r="P7332" t="n">
        <v>0</v>
      </c>
      <c r="Q7332" t="n">
        <v>0</v>
      </c>
      <c r="R7332" s="2" t="inlineStr"/>
    </row>
    <row r="7333" ht="15" customHeight="1">
      <c r="A7333" t="inlineStr">
        <is>
          <t>A 19876-2023</t>
        </is>
      </c>
      <c r="B7333" s="1" t="n">
        <v>45054</v>
      </c>
      <c r="C7333" s="1" t="n">
        <v>45344</v>
      </c>
      <c r="D7333" t="inlineStr">
        <is>
          <t>GÄVLEBORGS LÄN</t>
        </is>
      </c>
      <c r="E7333" t="inlineStr">
        <is>
          <t>GÄVLE</t>
        </is>
      </c>
      <c r="F7333" t="inlineStr">
        <is>
          <t>Bergvik skog väst AB</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19922-2023</t>
        </is>
      </c>
      <c r="B7334" s="1" t="n">
        <v>45054</v>
      </c>
      <c r="C7334" s="1" t="n">
        <v>45344</v>
      </c>
      <c r="D7334" t="inlineStr">
        <is>
          <t>GÄVLEBORGS LÄN</t>
        </is>
      </c>
      <c r="E7334" t="inlineStr">
        <is>
          <t>HUDIKSVALL</t>
        </is>
      </c>
      <c r="G7334" t="n">
        <v>10.5</v>
      </c>
      <c r="H7334" t="n">
        <v>0</v>
      </c>
      <c r="I7334" t="n">
        <v>0</v>
      </c>
      <c r="J7334" t="n">
        <v>0</v>
      </c>
      <c r="K7334" t="n">
        <v>0</v>
      </c>
      <c r="L7334" t="n">
        <v>0</v>
      </c>
      <c r="M7334" t="n">
        <v>0</v>
      </c>
      <c r="N7334" t="n">
        <v>0</v>
      </c>
      <c r="O7334" t="n">
        <v>0</v>
      </c>
      <c r="P7334" t="n">
        <v>0</v>
      </c>
      <c r="Q7334" t="n">
        <v>0</v>
      </c>
      <c r="R7334" s="2" t="inlineStr"/>
    </row>
    <row r="7335" ht="15" customHeight="1">
      <c r="A7335" t="inlineStr">
        <is>
          <t>A 20065-2023</t>
        </is>
      </c>
      <c r="B7335" s="1" t="n">
        <v>45054</v>
      </c>
      <c r="C7335" s="1" t="n">
        <v>45344</v>
      </c>
      <c r="D7335" t="inlineStr">
        <is>
          <t>GÄVLEBORGS LÄN</t>
        </is>
      </c>
      <c r="E7335" t="inlineStr">
        <is>
          <t>SANDVIKEN</t>
        </is>
      </c>
      <c r="F7335" t="inlineStr">
        <is>
          <t>Sveaskog</t>
        </is>
      </c>
      <c r="G7335" t="n">
        <v>2</v>
      </c>
      <c r="H7335" t="n">
        <v>0</v>
      </c>
      <c r="I7335" t="n">
        <v>0</v>
      </c>
      <c r="J7335" t="n">
        <v>0</v>
      </c>
      <c r="K7335" t="n">
        <v>0</v>
      </c>
      <c r="L7335" t="n">
        <v>0</v>
      </c>
      <c r="M7335" t="n">
        <v>0</v>
      </c>
      <c r="N7335" t="n">
        <v>0</v>
      </c>
      <c r="O7335" t="n">
        <v>0</v>
      </c>
      <c r="P7335" t="n">
        <v>0</v>
      </c>
      <c r="Q7335" t="n">
        <v>0</v>
      </c>
      <c r="R7335" s="2" t="inlineStr"/>
    </row>
    <row r="7336" ht="15" customHeight="1">
      <c r="A7336" t="inlineStr">
        <is>
          <t>A 20219-2023</t>
        </is>
      </c>
      <c r="B7336" s="1" t="n">
        <v>45055</v>
      </c>
      <c r="C7336" s="1" t="n">
        <v>45344</v>
      </c>
      <c r="D7336" t="inlineStr">
        <is>
          <t>GÄVLEBORGS LÄN</t>
        </is>
      </c>
      <c r="E7336" t="inlineStr">
        <is>
          <t>LJUSDAL</t>
        </is>
      </c>
      <c r="F7336" t="inlineStr">
        <is>
          <t>Bergvik skog väst AB</t>
        </is>
      </c>
      <c r="G7336" t="n">
        <v>8.800000000000001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20137-2023</t>
        </is>
      </c>
      <c r="B7337" s="1" t="n">
        <v>45055</v>
      </c>
      <c r="C7337" s="1" t="n">
        <v>45344</v>
      </c>
      <c r="D7337" t="inlineStr">
        <is>
          <t>GÄVLEBORGS LÄN</t>
        </is>
      </c>
      <c r="E7337" t="inlineStr">
        <is>
          <t>NORDANSTIG</t>
        </is>
      </c>
      <c r="G7337" t="n">
        <v>3.4</v>
      </c>
      <c r="H7337" t="n">
        <v>0</v>
      </c>
      <c r="I7337" t="n">
        <v>0</v>
      </c>
      <c r="J7337" t="n">
        <v>0</v>
      </c>
      <c r="K7337" t="n">
        <v>0</v>
      </c>
      <c r="L7337" t="n">
        <v>0</v>
      </c>
      <c r="M7337" t="n">
        <v>0</v>
      </c>
      <c r="N7337" t="n">
        <v>0</v>
      </c>
      <c r="O7337" t="n">
        <v>0</v>
      </c>
      <c r="P7337" t="n">
        <v>0</v>
      </c>
      <c r="Q7337" t="n">
        <v>0</v>
      </c>
      <c r="R7337" s="2" t="inlineStr"/>
    </row>
    <row r="7338" ht="15" customHeight="1">
      <c r="A7338" t="inlineStr">
        <is>
          <t>A 20208-2023</t>
        </is>
      </c>
      <c r="B7338" s="1" t="n">
        <v>45055</v>
      </c>
      <c r="C7338" s="1" t="n">
        <v>45344</v>
      </c>
      <c r="D7338" t="inlineStr">
        <is>
          <t>GÄVLEBORGS LÄN</t>
        </is>
      </c>
      <c r="E7338" t="inlineStr">
        <is>
          <t>HUDIKSVALL</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20171-2023</t>
        </is>
      </c>
      <c r="B7339" s="1" t="n">
        <v>45055</v>
      </c>
      <c r="C7339" s="1" t="n">
        <v>45344</v>
      </c>
      <c r="D7339" t="inlineStr">
        <is>
          <t>GÄVLEBORGS LÄN</t>
        </is>
      </c>
      <c r="E7339" t="inlineStr">
        <is>
          <t>LJUSDAL</t>
        </is>
      </c>
      <c r="F7339" t="inlineStr">
        <is>
          <t>Sveaskog</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20200-2023</t>
        </is>
      </c>
      <c r="B7340" s="1" t="n">
        <v>45055</v>
      </c>
      <c r="C7340" s="1" t="n">
        <v>45344</v>
      </c>
      <c r="D7340" t="inlineStr">
        <is>
          <t>GÄVLEBORGS LÄN</t>
        </is>
      </c>
      <c r="E7340" t="inlineStr">
        <is>
          <t>HUDIKSVALL</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20204-2023</t>
        </is>
      </c>
      <c r="B7341" s="1" t="n">
        <v>45055</v>
      </c>
      <c r="C7341" s="1" t="n">
        <v>45344</v>
      </c>
      <c r="D7341" t="inlineStr">
        <is>
          <t>GÄVLEBORGS LÄN</t>
        </is>
      </c>
      <c r="E7341" t="inlineStr">
        <is>
          <t>LJUSDAL</t>
        </is>
      </c>
      <c r="F7341" t="inlineStr">
        <is>
          <t>Allmännings- och besparingsskogar</t>
        </is>
      </c>
      <c r="G7341" t="n">
        <v>18.5</v>
      </c>
      <c r="H7341" t="n">
        <v>0</v>
      </c>
      <c r="I7341" t="n">
        <v>0</v>
      </c>
      <c r="J7341" t="n">
        <v>0</v>
      </c>
      <c r="K7341" t="n">
        <v>0</v>
      </c>
      <c r="L7341" t="n">
        <v>0</v>
      </c>
      <c r="M7341" t="n">
        <v>0</v>
      </c>
      <c r="N7341" t="n">
        <v>0</v>
      </c>
      <c r="O7341" t="n">
        <v>0</v>
      </c>
      <c r="P7341" t="n">
        <v>0</v>
      </c>
      <c r="Q7341" t="n">
        <v>0</v>
      </c>
      <c r="R7341" s="2" t="inlineStr"/>
    </row>
    <row r="7342" ht="15" customHeight="1">
      <c r="A7342" t="inlineStr">
        <is>
          <t>A 20235-2023</t>
        </is>
      </c>
      <c r="B7342" s="1" t="n">
        <v>45055</v>
      </c>
      <c r="C7342" s="1" t="n">
        <v>45344</v>
      </c>
      <c r="D7342" t="inlineStr">
        <is>
          <t>GÄVLEBORGS LÄN</t>
        </is>
      </c>
      <c r="E7342" t="inlineStr">
        <is>
          <t>HUDIKSVALL</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20257-2023</t>
        </is>
      </c>
      <c r="B7343" s="1" t="n">
        <v>45055</v>
      </c>
      <c r="C7343" s="1" t="n">
        <v>45344</v>
      </c>
      <c r="D7343" t="inlineStr">
        <is>
          <t>GÄVLEBORGS LÄN</t>
        </is>
      </c>
      <c r="E7343" t="inlineStr">
        <is>
          <t>HUDIKSVALL</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20315-2023</t>
        </is>
      </c>
      <c r="B7344" s="1" t="n">
        <v>45056</v>
      </c>
      <c r="C7344" s="1" t="n">
        <v>45344</v>
      </c>
      <c r="D7344" t="inlineStr">
        <is>
          <t>GÄVLEBORGS LÄN</t>
        </is>
      </c>
      <c r="E7344" t="inlineStr">
        <is>
          <t>SANDVIKEN</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20361-2023</t>
        </is>
      </c>
      <c r="B7345" s="1" t="n">
        <v>45056</v>
      </c>
      <c r="C7345" s="1" t="n">
        <v>45344</v>
      </c>
      <c r="D7345" t="inlineStr">
        <is>
          <t>GÄVLEBORGS LÄN</t>
        </is>
      </c>
      <c r="E7345" t="inlineStr">
        <is>
          <t>GÄVLE</t>
        </is>
      </c>
      <c r="F7345" t="inlineStr">
        <is>
          <t>Bergvik skog öst AB</t>
        </is>
      </c>
      <c r="G7345" t="n">
        <v>21.2</v>
      </c>
      <c r="H7345" t="n">
        <v>0</v>
      </c>
      <c r="I7345" t="n">
        <v>0</v>
      </c>
      <c r="J7345" t="n">
        <v>0</v>
      </c>
      <c r="K7345" t="n">
        <v>0</v>
      </c>
      <c r="L7345" t="n">
        <v>0</v>
      </c>
      <c r="M7345" t="n">
        <v>0</v>
      </c>
      <c r="N7345" t="n">
        <v>0</v>
      </c>
      <c r="O7345" t="n">
        <v>0</v>
      </c>
      <c r="P7345" t="n">
        <v>0</v>
      </c>
      <c r="Q7345" t="n">
        <v>0</v>
      </c>
      <c r="R7345" s="2" t="inlineStr"/>
    </row>
    <row r="7346" ht="15" customHeight="1">
      <c r="A7346" t="inlineStr">
        <is>
          <t>A 20433-2023</t>
        </is>
      </c>
      <c r="B7346" s="1" t="n">
        <v>45056</v>
      </c>
      <c r="C7346" s="1" t="n">
        <v>45344</v>
      </c>
      <c r="D7346" t="inlineStr">
        <is>
          <t>GÄVLEBORGS LÄN</t>
        </is>
      </c>
      <c r="E7346" t="inlineStr">
        <is>
          <t>NORDANSTIG</t>
        </is>
      </c>
      <c r="G7346" t="n">
        <v>3.8</v>
      </c>
      <c r="H7346" t="n">
        <v>0</v>
      </c>
      <c r="I7346" t="n">
        <v>0</v>
      </c>
      <c r="J7346" t="n">
        <v>0</v>
      </c>
      <c r="K7346" t="n">
        <v>0</v>
      </c>
      <c r="L7346" t="n">
        <v>0</v>
      </c>
      <c r="M7346" t="n">
        <v>0</v>
      </c>
      <c r="N7346" t="n">
        <v>0</v>
      </c>
      <c r="O7346" t="n">
        <v>0</v>
      </c>
      <c r="P7346" t="n">
        <v>0</v>
      </c>
      <c r="Q7346" t="n">
        <v>0</v>
      </c>
      <c r="R7346" s="2" t="inlineStr"/>
    </row>
    <row r="7347" ht="15" customHeight="1">
      <c r="A7347" t="inlineStr">
        <is>
          <t>A 20388-2023</t>
        </is>
      </c>
      <c r="B7347" s="1" t="n">
        <v>45056</v>
      </c>
      <c r="C7347" s="1" t="n">
        <v>45344</v>
      </c>
      <c r="D7347" t="inlineStr">
        <is>
          <t>GÄVLEBORGS LÄN</t>
        </is>
      </c>
      <c r="E7347" t="inlineStr">
        <is>
          <t>OCKELBO</t>
        </is>
      </c>
      <c r="G7347" t="n">
        <v>6.3</v>
      </c>
      <c r="H7347" t="n">
        <v>0</v>
      </c>
      <c r="I7347" t="n">
        <v>0</v>
      </c>
      <c r="J7347" t="n">
        <v>0</v>
      </c>
      <c r="K7347" t="n">
        <v>0</v>
      </c>
      <c r="L7347" t="n">
        <v>0</v>
      </c>
      <c r="M7347" t="n">
        <v>0</v>
      </c>
      <c r="N7347" t="n">
        <v>0</v>
      </c>
      <c r="O7347" t="n">
        <v>0</v>
      </c>
      <c r="P7347" t="n">
        <v>0</v>
      </c>
      <c r="Q7347" t="n">
        <v>0</v>
      </c>
      <c r="R7347" s="2" t="inlineStr"/>
    </row>
    <row r="7348" ht="15" customHeight="1">
      <c r="A7348" t="inlineStr">
        <is>
          <t>A 20286-2023</t>
        </is>
      </c>
      <c r="B7348" s="1" t="n">
        <v>45056</v>
      </c>
      <c r="C7348" s="1" t="n">
        <v>45344</v>
      </c>
      <c r="D7348" t="inlineStr">
        <is>
          <t>GÄVLEBORGS LÄN</t>
        </is>
      </c>
      <c r="E7348" t="inlineStr">
        <is>
          <t>SÖDERHAMN</t>
        </is>
      </c>
      <c r="F7348" t="inlineStr">
        <is>
          <t>Bergvik skog väst AB</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20313-2023</t>
        </is>
      </c>
      <c r="B7349" s="1" t="n">
        <v>45056</v>
      </c>
      <c r="C7349" s="1" t="n">
        <v>45344</v>
      </c>
      <c r="D7349" t="inlineStr">
        <is>
          <t>GÄVLEBORGS LÄN</t>
        </is>
      </c>
      <c r="E7349" t="inlineStr">
        <is>
          <t>HUDIKSVALL</t>
        </is>
      </c>
      <c r="F7349" t="inlineStr">
        <is>
          <t>Kommuner</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20331-2023</t>
        </is>
      </c>
      <c r="B7350" s="1" t="n">
        <v>45056</v>
      </c>
      <c r="C7350" s="1" t="n">
        <v>45344</v>
      </c>
      <c r="D7350" t="inlineStr">
        <is>
          <t>GÄVLEBORGS LÄN</t>
        </is>
      </c>
      <c r="E7350" t="inlineStr">
        <is>
          <t>OVANÅKER</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20390-2023</t>
        </is>
      </c>
      <c r="B7351" s="1" t="n">
        <v>45056</v>
      </c>
      <c r="C7351" s="1" t="n">
        <v>45344</v>
      </c>
      <c r="D7351" t="inlineStr">
        <is>
          <t>GÄVLEBORGS LÄN</t>
        </is>
      </c>
      <c r="E7351" t="inlineStr">
        <is>
          <t>OCKELBO</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20407-2023</t>
        </is>
      </c>
      <c r="B7352" s="1" t="n">
        <v>45056</v>
      </c>
      <c r="C7352" s="1" t="n">
        <v>45344</v>
      </c>
      <c r="D7352" t="inlineStr">
        <is>
          <t>GÄVLEBORGS LÄN</t>
        </is>
      </c>
      <c r="E7352" t="inlineStr">
        <is>
          <t>OCKELBO</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20287-2023</t>
        </is>
      </c>
      <c r="B7353" s="1" t="n">
        <v>45056</v>
      </c>
      <c r="C7353" s="1" t="n">
        <v>45344</v>
      </c>
      <c r="D7353" t="inlineStr">
        <is>
          <t>GÄVLEBORGS LÄN</t>
        </is>
      </c>
      <c r="E7353" t="inlineStr">
        <is>
          <t>HUDIKSVALL</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20408-2023</t>
        </is>
      </c>
      <c r="B7354" s="1" t="n">
        <v>45056</v>
      </c>
      <c r="C7354" s="1" t="n">
        <v>45344</v>
      </c>
      <c r="D7354" t="inlineStr">
        <is>
          <t>GÄVLEBORGS LÄN</t>
        </is>
      </c>
      <c r="E7354" t="inlineStr">
        <is>
          <t>LJUSDAL</t>
        </is>
      </c>
      <c r="F7354" t="inlineStr">
        <is>
          <t>Sveaskog</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20412-2023</t>
        </is>
      </c>
      <c r="B7355" s="1" t="n">
        <v>45056</v>
      </c>
      <c r="C7355" s="1" t="n">
        <v>45344</v>
      </c>
      <c r="D7355" t="inlineStr">
        <is>
          <t>GÄVLEBORGS LÄN</t>
        </is>
      </c>
      <c r="E7355" t="inlineStr">
        <is>
          <t>LJUSDAL</t>
        </is>
      </c>
      <c r="F7355" t="inlineStr">
        <is>
          <t>Bergvik skog väst AB</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20441-2023</t>
        </is>
      </c>
      <c r="B7356" s="1" t="n">
        <v>45056</v>
      </c>
      <c r="C7356" s="1" t="n">
        <v>45344</v>
      </c>
      <c r="D7356" t="inlineStr">
        <is>
          <t>GÄVLEBORGS LÄN</t>
        </is>
      </c>
      <c r="E7356" t="inlineStr">
        <is>
          <t>NORDANSTIG</t>
        </is>
      </c>
      <c r="F7356" t="inlineStr">
        <is>
          <t>Holmen skog AB</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20557-2023</t>
        </is>
      </c>
      <c r="B7357" s="1" t="n">
        <v>45057</v>
      </c>
      <c r="C7357" s="1" t="n">
        <v>45344</v>
      </c>
      <c r="D7357" t="inlineStr">
        <is>
          <t>GÄVLEBORGS LÄN</t>
        </is>
      </c>
      <c r="E7357" t="inlineStr">
        <is>
          <t>BOLLNÄS</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20560-2023</t>
        </is>
      </c>
      <c r="B7358" s="1" t="n">
        <v>45057</v>
      </c>
      <c r="C7358" s="1" t="n">
        <v>45344</v>
      </c>
      <c r="D7358" t="inlineStr">
        <is>
          <t>GÄVLEBORGS LÄN</t>
        </is>
      </c>
      <c r="E7358" t="inlineStr">
        <is>
          <t>BOLLNÄS</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20589-2023</t>
        </is>
      </c>
      <c r="B7359" s="1" t="n">
        <v>45057</v>
      </c>
      <c r="C7359" s="1" t="n">
        <v>45344</v>
      </c>
      <c r="D7359" t="inlineStr">
        <is>
          <t>GÄVLEBORGS LÄN</t>
        </is>
      </c>
      <c r="E7359" t="inlineStr">
        <is>
          <t>HUDIKSVALL</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20682-2023</t>
        </is>
      </c>
      <c r="B7360" s="1" t="n">
        <v>45058</v>
      </c>
      <c r="C7360" s="1" t="n">
        <v>45344</v>
      </c>
      <c r="D7360" t="inlineStr">
        <is>
          <t>GÄVLEBORGS LÄN</t>
        </is>
      </c>
      <c r="E7360" t="inlineStr">
        <is>
          <t>GÄVLE</t>
        </is>
      </c>
      <c r="G7360" t="n">
        <v>5.1</v>
      </c>
      <c r="H7360" t="n">
        <v>0</v>
      </c>
      <c r="I7360" t="n">
        <v>0</v>
      </c>
      <c r="J7360" t="n">
        <v>0</v>
      </c>
      <c r="K7360" t="n">
        <v>0</v>
      </c>
      <c r="L7360" t="n">
        <v>0</v>
      </c>
      <c r="M7360" t="n">
        <v>0</v>
      </c>
      <c r="N7360" t="n">
        <v>0</v>
      </c>
      <c r="O7360" t="n">
        <v>0</v>
      </c>
      <c r="P7360" t="n">
        <v>0</v>
      </c>
      <c r="Q7360" t="n">
        <v>0</v>
      </c>
      <c r="R7360" s="2" t="inlineStr"/>
    </row>
    <row r="7361" ht="15" customHeight="1">
      <c r="A7361" t="inlineStr">
        <is>
          <t>A 20711-2023</t>
        </is>
      </c>
      <c r="B7361" s="1" t="n">
        <v>45058</v>
      </c>
      <c r="C7361" s="1" t="n">
        <v>45344</v>
      </c>
      <c r="D7361" t="inlineStr">
        <is>
          <t>GÄVLEBORGS LÄN</t>
        </is>
      </c>
      <c r="E7361" t="inlineStr">
        <is>
          <t>HUDIKSVALL</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20655-2023</t>
        </is>
      </c>
      <c r="B7362" s="1" t="n">
        <v>45058</v>
      </c>
      <c r="C7362" s="1" t="n">
        <v>45344</v>
      </c>
      <c r="D7362" t="inlineStr">
        <is>
          <t>GÄVLEBORGS LÄN</t>
        </is>
      </c>
      <c r="E7362" t="inlineStr">
        <is>
          <t>LJUSDAL</t>
        </is>
      </c>
      <c r="G7362" t="n">
        <v>6.4</v>
      </c>
      <c r="H7362" t="n">
        <v>0</v>
      </c>
      <c r="I7362" t="n">
        <v>0</v>
      </c>
      <c r="J7362" t="n">
        <v>0</v>
      </c>
      <c r="K7362" t="n">
        <v>0</v>
      </c>
      <c r="L7362" t="n">
        <v>0</v>
      </c>
      <c r="M7362" t="n">
        <v>0</v>
      </c>
      <c r="N7362" t="n">
        <v>0</v>
      </c>
      <c r="O7362" t="n">
        <v>0</v>
      </c>
      <c r="P7362" t="n">
        <v>0</v>
      </c>
      <c r="Q7362" t="n">
        <v>0</v>
      </c>
      <c r="R7362" s="2" t="inlineStr"/>
    </row>
    <row r="7363" ht="15" customHeight="1">
      <c r="A7363" t="inlineStr">
        <is>
          <t>A 20814-2023</t>
        </is>
      </c>
      <c r="B7363" s="1" t="n">
        <v>45058</v>
      </c>
      <c r="C7363" s="1" t="n">
        <v>45344</v>
      </c>
      <c r="D7363" t="inlineStr">
        <is>
          <t>GÄVLEBORGS LÄN</t>
        </is>
      </c>
      <c r="E7363" t="inlineStr">
        <is>
          <t>OCKELBO</t>
        </is>
      </c>
      <c r="F7363" t="inlineStr">
        <is>
          <t>Bergvik skog väst AB</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20747-2023</t>
        </is>
      </c>
      <c r="B7364" s="1" t="n">
        <v>45058</v>
      </c>
      <c r="C7364" s="1" t="n">
        <v>45344</v>
      </c>
      <c r="D7364" t="inlineStr">
        <is>
          <t>GÄVLEBORGS LÄN</t>
        </is>
      </c>
      <c r="E7364" t="inlineStr">
        <is>
          <t>NORDANSTIG</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20778-2023</t>
        </is>
      </c>
      <c r="B7365" s="1" t="n">
        <v>45058</v>
      </c>
      <c r="C7365" s="1" t="n">
        <v>45344</v>
      </c>
      <c r="D7365" t="inlineStr">
        <is>
          <t>GÄVLEBORGS LÄN</t>
        </is>
      </c>
      <c r="E7365" t="inlineStr">
        <is>
          <t>BOLLNÄS</t>
        </is>
      </c>
      <c r="F7365" t="inlineStr">
        <is>
          <t>Sveaskog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21318-2023</t>
        </is>
      </c>
      <c r="B7366" s="1" t="n">
        <v>45058</v>
      </c>
      <c r="C7366" s="1" t="n">
        <v>45344</v>
      </c>
      <c r="D7366" t="inlineStr">
        <is>
          <t>GÄVLEBORGS LÄN</t>
        </is>
      </c>
      <c r="E7366" t="inlineStr">
        <is>
          <t>SANDVIKEN</t>
        </is>
      </c>
      <c r="F7366" t="inlineStr">
        <is>
          <t>Bergvik skog väst AB</t>
        </is>
      </c>
      <c r="G7366" t="n">
        <v>3.1</v>
      </c>
      <c r="H7366" t="n">
        <v>0</v>
      </c>
      <c r="I7366" t="n">
        <v>0</v>
      </c>
      <c r="J7366" t="n">
        <v>0</v>
      </c>
      <c r="K7366" t="n">
        <v>0</v>
      </c>
      <c r="L7366" t="n">
        <v>0</v>
      </c>
      <c r="M7366" t="n">
        <v>0</v>
      </c>
      <c r="N7366" t="n">
        <v>0</v>
      </c>
      <c r="O7366" t="n">
        <v>0</v>
      </c>
      <c r="P7366" t="n">
        <v>0</v>
      </c>
      <c r="Q7366" t="n">
        <v>0</v>
      </c>
      <c r="R7366" s="2" t="inlineStr"/>
    </row>
    <row r="7367" ht="15" customHeight="1">
      <c r="A7367" t="inlineStr">
        <is>
          <t>A 21376-2023</t>
        </is>
      </c>
      <c r="B7367" s="1" t="n">
        <v>45058</v>
      </c>
      <c r="C7367" s="1" t="n">
        <v>45344</v>
      </c>
      <c r="D7367" t="inlineStr">
        <is>
          <t>GÄVLEBORGS LÄN</t>
        </is>
      </c>
      <c r="E7367" t="inlineStr">
        <is>
          <t>SANDVIKEN</t>
        </is>
      </c>
      <c r="F7367" t="inlineStr">
        <is>
          <t>Bergvik skog väst AB</t>
        </is>
      </c>
      <c r="G7367" t="n">
        <v>36.1</v>
      </c>
      <c r="H7367" t="n">
        <v>0</v>
      </c>
      <c r="I7367" t="n">
        <v>0</v>
      </c>
      <c r="J7367" t="n">
        <v>0</v>
      </c>
      <c r="K7367" t="n">
        <v>0</v>
      </c>
      <c r="L7367" t="n">
        <v>0</v>
      </c>
      <c r="M7367" t="n">
        <v>0</v>
      </c>
      <c r="N7367" t="n">
        <v>0</v>
      </c>
      <c r="O7367" t="n">
        <v>0</v>
      </c>
      <c r="P7367" t="n">
        <v>0</v>
      </c>
      <c r="Q7367" t="n">
        <v>0</v>
      </c>
      <c r="R7367" s="2" t="inlineStr"/>
    </row>
    <row r="7368" ht="15" customHeight="1">
      <c r="A7368" t="inlineStr">
        <is>
          <t>A 20909-2023</t>
        </is>
      </c>
      <c r="B7368" s="1" t="n">
        <v>45060</v>
      </c>
      <c r="C7368" s="1" t="n">
        <v>45344</v>
      </c>
      <c r="D7368" t="inlineStr">
        <is>
          <t>GÄVLEBORGS LÄN</t>
        </is>
      </c>
      <c r="E7368" t="inlineStr">
        <is>
          <t>LJUSDAL</t>
        </is>
      </c>
      <c r="G7368" t="n">
        <v>5.3</v>
      </c>
      <c r="H7368" t="n">
        <v>0</v>
      </c>
      <c r="I7368" t="n">
        <v>0</v>
      </c>
      <c r="J7368" t="n">
        <v>0</v>
      </c>
      <c r="K7368" t="n">
        <v>0</v>
      </c>
      <c r="L7368" t="n">
        <v>0</v>
      </c>
      <c r="M7368" t="n">
        <v>0</v>
      </c>
      <c r="N7368" t="n">
        <v>0</v>
      </c>
      <c r="O7368" t="n">
        <v>0</v>
      </c>
      <c r="P7368" t="n">
        <v>0</v>
      </c>
      <c r="Q7368" t="n">
        <v>0</v>
      </c>
      <c r="R7368" s="2" t="inlineStr"/>
    </row>
    <row r="7369" ht="15" customHeight="1">
      <c r="A7369" t="inlineStr">
        <is>
          <t>A 20955-2023</t>
        </is>
      </c>
      <c r="B7369" s="1" t="n">
        <v>45061</v>
      </c>
      <c r="C7369" s="1" t="n">
        <v>45344</v>
      </c>
      <c r="D7369" t="inlineStr">
        <is>
          <t>GÄVLEBORGS LÄN</t>
        </is>
      </c>
      <c r="E7369" t="inlineStr">
        <is>
          <t>NORDANSTIG</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20969-2023</t>
        </is>
      </c>
      <c r="B7370" s="1" t="n">
        <v>45061</v>
      </c>
      <c r="C7370" s="1" t="n">
        <v>45344</v>
      </c>
      <c r="D7370" t="inlineStr">
        <is>
          <t>GÄVLEBORGS LÄN</t>
        </is>
      </c>
      <c r="E7370" t="inlineStr">
        <is>
          <t>SANDVIKEN</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20988-2023</t>
        </is>
      </c>
      <c r="B7371" s="1" t="n">
        <v>45061</v>
      </c>
      <c r="C7371" s="1" t="n">
        <v>45344</v>
      </c>
      <c r="D7371" t="inlineStr">
        <is>
          <t>GÄVLEBORGS LÄN</t>
        </is>
      </c>
      <c r="E7371" t="inlineStr">
        <is>
          <t>LJUSDAL</t>
        </is>
      </c>
      <c r="F7371" t="inlineStr">
        <is>
          <t>Bergvik skog väst AB</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20912-2023</t>
        </is>
      </c>
      <c r="B7372" s="1" t="n">
        <v>45061</v>
      </c>
      <c r="C7372" s="1" t="n">
        <v>45344</v>
      </c>
      <c r="D7372" t="inlineStr">
        <is>
          <t>GÄVLEBORGS LÄN</t>
        </is>
      </c>
      <c r="E7372" t="inlineStr">
        <is>
          <t>LJUSDAL</t>
        </is>
      </c>
      <c r="F7372" t="inlineStr">
        <is>
          <t>Bergvik skog väst AB</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21040-2023</t>
        </is>
      </c>
      <c r="B7373" s="1" t="n">
        <v>45061</v>
      </c>
      <c r="C7373" s="1" t="n">
        <v>45344</v>
      </c>
      <c r="D7373" t="inlineStr">
        <is>
          <t>GÄVLEBORGS LÄN</t>
        </is>
      </c>
      <c r="E7373" t="inlineStr">
        <is>
          <t>HUDIKSVALL</t>
        </is>
      </c>
      <c r="G7373" t="n">
        <v>1.4</v>
      </c>
      <c r="H7373" t="n">
        <v>0</v>
      </c>
      <c r="I7373" t="n">
        <v>0</v>
      </c>
      <c r="J7373" t="n">
        <v>0</v>
      </c>
      <c r="K7373" t="n">
        <v>0</v>
      </c>
      <c r="L7373" t="n">
        <v>0</v>
      </c>
      <c r="M7373" t="n">
        <v>0</v>
      </c>
      <c r="N7373" t="n">
        <v>0</v>
      </c>
      <c r="O7373" t="n">
        <v>0</v>
      </c>
      <c r="P7373" t="n">
        <v>0</v>
      </c>
      <c r="Q7373" t="n">
        <v>0</v>
      </c>
      <c r="R7373" s="2" t="inlineStr"/>
    </row>
    <row r="7374" ht="15" customHeight="1">
      <c r="A7374" t="inlineStr">
        <is>
          <t>A 21061-2023</t>
        </is>
      </c>
      <c r="B7374" s="1" t="n">
        <v>45061</v>
      </c>
      <c r="C7374" s="1" t="n">
        <v>45344</v>
      </c>
      <c r="D7374" t="inlineStr">
        <is>
          <t>GÄVLEBORGS LÄN</t>
        </is>
      </c>
      <c r="E7374" t="inlineStr">
        <is>
          <t>BOLLNÄS</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20963-2023</t>
        </is>
      </c>
      <c r="B7375" s="1" t="n">
        <v>45061</v>
      </c>
      <c r="C7375" s="1" t="n">
        <v>45344</v>
      </c>
      <c r="D7375" t="inlineStr">
        <is>
          <t>GÄVLEBORGS LÄN</t>
        </is>
      </c>
      <c r="E7375" t="inlineStr">
        <is>
          <t>HUDIKSVALL</t>
        </is>
      </c>
      <c r="G7375" t="n">
        <v>1.9</v>
      </c>
      <c r="H7375" t="n">
        <v>0</v>
      </c>
      <c r="I7375" t="n">
        <v>0</v>
      </c>
      <c r="J7375" t="n">
        <v>0</v>
      </c>
      <c r="K7375" t="n">
        <v>0</v>
      </c>
      <c r="L7375" t="n">
        <v>0</v>
      </c>
      <c r="M7375" t="n">
        <v>0</v>
      </c>
      <c r="N7375" t="n">
        <v>0</v>
      </c>
      <c r="O7375" t="n">
        <v>0</v>
      </c>
      <c r="P7375" t="n">
        <v>0</v>
      </c>
      <c r="Q7375" t="n">
        <v>0</v>
      </c>
      <c r="R7375" s="2" t="inlineStr"/>
    </row>
    <row r="7376" ht="15" customHeight="1">
      <c r="A7376" t="inlineStr">
        <is>
          <t>A 20914-2023</t>
        </is>
      </c>
      <c r="B7376" s="1" t="n">
        <v>45061</v>
      </c>
      <c r="C7376" s="1" t="n">
        <v>45344</v>
      </c>
      <c r="D7376" t="inlineStr">
        <is>
          <t>GÄVLEBORGS LÄN</t>
        </is>
      </c>
      <c r="E7376" t="inlineStr">
        <is>
          <t>LJUSDAL</t>
        </is>
      </c>
      <c r="F7376" t="inlineStr">
        <is>
          <t>Allmännings- och besparingsskogar</t>
        </is>
      </c>
      <c r="G7376" t="n">
        <v>35.5</v>
      </c>
      <c r="H7376" t="n">
        <v>0</v>
      </c>
      <c r="I7376" t="n">
        <v>0</v>
      </c>
      <c r="J7376" t="n">
        <v>0</v>
      </c>
      <c r="K7376" t="n">
        <v>0</v>
      </c>
      <c r="L7376" t="n">
        <v>0</v>
      </c>
      <c r="M7376" t="n">
        <v>0</v>
      </c>
      <c r="N7376" t="n">
        <v>0</v>
      </c>
      <c r="O7376" t="n">
        <v>0</v>
      </c>
      <c r="P7376" t="n">
        <v>0</v>
      </c>
      <c r="Q7376" t="n">
        <v>0</v>
      </c>
      <c r="R7376" s="2" t="inlineStr"/>
    </row>
    <row r="7377" ht="15" customHeight="1">
      <c r="A7377" t="inlineStr">
        <is>
          <t>A 20910-2023</t>
        </is>
      </c>
      <c r="B7377" s="1" t="n">
        <v>45061</v>
      </c>
      <c r="C7377" s="1" t="n">
        <v>45344</v>
      </c>
      <c r="D7377" t="inlineStr">
        <is>
          <t>GÄVLEBORGS LÄN</t>
        </is>
      </c>
      <c r="E7377" t="inlineStr">
        <is>
          <t>LJUSDAL</t>
        </is>
      </c>
      <c r="F7377" t="inlineStr">
        <is>
          <t>Bergvik skog väst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21153-2023</t>
        </is>
      </c>
      <c r="B7378" s="1" t="n">
        <v>45062</v>
      </c>
      <c r="C7378" s="1" t="n">
        <v>45344</v>
      </c>
      <c r="D7378" t="inlineStr">
        <is>
          <t>GÄVLEBORGS LÄN</t>
        </is>
      </c>
      <c r="E7378" t="inlineStr">
        <is>
          <t>NORDANSTIG</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21178-2023</t>
        </is>
      </c>
      <c r="B7379" s="1" t="n">
        <v>45062</v>
      </c>
      <c r="C7379" s="1" t="n">
        <v>45344</v>
      </c>
      <c r="D7379" t="inlineStr">
        <is>
          <t>GÄVLEBORGS LÄN</t>
        </is>
      </c>
      <c r="E7379" t="inlineStr">
        <is>
          <t>NORDANSTIG</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21125-2023</t>
        </is>
      </c>
      <c r="B7380" s="1" t="n">
        <v>45062</v>
      </c>
      <c r="C7380" s="1" t="n">
        <v>45344</v>
      </c>
      <c r="D7380" t="inlineStr">
        <is>
          <t>GÄVLEBORGS LÄN</t>
        </is>
      </c>
      <c r="E7380" t="inlineStr">
        <is>
          <t>LJUSDAL</t>
        </is>
      </c>
      <c r="F7380" t="inlineStr">
        <is>
          <t>Holmen skog AB</t>
        </is>
      </c>
      <c r="G7380" t="n">
        <v>5.9</v>
      </c>
      <c r="H7380" t="n">
        <v>0</v>
      </c>
      <c r="I7380" t="n">
        <v>0</v>
      </c>
      <c r="J7380" t="n">
        <v>0</v>
      </c>
      <c r="K7380" t="n">
        <v>0</v>
      </c>
      <c r="L7380" t="n">
        <v>0</v>
      </c>
      <c r="M7380" t="n">
        <v>0</v>
      </c>
      <c r="N7380" t="n">
        <v>0</v>
      </c>
      <c r="O7380" t="n">
        <v>0</v>
      </c>
      <c r="P7380" t="n">
        <v>0</v>
      </c>
      <c r="Q7380" t="n">
        <v>0</v>
      </c>
      <c r="R7380" s="2" t="inlineStr"/>
    </row>
    <row r="7381" ht="15" customHeight="1">
      <c r="A7381" t="inlineStr">
        <is>
          <t>A 21176-2023</t>
        </is>
      </c>
      <c r="B7381" s="1" t="n">
        <v>45062</v>
      </c>
      <c r="C7381" s="1" t="n">
        <v>45344</v>
      </c>
      <c r="D7381" t="inlineStr">
        <is>
          <t>GÄVLEBORGS LÄN</t>
        </is>
      </c>
      <c r="E7381" t="inlineStr">
        <is>
          <t>NORDANSTIG</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21245-2023</t>
        </is>
      </c>
      <c r="B7382" s="1" t="n">
        <v>45062</v>
      </c>
      <c r="C7382" s="1" t="n">
        <v>45344</v>
      </c>
      <c r="D7382" t="inlineStr">
        <is>
          <t>GÄVLEBORGS LÄN</t>
        </is>
      </c>
      <c r="E7382" t="inlineStr">
        <is>
          <t>OCKELBO</t>
        </is>
      </c>
      <c r="F7382" t="inlineStr">
        <is>
          <t>Bergvik skog väst AB</t>
        </is>
      </c>
      <c r="G7382" t="n">
        <v>21.7</v>
      </c>
      <c r="H7382" t="n">
        <v>0</v>
      </c>
      <c r="I7382" t="n">
        <v>0</v>
      </c>
      <c r="J7382" t="n">
        <v>0</v>
      </c>
      <c r="K7382" t="n">
        <v>0</v>
      </c>
      <c r="L7382" t="n">
        <v>0</v>
      </c>
      <c r="M7382" t="n">
        <v>0</v>
      </c>
      <c r="N7382" t="n">
        <v>0</v>
      </c>
      <c r="O7382" t="n">
        <v>0</v>
      </c>
      <c r="P7382" t="n">
        <v>0</v>
      </c>
      <c r="Q7382" t="n">
        <v>0</v>
      </c>
      <c r="R7382" s="2" t="inlineStr"/>
    </row>
    <row r="7383" ht="15" customHeight="1">
      <c r="A7383" t="inlineStr">
        <is>
          <t>A 21260-2023</t>
        </is>
      </c>
      <c r="B7383" s="1" t="n">
        <v>45062</v>
      </c>
      <c r="C7383" s="1" t="n">
        <v>45344</v>
      </c>
      <c r="D7383" t="inlineStr">
        <is>
          <t>GÄVLEBORGS LÄN</t>
        </is>
      </c>
      <c r="E7383" t="inlineStr">
        <is>
          <t>BOLLNÄS</t>
        </is>
      </c>
      <c r="F7383" t="inlineStr">
        <is>
          <t>Bergvik skog väst AB</t>
        </is>
      </c>
      <c r="G7383" t="n">
        <v>18.3</v>
      </c>
      <c r="H7383" t="n">
        <v>0</v>
      </c>
      <c r="I7383" t="n">
        <v>0</v>
      </c>
      <c r="J7383" t="n">
        <v>0</v>
      </c>
      <c r="K7383" t="n">
        <v>0</v>
      </c>
      <c r="L7383" t="n">
        <v>0</v>
      </c>
      <c r="M7383" t="n">
        <v>0</v>
      </c>
      <c r="N7383" t="n">
        <v>0</v>
      </c>
      <c r="O7383" t="n">
        <v>0</v>
      </c>
      <c r="P7383" t="n">
        <v>0</v>
      </c>
      <c r="Q7383" t="n">
        <v>0</v>
      </c>
      <c r="R7383" s="2" t="inlineStr"/>
    </row>
    <row r="7384" ht="15" customHeight="1">
      <c r="A7384" t="inlineStr">
        <is>
          <t>A 21268-2023</t>
        </is>
      </c>
      <c r="B7384" s="1" t="n">
        <v>45062</v>
      </c>
      <c r="C7384" s="1" t="n">
        <v>45344</v>
      </c>
      <c r="D7384" t="inlineStr">
        <is>
          <t>GÄVLEBORGS LÄN</t>
        </is>
      </c>
      <c r="E7384" t="inlineStr">
        <is>
          <t>SÖDERHAMN</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21251-2023</t>
        </is>
      </c>
      <c r="B7385" s="1" t="n">
        <v>45062</v>
      </c>
      <c r="C7385" s="1" t="n">
        <v>45344</v>
      </c>
      <c r="D7385" t="inlineStr">
        <is>
          <t>GÄVLEBORGS LÄN</t>
        </is>
      </c>
      <c r="E7385" t="inlineStr">
        <is>
          <t>HUDIKSVALL</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21270-2023</t>
        </is>
      </c>
      <c r="B7386" s="1" t="n">
        <v>45062</v>
      </c>
      <c r="C7386" s="1" t="n">
        <v>45344</v>
      </c>
      <c r="D7386" t="inlineStr">
        <is>
          <t>GÄVLEBORGS LÄN</t>
        </is>
      </c>
      <c r="E7386" t="inlineStr">
        <is>
          <t>BOLLNÄS</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21275-2023</t>
        </is>
      </c>
      <c r="B7387" s="1" t="n">
        <v>45062</v>
      </c>
      <c r="C7387" s="1" t="n">
        <v>45344</v>
      </c>
      <c r="D7387" t="inlineStr">
        <is>
          <t>GÄVLEBORGS LÄN</t>
        </is>
      </c>
      <c r="E7387" t="inlineStr">
        <is>
          <t>BOLLNÄS</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21253-2023</t>
        </is>
      </c>
      <c r="B7388" s="1" t="n">
        <v>45062</v>
      </c>
      <c r="C7388" s="1" t="n">
        <v>45344</v>
      </c>
      <c r="D7388" t="inlineStr">
        <is>
          <t>GÄVLEBORGS LÄN</t>
        </is>
      </c>
      <c r="E7388" t="inlineStr">
        <is>
          <t>OCKELBO</t>
        </is>
      </c>
      <c r="F7388" t="inlineStr">
        <is>
          <t>Bergvik skog väst AB</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21272-2023</t>
        </is>
      </c>
      <c r="B7389" s="1" t="n">
        <v>45062</v>
      </c>
      <c r="C7389" s="1" t="n">
        <v>45344</v>
      </c>
      <c r="D7389" t="inlineStr">
        <is>
          <t>GÄVLEBORGS LÄN</t>
        </is>
      </c>
      <c r="E7389" t="inlineStr">
        <is>
          <t>SÖDERHAMN</t>
        </is>
      </c>
      <c r="G7389" t="n">
        <v>3.8</v>
      </c>
      <c r="H7389" t="n">
        <v>0</v>
      </c>
      <c r="I7389" t="n">
        <v>0</v>
      </c>
      <c r="J7389" t="n">
        <v>0</v>
      </c>
      <c r="K7389" t="n">
        <v>0</v>
      </c>
      <c r="L7389" t="n">
        <v>0</v>
      </c>
      <c r="M7389" t="n">
        <v>0</v>
      </c>
      <c r="N7389" t="n">
        <v>0</v>
      </c>
      <c r="O7389" t="n">
        <v>0</v>
      </c>
      <c r="P7389" t="n">
        <v>0</v>
      </c>
      <c r="Q7389" t="n">
        <v>0</v>
      </c>
      <c r="R7389" s="2" t="inlineStr"/>
    </row>
    <row r="7390" ht="15" customHeight="1">
      <c r="A7390" t="inlineStr">
        <is>
          <t>A 21283-2023</t>
        </is>
      </c>
      <c r="B7390" s="1" t="n">
        <v>45062</v>
      </c>
      <c r="C7390" s="1" t="n">
        <v>45344</v>
      </c>
      <c r="D7390" t="inlineStr">
        <is>
          <t>GÄVLEBORGS LÄN</t>
        </is>
      </c>
      <c r="E7390" t="inlineStr">
        <is>
          <t>SÖDERHAMN</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21305-2023</t>
        </is>
      </c>
      <c r="B7391" s="1" t="n">
        <v>45062</v>
      </c>
      <c r="C7391" s="1" t="n">
        <v>45344</v>
      </c>
      <c r="D7391" t="inlineStr">
        <is>
          <t>GÄVLEBORGS LÄN</t>
        </is>
      </c>
      <c r="E7391" t="inlineStr">
        <is>
          <t>HUDIKSVALL</t>
        </is>
      </c>
      <c r="G7391" t="n">
        <v>0.8</v>
      </c>
      <c r="H7391" t="n">
        <v>0</v>
      </c>
      <c r="I7391" t="n">
        <v>0</v>
      </c>
      <c r="J7391" t="n">
        <v>0</v>
      </c>
      <c r="K7391" t="n">
        <v>0</v>
      </c>
      <c r="L7391" t="n">
        <v>0</v>
      </c>
      <c r="M7391" t="n">
        <v>0</v>
      </c>
      <c r="N7391" t="n">
        <v>0</v>
      </c>
      <c r="O7391" t="n">
        <v>0</v>
      </c>
      <c r="P7391" t="n">
        <v>0</v>
      </c>
      <c r="Q7391" t="n">
        <v>0</v>
      </c>
      <c r="R7391" s="2" t="inlineStr"/>
    </row>
    <row r="7392" ht="15" customHeight="1">
      <c r="A7392" t="inlineStr">
        <is>
          <t>A 21611-2023</t>
        </is>
      </c>
      <c r="B7392" s="1" t="n">
        <v>45062</v>
      </c>
      <c r="C7392" s="1" t="n">
        <v>45344</v>
      </c>
      <c r="D7392" t="inlineStr">
        <is>
          <t>GÄVLEBORGS LÄN</t>
        </is>
      </c>
      <c r="E7392" t="inlineStr">
        <is>
          <t>HUDIKSVALL</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21428-2023</t>
        </is>
      </c>
      <c r="B7393" s="1" t="n">
        <v>45063</v>
      </c>
      <c r="C7393" s="1" t="n">
        <v>45344</v>
      </c>
      <c r="D7393" t="inlineStr">
        <is>
          <t>GÄVLEBORGS LÄN</t>
        </is>
      </c>
      <c r="E7393" t="inlineStr">
        <is>
          <t>NORDANSTIG</t>
        </is>
      </c>
      <c r="F7393" t="inlineStr">
        <is>
          <t>Holmen skog AB</t>
        </is>
      </c>
      <c r="G7393" t="n">
        <v>1.8</v>
      </c>
      <c r="H7393" t="n">
        <v>0</v>
      </c>
      <c r="I7393" t="n">
        <v>0</v>
      </c>
      <c r="J7393" t="n">
        <v>0</v>
      </c>
      <c r="K7393" t="n">
        <v>0</v>
      </c>
      <c r="L7393" t="n">
        <v>0</v>
      </c>
      <c r="M7393" t="n">
        <v>0</v>
      </c>
      <c r="N7393" t="n">
        <v>0</v>
      </c>
      <c r="O7393" t="n">
        <v>0</v>
      </c>
      <c r="P7393" t="n">
        <v>0</v>
      </c>
      <c r="Q7393" t="n">
        <v>0</v>
      </c>
      <c r="R7393" s="2" t="inlineStr"/>
    </row>
    <row r="7394" ht="15" customHeight="1">
      <c r="A7394" t="inlineStr">
        <is>
          <t>A 21459-2023</t>
        </is>
      </c>
      <c r="B7394" s="1" t="n">
        <v>45063</v>
      </c>
      <c r="C7394" s="1" t="n">
        <v>45344</v>
      </c>
      <c r="D7394" t="inlineStr">
        <is>
          <t>GÄVLEBORGS LÄN</t>
        </is>
      </c>
      <c r="E7394" t="inlineStr">
        <is>
          <t>HUDIKSVALL</t>
        </is>
      </c>
      <c r="F7394" t="inlineStr">
        <is>
          <t>Holmen skog AB</t>
        </is>
      </c>
      <c r="G7394" t="n">
        <v>8</v>
      </c>
      <c r="H7394" t="n">
        <v>0</v>
      </c>
      <c r="I7394" t="n">
        <v>0</v>
      </c>
      <c r="J7394" t="n">
        <v>0</v>
      </c>
      <c r="K7394" t="n">
        <v>0</v>
      </c>
      <c r="L7394" t="n">
        <v>0</v>
      </c>
      <c r="M7394" t="n">
        <v>0</v>
      </c>
      <c r="N7394" t="n">
        <v>0</v>
      </c>
      <c r="O7394" t="n">
        <v>0</v>
      </c>
      <c r="P7394" t="n">
        <v>0</v>
      </c>
      <c r="Q7394" t="n">
        <v>0</v>
      </c>
      <c r="R7394" s="2" t="inlineStr"/>
    </row>
    <row r="7395" ht="15" customHeight="1">
      <c r="A7395" t="inlineStr">
        <is>
          <t>A 21473-2023</t>
        </is>
      </c>
      <c r="B7395" s="1" t="n">
        <v>45063</v>
      </c>
      <c r="C7395" s="1" t="n">
        <v>45344</v>
      </c>
      <c r="D7395" t="inlineStr">
        <is>
          <t>GÄVLEBORGS LÄN</t>
        </is>
      </c>
      <c r="E7395" t="inlineStr">
        <is>
          <t>NORDANSTIG</t>
        </is>
      </c>
      <c r="F7395" t="inlineStr">
        <is>
          <t>Holmen skog AB</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21381-2023</t>
        </is>
      </c>
      <c r="B7396" s="1" t="n">
        <v>45063</v>
      </c>
      <c r="C7396" s="1" t="n">
        <v>45344</v>
      </c>
      <c r="D7396" t="inlineStr">
        <is>
          <t>GÄVLEBORGS LÄN</t>
        </is>
      </c>
      <c r="E7396" t="inlineStr">
        <is>
          <t>OVANÅKER</t>
        </is>
      </c>
      <c r="F7396" t="inlineStr">
        <is>
          <t>Sveaskog</t>
        </is>
      </c>
      <c r="G7396" t="n">
        <v>3.9</v>
      </c>
      <c r="H7396" t="n">
        <v>0</v>
      </c>
      <c r="I7396" t="n">
        <v>0</v>
      </c>
      <c r="J7396" t="n">
        <v>0</v>
      </c>
      <c r="K7396" t="n">
        <v>0</v>
      </c>
      <c r="L7396" t="n">
        <v>0</v>
      </c>
      <c r="M7396" t="n">
        <v>0</v>
      </c>
      <c r="N7396" t="n">
        <v>0</v>
      </c>
      <c r="O7396" t="n">
        <v>0</v>
      </c>
      <c r="P7396" t="n">
        <v>0</v>
      </c>
      <c r="Q7396" t="n">
        <v>0</v>
      </c>
      <c r="R7396" s="2" t="inlineStr"/>
    </row>
    <row r="7397" ht="15" customHeight="1">
      <c r="A7397" t="inlineStr">
        <is>
          <t>A 21401-2023</t>
        </is>
      </c>
      <c r="B7397" s="1" t="n">
        <v>45063</v>
      </c>
      <c r="C7397" s="1" t="n">
        <v>45344</v>
      </c>
      <c r="D7397" t="inlineStr">
        <is>
          <t>GÄVLEBORGS LÄN</t>
        </is>
      </c>
      <c r="E7397" t="inlineStr">
        <is>
          <t>OCKELBO</t>
        </is>
      </c>
      <c r="F7397" t="inlineStr">
        <is>
          <t>Bergvik skog väst AB</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21380-2023</t>
        </is>
      </c>
      <c r="B7398" s="1" t="n">
        <v>45063</v>
      </c>
      <c r="C7398" s="1" t="n">
        <v>45344</v>
      </c>
      <c r="D7398" t="inlineStr">
        <is>
          <t>GÄVLEBORGS LÄN</t>
        </is>
      </c>
      <c r="E7398" t="inlineStr">
        <is>
          <t>OVANÅKER</t>
        </is>
      </c>
      <c r="F7398" t="inlineStr">
        <is>
          <t>Sveaskog</t>
        </is>
      </c>
      <c r="G7398" t="n">
        <v>3.5</v>
      </c>
      <c r="H7398" t="n">
        <v>0</v>
      </c>
      <c r="I7398" t="n">
        <v>0</v>
      </c>
      <c r="J7398" t="n">
        <v>0</v>
      </c>
      <c r="K7398" t="n">
        <v>0</v>
      </c>
      <c r="L7398" t="n">
        <v>0</v>
      </c>
      <c r="M7398" t="n">
        <v>0</v>
      </c>
      <c r="N7398" t="n">
        <v>0</v>
      </c>
      <c r="O7398" t="n">
        <v>0</v>
      </c>
      <c r="P7398" t="n">
        <v>0</v>
      </c>
      <c r="Q7398" t="n">
        <v>0</v>
      </c>
      <c r="R7398" s="2" t="inlineStr"/>
    </row>
    <row r="7399" ht="15" customHeight="1">
      <c r="A7399" t="inlineStr">
        <is>
          <t>A 21452-2023</t>
        </is>
      </c>
      <c r="B7399" s="1" t="n">
        <v>45063</v>
      </c>
      <c r="C7399" s="1" t="n">
        <v>45344</v>
      </c>
      <c r="D7399" t="inlineStr">
        <is>
          <t>GÄVLEBORGS LÄN</t>
        </is>
      </c>
      <c r="E7399" t="inlineStr">
        <is>
          <t>HUDIKSVALL</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21391-2023</t>
        </is>
      </c>
      <c r="B7400" s="1" t="n">
        <v>45063</v>
      </c>
      <c r="C7400" s="1" t="n">
        <v>45344</v>
      </c>
      <c r="D7400" t="inlineStr">
        <is>
          <t>GÄVLEBORGS LÄN</t>
        </is>
      </c>
      <c r="E7400" t="inlineStr">
        <is>
          <t>SÖDERHAMN</t>
        </is>
      </c>
      <c r="F7400" t="inlineStr">
        <is>
          <t>Bergvik skog väst AB</t>
        </is>
      </c>
      <c r="G7400" t="n">
        <v>7</v>
      </c>
      <c r="H7400" t="n">
        <v>0</v>
      </c>
      <c r="I7400" t="n">
        <v>0</v>
      </c>
      <c r="J7400" t="n">
        <v>0</v>
      </c>
      <c r="K7400" t="n">
        <v>0</v>
      </c>
      <c r="L7400" t="n">
        <v>0</v>
      </c>
      <c r="M7400" t="n">
        <v>0</v>
      </c>
      <c r="N7400" t="n">
        <v>0</v>
      </c>
      <c r="O7400" t="n">
        <v>0</v>
      </c>
      <c r="P7400" t="n">
        <v>0</v>
      </c>
      <c r="Q7400" t="n">
        <v>0</v>
      </c>
      <c r="R7400" s="2" t="inlineStr"/>
    </row>
    <row r="7401" ht="15" customHeight="1">
      <c r="A7401" t="inlineStr">
        <is>
          <t>A 21456-2023</t>
        </is>
      </c>
      <c r="B7401" s="1" t="n">
        <v>45063</v>
      </c>
      <c r="C7401" s="1" t="n">
        <v>45344</v>
      </c>
      <c r="D7401" t="inlineStr">
        <is>
          <t>GÄVLEBORGS LÄN</t>
        </is>
      </c>
      <c r="E7401" t="inlineStr">
        <is>
          <t>SANDVIKEN</t>
        </is>
      </c>
      <c r="F7401" t="inlineStr">
        <is>
          <t>Kommuner</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21475-2023</t>
        </is>
      </c>
      <c r="B7402" s="1" t="n">
        <v>45063</v>
      </c>
      <c r="C7402" s="1" t="n">
        <v>45344</v>
      </c>
      <c r="D7402" t="inlineStr">
        <is>
          <t>GÄVLEBORGS LÄN</t>
        </is>
      </c>
      <c r="E7402" t="inlineStr">
        <is>
          <t>LJUSDAL</t>
        </is>
      </c>
      <c r="F7402" t="inlineStr">
        <is>
          <t>Sveaskog</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21383-2023</t>
        </is>
      </c>
      <c r="B7403" s="1" t="n">
        <v>45063</v>
      </c>
      <c r="C7403" s="1" t="n">
        <v>45344</v>
      </c>
      <c r="D7403" t="inlineStr">
        <is>
          <t>GÄVLEBORGS LÄN</t>
        </is>
      </c>
      <c r="E7403" t="inlineStr">
        <is>
          <t>OCKELBO</t>
        </is>
      </c>
      <c r="F7403" t="inlineStr">
        <is>
          <t>Bergvik skog väst AB</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21526-2023</t>
        </is>
      </c>
      <c r="B7404" s="1" t="n">
        <v>45063</v>
      </c>
      <c r="C7404" s="1" t="n">
        <v>45344</v>
      </c>
      <c r="D7404" t="inlineStr">
        <is>
          <t>GÄVLEBORGS LÄN</t>
        </is>
      </c>
      <c r="E7404" t="inlineStr">
        <is>
          <t>NORDANSTIG</t>
        </is>
      </c>
      <c r="F7404" t="inlineStr">
        <is>
          <t>Holmen skog AB</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21434-2023</t>
        </is>
      </c>
      <c r="B7405" s="1" t="n">
        <v>45063</v>
      </c>
      <c r="C7405" s="1" t="n">
        <v>45344</v>
      </c>
      <c r="D7405" t="inlineStr">
        <is>
          <t>GÄVLEBORGS LÄN</t>
        </is>
      </c>
      <c r="E7405" t="inlineStr">
        <is>
          <t>SANDVIKEN</t>
        </is>
      </c>
      <c r="G7405" t="n">
        <v>1.7</v>
      </c>
      <c r="H7405" t="n">
        <v>0</v>
      </c>
      <c r="I7405" t="n">
        <v>0</v>
      </c>
      <c r="J7405" t="n">
        <v>0</v>
      </c>
      <c r="K7405" t="n">
        <v>0</v>
      </c>
      <c r="L7405" t="n">
        <v>0</v>
      </c>
      <c r="M7405" t="n">
        <v>0</v>
      </c>
      <c r="N7405" t="n">
        <v>0</v>
      </c>
      <c r="O7405" t="n">
        <v>0</v>
      </c>
      <c r="P7405" t="n">
        <v>0</v>
      </c>
      <c r="Q7405" t="n">
        <v>0</v>
      </c>
      <c r="R7405" s="2" t="inlineStr"/>
    </row>
    <row r="7406" ht="15" customHeight="1">
      <c r="A7406" t="inlineStr">
        <is>
          <t>A 21454-2023</t>
        </is>
      </c>
      <c r="B7406" s="1" t="n">
        <v>45063</v>
      </c>
      <c r="C7406" s="1" t="n">
        <v>45344</v>
      </c>
      <c r="D7406" t="inlineStr">
        <is>
          <t>GÄVLEBORGS LÄN</t>
        </is>
      </c>
      <c r="E7406" t="inlineStr">
        <is>
          <t>SANDVIKEN</t>
        </is>
      </c>
      <c r="G7406" t="n">
        <v>2.5</v>
      </c>
      <c r="H7406" t="n">
        <v>0</v>
      </c>
      <c r="I7406" t="n">
        <v>0</v>
      </c>
      <c r="J7406" t="n">
        <v>0</v>
      </c>
      <c r="K7406" t="n">
        <v>0</v>
      </c>
      <c r="L7406" t="n">
        <v>0</v>
      </c>
      <c r="M7406" t="n">
        <v>0</v>
      </c>
      <c r="N7406" t="n">
        <v>0</v>
      </c>
      <c r="O7406" t="n">
        <v>0</v>
      </c>
      <c r="P7406" t="n">
        <v>0</v>
      </c>
      <c r="Q7406" t="n">
        <v>0</v>
      </c>
      <c r="R7406" s="2" t="inlineStr"/>
    </row>
    <row r="7407" ht="15" customHeight="1">
      <c r="A7407" t="inlineStr">
        <is>
          <t>A 21474-2023</t>
        </is>
      </c>
      <c r="B7407" s="1" t="n">
        <v>45063</v>
      </c>
      <c r="C7407" s="1" t="n">
        <v>45344</v>
      </c>
      <c r="D7407" t="inlineStr">
        <is>
          <t>GÄVLEBORGS LÄN</t>
        </is>
      </c>
      <c r="E7407" t="inlineStr">
        <is>
          <t>LJUSDAL</t>
        </is>
      </c>
      <c r="F7407" t="inlineStr">
        <is>
          <t>Sveaskog</t>
        </is>
      </c>
      <c r="G7407" t="n">
        <v>4.3</v>
      </c>
      <c r="H7407" t="n">
        <v>0</v>
      </c>
      <c r="I7407" t="n">
        <v>0</v>
      </c>
      <c r="J7407" t="n">
        <v>0</v>
      </c>
      <c r="K7407" t="n">
        <v>0</v>
      </c>
      <c r="L7407" t="n">
        <v>0</v>
      </c>
      <c r="M7407" t="n">
        <v>0</v>
      </c>
      <c r="N7407" t="n">
        <v>0</v>
      </c>
      <c r="O7407" t="n">
        <v>0</v>
      </c>
      <c r="P7407" t="n">
        <v>0</v>
      </c>
      <c r="Q7407" t="n">
        <v>0</v>
      </c>
      <c r="R7407" s="2" t="inlineStr"/>
    </row>
    <row r="7408" ht="15" customHeight="1">
      <c r="A7408" t="inlineStr">
        <is>
          <t>A 21588-2023</t>
        </is>
      </c>
      <c r="B7408" s="1" t="n">
        <v>45063</v>
      </c>
      <c r="C7408" s="1" t="n">
        <v>45344</v>
      </c>
      <c r="D7408" t="inlineStr">
        <is>
          <t>GÄVLEBORGS LÄN</t>
        </is>
      </c>
      <c r="E7408" t="inlineStr">
        <is>
          <t>OVANÅKER</t>
        </is>
      </c>
      <c r="G7408" t="n">
        <v>5.3</v>
      </c>
      <c r="H7408" t="n">
        <v>0</v>
      </c>
      <c r="I7408" t="n">
        <v>0</v>
      </c>
      <c r="J7408" t="n">
        <v>0</v>
      </c>
      <c r="K7408" t="n">
        <v>0</v>
      </c>
      <c r="L7408" t="n">
        <v>0</v>
      </c>
      <c r="M7408" t="n">
        <v>0</v>
      </c>
      <c r="N7408" t="n">
        <v>0</v>
      </c>
      <c r="O7408" t="n">
        <v>0</v>
      </c>
      <c r="P7408" t="n">
        <v>0</v>
      </c>
      <c r="Q7408" t="n">
        <v>0</v>
      </c>
      <c r="R7408" s="2" t="inlineStr"/>
    </row>
    <row r="7409" ht="15" customHeight="1">
      <c r="A7409" t="inlineStr">
        <is>
          <t>A 21591-2023</t>
        </is>
      </c>
      <c r="B7409" s="1" t="n">
        <v>45063</v>
      </c>
      <c r="C7409" s="1" t="n">
        <v>45344</v>
      </c>
      <c r="D7409" t="inlineStr">
        <is>
          <t>GÄVLEBORGS LÄN</t>
        </is>
      </c>
      <c r="E7409" t="inlineStr">
        <is>
          <t>LJUSDAL</t>
        </is>
      </c>
      <c r="G7409" t="n">
        <v>8.699999999999999</v>
      </c>
      <c r="H7409" t="n">
        <v>0</v>
      </c>
      <c r="I7409" t="n">
        <v>0</v>
      </c>
      <c r="J7409" t="n">
        <v>0</v>
      </c>
      <c r="K7409" t="n">
        <v>0</v>
      </c>
      <c r="L7409" t="n">
        <v>0</v>
      </c>
      <c r="M7409" t="n">
        <v>0</v>
      </c>
      <c r="N7409" t="n">
        <v>0</v>
      </c>
      <c r="O7409" t="n">
        <v>0</v>
      </c>
      <c r="P7409" t="n">
        <v>0</v>
      </c>
      <c r="Q7409" t="n">
        <v>0</v>
      </c>
      <c r="R7409" s="2" t="inlineStr"/>
    </row>
    <row r="7410" ht="15" customHeight="1">
      <c r="A7410" t="inlineStr">
        <is>
          <t>A 21618-2023</t>
        </is>
      </c>
      <c r="B7410" s="1" t="n">
        <v>45063</v>
      </c>
      <c r="C7410" s="1" t="n">
        <v>45344</v>
      </c>
      <c r="D7410" t="inlineStr">
        <is>
          <t>GÄVLEBORGS LÄN</t>
        </is>
      </c>
      <c r="E7410" t="inlineStr">
        <is>
          <t>HUDIKSVALL</t>
        </is>
      </c>
      <c r="F7410" t="inlineStr">
        <is>
          <t>Holmen skog AB</t>
        </is>
      </c>
      <c r="G7410" t="n">
        <v>2.2</v>
      </c>
      <c r="H7410" t="n">
        <v>0</v>
      </c>
      <c r="I7410" t="n">
        <v>0</v>
      </c>
      <c r="J7410" t="n">
        <v>0</v>
      </c>
      <c r="K7410" t="n">
        <v>0</v>
      </c>
      <c r="L7410" t="n">
        <v>0</v>
      </c>
      <c r="M7410" t="n">
        <v>0</v>
      </c>
      <c r="N7410" t="n">
        <v>0</v>
      </c>
      <c r="O7410" t="n">
        <v>0</v>
      </c>
      <c r="P7410" t="n">
        <v>0</v>
      </c>
      <c r="Q7410" t="n">
        <v>0</v>
      </c>
      <c r="R7410" s="2" t="inlineStr"/>
    </row>
    <row r="7411" ht="15" customHeight="1">
      <c r="A7411" t="inlineStr">
        <is>
          <t>A 21567-2023</t>
        </is>
      </c>
      <c r="B7411" s="1" t="n">
        <v>45063</v>
      </c>
      <c r="C7411" s="1" t="n">
        <v>45344</v>
      </c>
      <c r="D7411" t="inlineStr">
        <is>
          <t>GÄVLEBORGS LÄN</t>
        </is>
      </c>
      <c r="E7411" t="inlineStr">
        <is>
          <t>SÖDERHAMN</t>
        </is>
      </c>
      <c r="F7411" t="inlineStr">
        <is>
          <t>Bergvik skog väst AB</t>
        </is>
      </c>
      <c r="G7411" t="n">
        <v>15.9</v>
      </c>
      <c r="H7411" t="n">
        <v>0</v>
      </c>
      <c r="I7411" t="n">
        <v>0</v>
      </c>
      <c r="J7411" t="n">
        <v>0</v>
      </c>
      <c r="K7411" t="n">
        <v>0</v>
      </c>
      <c r="L7411" t="n">
        <v>0</v>
      </c>
      <c r="M7411" t="n">
        <v>0</v>
      </c>
      <c r="N7411" t="n">
        <v>0</v>
      </c>
      <c r="O7411" t="n">
        <v>0</v>
      </c>
      <c r="P7411" t="n">
        <v>0</v>
      </c>
      <c r="Q7411" t="n">
        <v>0</v>
      </c>
      <c r="R7411" s="2" t="inlineStr"/>
    </row>
    <row r="7412" ht="15" customHeight="1">
      <c r="A7412" t="inlineStr">
        <is>
          <t>A 21586-2023</t>
        </is>
      </c>
      <c r="B7412" s="1" t="n">
        <v>45063</v>
      </c>
      <c r="C7412" s="1" t="n">
        <v>45344</v>
      </c>
      <c r="D7412" t="inlineStr">
        <is>
          <t>GÄVLEBORGS LÄN</t>
        </is>
      </c>
      <c r="E7412" t="inlineStr">
        <is>
          <t>SÖDERHAMN</t>
        </is>
      </c>
      <c r="F7412" t="inlineStr">
        <is>
          <t>Bergvik skog väst AB</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21621-2023</t>
        </is>
      </c>
      <c r="B7413" s="1" t="n">
        <v>45063</v>
      </c>
      <c r="C7413" s="1" t="n">
        <v>45344</v>
      </c>
      <c r="D7413" t="inlineStr">
        <is>
          <t>GÄVLEBORGS LÄN</t>
        </is>
      </c>
      <c r="E7413" t="inlineStr">
        <is>
          <t>BOLLNÄS</t>
        </is>
      </c>
      <c r="F7413" t="inlineStr">
        <is>
          <t>Sveaskog</t>
        </is>
      </c>
      <c r="G7413" t="n">
        <v>9.300000000000001</v>
      </c>
      <c r="H7413" t="n">
        <v>0</v>
      </c>
      <c r="I7413" t="n">
        <v>0</v>
      </c>
      <c r="J7413" t="n">
        <v>0</v>
      </c>
      <c r="K7413" t="n">
        <v>0</v>
      </c>
      <c r="L7413" t="n">
        <v>0</v>
      </c>
      <c r="M7413" t="n">
        <v>0</v>
      </c>
      <c r="N7413" t="n">
        <v>0</v>
      </c>
      <c r="O7413" t="n">
        <v>0</v>
      </c>
      <c r="P7413" t="n">
        <v>0</v>
      </c>
      <c r="Q7413" t="n">
        <v>0</v>
      </c>
      <c r="R7413" s="2" t="inlineStr"/>
    </row>
    <row r="7414" ht="15" customHeight="1">
      <c r="A7414" t="inlineStr">
        <is>
          <t>A 21724-2023</t>
        </is>
      </c>
      <c r="B7414" s="1" t="n">
        <v>45065</v>
      </c>
      <c r="C7414" s="1" t="n">
        <v>45344</v>
      </c>
      <c r="D7414" t="inlineStr">
        <is>
          <t>GÄVLEBORGS LÄN</t>
        </is>
      </c>
      <c r="E7414" t="inlineStr">
        <is>
          <t>HUDIKSVALL</t>
        </is>
      </c>
      <c r="F7414" t="inlineStr">
        <is>
          <t>Holmen skog AB</t>
        </is>
      </c>
      <c r="G7414" t="n">
        <v>3</v>
      </c>
      <c r="H7414" t="n">
        <v>0</v>
      </c>
      <c r="I7414" t="n">
        <v>0</v>
      </c>
      <c r="J7414" t="n">
        <v>0</v>
      </c>
      <c r="K7414" t="n">
        <v>0</v>
      </c>
      <c r="L7414" t="n">
        <v>0</v>
      </c>
      <c r="M7414" t="n">
        <v>0</v>
      </c>
      <c r="N7414" t="n">
        <v>0</v>
      </c>
      <c r="O7414" t="n">
        <v>0</v>
      </c>
      <c r="P7414" t="n">
        <v>0</v>
      </c>
      <c r="Q7414" t="n">
        <v>0</v>
      </c>
      <c r="R7414" s="2" t="inlineStr"/>
    </row>
    <row r="7415" ht="15" customHeight="1">
      <c r="A7415" t="inlineStr">
        <is>
          <t>A 21750-2023</t>
        </is>
      </c>
      <c r="B7415" s="1" t="n">
        <v>45065</v>
      </c>
      <c r="C7415" s="1" t="n">
        <v>45344</v>
      </c>
      <c r="D7415" t="inlineStr">
        <is>
          <t>GÄVLEBORGS LÄN</t>
        </is>
      </c>
      <c r="E7415" t="inlineStr">
        <is>
          <t>HUDIKSVALL</t>
        </is>
      </c>
      <c r="F7415" t="inlineStr">
        <is>
          <t>Holmen skog AB</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21715-2023</t>
        </is>
      </c>
      <c r="B7416" s="1" t="n">
        <v>45065</v>
      </c>
      <c r="C7416" s="1" t="n">
        <v>45344</v>
      </c>
      <c r="D7416" t="inlineStr">
        <is>
          <t>GÄVLEBORGS LÄN</t>
        </is>
      </c>
      <c r="E7416" t="inlineStr">
        <is>
          <t>HUDIKSVALL</t>
        </is>
      </c>
      <c r="F7416" t="inlineStr">
        <is>
          <t>Holmen skog AB</t>
        </is>
      </c>
      <c r="G7416" t="n">
        <v>6.5</v>
      </c>
      <c r="H7416" t="n">
        <v>0</v>
      </c>
      <c r="I7416" t="n">
        <v>0</v>
      </c>
      <c r="J7416" t="n">
        <v>0</v>
      </c>
      <c r="K7416" t="n">
        <v>0</v>
      </c>
      <c r="L7416" t="n">
        <v>0</v>
      </c>
      <c r="M7416" t="n">
        <v>0</v>
      </c>
      <c r="N7416" t="n">
        <v>0</v>
      </c>
      <c r="O7416" t="n">
        <v>0</v>
      </c>
      <c r="P7416" t="n">
        <v>0</v>
      </c>
      <c r="Q7416" t="n">
        <v>0</v>
      </c>
      <c r="R7416" s="2" t="inlineStr"/>
    </row>
    <row r="7417" ht="15" customHeight="1">
      <c r="A7417" t="inlineStr">
        <is>
          <t>A 21742-2023</t>
        </is>
      </c>
      <c r="B7417" s="1" t="n">
        <v>45065</v>
      </c>
      <c r="C7417" s="1" t="n">
        <v>45344</v>
      </c>
      <c r="D7417" t="inlineStr">
        <is>
          <t>GÄVLEBORGS LÄN</t>
        </is>
      </c>
      <c r="E7417" t="inlineStr">
        <is>
          <t>LJUSDAL</t>
        </is>
      </c>
      <c r="F7417" t="inlineStr">
        <is>
          <t>Allmännings- och besparingsskogar</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21746-2023</t>
        </is>
      </c>
      <c r="B7418" s="1" t="n">
        <v>45065</v>
      </c>
      <c r="C7418" s="1" t="n">
        <v>45344</v>
      </c>
      <c r="D7418" t="inlineStr">
        <is>
          <t>GÄVLEBORGS LÄN</t>
        </is>
      </c>
      <c r="E7418" t="inlineStr">
        <is>
          <t>SÖDERHAMN</t>
        </is>
      </c>
      <c r="G7418" t="n">
        <v>5.2</v>
      </c>
      <c r="H7418" t="n">
        <v>0</v>
      </c>
      <c r="I7418" t="n">
        <v>0</v>
      </c>
      <c r="J7418" t="n">
        <v>0</v>
      </c>
      <c r="K7418" t="n">
        <v>0</v>
      </c>
      <c r="L7418" t="n">
        <v>0</v>
      </c>
      <c r="M7418" t="n">
        <v>0</v>
      </c>
      <c r="N7418" t="n">
        <v>0</v>
      </c>
      <c r="O7418" t="n">
        <v>0</v>
      </c>
      <c r="P7418" t="n">
        <v>0</v>
      </c>
      <c r="Q7418" t="n">
        <v>0</v>
      </c>
      <c r="R7418" s="2" t="inlineStr"/>
    </row>
    <row r="7419" ht="15" customHeight="1">
      <c r="A7419" t="inlineStr">
        <is>
          <t>A 21747-2023</t>
        </is>
      </c>
      <c r="B7419" s="1" t="n">
        <v>45065</v>
      </c>
      <c r="C7419" s="1" t="n">
        <v>45344</v>
      </c>
      <c r="D7419" t="inlineStr">
        <is>
          <t>GÄVLEBORGS LÄN</t>
        </is>
      </c>
      <c r="E7419" t="inlineStr">
        <is>
          <t>SÖDERHAMN</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21774-2023</t>
        </is>
      </c>
      <c r="B7420" s="1" t="n">
        <v>45066</v>
      </c>
      <c r="C7420" s="1" t="n">
        <v>45344</v>
      </c>
      <c r="D7420" t="inlineStr">
        <is>
          <t>GÄVLEBORGS LÄN</t>
        </is>
      </c>
      <c r="E7420" t="inlineStr">
        <is>
          <t>HUDIKSVALL</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21773-2023</t>
        </is>
      </c>
      <c r="B7421" s="1" t="n">
        <v>45066</v>
      </c>
      <c r="C7421" s="1" t="n">
        <v>45344</v>
      </c>
      <c r="D7421" t="inlineStr">
        <is>
          <t>GÄVLEBORGS LÄN</t>
        </is>
      </c>
      <c r="E7421" t="inlineStr">
        <is>
          <t>HUDIKSVALL</t>
        </is>
      </c>
      <c r="G7421" t="n">
        <v>3.4</v>
      </c>
      <c r="H7421" t="n">
        <v>0</v>
      </c>
      <c r="I7421" t="n">
        <v>0</v>
      </c>
      <c r="J7421" t="n">
        <v>0</v>
      </c>
      <c r="K7421" t="n">
        <v>0</v>
      </c>
      <c r="L7421" t="n">
        <v>0</v>
      </c>
      <c r="M7421" t="n">
        <v>0</v>
      </c>
      <c r="N7421" t="n">
        <v>0</v>
      </c>
      <c r="O7421" t="n">
        <v>0</v>
      </c>
      <c r="P7421" t="n">
        <v>0</v>
      </c>
      <c r="Q7421" t="n">
        <v>0</v>
      </c>
      <c r="R7421" s="2" t="inlineStr"/>
    </row>
    <row r="7422" ht="15" customHeight="1">
      <c r="A7422" t="inlineStr">
        <is>
          <t>A 21772-2023</t>
        </is>
      </c>
      <c r="B7422" s="1" t="n">
        <v>45066</v>
      </c>
      <c r="C7422" s="1" t="n">
        <v>45344</v>
      </c>
      <c r="D7422" t="inlineStr">
        <is>
          <t>GÄVLEBORGS LÄN</t>
        </is>
      </c>
      <c r="E7422" t="inlineStr">
        <is>
          <t>HUDIKSVALL</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21802-2023</t>
        </is>
      </c>
      <c r="B7423" s="1" t="n">
        <v>45067</v>
      </c>
      <c r="C7423" s="1" t="n">
        <v>45344</v>
      </c>
      <c r="D7423" t="inlineStr">
        <is>
          <t>GÄVLEBORGS LÄN</t>
        </is>
      </c>
      <c r="E7423" t="inlineStr">
        <is>
          <t>OVANÅKER</t>
        </is>
      </c>
      <c r="G7423" t="n">
        <v>2.1</v>
      </c>
      <c r="H7423" t="n">
        <v>0</v>
      </c>
      <c r="I7423" t="n">
        <v>0</v>
      </c>
      <c r="J7423" t="n">
        <v>0</v>
      </c>
      <c r="K7423" t="n">
        <v>0</v>
      </c>
      <c r="L7423" t="n">
        <v>0</v>
      </c>
      <c r="M7423" t="n">
        <v>0</v>
      </c>
      <c r="N7423" t="n">
        <v>0</v>
      </c>
      <c r="O7423" t="n">
        <v>0</v>
      </c>
      <c r="P7423" t="n">
        <v>0</v>
      </c>
      <c r="Q7423" t="n">
        <v>0</v>
      </c>
      <c r="R7423" s="2" t="inlineStr"/>
    </row>
    <row r="7424" ht="15" customHeight="1">
      <c r="A7424" t="inlineStr">
        <is>
          <t>A 21803-2023</t>
        </is>
      </c>
      <c r="B7424" s="1" t="n">
        <v>45068</v>
      </c>
      <c r="C7424" s="1" t="n">
        <v>45344</v>
      </c>
      <c r="D7424" t="inlineStr">
        <is>
          <t>GÄVLEBORGS LÄN</t>
        </is>
      </c>
      <c r="E7424" t="inlineStr">
        <is>
          <t>OVANÅKER</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21856-2023</t>
        </is>
      </c>
      <c r="B7425" s="1" t="n">
        <v>45068</v>
      </c>
      <c r="C7425" s="1" t="n">
        <v>45344</v>
      </c>
      <c r="D7425" t="inlineStr">
        <is>
          <t>GÄVLEBORGS LÄN</t>
        </is>
      </c>
      <c r="E7425" t="inlineStr">
        <is>
          <t>OCKELBO</t>
        </is>
      </c>
      <c r="F7425" t="inlineStr">
        <is>
          <t>Bergvik skog väst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21884-2023</t>
        </is>
      </c>
      <c r="B7426" s="1" t="n">
        <v>45068</v>
      </c>
      <c r="C7426" s="1" t="n">
        <v>45344</v>
      </c>
      <c r="D7426" t="inlineStr">
        <is>
          <t>GÄVLEBORGS LÄN</t>
        </is>
      </c>
      <c r="E7426" t="inlineStr">
        <is>
          <t>OCKELBO</t>
        </is>
      </c>
      <c r="F7426" t="inlineStr">
        <is>
          <t>Bergvik skog väst AB</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21819-2023</t>
        </is>
      </c>
      <c r="B7427" s="1" t="n">
        <v>45068</v>
      </c>
      <c r="C7427" s="1" t="n">
        <v>45344</v>
      </c>
      <c r="D7427" t="inlineStr">
        <is>
          <t>GÄVLEBORGS LÄN</t>
        </is>
      </c>
      <c r="E7427" t="inlineStr">
        <is>
          <t>HUDIKSVALL</t>
        </is>
      </c>
      <c r="F7427" t="inlineStr">
        <is>
          <t>Holmen skog AB</t>
        </is>
      </c>
      <c r="G7427" t="n">
        <v>4.6</v>
      </c>
      <c r="H7427" t="n">
        <v>0</v>
      </c>
      <c r="I7427" t="n">
        <v>0</v>
      </c>
      <c r="J7427" t="n">
        <v>0</v>
      </c>
      <c r="K7427" t="n">
        <v>0</v>
      </c>
      <c r="L7427" t="n">
        <v>0</v>
      </c>
      <c r="M7427" t="n">
        <v>0</v>
      </c>
      <c r="N7427" t="n">
        <v>0</v>
      </c>
      <c r="O7427" t="n">
        <v>0</v>
      </c>
      <c r="P7427" t="n">
        <v>0</v>
      </c>
      <c r="Q7427" t="n">
        <v>0</v>
      </c>
      <c r="R7427" s="2" t="inlineStr"/>
    </row>
    <row r="7428" ht="15" customHeight="1">
      <c r="A7428" t="inlineStr">
        <is>
          <t>A 21816-2023</t>
        </is>
      </c>
      <c r="B7428" s="1" t="n">
        <v>45068</v>
      </c>
      <c r="C7428" s="1" t="n">
        <v>45344</v>
      </c>
      <c r="D7428" t="inlineStr">
        <is>
          <t>GÄVLEBORGS LÄN</t>
        </is>
      </c>
      <c r="E7428" t="inlineStr">
        <is>
          <t>LJUSDAL</t>
        </is>
      </c>
      <c r="F7428" t="inlineStr">
        <is>
          <t>Bergvik skog väst AB</t>
        </is>
      </c>
      <c r="G7428" t="n">
        <v>4.2</v>
      </c>
      <c r="H7428" t="n">
        <v>0</v>
      </c>
      <c r="I7428" t="n">
        <v>0</v>
      </c>
      <c r="J7428" t="n">
        <v>0</v>
      </c>
      <c r="K7428" t="n">
        <v>0</v>
      </c>
      <c r="L7428" t="n">
        <v>0</v>
      </c>
      <c r="M7428" t="n">
        <v>0</v>
      </c>
      <c r="N7428" t="n">
        <v>0</v>
      </c>
      <c r="O7428" t="n">
        <v>0</v>
      </c>
      <c r="P7428" t="n">
        <v>0</v>
      </c>
      <c r="Q7428" t="n">
        <v>0</v>
      </c>
      <c r="R7428" s="2" t="inlineStr"/>
    </row>
    <row r="7429" ht="15" customHeight="1">
      <c r="A7429" t="inlineStr">
        <is>
          <t>A 21855-2023</t>
        </is>
      </c>
      <c r="B7429" s="1" t="n">
        <v>45068</v>
      </c>
      <c r="C7429" s="1" t="n">
        <v>45344</v>
      </c>
      <c r="D7429" t="inlineStr">
        <is>
          <t>GÄVLEBORGS LÄN</t>
        </is>
      </c>
      <c r="E7429" t="inlineStr">
        <is>
          <t>SÖDERHAMN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21981-2023</t>
        </is>
      </c>
      <c r="B7430" s="1" t="n">
        <v>45068</v>
      </c>
      <c r="C7430" s="1" t="n">
        <v>45344</v>
      </c>
      <c r="D7430" t="inlineStr">
        <is>
          <t>GÄVLEBORGS LÄN</t>
        </is>
      </c>
      <c r="E7430" t="inlineStr">
        <is>
          <t>NORDANSTIG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21878-2023</t>
        </is>
      </c>
      <c r="B7431" s="1" t="n">
        <v>45068</v>
      </c>
      <c r="C7431" s="1" t="n">
        <v>45344</v>
      </c>
      <c r="D7431" t="inlineStr">
        <is>
          <t>GÄVLEBORGS LÄN</t>
        </is>
      </c>
      <c r="E7431" t="inlineStr">
        <is>
          <t>OCKELBO</t>
        </is>
      </c>
      <c r="F7431" t="inlineStr">
        <is>
          <t>Bergvik skog väst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21914-2023</t>
        </is>
      </c>
      <c r="B7432" s="1" t="n">
        <v>45068</v>
      </c>
      <c r="C7432" s="1" t="n">
        <v>45344</v>
      </c>
      <c r="D7432" t="inlineStr">
        <is>
          <t>GÄVLEBORGS LÄN</t>
        </is>
      </c>
      <c r="E7432" t="inlineStr">
        <is>
          <t>LJUSDAL</t>
        </is>
      </c>
      <c r="F7432" t="inlineStr">
        <is>
          <t>Allmännings- och besparingsskogar</t>
        </is>
      </c>
      <c r="G7432" t="n">
        <v>17.3</v>
      </c>
      <c r="H7432" t="n">
        <v>0</v>
      </c>
      <c r="I7432" t="n">
        <v>0</v>
      </c>
      <c r="J7432" t="n">
        <v>0</v>
      </c>
      <c r="K7432" t="n">
        <v>0</v>
      </c>
      <c r="L7432" t="n">
        <v>0</v>
      </c>
      <c r="M7432" t="n">
        <v>0</v>
      </c>
      <c r="N7432" t="n">
        <v>0</v>
      </c>
      <c r="O7432" t="n">
        <v>0</v>
      </c>
      <c r="P7432" t="n">
        <v>0</v>
      </c>
      <c r="Q7432" t="n">
        <v>0</v>
      </c>
      <c r="R7432" s="2" t="inlineStr"/>
    </row>
    <row r="7433" ht="15" customHeight="1">
      <c r="A7433" t="inlineStr">
        <is>
          <t>A 21900-2023</t>
        </is>
      </c>
      <c r="B7433" s="1" t="n">
        <v>45068</v>
      </c>
      <c r="C7433" s="1" t="n">
        <v>45344</v>
      </c>
      <c r="D7433" t="inlineStr">
        <is>
          <t>GÄVLEBORGS LÄN</t>
        </is>
      </c>
      <c r="E7433" t="inlineStr">
        <is>
          <t>OCKELBO</t>
        </is>
      </c>
      <c r="F7433" t="inlineStr">
        <is>
          <t>Bergvik skog väst AB</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21966-2023</t>
        </is>
      </c>
      <c r="B7434" s="1" t="n">
        <v>45068</v>
      </c>
      <c r="C7434" s="1" t="n">
        <v>45344</v>
      </c>
      <c r="D7434" t="inlineStr">
        <is>
          <t>GÄVLEBORGS LÄN</t>
        </is>
      </c>
      <c r="E7434" t="inlineStr">
        <is>
          <t>HUDIKSVALL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22004-2023</t>
        </is>
      </c>
      <c r="B7435" s="1" t="n">
        <v>45069</v>
      </c>
      <c r="C7435" s="1" t="n">
        <v>45344</v>
      </c>
      <c r="D7435" t="inlineStr">
        <is>
          <t>GÄVLEBORGS LÄN</t>
        </is>
      </c>
      <c r="E7435" t="inlineStr">
        <is>
          <t>NORDANSTIG</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21880-2023</t>
        </is>
      </c>
      <c r="B7436" s="1" t="n">
        <v>45068</v>
      </c>
      <c r="C7436" s="1" t="n">
        <v>45344</v>
      </c>
      <c r="D7436" t="inlineStr">
        <is>
          <t>GÄVLEBORGS LÄN</t>
        </is>
      </c>
      <c r="E7436" t="inlineStr">
        <is>
          <t>HUDIKSVALL</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21932-2023</t>
        </is>
      </c>
      <c r="B7437" s="1" t="n">
        <v>45068</v>
      </c>
      <c r="C7437" s="1" t="n">
        <v>45344</v>
      </c>
      <c r="D7437" t="inlineStr">
        <is>
          <t>GÄVLEBORGS LÄN</t>
        </is>
      </c>
      <c r="E7437" t="inlineStr">
        <is>
          <t>OVANÅKER</t>
        </is>
      </c>
      <c r="F7437" t="inlineStr">
        <is>
          <t>Bergvik skog väst AB</t>
        </is>
      </c>
      <c r="G7437" t="n">
        <v>9.199999999999999</v>
      </c>
      <c r="H7437" t="n">
        <v>0</v>
      </c>
      <c r="I7437" t="n">
        <v>0</v>
      </c>
      <c r="J7437" t="n">
        <v>0</v>
      </c>
      <c r="K7437" t="n">
        <v>0</v>
      </c>
      <c r="L7437" t="n">
        <v>0</v>
      </c>
      <c r="M7437" t="n">
        <v>0</v>
      </c>
      <c r="N7437" t="n">
        <v>0</v>
      </c>
      <c r="O7437" t="n">
        <v>0</v>
      </c>
      <c r="P7437" t="n">
        <v>0</v>
      </c>
      <c r="Q7437" t="n">
        <v>0</v>
      </c>
      <c r="R7437" s="2" t="inlineStr"/>
    </row>
    <row r="7438" ht="15" customHeight="1">
      <c r="A7438" t="inlineStr">
        <is>
          <t>A 21945-2023</t>
        </is>
      </c>
      <c r="B7438" s="1" t="n">
        <v>45068</v>
      </c>
      <c r="C7438" s="1" t="n">
        <v>45344</v>
      </c>
      <c r="D7438" t="inlineStr">
        <is>
          <t>GÄVLEBORGS LÄN</t>
        </is>
      </c>
      <c r="E7438" t="inlineStr">
        <is>
          <t>SÖDERHAMN</t>
        </is>
      </c>
      <c r="F7438" t="inlineStr">
        <is>
          <t>Bergvik skog väst AB</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21982-2023</t>
        </is>
      </c>
      <c r="B7439" s="1" t="n">
        <v>45068</v>
      </c>
      <c r="C7439" s="1" t="n">
        <v>45344</v>
      </c>
      <c r="D7439" t="inlineStr">
        <is>
          <t>GÄVLEBORGS LÄN</t>
        </is>
      </c>
      <c r="E7439" t="inlineStr">
        <is>
          <t>HUDIKSVALL</t>
        </is>
      </c>
      <c r="F7439" t="inlineStr">
        <is>
          <t>Holmen skog AB</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21999-2023</t>
        </is>
      </c>
      <c r="B7440" s="1" t="n">
        <v>45069</v>
      </c>
      <c r="C7440" s="1" t="n">
        <v>45344</v>
      </c>
      <c r="D7440" t="inlineStr">
        <is>
          <t>GÄVLEBORGS LÄN</t>
        </is>
      </c>
      <c r="E7440" t="inlineStr">
        <is>
          <t>NORDANSTIG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22150-2023</t>
        </is>
      </c>
      <c r="B7441" s="1" t="n">
        <v>45069</v>
      </c>
      <c r="C7441" s="1" t="n">
        <v>45344</v>
      </c>
      <c r="D7441" t="inlineStr">
        <is>
          <t>GÄVLEBORGS LÄN</t>
        </is>
      </c>
      <c r="E7441" t="inlineStr">
        <is>
          <t>OVANÅKER</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22214-2023</t>
        </is>
      </c>
      <c r="B7442" s="1" t="n">
        <v>45069</v>
      </c>
      <c r="C7442" s="1" t="n">
        <v>45344</v>
      </c>
      <c r="D7442" t="inlineStr">
        <is>
          <t>GÄVLEBORGS LÄN</t>
        </is>
      </c>
      <c r="E7442" t="inlineStr">
        <is>
          <t>SÖDERHAMN</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22066-2023</t>
        </is>
      </c>
      <c r="B7443" s="1" t="n">
        <v>45069</v>
      </c>
      <c r="C7443" s="1" t="n">
        <v>45344</v>
      </c>
      <c r="D7443" t="inlineStr">
        <is>
          <t>GÄVLEBORGS LÄN</t>
        </is>
      </c>
      <c r="E7443" t="inlineStr">
        <is>
          <t>LJUSDAL</t>
        </is>
      </c>
      <c r="F7443" t="inlineStr">
        <is>
          <t>Allmännings- och besparingsskogar</t>
        </is>
      </c>
      <c r="G7443" t="n">
        <v>3.9</v>
      </c>
      <c r="H7443" t="n">
        <v>0</v>
      </c>
      <c r="I7443" t="n">
        <v>0</v>
      </c>
      <c r="J7443" t="n">
        <v>0</v>
      </c>
      <c r="K7443" t="n">
        <v>0</v>
      </c>
      <c r="L7443" t="n">
        <v>0</v>
      </c>
      <c r="M7443" t="n">
        <v>0</v>
      </c>
      <c r="N7443" t="n">
        <v>0</v>
      </c>
      <c r="O7443" t="n">
        <v>0</v>
      </c>
      <c r="P7443" t="n">
        <v>0</v>
      </c>
      <c r="Q7443" t="n">
        <v>0</v>
      </c>
      <c r="R7443" s="2" t="inlineStr"/>
    </row>
    <row r="7444" ht="15" customHeight="1">
      <c r="A7444" t="inlineStr">
        <is>
          <t>A 22070-2023</t>
        </is>
      </c>
      <c r="B7444" s="1" t="n">
        <v>45069</v>
      </c>
      <c r="C7444" s="1" t="n">
        <v>45344</v>
      </c>
      <c r="D7444" t="inlineStr">
        <is>
          <t>GÄVLEBORGS LÄN</t>
        </is>
      </c>
      <c r="E7444" t="inlineStr">
        <is>
          <t>SANDVIKEN</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22106-2023</t>
        </is>
      </c>
      <c r="B7445" s="1" t="n">
        <v>45069</v>
      </c>
      <c r="C7445" s="1" t="n">
        <v>45344</v>
      </c>
      <c r="D7445" t="inlineStr">
        <is>
          <t>GÄVLEBORGS LÄN</t>
        </is>
      </c>
      <c r="E7445" t="inlineStr">
        <is>
          <t>GÄVLE</t>
        </is>
      </c>
      <c r="G7445" t="n">
        <v>4.8</v>
      </c>
      <c r="H7445" t="n">
        <v>0</v>
      </c>
      <c r="I7445" t="n">
        <v>0</v>
      </c>
      <c r="J7445" t="n">
        <v>0</v>
      </c>
      <c r="K7445" t="n">
        <v>0</v>
      </c>
      <c r="L7445" t="n">
        <v>0</v>
      </c>
      <c r="M7445" t="n">
        <v>0</v>
      </c>
      <c r="N7445" t="n">
        <v>0</v>
      </c>
      <c r="O7445" t="n">
        <v>0</v>
      </c>
      <c r="P7445" t="n">
        <v>0</v>
      </c>
      <c r="Q7445" t="n">
        <v>0</v>
      </c>
      <c r="R7445" s="2" t="inlineStr"/>
    </row>
    <row r="7446" ht="15" customHeight="1">
      <c r="A7446" t="inlineStr">
        <is>
          <t>A 22129-2023</t>
        </is>
      </c>
      <c r="B7446" s="1" t="n">
        <v>45069</v>
      </c>
      <c r="C7446" s="1" t="n">
        <v>45344</v>
      </c>
      <c r="D7446" t="inlineStr">
        <is>
          <t>GÄVLEBORGS LÄN</t>
        </is>
      </c>
      <c r="E7446" t="inlineStr">
        <is>
          <t>HOFORS</t>
        </is>
      </c>
      <c r="F7446" t="inlineStr">
        <is>
          <t>Sveaskog</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22130-2023</t>
        </is>
      </c>
      <c r="B7447" s="1" t="n">
        <v>45069</v>
      </c>
      <c r="C7447" s="1" t="n">
        <v>45344</v>
      </c>
      <c r="D7447" t="inlineStr">
        <is>
          <t>GÄVLEBORGS LÄN</t>
        </is>
      </c>
      <c r="E7447" t="inlineStr">
        <is>
          <t>HUDIKSVALL</t>
        </is>
      </c>
      <c r="G7447" t="n">
        <v>1</v>
      </c>
      <c r="H7447" t="n">
        <v>0</v>
      </c>
      <c r="I7447" t="n">
        <v>0</v>
      </c>
      <c r="J7447" t="n">
        <v>0</v>
      </c>
      <c r="K7447" t="n">
        <v>0</v>
      </c>
      <c r="L7447" t="n">
        <v>0</v>
      </c>
      <c r="M7447" t="n">
        <v>0</v>
      </c>
      <c r="N7447" t="n">
        <v>0</v>
      </c>
      <c r="O7447" t="n">
        <v>0</v>
      </c>
      <c r="P7447" t="n">
        <v>0</v>
      </c>
      <c r="Q7447" t="n">
        <v>0</v>
      </c>
      <c r="R7447" s="2" t="inlineStr"/>
    </row>
    <row r="7448" ht="15" customHeight="1">
      <c r="A7448" t="inlineStr">
        <is>
          <t>A 22148-2023</t>
        </is>
      </c>
      <c r="B7448" s="1" t="n">
        <v>45069</v>
      </c>
      <c r="C7448" s="1" t="n">
        <v>45344</v>
      </c>
      <c r="D7448" t="inlineStr">
        <is>
          <t>GÄVLEBORGS LÄN</t>
        </is>
      </c>
      <c r="E7448" t="inlineStr">
        <is>
          <t>BOLLNÄS</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22163-2023</t>
        </is>
      </c>
      <c r="B7449" s="1" t="n">
        <v>45069</v>
      </c>
      <c r="C7449" s="1" t="n">
        <v>45344</v>
      </c>
      <c r="D7449" t="inlineStr">
        <is>
          <t>GÄVLEBORGS LÄN</t>
        </is>
      </c>
      <c r="E7449" t="inlineStr">
        <is>
          <t>SÖDERHAMN</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22164-2023</t>
        </is>
      </c>
      <c r="B7450" s="1" t="n">
        <v>45069</v>
      </c>
      <c r="C7450" s="1" t="n">
        <v>45344</v>
      </c>
      <c r="D7450" t="inlineStr">
        <is>
          <t>GÄVLEBORGS LÄN</t>
        </is>
      </c>
      <c r="E7450" t="inlineStr">
        <is>
          <t>SÖDERHAMN</t>
        </is>
      </c>
      <c r="G7450" t="n">
        <v>9.1</v>
      </c>
      <c r="H7450" t="n">
        <v>0</v>
      </c>
      <c r="I7450" t="n">
        <v>0</v>
      </c>
      <c r="J7450" t="n">
        <v>0</v>
      </c>
      <c r="K7450" t="n">
        <v>0</v>
      </c>
      <c r="L7450" t="n">
        <v>0</v>
      </c>
      <c r="M7450" t="n">
        <v>0</v>
      </c>
      <c r="N7450" t="n">
        <v>0</v>
      </c>
      <c r="O7450" t="n">
        <v>0</v>
      </c>
      <c r="P7450" t="n">
        <v>0</v>
      </c>
      <c r="Q7450" t="n">
        <v>0</v>
      </c>
      <c r="R7450" s="2" t="inlineStr"/>
    </row>
    <row r="7451" ht="15" customHeight="1">
      <c r="A7451" t="inlineStr">
        <is>
          <t>A 22096-2023</t>
        </is>
      </c>
      <c r="B7451" s="1" t="n">
        <v>45069</v>
      </c>
      <c r="C7451" s="1" t="n">
        <v>45344</v>
      </c>
      <c r="D7451" t="inlineStr">
        <is>
          <t>GÄVLEBORGS LÄN</t>
        </is>
      </c>
      <c r="E7451" t="inlineStr">
        <is>
          <t>LJUSDAL</t>
        </is>
      </c>
      <c r="G7451" t="n">
        <v>9.699999999999999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22221-2023</t>
        </is>
      </c>
      <c r="B7452" s="1" t="n">
        <v>45070</v>
      </c>
      <c r="C7452" s="1" t="n">
        <v>45344</v>
      </c>
      <c r="D7452" t="inlineStr">
        <is>
          <t>GÄVLEBORGS LÄN</t>
        </is>
      </c>
      <c r="E7452" t="inlineStr">
        <is>
          <t>LJUSDAL</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22179-2023</t>
        </is>
      </c>
      <c r="B7453" s="1" t="n">
        <v>45069</v>
      </c>
      <c r="C7453" s="1" t="n">
        <v>45344</v>
      </c>
      <c r="D7453" t="inlineStr">
        <is>
          <t>GÄVLEBORGS LÄN</t>
        </is>
      </c>
      <c r="E7453" t="inlineStr">
        <is>
          <t>OCKELBO</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22213-2023</t>
        </is>
      </c>
      <c r="B7454" s="1" t="n">
        <v>45069</v>
      </c>
      <c r="C7454" s="1" t="n">
        <v>45344</v>
      </c>
      <c r="D7454" t="inlineStr">
        <is>
          <t>GÄVLEBORGS LÄN</t>
        </is>
      </c>
      <c r="E7454" t="inlineStr">
        <is>
          <t>SÖDERHAMN</t>
        </is>
      </c>
      <c r="G7454" t="n">
        <v>3.7</v>
      </c>
      <c r="H7454" t="n">
        <v>0</v>
      </c>
      <c r="I7454" t="n">
        <v>0</v>
      </c>
      <c r="J7454" t="n">
        <v>0</v>
      </c>
      <c r="K7454" t="n">
        <v>0</v>
      </c>
      <c r="L7454" t="n">
        <v>0</v>
      </c>
      <c r="M7454" t="n">
        <v>0</v>
      </c>
      <c r="N7454" t="n">
        <v>0</v>
      </c>
      <c r="O7454" t="n">
        <v>0</v>
      </c>
      <c r="P7454" t="n">
        <v>0</v>
      </c>
      <c r="Q7454" t="n">
        <v>0</v>
      </c>
      <c r="R7454" s="2" t="inlineStr"/>
    </row>
    <row r="7455" ht="15" customHeight="1">
      <c r="A7455" t="inlineStr">
        <is>
          <t>A 22212-2023</t>
        </is>
      </c>
      <c r="B7455" s="1" t="n">
        <v>45069</v>
      </c>
      <c r="C7455" s="1" t="n">
        <v>45344</v>
      </c>
      <c r="D7455" t="inlineStr">
        <is>
          <t>GÄVLEBORGS LÄN</t>
        </is>
      </c>
      <c r="E7455" t="inlineStr">
        <is>
          <t>SÖDERHAMN</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22042-2023</t>
        </is>
      </c>
      <c r="B7456" s="1" t="n">
        <v>45069</v>
      </c>
      <c r="C7456" s="1" t="n">
        <v>45344</v>
      </c>
      <c r="D7456" t="inlineStr">
        <is>
          <t>GÄVLEBORGS LÄN</t>
        </is>
      </c>
      <c r="E7456" t="inlineStr">
        <is>
          <t>SANDVIKEN</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22039-2023</t>
        </is>
      </c>
      <c r="B7457" s="1" t="n">
        <v>45069</v>
      </c>
      <c r="C7457" s="1" t="n">
        <v>45344</v>
      </c>
      <c r="D7457" t="inlineStr">
        <is>
          <t>GÄVLEBORGS LÄN</t>
        </is>
      </c>
      <c r="E7457" t="inlineStr">
        <is>
          <t>LJUSDAL</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22041-2023</t>
        </is>
      </c>
      <c r="B7458" s="1" t="n">
        <v>45069</v>
      </c>
      <c r="C7458" s="1" t="n">
        <v>45344</v>
      </c>
      <c r="D7458" t="inlineStr">
        <is>
          <t>GÄVLEBORGS LÄN</t>
        </is>
      </c>
      <c r="E7458" t="inlineStr">
        <is>
          <t>OCKELBO</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22250-2023</t>
        </is>
      </c>
      <c r="B7459" s="1" t="n">
        <v>45070</v>
      </c>
      <c r="C7459" s="1" t="n">
        <v>45344</v>
      </c>
      <c r="D7459" t="inlineStr">
        <is>
          <t>GÄVLEBORGS LÄN</t>
        </is>
      </c>
      <c r="E7459" t="inlineStr">
        <is>
          <t>LJUSDAL</t>
        </is>
      </c>
      <c r="F7459" t="inlineStr">
        <is>
          <t>Sveaskog</t>
        </is>
      </c>
      <c r="G7459" t="n">
        <v>29.7</v>
      </c>
      <c r="H7459" t="n">
        <v>0</v>
      </c>
      <c r="I7459" t="n">
        <v>0</v>
      </c>
      <c r="J7459" t="n">
        <v>0</v>
      </c>
      <c r="K7459" t="n">
        <v>0</v>
      </c>
      <c r="L7459" t="n">
        <v>0</v>
      </c>
      <c r="M7459" t="n">
        <v>0</v>
      </c>
      <c r="N7459" t="n">
        <v>0</v>
      </c>
      <c r="O7459" t="n">
        <v>0</v>
      </c>
      <c r="P7459" t="n">
        <v>0</v>
      </c>
      <c r="Q7459" t="n">
        <v>0</v>
      </c>
      <c r="R7459" s="2" t="inlineStr"/>
    </row>
    <row r="7460" ht="15" customHeight="1">
      <c r="A7460" t="inlineStr">
        <is>
          <t>A 22317-2023</t>
        </is>
      </c>
      <c r="B7460" s="1" t="n">
        <v>45070</v>
      </c>
      <c r="C7460" s="1" t="n">
        <v>45344</v>
      </c>
      <c r="D7460" t="inlineStr">
        <is>
          <t>GÄVLEBORGS LÄN</t>
        </is>
      </c>
      <c r="E7460" t="inlineStr">
        <is>
          <t>LJUSDAL</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22343-2023</t>
        </is>
      </c>
      <c r="B7461" s="1" t="n">
        <v>45070</v>
      </c>
      <c r="C7461" s="1" t="n">
        <v>45344</v>
      </c>
      <c r="D7461" t="inlineStr">
        <is>
          <t>GÄVLEBORGS LÄN</t>
        </is>
      </c>
      <c r="E7461" t="inlineStr">
        <is>
          <t>LJUSDAL</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22372-2023</t>
        </is>
      </c>
      <c r="B7462" s="1" t="n">
        <v>45070</v>
      </c>
      <c r="C7462" s="1" t="n">
        <v>45344</v>
      </c>
      <c r="D7462" t="inlineStr">
        <is>
          <t>GÄVLEBORGS LÄN</t>
        </is>
      </c>
      <c r="E7462" t="inlineStr">
        <is>
          <t>HUDIKSVALL</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22377-2023</t>
        </is>
      </c>
      <c r="B7463" s="1" t="n">
        <v>45070</v>
      </c>
      <c r="C7463" s="1" t="n">
        <v>45344</v>
      </c>
      <c r="D7463" t="inlineStr">
        <is>
          <t>GÄVLEBORGS LÄN</t>
        </is>
      </c>
      <c r="E7463" t="inlineStr">
        <is>
          <t>HUDIKSVALL</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22238-2023</t>
        </is>
      </c>
      <c r="B7464" s="1" t="n">
        <v>45070</v>
      </c>
      <c r="C7464" s="1" t="n">
        <v>45344</v>
      </c>
      <c r="D7464" t="inlineStr">
        <is>
          <t>GÄVLEBORGS LÄN</t>
        </is>
      </c>
      <c r="E7464" t="inlineStr">
        <is>
          <t>SANDVIKEN</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22251-2023</t>
        </is>
      </c>
      <c r="B7465" s="1" t="n">
        <v>45070</v>
      </c>
      <c r="C7465" s="1" t="n">
        <v>45344</v>
      </c>
      <c r="D7465" t="inlineStr">
        <is>
          <t>GÄVLEBORGS LÄN</t>
        </is>
      </c>
      <c r="E7465" t="inlineStr">
        <is>
          <t>LJUSDAL</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22252-2023</t>
        </is>
      </c>
      <c r="B7466" s="1" t="n">
        <v>45070</v>
      </c>
      <c r="C7466" s="1" t="n">
        <v>45344</v>
      </c>
      <c r="D7466" t="inlineStr">
        <is>
          <t>GÄVLEBORGS LÄN</t>
        </is>
      </c>
      <c r="E7466" t="inlineStr">
        <is>
          <t>LJUSDAL</t>
        </is>
      </c>
      <c r="F7466" t="inlineStr">
        <is>
          <t>Sveaskog</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22302-2023</t>
        </is>
      </c>
      <c r="B7467" s="1" t="n">
        <v>45070</v>
      </c>
      <c r="C7467" s="1" t="n">
        <v>45344</v>
      </c>
      <c r="D7467" t="inlineStr">
        <is>
          <t>GÄVLEBORGS LÄN</t>
        </is>
      </c>
      <c r="E7467" t="inlineStr">
        <is>
          <t>OVANÅKER</t>
        </is>
      </c>
      <c r="F7467" t="inlineStr">
        <is>
          <t>Bergvik skog väst AB</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22349-2023</t>
        </is>
      </c>
      <c r="B7468" s="1" t="n">
        <v>45070</v>
      </c>
      <c r="C7468" s="1" t="n">
        <v>45344</v>
      </c>
      <c r="D7468" t="inlineStr">
        <is>
          <t>GÄVLEBORGS LÄN</t>
        </is>
      </c>
      <c r="E7468" t="inlineStr">
        <is>
          <t>HUDIKSVALL</t>
        </is>
      </c>
      <c r="F7468" t="inlineStr">
        <is>
          <t>Holmen skog AB</t>
        </is>
      </c>
      <c r="G7468" t="n">
        <v>15.9</v>
      </c>
      <c r="H7468" t="n">
        <v>0</v>
      </c>
      <c r="I7468" t="n">
        <v>0</v>
      </c>
      <c r="J7468" t="n">
        <v>0</v>
      </c>
      <c r="K7468" t="n">
        <v>0</v>
      </c>
      <c r="L7468" t="n">
        <v>0</v>
      </c>
      <c r="M7468" t="n">
        <v>0</v>
      </c>
      <c r="N7468" t="n">
        <v>0</v>
      </c>
      <c r="O7468" t="n">
        <v>0</v>
      </c>
      <c r="P7468" t="n">
        <v>0</v>
      </c>
      <c r="Q7468" t="n">
        <v>0</v>
      </c>
      <c r="R7468" s="2" t="inlineStr"/>
    </row>
    <row r="7469" ht="15" customHeight="1">
      <c r="A7469" t="inlineStr">
        <is>
          <t>A 22459-2023</t>
        </is>
      </c>
      <c r="B7469" s="1" t="n">
        <v>45070</v>
      </c>
      <c r="C7469" s="1" t="n">
        <v>45344</v>
      </c>
      <c r="D7469" t="inlineStr">
        <is>
          <t>GÄVLEBORGS LÄN</t>
        </is>
      </c>
      <c r="E7469" t="inlineStr">
        <is>
          <t>NORDANSTIG</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22272-2023</t>
        </is>
      </c>
      <c r="B7470" s="1" t="n">
        <v>45070</v>
      </c>
      <c r="C7470" s="1" t="n">
        <v>45344</v>
      </c>
      <c r="D7470" t="inlineStr">
        <is>
          <t>GÄVLEBORGS LÄN</t>
        </is>
      </c>
      <c r="E7470" t="inlineStr">
        <is>
          <t>OCKELBO</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22276-2023</t>
        </is>
      </c>
      <c r="B7471" s="1" t="n">
        <v>45070</v>
      </c>
      <c r="C7471" s="1" t="n">
        <v>45344</v>
      </c>
      <c r="D7471" t="inlineStr">
        <is>
          <t>GÄVLEBORGS LÄN</t>
        </is>
      </c>
      <c r="E7471" t="inlineStr">
        <is>
          <t>LJUSDAL</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22299-2023</t>
        </is>
      </c>
      <c r="B7472" s="1" t="n">
        <v>45070</v>
      </c>
      <c r="C7472" s="1" t="n">
        <v>45344</v>
      </c>
      <c r="D7472" t="inlineStr">
        <is>
          <t>GÄVLEBORGS LÄN</t>
        </is>
      </c>
      <c r="E7472" t="inlineStr">
        <is>
          <t>OVANÅKER</t>
        </is>
      </c>
      <c r="F7472" t="inlineStr">
        <is>
          <t>Bergvik skog väst AB</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22320-2023</t>
        </is>
      </c>
      <c r="B7473" s="1" t="n">
        <v>45070</v>
      </c>
      <c r="C7473" s="1" t="n">
        <v>45344</v>
      </c>
      <c r="D7473" t="inlineStr">
        <is>
          <t>GÄVLEBORGS LÄN</t>
        </is>
      </c>
      <c r="E7473" t="inlineStr">
        <is>
          <t>NORDANSTIG</t>
        </is>
      </c>
      <c r="G7473" t="n">
        <v>0.5</v>
      </c>
      <c r="H7473" t="n">
        <v>0</v>
      </c>
      <c r="I7473" t="n">
        <v>0</v>
      </c>
      <c r="J7473" t="n">
        <v>0</v>
      </c>
      <c r="K7473" t="n">
        <v>0</v>
      </c>
      <c r="L7473" t="n">
        <v>0</v>
      </c>
      <c r="M7473" t="n">
        <v>0</v>
      </c>
      <c r="N7473" t="n">
        <v>0</v>
      </c>
      <c r="O7473" t="n">
        <v>0</v>
      </c>
      <c r="P7473" t="n">
        <v>0</v>
      </c>
      <c r="Q7473" t="n">
        <v>0</v>
      </c>
      <c r="R7473" s="2" t="inlineStr"/>
    </row>
    <row r="7474" ht="15" customHeight="1">
      <c r="A7474" t="inlineStr">
        <is>
          <t>A 22336-2023</t>
        </is>
      </c>
      <c r="B7474" s="1" t="n">
        <v>45070</v>
      </c>
      <c r="C7474" s="1" t="n">
        <v>45344</v>
      </c>
      <c r="D7474" t="inlineStr">
        <is>
          <t>GÄVLEBORGS LÄN</t>
        </is>
      </c>
      <c r="E7474" t="inlineStr">
        <is>
          <t>OVANÅKER</t>
        </is>
      </c>
      <c r="F7474" t="inlineStr">
        <is>
          <t>Bergvik skog väst AB</t>
        </is>
      </c>
      <c r="G7474" t="n">
        <v>5.1</v>
      </c>
      <c r="H7474" t="n">
        <v>0</v>
      </c>
      <c r="I7474" t="n">
        <v>0</v>
      </c>
      <c r="J7474" t="n">
        <v>0</v>
      </c>
      <c r="K7474" t="n">
        <v>0</v>
      </c>
      <c r="L7474" t="n">
        <v>0</v>
      </c>
      <c r="M7474" t="n">
        <v>0</v>
      </c>
      <c r="N7474" t="n">
        <v>0</v>
      </c>
      <c r="O7474" t="n">
        <v>0</v>
      </c>
      <c r="P7474" t="n">
        <v>0</v>
      </c>
      <c r="Q7474" t="n">
        <v>0</v>
      </c>
      <c r="R7474" s="2" t="inlineStr"/>
    </row>
    <row r="7475" ht="15" customHeight="1">
      <c r="A7475" t="inlineStr">
        <is>
          <t>A 22383-2023</t>
        </is>
      </c>
      <c r="B7475" s="1" t="n">
        <v>45070</v>
      </c>
      <c r="C7475" s="1" t="n">
        <v>45344</v>
      </c>
      <c r="D7475" t="inlineStr">
        <is>
          <t>GÄVLEBORGS LÄN</t>
        </is>
      </c>
      <c r="E7475" t="inlineStr">
        <is>
          <t>SÖDERHAMN</t>
        </is>
      </c>
      <c r="F7475" t="inlineStr">
        <is>
          <t>Bergvik skog väst AB</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22399-2023</t>
        </is>
      </c>
      <c r="B7476" s="1" t="n">
        <v>45070</v>
      </c>
      <c r="C7476" s="1" t="n">
        <v>45344</v>
      </c>
      <c r="D7476" t="inlineStr">
        <is>
          <t>GÄVLEBORGS LÄN</t>
        </is>
      </c>
      <c r="E7476" t="inlineStr">
        <is>
          <t>BOLLNÄS</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22438-2023</t>
        </is>
      </c>
      <c r="B7477" s="1" t="n">
        <v>45070</v>
      </c>
      <c r="C7477" s="1" t="n">
        <v>45344</v>
      </c>
      <c r="D7477" t="inlineStr">
        <is>
          <t>GÄVLEBORGS LÄN</t>
        </is>
      </c>
      <c r="E7477" t="inlineStr">
        <is>
          <t>HUDIKSVALL</t>
        </is>
      </c>
      <c r="G7477" t="n">
        <v>4.8</v>
      </c>
      <c r="H7477" t="n">
        <v>0</v>
      </c>
      <c r="I7477" t="n">
        <v>0</v>
      </c>
      <c r="J7477" t="n">
        <v>0</v>
      </c>
      <c r="K7477" t="n">
        <v>0</v>
      </c>
      <c r="L7477" t="n">
        <v>0</v>
      </c>
      <c r="M7477" t="n">
        <v>0</v>
      </c>
      <c r="N7477" t="n">
        <v>0</v>
      </c>
      <c r="O7477" t="n">
        <v>0</v>
      </c>
      <c r="P7477" t="n">
        <v>0</v>
      </c>
      <c r="Q7477" t="n">
        <v>0</v>
      </c>
      <c r="R7477" s="2" t="inlineStr"/>
    </row>
    <row r="7478" ht="15" customHeight="1">
      <c r="A7478" t="inlineStr">
        <is>
          <t>A 22297-2023</t>
        </is>
      </c>
      <c r="B7478" s="1" t="n">
        <v>45070</v>
      </c>
      <c r="C7478" s="1" t="n">
        <v>45344</v>
      </c>
      <c r="D7478" t="inlineStr">
        <is>
          <t>GÄVLEBORGS LÄN</t>
        </is>
      </c>
      <c r="E7478" t="inlineStr">
        <is>
          <t>HOFORS</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22338-2023</t>
        </is>
      </c>
      <c r="B7479" s="1" t="n">
        <v>45070</v>
      </c>
      <c r="C7479" s="1" t="n">
        <v>45344</v>
      </c>
      <c r="D7479" t="inlineStr">
        <is>
          <t>GÄVLEBORGS LÄN</t>
        </is>
      </c>
      <c r="E7479" t="inlineStr">
        <is>
          <t>LJUSDAL</t>
        </is>
      </c>
      <c r="G7479" t="n">
        <v>1.6</v>
      </c>
      <c r="H7479" t="n">
        <v>0</v>
      </c>
      <c r="I7479" t="n">
        <v>0</v>
      </c>
      <c r="J7479" t="n">
        <v>0</v>
      </c>
      <c r="K7479" t="n">
        <v>0</v>
      </c>
      <c r="L7479" t="n">
        <v>0</v>
      </c>
      <c r="M7479" t="n">
        <v>0</v>
      </c>
      <c r="N7479" t="n">
        <v>0</v>
      </c>
      <c r="O7479" t="n">
        <v>0</v>
      </c>
      <c r="P7479" t="n">
        <v>0</v>
      </c>
      <c r="Q7479" t="n">
        <v>0</v>
      </c>
      <c r="R7479" s="2" t="inlineStr"/>
    </row>
    <row r="7480" ht="15" customHeight="1">
      <c r="A7480" t="inlineStr">
        <is>
          <t>A 22348-2023</t>
        </is>
      </c>
      <c r="B7480" s="1" t="n">
        <v>45070</v>
      </c>
      <c r="C7480" s="1" t="n">
        <v>45344</v>
      </c>
      <c r="D7480" t="inlineStr">
        <is>
          <t>GÄVLEBORGS LÄN</t>
        </is>
      </c>
      <c r="E7480" t="inlineStr">
        <is>
          <t>HUDIKSVALL</t>
        </is>
      </c>
      <c r="F7480" t="inlineStr">
        <is>
          <t>Holmen skog AB</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22373-2023</t>
        </is>
      </c>
      <c r="B7481" s="1" t="n">
        <v>45070</v>
      </c>
      <c r="C7481" s="1" t="n">
        <v>45344</v>
      </c>
      <c r="D7481" t="inlineStr">
        <is>
          <t>GÄVLEBORGS LÄN</t>
        </is>
      </c>
      <c r="E7481" t="inlineStr">
        <is>
          <t>SANDVIKEN</t>
        </is>
      </c>
      <c r="G7481" t="n">
        <v>2.9</v>
      </c>
      <c r="H7481" t="n">
        <v>0</v>
      </c>
      <c r="I7481" t="n">
        <v>0</v>
      </c>
      <c r="J7481" t="n">
        <v>0</v>
      </c>
      <c r="K7481" t="n">
        <v>0</v>
      </c>
      <c r="L7481" t="n">
        <v>0</v>
      </c>
      <c r="M7481" t="n">
        <v>0</v>
      </c>
      <c r="N7481" t="n">
        <v>0</v>
      </c>
      <c r="O7481" t="n">
        <v>0</v>
      </c>
      <c r="P7481" t="n">
        <v>0</v>
      </c>
      <c r="Q7481" t="n">
        <v>0</v>
      </c>
      <c r="R7481" s="2" t="inlineStr"/>
    </row>
    <row r="7482" ht="15" customHeight="1">
      <c r="A7482" t="inlineStr">
        <is>
          <t>A 22385-2023</t>
        </is>
      </c>
      <c r="B7482" s="1" t="n">
        <v>45070</v>
      </c>
      <c r="C7482" s="1" t="n">
        <v>45344</v>
      </c>
      <c r="D7482" t="inlineStr">
        <is>
          <t>GÄVLEBORGS LÄN</t>
        </is>
      </c>
      <c r="E7482" t="inlineStr">
        <is>
          <t>OCKELBO</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22440-2023</t>
        </is>
      </c>
      <c r="B7483" s="1" t="n">
        <v>45070</v>
      </c>
      <c r="C7483" s="1" t="n">
        <v>45344</v>
      </c>
      <c r="D7483" t="inlineStr">
        <is>
          <t>GÄVLEBORGS LÄN</t>
        </is>
      </c>
      <c r="E7483" t="inlineStr">
        <is>
          <t>LJUSDAL</t>
        </is>
      </c>
      <c r="F7483" t="inlineStr">
        <is>
          <t>Holmen skog AB</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22462-2023</t>
        </is>
      </c>
      <c r="B7484" s="1" t="n">
        <v>45070</v>
      </c>
      <c r="C7484" s="1" t="n">
        <v>45344</v>
      </c>
      <c r="D7484" t="inlineStr">
        <is>
          <t>GÄVLEBORGS LÄN</t>
        </is>
      </c>
      <c r="E7484" t="inlineStr">
        <is>
          <t>LJUSDAL</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22466-2023</t>
        </is>
      </c>
      <c r="B7485" s="1" t="n">
        <v>45070</v>
      </c>
      <c r="C7485" s="1" t="n">
        <v>45344</v>
      </c>
      <c r="D7485" t="inlineStr">
        <is>
          <t>GÄVLEBORGS LÄN</t>
        </is>
      </c>
      <c r="E7485" t="inlineStr">
        <is>
          <t>GÄVLE</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22504-2023</t>
        </is>
      </c>
      <c r="B7486" s="1" t="n">
        <v>45071</v>
      </c>
      <c r="C7486" s="1" t="n">
        <v>45344</v>
      </c>
      <c r="D7486" t="inlineStr">
        <is>
          <t>GÄVLEBORGS LÄN</t>
        </is>
      </c>
      <c r="E7486" t="inlineStr">
        <is>
          <t>LJUSDAL</t>
        </is>
      </c>
      <c r="F7486" t="inlineStr">
        <is>
          <t>Holmen skog AB</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22631-2023</t>
        </is>
      </c>
      <c r="B7487" s="1" t="n">
        <v>45071</v>
      </c>
      <c r="C7487" s="1" t="n">
        <v>45344</v>
      </c>
      <c r="D7487" t="inlineStr">
        <is>
          <t>GÄVLEBORGS LÄN</t>
        </is>
      </c>
      <c r="E7487" t="inlineStr">
        <is>
          <t>NORDANSTIG</t>
        </is>
      </c>
      <c r="F7487" t="inlineStr">
        <is>
          <t>Holmen skog AB</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22497-2023</t>
        </is>
      </c>
      <c r="B7488" s="1" t="n">
        <v>45071</v>
      </c>
      <c r="C7488" s="1" t="n">
        <v>45344</v>
      </c>
      <c r="D7488" t="inlineStr">
        <is>
          <t>GÄVLEBORGS LÄN</t>
        </is>
      </c>
      <c r="E7488" t="inlineStr">
        <is>
          <t>SÖDERHAMN</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22588-2023</t>
        </is>
      </c>
      <c r="B7489" s="1" t="n">
        <v>45071</v>
      </c>
      <c r="C7489" s="1" t="n">
        <v>45344</v>
      </c>
      <c r="D7489" t="inlineStr">
        <is>
          <t>GÄVLEBORGS LÄN</t>
        </is>
      </c>
      <c r="E7489" t="inlineStr">
        <is>
          <t>HUDIKSVALL</t>
        </is>
      </c>
      <c r="G7489" t="n">
        <v>8.4</v>
      </c>
      <c r="H7489" t="n">
        <v>0</v>
      </c>
      <c r="I7489" t="n">
        <v>0</v>
      </c>
      <c r="J7489" t="n">
        <v>0</v>
      </c>
      <c r="K7489" t="n">
        <v>0</v>
      </c>
      <c r="L7489" t="n">
        <v>0</v>
      </c>
      <c r="M7489" t="n">
        <v>0</v>
      </c>
      <c r="N7489" t="n">
        <v>0</v>
      </c>
      <c r="O7489" t="n">
        <v>0</v>
      </c>
      <c r="P7489" t="n">
        <v>0</v>
      </c>
      <c r="Q7489" t="n">
        <v>0</v>
      </c>
      <c r="R7489" s="2" t="inlineStr"/>
    </row>
    <row r="7490" ht="15" customHeight="1">
      <c r="A7490" t="inlineStr">
        <is>
          <t>A 22593-2023</t>
        </is>
      </c>
      <c r="B7490" s="1" t="n">
        <v>45071</v>
      </c>
      <c r="C7490" s="1" t="n">
        <v>45344</v>
      </c>
      <c r="D7490" t="inlineStr">
        <is>
          <t>GÄVLEBORGS LÄN</t>
        </is>
      </c>
      <c r="E7490" t="inlineStr">
        <is>
          <t>HUDIKSVALL</t>
        </is>
      </c>
      <c r="G7490" t="n">
        <v>3.8</v>
      </c>
      <c r="H7490" t="n">
        <v>0</v>
      </c>
      <c r="I7490" t="n">
        <v>0</v>
      </c>
      <c r="J7490" t="n">
        <v>0</v>
      </c>
      <c r="K7490" t="n">
        <v>0</v>
      </c>
      <c r="L7490" t="n">
        <v>0</v>
      </c>
      <c r="M7490" t="n">
        <v>0</v>
      </c>
      <c r="N7490" t="n">
        <v>0</v>
      </c>
      <c r="O7490" t="n">
        <v>0</v>
      </c>
      <c r="P7490" t="n">
        <v>0</v>
      </c>
      <c r="Q7490" t="n">
        <v>0</v>
      </c>
      <c r="R7490" s="2" t="inlineStr"/>
    </row>
    <row r="7491" ht="15" customHeight="1">
      <c r="A7491" t="inlineStr">
        <is>
          <t>A 22627-2023</t>
        </is>
      </c>
      <c r="B7491" s="1" t="n">
        <v>45071</v>
      </c>
      <c r="C7491" s="1" t="n">
        <v>45344</v>
      </c>
      <c r="D7491" t="inlineStr">
        <is>
          <t>GÄVLEBORGS LÄN</t>
        </is>
      </c>
      <c r="E7491" t="inlineStr">
        <is>
          <t>LJUSDAL</t>
        </is>
      </c>
      <c r="F7491" t="inlineStr">
        <is>
          <t>Holmen skog AB</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22499-2023</t>
        </is>
      </c>
      <c r="B7492" s="1" t="n">
        <v>45071</v>
      </c>
      <c r="C7492" s="1" t="n">
        <v>45344</v>
      </c>
      <c r="D7492" t="inlineStr">
        <is>
          <t>GÄVLEBORGS LÄN</t>
        </is>
      </c>
      <c r="E7492" t="inlineStr">
        <is>
          <t>OVANÅKER</t>
        </is>
      </c>
      <c r="F7492" t="inlineStr">
        <is>
          <t>Bergvik skog väst AB</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22503-2023</t>
        </is>
      </c>
      <c r="B7493" s="1" t="n">
        <v>45071</v>
      </c>
      <c r="C7493" s="1" t="n">
        <v>45344</v>
      </c>
      <c r="D7493" t="inlineStr">
        <is>
          <t>GÄVLEBORGS LÄN</t>
        </is>
      </c>
      <c r="E7493" t="inlineStr">
        <is>
          <t>SÖDERHAMN</t>
        </is>
      </c>
      <c r="F7493" t="inlineStr">
        <is>
          <t>Bergvik skog väst AB</t>
        </is>
      </c>
      <c r="G7493" t="n">
        <v>4.3</v>
      </c>
      <c r="H7493" t="n">
        <v>0</v>
      </c>
      <c r="I7493" t="n">
        <v>0</v>
      </c>
      <c r="J7493" t="n">
        <v>0</v>
      </c>
      <c r="K7493" t="n">
        <v>0</v>
      </c>
      <c r="L7493" t="n">
        <v>0</v>
      </c>
      <c r="M7493" t="n">
        <v>0</v>
      </c>
      <c r="N7493" t="n">
        <v>0</v>
      </c>
      <c r="O7493" t="n">
        <v>0</v>
      </c>
      <c r="P7493" t="n">
        <v>0</v>
      </c>
      <c r="Q7493" t="n">
        <v>0</v>
      </c>
      <c r="R7493" s="2" t="inlineStr"/>
    </row>
    <row r="7494" ht="15" customHeight="1">
      <c r="A7494" t="inlineStr">
        <is>
          <t>A 22527-2023</t>
        </is>
      </c>
      <c r="B7494" s="1" t="n">
        <v>45071</v>
      </c>
      <c r="C7494" s="1" t="n">
        <v>45344</v>
      </c>
      <c r="D7494" t="inlineStr">
        <is>
          <t>GÄVLEBORGS LÄN</t>
        </is>
      </c>
      <c r="E7494" t="inlineStr">
        <is>
          <t>BOLLNÄS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22531-2023</t>
        </is>
      </c>
      <c r="B7495" s="1" t="n">
        <v>45071</v>
      </c>
      <c r="C7495" s="1" t="n">
        <v>45344</v>
      </c>
      <c r="D7495" t="inlineStr">
        <is>
          <t>GÄVLEBORGS LÄN</t>
        </is>
      </c>
      <c r="E7495" t="inlineStr">
        <is>
          <t>LJUSDAL</t>
        </is>
      </c>
      <c r="F7495" t="inlineStr">
        <is>
          <t>Holmen skog AB</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22554-2023</t>
        </is>
      </c>
      <c r="B7496" s="1" t="n">
        <v>45071</v>
      </c>
      <c r="C7496" s="1" t="n">
        <v>45344</v>
      </c>
      <c r="D7496" t="inlineStr">
        <is>
          <t>GÄVLEBORGS LÄN</t>
        </is>
      </c>
      <c r="E7496" t="inlineStr">
        <is>
          <t>LJUSDAL</t>
        </is>
      </c>
      <c r="F7496" t="inlineStr">
        <is>
          <t>Allmännings- och besparingsskogar</t>
        </is>
      </c>
      <c r="G7496" t="n">
        <v>7.1</v>
      </c>
      <c r="H7496" t="n">
        <v>0</v>
      </c>
      <c r="I7496" t="n">
        <v>0</v>
      </c>
      <c r="J7496" t="n">
        <v>0</v>
      </c>
      <c r="K7496" t="n">
        <v>0</v>
      </c>
      <c r="L7496" t="n">
        <v>0</v>
      </c>
      <c r="M7496" t="n">
        <v>0</v>
      </c>
      <c r="N7496" t="n">
        <v>0</v>
      </c>
      <c r="O7496" t="n">
        <v>0</v>
      </c>
      <c r="P7496" t="n">
        <v>0</v>
      </c>
      <c r="Q7496" t="n">
        <v>0</v>
      </c>
      <c r="R7496" s="2" t="inlineStr"/>
    </row>
    <row r="7497" ht="15" customHeight="1">
      <c r="A7497" t="inlineStr">
        <is>
          <t>A 22559-2023</t>
        </is>
      </c>
      <c r="B7497" s="1" t="n">
        <v>45071</v>
      </c>
      <c r="C7497" s="1" t="n">
        <v>45344</v>
      </c>
      <c r="D7497" t="inlineStr">
        <is>
          <t>GÄVLEBORGS LÄN</t>
        </is>
      </c>
      <c r="E7497" t="inlineStr">
        <is>
          <t>LJUSDAL</t>
        </is>
      </c>
      <c r="F7497" t="inlineStr">
        <is>
          <t>Holmen skog AB</t>
        </is>
      </c>
      <c r="G7497" t="n">
        <v>4.4</v>
      </c>
      <c r="H7497" t="n">
        <v>0</v>
      </c>
      <c r="I7497" t="n">
        <v>0</v>
      </c>
      <c r="J7497" t="n">
        <v>0</v>
      </c>
      <c r="K7497" t="n">
        <v>0</v>
      </c>
      <c r="L7497" t="n">
        <v>0</v>
      </c>
      <c r="M7497" t="n">
        <v>0</v>
      </c>
      <c r="N7497" t="n">
        <v>0</v>
      </c>
      <c r="O7497" t="n">
        <v>0</v>
      </c>
      <c r="P7497" t="n">
        <v>0</v>
      </c>
      <c r="Q7497" t="n">
        <v>0</v>
      </c>
      <c r="R7497" s="2" t="inlineStr"/>
    </row>
    <row r="7498" ht="15" customHeight="1">
      <c r="A7498" t="inlineStr">
        <is>
          <t>A 22558-2023</t>
        </is>
      </c>
      <c r="B7498" s="1" t="n">
        <v>45071</v>
      </c>
      <c r="C7498" s="1" t="n">
        <v>45344</v>
      </c>
      <c r="D7498" t="inlineStr">
        <is>
          <t>GÄVLEBORGS LÄN</t>
        </is>
      </c>
      <c r="E7498" t="inlineStr">
        <is>
          <t>LJUSDAL</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22575-2023</t>
        </is>
      </c>
      <c r="B7499" s="1" t="n">
        <v>45071</v>
      </c>
      <c r="C7499" s="1" t="n">
        <v>45344</v>
      </c>
      <c r="D7499" t="inlineStr">
        <is>
          <t>GÄVLEBORGS LÄN</t>
        </is>
      </c>
      <c r="E7499" t="inlineStr">
        <is>
          <t>HUDIKSVALL</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22608-2023</t>
        </is>
      </c>
      <c r="B7500" s="1" t="n">
        <v>45071</v>
      </c>
      <c r="C7500" s="1" t="n">
        <v>45344</v>
      </c>
      <c r="D7500" t="inlineStr">
        <is>
          <t>GÄVLEBORGS LÄN</t>
        </is>
      </c>
      <c r="E7500" t="inlineStr">
        <is>
          <t>LJUSDAL</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22620-2023</t>
        </is>
      </c>
      <c r="B7501" s="1" t="n">
        <v>45071</v>
      </c>
      <c r="C7501" s="1" t="n">
        <v>45344</v>
      </c>
      <c r="D7501" t="inlineStr">
        <is>
          <t>GÄVLEBORGS LÄN</t>
        </is>
      </c>
      <c r="E7501" t="inlineStr">
        <is>
          <t>LJUSDAL</t>
        </is>
      </c>
      <c r="F7501" t="inlineStr">
        <is>
          <t>Holmen skog AB</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22678-2023</t>
        </is>
      </c>
      <c r="B7502" s="1" t="n">
        <v>45071</v>
      </c>
      <c r="C7502" s="1" t="n">
        <v>45344</v>
      </c>
      <c r="D7502" t="inlineStr">
        <is>
          <t>GÄVLEBORGS LÄN</t>
        </is>
      </c>
      <c r="E7502" t="inlineStr">
        <is>
          <t>LJUSDAL</t>
        </is>
      </c>
      <c r="G7502" t="n">
        <v>0.1</v>
      </c>
      <c r="H7502" t="n">
        <v>0</v>
      </c>
      <c r="I7502" t="n">
        <v>0</v>
      </c>
      <c r="J7502" t="n">
        <v>0</v>
      </c>
      <c r="K7502" t="n">
        <v>0</v>
      </c>
      <c r="L7502" t="n">
        <v>0</v>
      </c>
      <c r="M7502" t="n">
        <v>0</v>
      </c>
      <c r="N7502" t="n">
        <v>0</v>
      </c>
      <c r="O7502" t="n">
        <v>0</v>
      </c>
      <c r="P7502" t="n">
        <v>0</v>
      </c>
      <c r="Q7502" t="n">
        <v>0</v>
      </c>
      <c r="R7502" s="2" t="inlineStr"/>
    </row>
    <row r="7503" ht="15" customHeight="1">
      <c r="A7503" t="inlineStr">
        <is>
          <t>A 22690-2023</t>
        </is>
      </c>
      <c r="B7503" s="1" t="n">
        <v>45071</v>
      </c>
      <c r="C7503" s="1" t="n">
        <v>45344</v>
      </c>
      <c r="D7503" t="inlineStr">
        <is>
          <t>GÄVLEBORGS LÄN</t>
        </is>
      </c>
      <c r="E7503" t="inlineStr">
        <is>
          <t>SÖDERHAMN</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22720-2023</t>
        </is>
      </c>
      <c r="B7504" s="1" t="n">
        <v>45071</v>
      </c>
      <c r="C7504" s="1" t="n">
        <v>45344</v>
      </c>
      <c r="D7504" t="inlineStr">
        <is>
          <t>GÄVLEBORGS LÄN</t>
        </is>
      </c>
      <c r="E7504" t="inlineStr">
        <is>
          <t>GÄVLE</t>
        </is>
      </c>
      <c r="F7504" t="inlineStr">
        <is>
          <t>Bergvik skog öst AB</t>
        </is>
      </c>
      <c r="G7504" t="n">
        <v>8.199999999999999</v>
      </c>
      <c r="H7504" t="n">
        <v>0</v>
      </c>
      <c r="I7504" t="n">
        <v>0</v>
      </c>
      <c r="J7504" t="n">
        <v>0</v>
      </c>
      <c r="K7504" t="n">
        <v>0</v>
      </c>
      <c r="L7504" t="n">
        <v>0</v>
      </c>
      <c r="M7504" t="n">
        <v>0</v>
      </c>
      <c r="N7504" t="n">
        <v>0</v>
      </c>
      <c r="O7504" t="n">
        <v>0</v>
      </c>
      <c r="P7504" t="n">
        <v>0</v>
      </c>
      <c r="Q7504" t="n">
        <v>0</v>
      </c>
      <c r="R7504" s="2" t="inlineStr"/>
    </row>
    <row r="7505" ht="15" customHeight="1">
      <c r="A7505" t="inlineStr">
        <is>
          <t>A 22738-2023</t>
        </is>
      </c>
      <c r="B7505" s="1" t="n">
        <v>45072</v>
      </c>
      <c r="C7505" s="1" t="n">
        <v>45344</v>
      </c>
      <c r="D7505" t="inlineStr">
        <is>
          <t>GÄVLEBORGS LÄN</t>
        </is>
      </c>
      <c r="E7505" t="inlineStr">
        <is>
          <t>SÖDERHAMN</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22724-2023</t>
        </is>
      </c>
      <c r="B7506" s="1" t="n">
        <v>45071</v>
      </c>
      <c r="C7506" s="1" t="n">
        <v>45344</v>
      </c>
      <c r="D7506" t="inlineStr">
        <is>
          <t>GÄVLEBORGS LÄN</t>
        </is>
      </c>
      <c r="E7506" t="inlineStr">
        <is>
          <t>GÄVLE</t>
        </is>
      </c>
      <c r="F7506" t="inlineStr">
        <is>
          <t>Bergvik skog öst AB</t>
        </is>
      </c>
      <c r="G7506" t="n">
        <v>3.3</v>
      </c>
      <c r="H7506" t="n">
        <v>0</v>
      </c>
      <c r="I7506" t="n">
        <v>0</v>
      </c>
      <c r="J7506" t="n">
        <v>0</v>
      </c>
      <c r="K7506" t="n">
        <v>0</v>
      </c>
      <c r="L7506" t="n">
        <v>0</v>
      </c>
      <c r="M7506" t="n">
        <v>0</v>
      </c>
      <c r="N7506" t="n">
        <v>0</v>
      </c>
      <c r="O7506" t="n">
        <v>0</v>
      </c>
      <c r="P7506" t="n">
        <v>0</v>
      </c>
      <c r="Q7506" t="n">
        <v>0</v>
      </c>
      <c r="R7506" s="2" t="inlineStr"/>
    </row>
    <row r="7507" ht="15" customHeight="1">
      <c r="A7507" t="inlineStr">
        <is>
          <t>A 22741-2023</t>
        </is>
      </c>
      <c r="B7507" s="1" t="n">
        <v>45072</v>
      </c>
      <c r="C7507" s="1" t="n">
        <v>45344</v>
      </c>
      <c r="D7507" t="inlineStr">
        <is>
          <t>GÄVLEBORGS LÄN</t>
        </is>
      </c>
      <c r="E7507" t="inlineStr">
        <is>
          <t>GÄVLE</t>
        </is>
      </c>
      <c r="F7507" t="inlineStr">
        <is>
          <t>Bergvik skog öst AB</t>
        </is>
      </c>
      <c r="G7507" t="n">
        <v>4.8</v>
      </c>
      <c r="H7507" t="n">
        <v>0</v>
      </c>
      <c r="I7507" t="n">
        <v>0</v>
      </c>
      <c r="J7507" t="n">
        <v>0</v>
      </c>
      <c r="K7507" t="n">
        <v>0</v>
      </c>
      <c r="L7507" t="n">
        <v>0</v>
      </c>
      <c r="M7507" t="n">
        <v>0</v>
      </c>
      <c r="N7507" t="n">
        <v>0</v>
      </c>
      <c r="O7507" t="n">
        <v>0</v>
      </c>
      <c r="P7507" t="n">
        <v>0</v>
      </c>
      <c r="Q7507" t="n">
        <v>0</v>
      </c>
      <c r="R7507" s="2" t="inlineStr"/>
    </row>
    <row r="7508" ht="15" customHeight="1">
      <c r="A7508" t="inlineStr">
        <is>
          <t>A 22727-2023</t>
        </is>
      </c>
      <c r="B7508" s="1" t="n">
        <v>45072</v>
      </c>
      <c r="C7508" s="1" t="n">
        <v>45344</v>
      </c>
      <c r="D7508" t="inlineStr">
        <is>
          <t>GÄVLEBORGS LÄN</t>
        </is>
      </c>
      <c r="E7508" t="inlineStr">
        <is>
          <t>LJUSDAL</t>
        </is>
      </c>
      <c r="G7508" t="n">
        <v>5.9</v>
      </c>
      <c r="H7508" t="n">
        <v>0</v>
      </c>
      <c r="I7508" t="n">
        <v>0</v>
      </c>
      <c r="J7508" t="n">
        <v>0</v>
      </c>
      <c r="K7508" t="n">
        <v>0</v>
      </c>
      <c r="L7508" t="n">
        <v>0</v>
      </c>
      <c r="M7508" t="n">
        <v>0</v>
      </c>
      <c r="N7508" t="n">
        <v>0</v>
      </c>
      <c r="O7508" t="n">
        <v>0</v>
      </c>
      <c r="P7508" t="n">
        <v>0</v>
      </c>
      <c r="Q7508" t="n">
        <v>0</v>
      </c>
      <c r="R7508" s="2" t="inlineStr"/>
    </row>
    <row r="7509" ht="15" customHeight="1">
      <c r="A7509" t="inlineStr">
        <is>
          <t>A 22774-2023</t>
        </is>
      </c>
      <c r="B7509" s="1" t="n">
        <v>45072</v>
      </c>
      <c r="C7509" s="1" t="n">
        <v>45344</v>
      </c>
      <c r="D7509" t="inlineStr">
        <is>
          <t>GÄVLEBORGS LÄN</t>
        </is>
      </c>
      <c r="E7509" t="inlineStr">
        <is>
          <t>OVANÅKER</t>
        </is>
      </c>
      <c r="F7509" t="inlineStr">
        <is>
          <t>Sveaskog</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22777-2023</t>
        </is>
      </c>
      <c r="B7510" s="1" t="n">
        <v>45072</v>
      </c>
      <c r="C7510" s="1" t="n">
        <v>45344</v>
      </c>
      <c r="D7510" t="inlineStr">
        <is>
          <t>GÄVLEBORGS LÄN</t>
        </is>
      </c>
      <c r="E7510" t="inlineStr">
        <is>
          <t>GÄVLE</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22857-2023</t>
        </is>
      </c>
      <c r="B7511" s="1" t="n">
        <v>45072</v>
      </c>
      <c r="C7511" s="1" t="n">
        <v>45344</v>
      </c>
      <c r="D7511" t="inlineStr">
        <is>
          <t>GÄVLEBORGS LÄN</t>
        </is>
      </c>
      <c r="E7511" t="inlineStr">
        <is>
          <t>SÖDERHAMN</t>
        </is>
      </c>
      <c r="F7511" t="inlineStr">
        <is>
          <t>Bergvik skog väst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22863-2023</t>
        </is>
      </c>
      <c r="B7512" s="1" t="n">
        <v>45072</v>
      </c>
      <c r="C7512" s="1" t="n">
        <v>45344</v>
      </c>
      <c r="D7512" t="inlineStr">
        <is>
          <t>GÄVLEBORGS LÄN</t>
        </is>
      </c>
      <c r="E7512" t="inlineStr">
        <is>
          <t>NORDANSTIG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22868-2023</t>
        </is>
      </c>
      <c r="B7513" s="1" t="n">
        <v>45072</v>
      </c>
      <c r="C7513" s="1" t="n">
        <v>45344</v>
      </c>
      <c r="D7513" t="inlineStr">
        <is>
          <t>GÄVLEBORGS LÄN</t>
        </is>
      </c>
      <c r="E7513" t="inlineStr">
        <is>
          <t>NORDANSTIG</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22787-2023</t>
        </is>
      </c>
      <c r="B7514" s="1" t="n">
        <v>45072</v>
      </c>
      <c r="C7514" s="1" t="n">
        <v>45344</v>
      </c>
      <c r="D7514" t="inlineStr">
        <is>
          <t>GÄVLEBORGS LÄN</t>
        </is>
      </c>
      <c r="E7514" t="inlineStr">
        <is>
          <t>HOFORS</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22791-2023</t>
        </is>
      </c>
      <c r="B7515" s="1" t="n">
        <v>45072</v>
      </c>
      <c r="C7515" s="1" t="n">
        <v>45344</v>
      </c>
      <c r="D7515" t="inlineStr">
        <is>
          <t>GÄVLEBORGS LÄN</t>
        </is>
      </c>
      <c r="E7515" t="inlineStr">
        <is>
          <t>OCKELBO</t>
        </is>
      </c>
      <c r="G7515" t="n">
        <v>1.4</v>
      </c>
      <c r="H7515" t="n">
        <v>0</v>
      </c>
      <c r="I7515" t="n">
        <v>0</v>
      </c>
      <c r="J7515" t="n">
        <v>0</v>
      </c>
      <c r="K7515" t="n">
        <v>0</v>
      </c>
      <c r="L7515" t="n">
        <v>0</v>
      </c>
      <c r="M7515" t="n">
        <v>0</v>
      </c>
      <c r="N7515" t="n">
        <v>0</v>
      </c>
      <c r="O7515" t="n">
        <v>0</v>
      </c>
      <c r="P7515" t="n">
        <v>0</v>
      </c>
      <c r="Q7515" t="n">
        <v>0</v>
      </c>
      <c r="R7515" s="2" t="inlineStr"/>
    </row>
    <row r="7516" ht="15" customHeight="1">
      <c r="A7516" t="inlineStr">
        <is>
          <t>A 22801-2023</t>
        </is>
      </c>
      <c r="B7516" s="1" t="n">
        <v>45072</v>
      </c>
      <c r="C7516" s="1" t="n">
        <v>45344</v>
      </c>
      <c r="D7516" t="inlineStr">
        <is>
          <t>GÄVLEBORGS LÄN</t>
        </is>
      </c>
      <c r="E7516" t="inlineStr">
        <is>
          <t>LJUSDAL</t>
        </is>
      </c>
      <c r="F7516" t="inlineStr">
        <is>
          <t>Sveaskog</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22810-2023</t>
        </is>
      </c>
      <c r="B7517" s="1" t="n">
        <v>45072</v>
      </c>
      <c r="C7517" s="1" t="n">
        <v>45344</v>
      </c>
      <c r="D7517" t="inlineStr">
        <is>
          <t>GÄVLEBORGS LÄN</t>
        </is>
      </c>
      <c r="E7517" t="inlineStr">
        <is>
          <t>LJUSDAL</t>
        </is>
      </c>
      <c r="F7517" t="inlineStr">
        <is>
          <t>Sveaskog</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22870-2023</t>
        </is>
      </c>
      <c r="B7518" s="1" t="n">
        <v>45072</v>
      </c>
      <c r="C7518" s="1" t="n">
        <v>45344</v>
      </c>
      <c r="D7518" t="inlineStr">
        <is>
          <t>GÄVLEBORGS LÄN</t>
        </is>
      </c>
      <c r="E7518" t="inlineStr">
        <is>
          <t>LJUSDAL</t>
        </is>
      </c>
      <c r="F7518" t="inlineStr">
        <is>
          <t>Sveaskog</t>
        </is>
      </c>
      <c r="G7518" t="n">
        <v>9</v>
      </c>
      <c r="H7518" t="n">
        <v>0</v>
      </c>
      <c r="I7518" t="n">
        <v>0</v>
      </c>
      <c r="J7518" t="n">
        <v>0</v>
      </c>
      <c r="K7518" t="n">
        <v>0</v>
      </c>
      <c r="L7518" t="n">
        <v>0</v>
      </c>
      <c r="M7518" t="n">
        <v>0</v>
      </c>
      <c r="N7518" t="n">
        <v>0</v>
      </c>
      <c r="O7518" t="n">
        <v>0</v>
      </c>
      <c r="P7518" t="n">
        <v>0</v>
      </c>
      <c r="Q7518" t="n">
        <v>0</v>
      </c>
      <c r="R7518" s="2" t="inlineStr"/>
    </row>
    <row r="7519" ht="15" customHeight="1">
      <c r="A7519" t="inlineStr">
        <is>
          <t>A 22892-2023</t>
        </is>
      </c>
      <c r="B7519" s="1" t="n">
        <v>45072</v>
      </c>
      <c r="C7519" s="1" t="n">
        <v>45344</v>
      </c>
      <c r="D7519" t="inlineStr">
        <is>
          <t>GÄVLEBORGS LÄN</t>
        </is>
      </c>
      <c r="E7519" t="inlineStr">
        <is>
          <t>HUDIKSVALL</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22904-2023</t>
        </is>
      </c>
      <c r="B7520" s="1" t="n">
        <v>45072</v>
      </c>
      <c r="C7520" s="1" t="n">
        <v>45344</v>
      </c>
      <c r="D7520" t="inlineStr">
        <is>
          <t>GÄVLEBORGS LÄN</t>
        </is>
      </c>
      <c r="E7520" t="inlineStr">
        <is>
          <t>HOFORS</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22919-2023</t>
        </is>
      </c>
      <c r="B7521" s="1" t="n">
        <v>45072</v>
      </c>
      <c r="C7521" s="1" t="n">
        <v>45344</v>
      </c>
      <c r="D7521" t="inlineStr">
        <is>
          <t>GÄVLEBORGS LÄN</t>
        </is>
      </c>
      <c r="E7521" t="inlineStr">
        <is>
          <t>BOLLNÄS</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22954-2023</t>
        </is>
      </c>
      <c r="B7522" s="1" t="n">
        <v>45072</v>
      </c>
      <c r="C7522" s="1" t="n">
        <v>45344</v>
      </c>
      <c r="D7522" t="inlineStr">
        <is>
          <t>GÄVLEBORGS LÄN</t>
        </is>
      </c>
      <c r="E7522" t="inlineStr">
        <is>
          <t>OVANÅKER</t>
        </is>
      </c>
      <c r="F7522" t="inlineStr">
        <is>
          <t>Bergvik skog väst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22959-2023</t>
        </is>
      </c>
      <c r="B7523" s="1" t="n">
        <v>45072</v>
      </c>
      <c r="C7523" s="1" t="n">
        <v>45344</v>
      </c>
      <c r="D7523" t="inlineStr">
        <is>
          <t>GÄVLEBORGS LÄN</t>
        </is>
      </c>
      <c r="E7523" t="inlineStr">
        <is>
          <t>LJUSDAL</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22767-2023</t>
        </is>
      </c>
      <c r="B7524" s="1" t="n">
        <v>45072</v>
      </c>
      <c r="C7524" s="1" t="n">
        <v>45344</v>
      </c>
      <c r="D7524" t="inlineStr">
        <is>
          <t>GÄVLEBORGS LÄN</t>
        </is>
      </c>
      <c r="E7524" t="inlineStr">
        <is>
          <t>SÖDERHAMN</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22783-2023</t>
        </is>
      </c>
      <c r="B7525" s="1" t="n">
        <v>45072</v>
      </c>
      <c r="C7525" s="1" t="n">
        <v>45344</v>
      </c>
      <c r="D7525" t="inlineStr">
        <is>
          <t>GÄVLEBORGS LÄN</t>
        </is>
      </c>
      <c r="E7525" t="inlineStr">
        <is>
          <t>HOFORS</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22788-2023</t>
        </is>
      </c>
      <c r="B7526" s="1" t="n">
        <v>45072</v>
      </c>
      <c r="C7526" s="1" t="n">
        <v>45344</v>
      </c>
      <c r="D7526" t="inlineStr">
        <is>
          <t>GÄVLEBORGS LÄN</t>
        </is>
      </c>
      <c r="E7526" t="inlineStr">
        <is>
          <t>OVANÅKER</t>
        </is>
      </c>
      <c r="G7526" t="n">
        <v>3.1</v>
      </c>
      <c r="H7526" t="n">
        <v>0</v>
      </c>
      <c r="I7526" t="n">
        <v>0</v>
      </c>
      <c r="J7526" t="n">
        <v>0</v>
      </c>
      <c r="K7526" t="n">
        <v>0</v>
      </c>
      <c r="L7526" t="n">
        <v>0</v>
      </c>
      <c r="M7526" t="n">
        <v>0</v>
      </c>
      <c r="N7526" t="n">
        <v>0</v>
      </c>
      <c r="O7526" t="n">
        <v>0</v>
      </c>
      <c r="P7526" t="n">
        <v>0</v>
      </c>
      <c r="Q7526" t="n">
        <v>0</v>
      </c>
      <c r="R7526" s="2" t="inlineStr"/>
    </row>
    <row r="7527" ht="15" customHeight="1">
      <c r="A7527" t="inlineStr">
        <is>
          <t>A 22952-2023</t>
        </is>
      </c>
      <c r="B7527" s="1" t="n">
        <v>45072</v>
      </c>
      <c r="C7527" s="1" t="n">
        <v>45344</v>
      </c>
      <c r="D7527" t="inlineStr">
        <is>
          <t>GÄVLEBORGS LÄN</t>
        </is>
      </c>
      <c r="E7527" t="inlineStr">
        <is>
          <t>OCKELBO</t>
        </is>
      </c>
      <c r="G7527" t="n">
        <v>5.6</v>
      </c>
      <c r="H7527" t="n">
        <v>0</v>
      </c>
      <c r="I7527" t="n">
        <v>0</v>
      </c>
      <c r="J7527" t="n">
        <v>0</v>
      </c>
      <c r="K7527" t="n">
        <v>0</v>
      </c>
      <c r="L7527" t="n">
        <v>0</v>
      </c>
      <c r="M7527" t="n">
        <v>0</v>
      </c>
      <c r="N7527" t="n">
        <v>0</v>
      </c>
      <c r="O7527" t="n">
        <v>0</v>
      </c>
      <c r="P7527" t="n">
        <v>0</v>
      </c>
      <c r="Q7527" t="n">
        <v>0</v>
      </c>
      <c r="R7527" s="2" t="inlineStr"/>
    </row>
    <row r="7528" ht="15" customHeight="1">
      <c r="A7528" t="inlineStr">
        <is>
          <t>A 22979-2023</t>
        </is>
      </c>
      <c r="B7528" s="1" t="n">
        <v>45073</v>
      </c>
      <c r="C7528" s="1" t="n">
        <v>45344</v>
      </c>
      <c r="D7528" t="inlineStr">
        <is>
          <t>GÄVLEBORGS LÄN</t>
        </is>
      </c>
      <c r="E7528" t="inlineStr">
        <is>
          <t>LJUSDAL</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22797-2023</t>
        </is>
      </c>
      <c r="B7529" s="1" t="n">
        <v>45072</v>
      </c>
      <c r="C7529" s="1" t="n">
        <v>45344</v>
      </c>
      <c r="D7529" t="inlineStr">
        <is>
          <t>GÄVLEBORGS LÄN</t>
        </is>
      </c>
      <c r="E7529" t="inlineStr">
        <is>
          <t>OVANÅKER</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22843-2023</t>
        </is>
      </c>
      <c r="B7530" s="1" t="n">
        <v>45072</v>
      </c>
      <c r="C7530" s="1" t="n">
        <v>45344</v>
      </c>
      <c r="D7530" t="inlineStr">
        <is>
          <t>GÄVLEBORGS LÄN</t>
        </is>
      </c>
      <c r="E7530" t="inlineStr">
        <is>
          <t>SÖDERHAMN</t>
        </is>
      </c>
      <c r="F7530" t="inlineStr">
        <is>
          <t>Bergvik skog väst AB</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22891-2023</t>
        </is>
      </c>
      <c r="B7531" s="1" t="n">
        <v>45072</v>
      </c>
      <c r="C7531" s="1" t="n">
        <v>45344</v>
      </c>
      <c r="D7531" t="inlineStr">
        <is>
          <t>GÄVLEBORGS LÄN</t>
        </is>
      </c>
      <c r="E7531" t="inlineStr">
        <is>
          <t>BOLLNÄS</t>
        </is>
      </c>
      <c r="F7531" t="inlineStr">
        <is>
          <t>Bergvik skog väst AB</t>
        </is>
      </c>
      <c r="G7531" t="n">
        <v>8.699999999999999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22918-2023</t>
        </is>
      </c>
      <c r="B7532" s="1" t="n">
        <v>45072</v>
      </c>
      <c r="C7532" s="1" t="n">
        <v>45344</v>
      </c>
      <c r="D7532" t="inlineStr">
        <is>
          <t>GÄVLEBORGS LÄN</t>
        </is>
      </c>
      <c r="E7532" t="inlineStr">
        <is>
          <t>BOLLNÄS</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22945-2023</t>
        </is>
      </c>
      <c r="B7533" s="1" t="n">
        <v>45072</v>
      </c>
      <c r="C7533" s="1" t="n">
        <v>45344</v>
      </c>
      <c r="D7533" t="inlineStr">
        <is>
          <t>GÄVLEBORGS LÄN</t>
        </is>
      </c>
      <c r="E7533" t="inlineStr">
        <is>
          <t>HUDIKSVALL</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22862-2023</t>
        </is>
      </c>
      <c r="B7534" s="1" t="n">
        <v>45072</v>
      </c>
      <c r="C7534" s="1" t="n">
        <v>45344</v>
      </c>
      <c r="D7534" t="inlineStr">
        <is>
          <t>GÄVLEBORGS LÄN</t>
        </is>
      </c>
      <c r="E7534" t="inlineStr">
        <is>
          <t>SÖDERHAMN</t>
        </is>
      </c>
      <c r="F7534" t="inlineStr">
        <is>
          <t>Bergvik skog väst AB</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22867-2023</t>
        </is>
      </c>
      <c r="B7535" s="1" t="n">
        <v>45072</v>
      </c>
      <c r="C7535" s="1" t="n">
        <v>45344</v>
      </c>
      <c r="D7535" t="inlineStr">
        <is>
          <t>GÄVLEBORGS LÄN</t>
        </is>
      </c>
      <c r="E7535" t="inlineStr">
        <is>
          <t>LJUSDAL</t>
        </is>
      </c>
      <c r="F7535" t="inlineStr">
        <is>
          <t>Sveaskog</t>
        </is>
      </c>
      <c r="G7535" t="n">
        <v>18.1</v>
      </c>
      <c r="H7535" t="n">
        <v>0</v>
      </c>
      <c r="I7535" t="n">
        <v>0</v>
      </c>
      <c r="J7535" t="n">
        <v>0</v>
      </c>
      <c r="K7535" t="n">
        <v>0</v>
      </c>
      <c r="L7535" t="n">
        <v>0</v>
      </c>
      <c r="M7535" t="n">
        <v>0</v>
      </c>
      <c r="N7535" t="n">
        <v>0</v>
      </c>
      <c r="O7535" t="n">
        <v>0</v>
      </c>
      <c r="P7535" t="n">
        <v>0</v>
      </c>
      <c r="Q7535" t="n">
        <v>0</v>
      </c>
      <c r="R7535" s="2" t="inlineStr"/>
    </row>
    <row r="7536" ht="15" customHeight="1">
      <c r="A7536" t="inlineStr">
        <is>
          <t>A 22889-2023</t>
        </is>
      </c>
      <c r="B7536" s="1" t="n">
        <v>45072</v>
      </c>
      <c r="C7536" s="1" t="n">
        <v>45344</v>
      </c>
      <c r="D7536" t="inlineStr">
        <is>
          <t>GÄVLEBORGS LÄN</t>
        </is>
      </c>
      <c r="E7536" t="inlineStr">
        <is>
          <t>BOLLNÄS</t>
        </is>
      </c>
      <c r="F7536" t="inlineStr">
        <is>
          <t>Bergvik skog väst AB</t>
        </is>
      </c>
      <c r="G7536" t="n">
        <v>14.9</v>
      </c>
      <c r="H7536" t="n">
        <v>0</v>
      </c>
      <c r="I7536" t="n">
        <v>0</v>
      </c>
      <c r="J7536" t="n">
        <v>0</v>
      </c>
      <c r="K7536" t="n">
        <v>0</v>
      </c>
      <c r="L7536" t="n">
        <v>0</v>
      </c>
      <c r="M7536" t="n">
        <v>0</v>
      </c>
      <c r="N7536" t="n">
        <v>0</v>
      </c>
      <c r="O7536" t="n">
        <v>0</v>
      </c>
      <c r="P7536" t="n">
        <v>0</v>
      </c>
      <c r="Q7536" t="n">
        <v>0</v>
      </c>
      <c r="R7536" s="2" t="inlineStr"/>
    </row>
    <row r="7537" ht="15" customHeight="1">
      <c r="A7537" t="inlineStr">
        <is>
          <t>A 22980-2023</t>
        </is>
      </c>
      <c r="B7537" s="1" t="n">
        <v>45073</v>
      </c>
      <c r="C7537" s="1" t="n">
        <v>45344</v>
      </c>
      <c r="D7537" t="inlineStr">
        <is>
          <t>GÄVLEBORGS LÄN</t>
        </is>
      </c>
      <c r="E7537" t="inlineStr">
        <is>
          <t>LJUSDAL</t>
        </is>
      </c>
      <c r="G7537" t="n">
        <v>12.1</v>
      </c>
      <c r="H7537" t="n">
        <v>0</v>
      </c>
      <c r="I7537" t="n">
        <v>0</v>
      </c>
      <c r="J7537" t="n">
        <v>0</v>
      </c>
      <c r="K7537" t="n">
        <v>0</v>
      </c>
      <c r="L7537" t="n">
        <v>0</v>
      </c>
      <c r="M7537" t="n">
        <v>0</v>
      </c>
      <c r="N7537" t="n">
        <v>0</v>
      </c>
      <c r="O7537" t="n">
        <v>0</v>
      </c>
      <c r="P7537" t="n">
        <v>0</v>
      </c>
      <c r="Q7537" t="n">
        <v>0</v>
      </c>
      <c r="R7537" s="2" t="inlineStr"/>
    </row>
    <row r="7538" ht="15" customHeight="1">
      <c r="A7538" t="inlineStr">
        <is>
          <t>A 23006-2023</t>
        </is>
      </c>
      <c r="B7538" s="1" t="n">
        <v>45073</v>
      </c>
      <c r="C7538" s="1" t="n">
        <v>45344</v>
      </c>
      <c r="D7538" t="inlineStr">
        <is>
          <t>GÄVLEBORGS LÄN</t>
        </is>
      </c>
      <c r="E7538" t="inlineStr">
        <is>
          <t>OCKELBO</t>
        </is>
      </c>
      <c r="G7538" t="n">
        <v>3.7</v>
      </c>
      <c r="H7538" t="n">
        <v>0</v>
      </c>
      <c r="I7538" t="n">
        <v>0</v>
      </c>
      <c r="J7538" t="n">
        <v>0</v>
      </c>
      <c r="K7538" t="n">
        <v>0</v>
      </c>
      <c r="L7538" t="n">
        <v>0</v>
      </c>
      <c r="M7538" t="n">
        <v>0</v>
      </c>
      <c r="N7538" t="n">
        <v>0</v>
      </c>
      <c r="O7538" t="n">
        <v>0</v>
      </c>
      <c r="P7538" t="n">
        <v>0</v>
      </c>
      <c r="Q7538" t="n">
        <v>0</v>
      </c>
      <c r="R7538" s="2" t="inlineStr"/>
    </row>
    <row r="7539" ht="15" customHeight="1">
      <c r="A7539" t="inlineStr">
        <is>
          <t>A 23133-2023</t>
        </is>
      </c>
      <c r="B7539" s="1" t="n">
        <v>45075</v>
      </c>
      <c r="C7539" s="1" t="n">
        <v>45344</v>
      </c>
      <c r="D7539" t="inlineStr">
        <is>
          <t>GÄVLEBORGS LÄN</t>
        </is>
      </c>
      <c r="E7539" t="inlineStr">
        <is>
          <t>NORDANSTIG</t>
        </is>
      </c>
      <c r="F7539" t="inlineStr">
        <is>
          <t>Holmen skog AB</t>
        </is>
      </c>
      <c r="G7539" t="n">
        <v>13.3</v>
      </c>
      <c r="H7539" t="n">
        <v>0</v>
      </c>
      <c r="I7539" t="n">
        <v>0</v>
      </c>
      <c r="J7539" t="n">
        <v>0</v>
      </c>
      <c r="K7539" t="n">
        <v>0</v>
      </c>
      <c r="L7539" t="n">
        <v>0</v>
      </c>
      <c r="M7539" t="n">
        <v>0</v>
      </c>
      <c r="N7539" t="n">
        <v>0</v>
      </c>
      <c r="O7539" t="n">
        <v>0</v>
      </c>
      <c r="P7539" t="n">
        <v>0</v>
      </c>
      <c r="Q7539" t="n">
        <v>0</v>
      </c>
      <c r="R7539" s="2" t="inlineStr"/>
    </row>
    <row r="7540" ht="15" customHeight="1">
      <c r="A7540" t="inlineStr">
        <is>
          <t>A 23162-2023</t>
        </is>
      </c>
      <c r="B7540" s="1" t="n">
        <v>45075</v>
      </c>
      <c r="C7540" s="1" t="n">
        <v>45344</v>
      </c>
      <c r="D7540" t="inlineStr">
        <is>
          <t>GÄVLEBORGS LÄN</t>
        </is>
      </c>
      <c r="E7540" t="inlineStr">
        <is>
          <t>SANDVIKEN</t>
        </is>
      </c>
      <c r="F7540" t="inlineStr">
        <is>
          <t>Bergvik skog öst AB</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23219-2023</t>
        </is>
      </c>
      <c r="B7541" s="1" t="n">
        <v>45075</v>
      </c>
      <c r="C7541" s="1" t="n">
        <v>45344</v>
      </c>
      <c r="D7541" t="inlineStr">
        <is>
          <t>GÄVLEBORGS LÄN</t>
        </is>
      </c>
      <c r="E7541" t="inlineStr">
        <is>
          <t>HUDIKSVALL</t>
        </is>
      </c>
      <c r="F7541" t="inlineStr">
        <is>
          <t>Holmen skog AB</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23252-2023</t>
        </is>
      </c>
      <c r="B7542" s="1" t="n">
        <v>45075</v>
      </c>
      <c r="C7542" s="1" t="n">
        <v>45344</v>
      </c>
      <c r="D7542" t="inlineStr">
        <is>
          <t>GÄVLEBORGS LÄN</t>
        </is>
      </c>
      <c r="E7542" t="inlineStr">
        <is>
          <t>HUDIKSVALL</t>
        </is>
      </c>
      <c r="F7542" t="inlineStr">
        <is>
          <t>Holmen skog AB</t>
        </is>
      </c>
      <c r="G7542" t="n">
        <v>6.9</v>
      </c>
      <c r="H7542" t="n">
        <v>0</v>
      </c>
      <c r="I7542" t="n">
        <v>0</v>
      </c>
      <c r="J7542" t="n">
        <v>0</v>
      </c>
      <c r="K7542" t="n">
        <v>0</v>
      </c>
      <c r="L7542" t="n">
        <v>0</v>
      </c>
      <c r="M7542" t="n">
        <v>0</v>
      </c>
      <c r="N7542" t="n">
        <v>0</v>
      </c>
      <c r="O7542" t="n">
        <v>0</v>
      </c>
      <c r="P7542" t="n">
        <v>0</v>
      </c>
      <c r="Q7542" t="n">
        <v>0</v>
      </c>
      <c r="R7542" s="2" t="inlineStr"/>
    </row>
    <row r="7543" ht="15" customHeight="1">
      <c r="A7543" t="inlineStr">
        <is>
          <t>A 23085-2023</t>
        </is>
      </c>
      <c r="B7543" s="1" t="n">
        <v>45075</v>
      </c>
      <c r="C7543" s="1" t="n">
        <v>45344</v>
      </c>
      <c r="D7543" t="inlineStr">
        <is>
          <t>GÄVLEBORGS LÄN</t>
        </is>
      </c>
      <c r="E7543" t="inlineStr">
        <is>
          <t>SANDVIKEN</t>
        </is>
      </c>
      <c r="G7543" t="n">
        <v>8.300000000000001</v>
      </c>
      <c r="H7543" t="n">
        <v>0</v>
      </c>
      <c r="I7543" t="n">
        <v>0</v>
      </c>
      <c r="J7543" t="n">
        <v>0</v>
      </c>
      <c r="K7543" t="n">
        <v>0</v>
      </c>
      <c r="L7543" t="n">
        <v>0</v>
      </c>
      <c r="M7543" t="n">
        <v>0</v>
      </c>
      <c r="N7543" t="n">
        <v>0</v>
      </c>
      <c r="O7543" t="n">
        <v>0</v>
      </c>
      <c r="P7543" t="n">
        <v>0</v>
      </c>
      <c r="Q7543" t="n">
        <v>0</v>
      </c>
      <c r="R7543" s="2" t="inlineStr"/>
    </row>
    <row r="7544" ht="15" customHeight="1">
      <c r="A7544" t="inlineStr">
        <is>
          <t>A 23276-2023</t>
        </is>
      </c>
      <c r="B7544" s="1" t="n">
        <v>45076</v>
      </c>
      <c r="C7544" s="1" t="n">
        <v>45344</v>
      </c>
      <c r="D7544" t="inlineStr">
        <is>
          <t>GÄVLEBORGS LÄN</t>
        </is>
      </c>
      <c r="E7544" t="inlineStr">
        <is>
          <t>HUDIKSVALL</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23169-2023</t>
        </is>
      </c>
      <c r="B7545" s="1" t="n">
        <v>45075</v>
      </c>
      <c r="C7545" s="1" t="n">
        <v>45344</v>
      </c>
      <c r="D7545" t="inlineStr">
        <is>
          <t>GÄVLEBORGS LÄN</t>
        </is>
      </c>
      <c r="E7545" t="inlineStr">
        <is>
          <t>HUDIKSVALL</t>
        </is>
      </c>
      <c r="G7545" t="n">
        <v>3</v>
      </c>
      <c r="H7545" t="n">
        <v>0</v>
      </c>
      <c r="I7545" t="n">
        <v>0</v>
      </c>
      <c r="J7545" t="n">
        <v>0</v>
      </c>
      <c r="K7545" t="n">
        <v>0</v>
      </c>
      <c r="L7545" t="n">
        <v>0</v>
      </c>
      <c r="M7545" t="n">
        <v>0</v>
      </c>
      <c r="N7545" t="n">
        <v>0</v>
      </c>
      <c r="O7545" t="n">
        <v>0</v>
      </c>
      <c r="P7545" t="n">
        <v>0</v>
      </c>
      <c r="Q7545" t="n">
        <v>0</v>
      </c>
      <c r="R7545" s="2" t="inlineStr"/>
    </row>
    <row r="7546" ht="15" customHeight="1">
      <c r="A7546" t="inlineStr">
        <is>
          <t>A 23187-2023</t>
        </is>
      </c>
      <c r="B7546" s="1" t="n">
        <v>45075</v>
      </c>
      <c r="C7546" s="1" t="n">
        <v>45344</v>
      </c>
      <c r="D7546" t="inlineStr">
        <is>
          <t>GÄVLEBORGS LÄN</t>
        </is>
      </c>
      <c r="E7546" t="inlineStr">
        <is>
          <t>HUDIKSVALL</t>
        </is>
      </c>
      <c r="F7546" t="inlineStr">
        <is>
          <t>Kommuner</t>
        </is>
      </c>
      <c r="G7546" t="n">
        <v>0.3</v>
      </c>
      <c r="H7546" t="n">
        <v>0</v>
      </c>
      <c r="I7546" t="n">
        <v>0</v>
      </c>
      <c r="J7546" t="n">
        <v>0</v>
      </c>
      <c r="K7546" t="n">
        <v>0</v>
      </c>
      <c r="L7546" t="n">
        <v>0</v>
      </c>
      <c r="M7546" t="n">
        <v>0</v>
      </c>
      <c r="N7546" t="n">
        <v>0</v>
      </c>
      <c r="O7546" t="n">
        <v>0</v>
      </c>
      <c r="P7546" t="n">
        <v>0</v>
      </c>
      <c r="Q7546" t="n">
        <v>0</v>
      </c>
      <c r="R7546" s="2" t="inlineStr"/>
    </row>
    <row r="7547" ht="15" customHeight="1">
      <c r="A7547" t="inlineStr">
        <is>
          <t>A 23217-2023</t>
        </is>
      </c>
      <c r="B7547" s="1" t="n">
        <v>45075</v>
      </c>
      <c r="C7547" s="1" t="n">
        <v>45344</v>
      </c>
      <c r="D7547" t="inlineStr">
        <is>
          <t>GÄVLEBORGS LÄN</t>
        </is>
      </c>
      <c r="E7547" t="inlineStr">
        <is>
          <t>SANDVIKEN</t>
        </is>
      </c>
      <c r="F7547" t="inlineStr">
        <is>
          <t>Sveaskog</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23237-2023</t>
        </is>
      </c>
      <c r="B7548" s="1" t="n">
        <v>45075</v>
      </c>
      <c r="C7548" s="1" t="n">
        <v>45344</v>
      </c>
      <c r="D7548" t="inlineStr">
        <is>
          <t>GÄVLEBORGS LÄN</t>
        </is>
      </c>
      <c r="E7548" t="inlineStr">
        <is>
          <t>NORDANSTIG</t>
        </is>
      </c>
      <c r="F7548" t="inlineStr">
        <is>
          <t>Holmen skog AB</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23244-2023</t>
        </is>
      </c>
      <c r="B7549" s="1" t="n">
        <v>45075</v>
      </c>
      <c r="C7549" s="1" t="n">
        <v>45344</v>
      </c>
      <c r="D7549" t="inlineStr">
        <is>
          <t>GÄVLEBORGS LÄN</t>
        </is>
      </c>
      <c r="E7549" t="inlineStr">
        <is>
          <t>NORDANSTIG</t>
        </is>
      </c>
      <c r="F7549" t="inlineStr">
        <is>
          <t>Holmen skog AB</t>
        </is>
      </c>
      <c r="G7549" t="n">
        <v>2.3</v>
      </c>
      <c r="H7549" t="n">
        <v>0</v>
      </c>
      <c r="I7549" t="n">
        <v>0</v>
      </c>
      <c r="J7549" t="n">
        <v>0</v>
      </c>
      <c r="K7549" t="n">
        <v>0</v>
      </c>
      <c r="L7549" t="n">
        <v>0</v>
      </c>
      <c r="M7549" t="n">
        <v>0</v>
      </c>
      <c r="N7549" t="n">
        <v>0</v>
      </c>
      <c r="O7549" t="n">
        <v>0</v>
      </c>
      <c r="P7549" t="n">
        <v>0</v>
      </c>
      <c r="Q7549" t="n">
        <v>0</v>
      </c>
      <c r="R7549" s="2" t="inlineStr"/>
    </row>
    <row r="7550" ht="15" customHeight="1">
      <c r="A7550" t="inlineStr">
        <is>
          <t>A 23258-2023</t>
        </is>
      </c>
      <c r="B7550" s="1" t="n">
        <v>45075</v>
      </c>
      <c r="C7550" s="1" t="n">
        <v>45344</v>
      </c>
      <c r="D7550" t="inlineStr">
        <is>
          <t>GÄVLEBORGS LÄN</t>
        </is>
      </c>
      <c r="E7550" t="inlineStr">
        <is>
          <t>NORDANSTIG</t>
        </is>
      </c>
      <c r="F7550" t="inlineStr">
        <is>
          <t>Holmen skog AB</t>
        </is>
      </c>
      <c r="G7550" t="n">
        <v>3</v>
      </c>
      <c r="H7550" t="n">
        <v>0</v>
      </c>
      <c r="I7550" t="n">
        <v>0</v>
      </c>
      <c r="J7550" t="n">
        <v>0</v>
      </c>
      <c r="K7550" t="n">
        <v>0</v>
      </c>
      <c r="L7550" t="n">
        <v>0</v>
      </c>
      <c r="M7550" t="n">
        <v>0</v>
      </c>
      <c r="N7550" t="n">
        <v>0</v>
      </c>
      <c r="O7550" t="n">
        <v>0</v>
      </c>
      <c r="P7550" t="n">
        <v>0</v>
      </c>
      <c r="Q7550" t="n">
        <v>0</v>
      </c>
      <c r="R7550" s="2" t="inlineStr"/>
    </row>
    <row r="7551" ht="15" customHeight="1">
      <c r="A7551" t="inlineStr">
        <is>
          <t>A 23417-2023</t>
        </is>
      </c>
      <c r="B7551" s="1" t="n">
        <v>45076</v>
      </c>
      <c r="C7551" s="1" t="n">
        <v>45344</v>
      </c>
      <c r="D7551" t="inlineStr">
        <is>
          <t>GÄVLEBORGS LÄN</t>
        </is>
      </c>
      <c r="E7551" t="inlineStr">
        <is>
          <t>NORDANSTIG</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23431-2023</t>
        </is>
      </c>
      <c r="B7552" s="1" t="n">
        <v>45076</v>
      </c>
      <c r="C7552" s="1" t="n">
        <v>45344</v>
      </c>
      <c r="D7552" t="inlineStr">
        <is>
          <t>GÄVLEBORGS LÄN</t>
        </is>
      </c>
      <c r="E7552" t="inlineStr">
        <is>
          <t>NORDANSTIG</t>
        </is>
      </c>
      <c r="G7552" t="n">
        <v>3.7</v>
      </c>
      <c r="H7552" t="n">
        <v>0</v>
      </c>
      <c r="I7552" t="n">
        <v>0</v>
      </c>
      <c r="J7552" t="n">
        <v>0</v>
      </c>
      <c r="K7552" t="n">
        <v>0</v>
      </c>
      <c r="L7552" t="n">
        <v>0</v>
      </c>
      <c r="M7552" t="n">
        <v>0</v>
      </c>
      <c r="N7552" t="n">
        <v>0</v>
      </c>
      <c r="O7552" t="n">
        <v>0</v>
      </c>
      <c r="P7552" t="n">
        <v>0</v>
      </c>
      <c r="Q7552" t="n">
        <v>0</v>
      </c>
      <c r="R7552" s="2" t="inlineStr"/>
    </row>
    <row r="7553" ht="15" customHeight="1">
      <c r="A7553" t="inlineStr">
        <is>
          <t>A 23468-2023</t>
        </is>
      </c>
      <c r="B7553" s="1" t="n">
        <v>45076</v>
      </c>
      <c r="C7553" s="1" t="n">
        <v>45344</v>
      </c>
      <c r="D7553" t="inlineStr">
        <is>
          <t>GÄVLEBORGS LÄN</t>
        </is>
      </c>
      <c r="E7553" t="inlineStr">
        <is>
          <t>HUDIKSVALL</t>
        </is>
      </c>
      <c r="F7553" t="inlineStr">
        <is>
          <t>Holmen skog AB</t>
        </is>
      </c>
      <c r="G7553" t="n">
        <v>1.8</v>
      </c>
      <c r="H7553" t="n">
        <v>0</v>
      </c>
      <c r="I7553" t="n">
        <v>0</v>
      </c>
      <c r="J7553" t="n">
        <v>0</v>
      </c>
      <c r="K7553" t="n">
        <v>0</v>
      </c>
      <c r="L7553" t="n">
        <v>0</v>
      </c>
      <c r="M7553" t="n">
        <v>0</v>
      </c>
      <c r="N7553" t="n">
        <v>0</v>
      </c>
      <c r="O7553" t="n">
        <v>0</v>
      </c>
      <c r="P7553" t="n">
        <v>0</v>
      </c>
      <c r="Q7553" t="n">
        <v>0</v>
      </c>
      <c r="R7553" s="2" t="inlineStr"/>
    </row>
    <row r="7554" ht="15" customHeight="1">
      <c r="A7554" t="inlineStr">
        <is>
          <t>A 23365-2023</t>
        </is>
      </c>
      <c r="B7554" s="1" t="n">
        <v>45076</v>
      </c>
      <c r="C7554" s="1" t="n">
        <v>45344</v>
      </c>
      <c r="D7554" t="inlineStr">
        <is>
          <t>GÄVLEBORGS LÄN</t>
        </is>
      </c>
      <c r="E7554" t="inlineStr">
        <is>
          <t>HUDIKSVALL</t>
        </is>
      </c>
      <c r="F7554" t="inlineStr">
        <is>
          <t>Holmen skog AB</t>
        </is>
      </c>
      <c r="G7554" t="n">
        <v>7.3</v>
      </c>
      <c r="H7554" t="n">
        <v>0</v>
      </c>
      <c r="I7554" t="n">
        <v>0</v>
      </c>
      <c r="J7554" t="n">
        <v>0</v>
      </c>
      <c r="K7554" t="n">
        <v>0</v>
      </c>
      <c r="L7554" t="n">
        <v>0</v>
      </c>
      <c r="M7554" t="n">
        <v>0</v>
      </c>
      <c r="N7554" t="n">
        <v>0</v>
      </c>
      <c r="O7554" t="n">
        <v>0</v>
      </c>
      <c r="P7554" t="n">
        <v>0</v>
      </c>
      <c r="Q7554" t="n">
        <v>0</v>
      </c>
      <c r="R7554" s="2" t="inlineStr"/>
    </row>
    <row r="7555" ht="15" customHeight="1">
      <c r="A7555" t="inlineStr">
        <is>
          <t>A 24275-2023</t>
        </is>
      </c>
      <c r="B7555" s="1" t="n">
        <v>45076</v>
      </c>
      <c r="C7555" s="1" t="n">
        <v>45344</v>
      </c>
      <c r="D7555" t="inlineStr">
        <is>
          <t>GÄVLEBORGS LÄN</t>
        </is>
      </c>
      <c r="E7555" t="inlineStr">
        <is>
          <t>SANDVIKEN</t>
        </is>
      </c>
      <c r="G7555" t="n">
        <v>5.8</v>
      </c>
      <c r="H7555" t="n">
        <v>0</v>
      </c>
      <c r="I7555" t="n">
        <v>0</v>
      </c>
      <c r="J7555" t="n">
        <v>0</v>
      </c>
      <c r="K7555" t="n">
        <v>0</v>
      </c>
      <c r="L7555" t="n">
        <v>0</v>
      </c>
      <c r="M7555" t="n">
        <v>0</v>
      </c>
      <c r="N7555" t="n">
        <v>0</v>
      </c>
      <c r="O7555" t="n">
        <v>0</v>
      </c>
      <c r="P7555" t="n">
        <v>0</v>
      </c>
      <c r="Q7555" t="n">
        <v>0</v>
      </c>
      <c r="R7555" s="2" t="inlineStr"/>
    </row>
    <row r="7556" ht="15" customHeight="1">
      <c r="A7556" t="inlineStr">
        <is>
          <t>A 24227-2023</t>
        </is>
      </c>
      <c r="B7556" s="1" t="n">
        <v>45076</v>
      </c>
      <c r="C7556" s="1" t="n">
        <v>45344</v>
      </c>
      <c r="D7556" t="inlineStr">
        <is>
          <t>GÄVLEBORGS LÄN</t>
        </is>
      </c>
      <c r="E7556" t="inlineStr">
        <is>
          <t>SANDVIKEN</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23657-2023</t>
        </is>
      </c>
      <c r="B7557" s="1" t="n">
        <v>45077</v>
      </c>
      <c r="C7557" s="1" t="n">
        <v>45344</v>
      </c>
      <c r="D7557" t="inlineStr">
        <is>
          <t>GÄVLEBORGS LÄN</t>
        </is>
      </c>
      <c r="E7557" t="inlineStr">
        <is>
          <t>HUDIKSVALL</t>
        </is>
      </c>
      <c r="G7557" t="n">
        <v>1.3</v>
      </c>
      <c r="H7557" t="n">
        <v>0</v>
      </c>
      <c r="I7557" t="n">
        <v>0</v>
      </c>
      <c r="J7557" t="n">
        <v>0</v>
      </c>
      <c r="K7557" t="n">
        <v>0</v>
      </c>
      <c r="L7557" t="n">
        <v>0</v>
      </c>
      <c r="M7557" t="n">
        <v>0</v>
      </c>
      <c r="N7557" t="n">
        <v>0</v>
      </c>
      <c r="O7557" t="n">
        <v>0</v>
      </c>
      <c r="P7557" t="n">
        <v>0</v>
      </c>
      <c r="Q7557" t="n">
        <v>0</v>
      </c>
      <c r="R7557" s="2" t="inlineStr"/>
    </row>
    <row r="7558" ht="15" customHeight="1">
      <c r="A7558" t="inlineStr">
        <is>
          <t>A 23560-2023</t>
        </is>
      </c>
      <c r="B7558" s="1" t="n">
        <v>45077</v>
      </c>
      <c r="C7558" s="1" t="n">
        <v>45344</v>
      </c>
      <c r="D7558" t="inlineStr">
        <is>
          <t>GÄVLEBORGS LÄN</t>
        </is>
      </c>
      <c r="E7558" t="inlineStr">
        <is>
          <t>LJUSDAL</t>
        </is>
      </c>
      <c r="F7558" t="inlineStr">
        <is>
          <t>Allmännings- och besparingsskogar</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23711-2023</t>
        </is>
      </c>
      <c r="B7559" s="1" t="n">
        <v>45077</v>
      </c>
      <c r="C7559" s="1" t="n">
        <v>45344</v>
      </c>
      <c r="D7559" t="inlineStr">
        <is>
          <t>GÄVLEBORGS LÄN</t>
        </is>
      </c>
      <c r="E7559" t="inlineStr">
        <is>
          <t>LJUSDAL</t>
        </is>
      </c>
      <c r="G7559" t="n">
        <v>34.9</v>
      </c>
      <c r="H7559" t="n">
        <v>0</v>
      </c>
      <c r="I7559" t="n">
        <v>0</v>
      </c>
      <c r="J7559" t="n">
        <v>0</v>
      </c>
      <c r="K7559" t="n">
        <v>0</v>
      </c>
      <c r="L7559" t="n">
        <v>0</v>
      </c>
      <c r="M7559" t="n">
        <v>0</v>
      </c>
      <c r="N7559" t="n">
        <v>0</v>
      </c>
      <c r="O7559" t="n">
        <v>0</v>
      </c>
      <c r="P7559" t="n">
        <v>0</v>
      </c>
      <c r="Q7559" t="n">
        <v>0</v>
      </c>
      <c r="R7559" s="2" t="inlineStr"/>
    </row>
    <row r="7560" ht="15" customHeight="1">
      <c r="A7560" t="inlineStr">
        <is>
          <t>A 23784-2023</t>
        </is>
      </c>
      <c r="B7560" s="1" t="n">
        <v>45078</v>
      </c>
      <c r="C7560" s="1" t="n">
        <v>45344</v>
      </c>
      <c r="D7560" t="inlineStr">
        <is>
          <t>GÄVLEBORGS LÄN</t>
        </is>
      </c>
      <c r="E7560" t="inlineStr">
        <is>
          <t>HUDIKSVALL</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23792-2023</t>
        </is>
      </c>
      <c r="B7561" s="1" t="n">
        <v>45078</v>
      </c>
      <c r="C7561" s="1" t="n">
        <v>45344</v>
      </c>
      <c r="D7561" t="inlineStr">
        <is>
          <t>GÄVLEBORGS LÄN</t>
        </is>
      </c>
      <c r="E7561" t="inlineStr">
        <is>
          <t>HUDIKSVALL</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23846-2023</t>
        </is>
      </c>
      <c r="B7562" s="1" t="n">
        <v>45078</v>
      </c>
      <c r="C7562" s="1" t="n">
        <v>45344</v>
      </c>
      <c r="D7562" t="inlineStr">
        <is>
          <t>GÄVLEBORGS LÄN</t>
        </is>
      </c>
      <c r="E7562" t="inlineStr">
        <is>
          <t>LJUSDAL</t>
        </is>
      </c>
      <c r="F7562" t="inlineStr">
        <is>
          <t>Allmännings- och besparingsskogar</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23921-2023</t>
        </is>
      </c>
      <c r="B7563" s="1" t="n">
        <v>45078</v>
      </c>
      <c r="C7563" s="1" t="n">
        <v>45344</v>
      </c>
      <c r="D7563" t="inlineStr">
        <is>
          <t>GÄVLEBORGS LÄN</t>
        </is>
      </c>
      <c r="E7563" t="inlineStr">
        <is>
          <t>HUDIKSVALL</t>
        </is>
      </c>
      <c r="F7563" t="inlineStr">
        <is>
          <t>Holmen skog AB</t>
        </is>
      </c>
      <c r="G7563" t="n">
        <v>8.6</v>
      </c>
      <c r="H7563" t="n">
        <v>0</v>
      </c>
      <c r="I7563" t="n">
        <v>0</v>
      </c>
      <c r="J7563" t="n">
        <v>0</v>
      </c>
      <c r="K7563" t="n">
        <v>0</v>
      </c>
      <c r="L7563" t="n">
        <v>0</v>
      </c>
      <c r="M7563" t="n">
        <v>0</v>
      </c>
      <c r="N7563" t="n">
        <v>0</v>
      </c>
      <c r="O7563" t="n">
        <v>0</v>
      </c>
      <c r="P7563" t="n">
        <v>0</v>
      </c>
      <c r="Q7563" t="n">
        <v>0</v>
      </c>
      <c r="R7563" s="2" t="inlineStr"/>
    </row>
    <row r="7564" ht="15" customHeight="1">
      <c r="A7564" t="inlineStr">
        <is>
          <t>A 23787-2023</t>
        </is>
      </c>
      <c r="B7564" s="1" t="n">
        <v>45078</v>
      </c>
      <c r="C7564" s="1" t="n">
        <v>45344</v>
      </c>
      <c r="D7564" t="inlineStr">
        <is>
          <t>GÄVLEBORGS LÄN</t>
        </is>
      </c>
      <c r="E7564" t="inlineStr">
        <is>
          <t>HUDIKSVALL</t>
        </is>
      </c>
      <c r="G7564" t="n">
        <v>2.7</v>
      </c>
      <c r="H7564" t="n">
        <v>0</v>
      </c>
      <c r="I7564" t="n">
        <v>0</v>
      </c>
      <c r="J7564" t="n">
        <v>0</v>
      </c>
      <c r="K7564" t="n">
        <v>0</v>
      </c>
      <c r="L7564" t="n">
        <v>0</v>
      </c>
      <c r="M7564" t="n">
        <v>0</v>
      </c>
      <c r="N7564" t="n">
        <v>0</v>
      </c>
      <c r="O7564" t="n">
        <v>0</v>
      </c>
      <c r="P7564" t="n">
        <v>0</v>
      </c>
      <c r="Q7564" t="n">
        <v>0</v>
      </c>
      <c r="R7564" s="2" t="inlineStr"/>
      <c r="U7564">
        <f>HYPERLINK("https://klasma.github.io/Logging_2184/knärot/A 23787-2023 karta knärot.png", "A 23787-2023")</f>
        <v/>
      </c>
      <c r="V7564">
        <f>HYPERLINK("https://klasma.github.io/Logging_2184/klagomål/A 23787-2023 FSC-klagomål.docx", "A 23787-2023")</f>
        <v/>
      </c>
      <c r="W7564">
        <f>HYPERLINK("https://klasma.github.io/Logging_2184/klagomålsmail/A 23787-2023 FSC-klagomål mail.docx", "A 23787-2023")</f>
        <v/>
      </c>
      <c r="X7564">
        <f>HYPERLINK("https://klasma.github.io/Logging_2184/tillsyn/A 23787-2023 tillsynsbegäran.docx", "A 23787-2023")</f>
        <v/>
      </c>
      <c r="Y7564">
        <f>HYPERLINK("https://klasma.github.io/Logging_2184/tillsynsmail/A 23787-2023 tillsynsbegäran mail.docx", "A 23787-2023")</f>
        <v/>
      </c>
    </row>
    <row r="7565" ht="15" customHeight="1">
      <c r="A7565" t="inlineStr">
        <is>
          <t>A 23848-2023</t>
        </is>
      </c>
      <c r="B7565" s="1" t="n">
        <v>45078</v>
      </c>
      <c r="C7565" s="1" t="n">
        <v>45344</v>
      </c>
      <c r="D7565" t="inlineStr">
        <is>
          <t>GÄVLEBORGS LÄN</t>
        </is>
      </c>
      <c r="E7565" t="inlineStr">
        <is>
          <t>LJUSDAL</t>
        </is>
      </c>
      <c r="F7565" t="inlineStr">
        <is>
          <t>Allmännings- och besparingsskogar</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23881-2023</t>
        </is>
      </c>
      <c r="B7566" s="1" t="n">
        <v>45078</v>
      </c>
      <c r="C7566" s="1" t="n">
        <v>45344</v>
      </c>
      <c r="D7566" t="inlineStr">
        <is>
          <t>GÄVLEBORGS LÄN</t>
        </is>
      </c>
      <c r="E7566" t="inlineStr">
        <is>
          <t>BOLLNÄS</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23918-2023</t>
        </is>
      </c>
      <c r="B7567" s="1" t="n">
        <v>45078</v>
      </c>
      <c r="C7567" s="1" t="n">
        <v>45344</v>
      </c>
      <c r="D7567" t="inlineStr">
        <is>
          <t>GÄVLEBORGS LÄN</t>
        </is>
      </c>
      <c r="E7567" t="inlineStr">
        <is>
          <t>SÖDERHAMN</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23935-2023</t>
        </is>
      </c>
      <c r="B7568" s="1" t="n">
        <v>45078</v>
      </c>
      <c r="C7568" s="1" t="n">
        <v>45344</v>
      </c>
      <c r="D7568" t="inlineStr">
        <is>
          <t>GÄVLEBORGS LÄN</t>
        </is>
      </c>
      <c r="E7568" t="inlineStr">
        <is>
          <t>BOLLNÄS</t>
        </is>
      </c>
      <c r="F7568" t="inlineStr">
        <is>
          <t>Bergvik skog väst AB</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23947-2023</t>
        </is>
      </c>
      <c r="B7569" s="1" t="n">
        <v>45078</v>
      </c>
      <c r="C7569" s="1" t="n">
        <v>45344</v>
      </c>
      <c r="D7569" t="inlineStr">
        <is>
          <t>GÄVLEBORGS LÄN</t>
        </is>
      </c>
      <c r="E7569" t="inlineStr">
        <is>
          <t>BOLLNÄS</t>
        </is>
      </c>
      <c r="F7569" t="inlineStr">
        <is>
          <t>Bergvik skog väst AB</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23841-2023</t>
        </is>
      </c>
      <c r="B7570" s="1" t="n">
        <v>45078</v>
      </c>
      <c r="C7570" s="1" t="n">
        <v>45344</v>
      </c>
      <c r="D7570" t="inlineStr">
        <is>
          <t>GÄVLEBORGS LÄN</t>
        </is>
      </c>
      <c r="E7570" t="inlineStr">
        <is>
          <t>LJUSDAL</t>
        </is>
      </c>
      <c r="F7570" t="inlineStr">
        <is>
          <t>Allmännings- och besparingsskogar</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23928-2023</t>
        </is>
      </c>
      <c r="B7571" s="1" t="n">
        <v>45078</v>
      </c>
      <c r="C7571" s="1" t="n">
        <v>45344</v>
      </c>
      <c r="D7571" t="inlineStr">
        <is>
          <t>GÄVLEBORGS LÄN</t>
        </is>
      </c>
      <c r="E7571" t="inlineStr">
        <is>
          <t>HUDIKSVALL</t>
        </is>
      </c>
      <c r="F7571" t="inlineStr">
        <is>
          <t>Holmen skog AB</t>
        </is>
      </c>
      <c r="G7571" t="n">
        <v>5.7</v>
      </c>
      <c r="H7571" t="n">
        <v>0</v>
      </c>
      <c r="I7571" t="n">
        <v>0</v>
      </c>
      <c r="J7571" t="n">
        <v>0</v>
      </c>
      <c r="K7571" t="n">
        <v>0</v>
      </c>
      <c r="L7571" t="n">
        <v>0</v>
      </c>
      <c r="M7571" t="n">
        <v>0</v>
      </c>
      <c r="N7571" t="n">
        <v>0</v>
      </c>
      <c r="O7571" t="n">
        <v>0</v>
      </c>
      <c r="P7571" t="n">
        <v>0</v>
      </c>
      <c r="Q7571" t="n">
        <v>0</v>
      </c>
      <c r="R7571" s="2" t="inlineStr"/>
    </row>
    <row r="7572" ht="15" customHeight="1">
      <c r="A7572" t="inlineStr">
        <is>
          <t>A 23845-2023</t>
        </is>
      </c>
      <c r="B7572" s="1" t="n">
        <v>45078</v>
      </c>
      <c r="C7572" s="1" t="n">
        <v>45344</v>
      </c>
      <c r="D7572" t="inlineStr">
        <is>
          <t>GÄVLEBORGS LÄN</t>
        </is>
      </c>
      <c r="E7572" t="inlineStr">
        <is>
          <t>HUDIKSVALL</t>
        </is>
      </c>
      <c r="F7572" t="inlineStr">
        <is>
          <t>Holmen skog AB</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23853-2023</t>
        </is>
      </c>
      <c r="B7573" s="1" t="n">
        <v>45078</v>
      </c>
      <c r="C7573" s="1" t="n">
        <v>45344</v>
      </c>
      <c r="D7573" t="inlineStr">
        <is>
          <t>GÄVLEBORGS LÄN</t>
        </is>
      </c>
      <c r="E7573" t="inlineStr">
        <is>
          <t>LJUSDAL</t>
        </is>
      </c>
      <c r="F7573" t="inlineStr">
        <is>
          <t>Allmännings- och besparingsskogar</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23924-2023</t>
        </is>
      </c>
      <c r="B7574" s="1" t="n">
        <v>45078</v>
      </c>
      <c r="C7574" s="1" t="n">
        <v>45344</v>
      </c>
      <c r="D7574" t="inlineStr">
        <is>
          <t>GÄVLEBORGS LÄN</t>
        </is>
      </c>
      <c r="E7574" t="inlineStr">
        <is>
          <t>HUDIKSVALL</t>
        </is>
      </c>
      <c r="F7574" t="inlineStr">
        <is>
          <t>Holmen skog AB</t>
        </is>
      </c>
      <c r="G7574" t="n">
        <v>4.6</v>
      </c>
      <c r="H7574" t="n">
        <v>0</v>
      </c>
      <c r="I7574" t="n">
        <v>0</v>
      </c>
      <c r="J7574" t="n">
        <v>0</v>
      </c>
      <c r="K7574" t="n">
        <v>0</v>
      </c>
      <c r="L7574" t="n">
        <v>0</v>
      </c>
      <c r="M7574" t="n">
        <v>0</v>
      </c>
      <c r="N7574" t="n">
        <v>0</v>
      </c>
      <c r="O7574" t="n">
        <v>0</v>
      </c>
      <c r="P7574" t="n">
        <v>0</v>
      </c>
      <c r="Q7574" t="n">
        <v>0</v>
      </c>
      <c r="R7574" s="2" t="inlineStr"/>
    </row>
    <row r="7575" ht="15" customHeight="1">
      <c r="A7575" t="inlineStr">
        <is>
          <t>A 23930-2023</t>
        </is>
      </c>
      <c r="B7575" s="1" t="n">
        <v>45078</v>
      </c>
      <c r="C7575" s="1" t="n">
        <v>45344</v>
      </c>
      <c r="D7575" t="inlineStr">
        <is>
          <t>GÄVLEBORGS LÄN</t>
        </is>
      </c>
      <c r="E7575" t="inlineStr">
        <is>
          <t>LJUSDAL</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23961-2023</t>
        </is>
      </c>
      <c r="B7576" s="1" t="n">
        <v>45078</v>
      </c>
      <c r="C7576" s="1" t="n">
        <v>45344</v>
      </c>
      <c r="D7576" t="inlineStr">
        <is>
          <t>GÄVLEBORGS LÄN</t>
        </is>
      </c>
      <c r="E7576" t="inlineStr">
        <is>
          <t>LJUSDAL</t>
        </is>
      </c>
      <c r="G7576" t="n">
        <v>22.5</v>
      </c>
      <c r="H7576" t="n">
        <v>0</v>
      </c>
      <c r="I7576" t="n">
        <v>0</v>
      </c>
      <c r="J7576" t="n">
        <v>0</v>
      </c>
      <c r="K7576" t="n">
        <v>0</v>
      </c>
      <c r="L7576" t="n">
        <v>0</v>
      </c>
      <c r="M7576" t="n">
        <v>0</v>
      </c>
      <c r="N7576" t="n">
        <v>0</v>
      </c>
      <c r="O7576" t="n">
        <v>0</v>
      </c>
      <c r="P7576" t="n">
        <v>0</v>
      </c>
      <c r="Q7576" t="n">
        <v>0</v>
      </c>
      <c r="R7576" s="2" t="inlineStr"/>
    </row>
    <row r="7577" ht="15" customHeight="1">
      <c r="A7577" t="inlineStr">
        <is>
          <t>A 23980-2023</t>
        </is>
      </c>
      <c r="B7577" s="1" t="n">
        <v>45078</v>
      </c>
      <c r="C7577" s="1" t="n">
        <v>45344</v>
      </c>
      <c r="D7577" t="inlineStr">
        <is>
          <t>GÄVLEBORGS LÄN</t>
        </is>
      </c>
      <c r="E7577" t="inlineStr">
        <is>
          <t>NORDANSTIG</t>
        </is>
      </c>
      <c r="F7577" t="inlineStr">
        <is>
          <t>Kyrkan</t>
        </is>
      </c>
      <c r="G7577" t="n">
        <v>9.800000000000001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24081-2023</t>
        </is>
      </c>
      <c r="B7578" s="1" t="n">
        <v>45079</v>
      </c>
      <c r="C7578" s="1" t="n">
        <v>45344</v>
      </c>
      <c r="D7578" t="inlineStr">
        <is>
          <t>GÄVLEBORGS LÄN</t>
        </is>
      </c>
      <c r="E7578" t="inlineStr">
        <is>
          <t>OVANÅKER</t>
        </is>
      </c>
      <c r="G7578" t="n">
        <v>6</v>
      </c>
      <c r="H7578" t="n">
        <v>0</v>
      </c>
      <c r="I7578" t="n">
        <v>0</v>
      </c>
      <c r="J7578" t="n">
        <v>0</v>
      </c>
      <c r="K7578" t="n">
        <v>0</v>
      </c>
      <c r="L7578" t="n">
        <v>0</v>
      </c>
      <c r="M7578" t="n">
        <v>0</v>
      </c>
      <c r="N7578" t="n">
        <v>0</v>
      </c>
      <c r="O7578" t="n">
        <v>0</v>
      </c>
      <c r="P7578" t="n">
        <v>0</v>
      </c>
      <c r="Q7578" t="n">
        <v>0</v>
      </c>
      <c r="R7578" s="2" t="inlineStr"/>
    </row>
    <row r="7579" ht="15" customHeight="1">
      <c r="A7579" t="inlineStr">
        <is>
          <t>A 24086-2023</t>
        </is>
      </c>
      <c r="B7579" s="1" t="n">
        <v>45079</v>
      </c>
      <c r="C7579" s="1" t="n">
        <v>45344</v>
      </c>
      <c r="D7579" t="inlineStr">
        <is>
          <t>GÄVLEBORGS LÄN</t>
        </is>
      </c>
      <c r="E7579" t="inlineStr">
        <is>
          <t>OVANÅKER</t>
        </is>
      </c>
      <c r="F7579" t="inlineStr">
        <is>
          <t>Sveaskog</t>
        </is>
      </c>
      <c r="G7579" t="n">
        <v>5.1</v>
      </c>
      <c r="H7579" t="n">
        <v>0</v>
      </c>
      <c r="I7579" t="n">
        <v>0</v>
      </c>
      <c r="J7579" t="n">
        <v>0</v>
      </c>
      <c r="K7579" t="n">
        <v>0</v>
      </c>
      <c r="L7579" t="n">
        <v>0</v>
      </c>
      <c r="M7579" t="n">
        <v>0</v>
      </c>
      <c r="N7579" t="n">
        <v>0</v>
      </c>
      <c r="O7579" t="n">
        <v>0</v>
      </c>
      <c r="P7579" t="n">
        <v>0</v>
      </c>
      <c r="Q7579" t="n">
        <v>0</v>
      </c>
      <c r="R7579" s="2" t="inlineStr"/>
    </row>
    <row r="7580" ht="15" customHeight="1">
      <c r="A7580" t="inlineStr">
        <is>
          <t>A 24199-2023</t>
        </is>
      </c>
      <c r="B7580" s="1" t="n">
        <v>45079</v>
      </c>
      <c r="C7580" s="1" t="n">
        <v>45344</v>
      </c>
      <c r="D7580" t="inlineStr">
        <is>
          <t>GÄVLEBORGS LÄN</t>
        </is>
      </c>
      <c r="E7580" t="inlineStr">
        <is>
          <t>HUDIKSVALL</t>
        </is>
      </c>
      <c r="G7580" t="n">
        <v>2.4</v>
      </c>
      <c r="H7580" t="n">
        <v>0</v>
      </c>
      <c r="I7580" t="n">
        <v>0</v>
      </c>
      <c r="J7580" t="n">
        <v>0</v>
      </c>
      <c r="K7580" t="n">
        <v>0</v>
      </c>
      <c r="L7580" t="n">
        <v>0</v>
      </c>
      <c r="M7580" t="n">
        <v>0</v>
      </c>
      <c r="N7580" t="n">
        <v>0</v>
      </c>
      <c r="O7580" t="n">
        <v>0</v>
      </c>
      <c r="P7580" t="n">
        <v>0</v>
      </c>
      <c r="Q7580" t="n">
        <v>0</v>
      </c>
      <c r="R7580" s="2" t="inlineStr"/>
    </row>
    <row r="7581" ht="15" customHeight="1">
      <c r="A7581" t="inlineStr">
        <is>
          <t>A 24217-2023</t>
        </is>
      </c>
      <c r="B7581" s="1" t="n">
        <v>45079</v>
      </c>
      <c r="C7581" s="1" t="n">
        <v>45344</v>
      </c>
      <c r="D7581" t="inlineStr">
        <is>
          <t>GÄVLEBORGS LÄN</t>
        </is>
      </c>
      <c r="E7581" t="inlineStr">
        <is>
          <t>HUDIKSVALL</t>
        </is>
      </c>
      <c r="G7581" t="n">
        <v>3.1</v>
      </c>
      <c r="H7581" t="n">
        <v>0</v>
      </c>
      <c r="I7581" t="n">
        <v>0</v>
      </c>
      <c r="J7581" t="n">
        <v>0</v>
      </c>
      <c r="K7581" t="n">
        <v>0</v>
      </c>
      <c r="L7581" t="n">
        <v>0</v>
      </c>
      <c r="M7581" t="n">
        <v>0</v>
      </c>
      <c r="N7581" t="n">
        <v>0</v>
      </c>
      <c r="O7581" t="n">
        <v>0</v>
      </c>
      <c r="P7581" t="n">
        <v>0</v>
      </c>
      <c r="Q7581" t="n">
        <v>0</v>
      </c>
      <c r="R7581" s="2" t="inlineStr"/>
    </row>
    <row r="7582" ht="15" customHeight="1">
      <c r="A7582" t="inlineStr">
        <is>
          <t>A 24221-2023</t>
        </is>
      </c>
      <c r="B7582" s="1" t="n">
        <v>45079</v>
      </c>
      <c r="C7582" s="1" t="n">
        <v>45344</v>
      </c>
      <c r="D7582" t="inlineStr">
        <is>
          <t>GÄVLEBORGS LÄN</t>
        </is>
      </c>
      <c r="E7582" t="inlineStr">
        <is>
          <t>LJUSDAL</t>
        </is>
      </c>
      <c r="F7582" t="inlineStr">
        <is>
          <t>Sveaskog</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24082-2023</t>
        </is>
      </c>
      <c r="B7583" s="1" t="n">
        <v>45079</v>
      </c>
      <c r="C7583" s="1" t="n">
        <v>45344</v>
      </c>
      <c r="D7583" t="inlineStr">
        <is>
          <t>GÄVLEBORGS LÄN</t>
        </is>
      </c>
      <c r="E7583" t="inlineStr">
        <is>
          <t>OVANÅKER</t>
        </is>
      </c>
      <c r="F7583" t="inlineStr">
        <is>
          <t>Sveaskog</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24083-2023</t>
        </is>
      </c>
      <c r="B7584" s="1" t="n">
        <v>45079</v>
      </c>
      <c r="C7584" s="1" t="n">
        <v>45344</v>
      </c>
      <c r="D7584" t="inlineStr">
        <is>
          <t>GÄVLEBORGS LÄN</t>
        </is>
      </c>
      <c r="E7584" t="inlineStr">
        <is>
          <t>OVANÅKER</t>
        </is>
      </c>
      <c r="F7584" t="inlineStr">
        <is>
          <t>Sveaskog</t>
        </is>
      </c>
      <c r="G7584" t="n">
        <v>4.1</v>
      </c>
      <c r="H7584" t="n">
        <v>0</v>
      </c>
      <c r="I7584" t="n">
        <v>0</v>
      </c>
      <c r="J7584" t="n">
        <v>0</v>
      </c>
      <c r="K7584" t="n">
        <v>0</v>
      </c>
      <c r="L7584" t="n">
        <v>0</v>
      </c>
      <c r="M7584" t="n">
        <v>0</v>
      </c>
      <c r="N7584" t="n">
        <v>0</v>
      </c>
      <c r="O7584" t="n">
        <v>0</v>
      </c>
      <c r="P7584" t="n">
        <v>0</v>
      </c>
      <c r="Q7584" t="n">
        <v>0</v>
      </c>
      <c r="R7584" s="2" t="inlineStr"/>
    </row>
    <row r="7585" ht="15" customHeight="1">
      <c r="A7585" t="inlineStr">
        <is>
          <t>A 24088-2023</t>
        </is>
      </c>
      <c r="B7585" s="1" t="n">
        <v>45079</v>
      </c>
      <c r="C7585" s="1" t="n">
        <v>45344</v>
      </c>
      <c r="D7585" t="inlineStr">
        <is>
          <t>GÄVLEBORGS LÄN</t>
        </is>
      </c>
      <c r="E7585" t="inlineStr">
        <is>
          <t>HUDIKSVALL</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24092-2023</t>
        </is>
      </c>
      <c r="B7586" s="1" t="n">
        <v>45079</v>
      </c>
      <c r="C7586" s="1" t="n">
        <v>45344</v>
      </c>
      <c r="D7586" t="inlineStr">
        <is>
          <t>GÄVLEBORGS LÄN</t>
        </is>
      </c>
      <c r="E7586" t="inlineStr">
        <is>
          <t>HUDIKSVALL</t>
        </is>
      </c>
      <c r="F7586" t="inlineStr">
        <is>
          <t>Holmen skog AB</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24096-2023</t>
        </is>
      </c>
      <c r="B7587" s="1" t="n">
        <v>45079</v>
      </c>
      <c r="C7587" s="1" t="n">
        <v>45344</v>
      </c>
      <c r="D7587" t="inlineStr">
        <is>
          <t>GÄVLEBORGS LÄN</t>
        </is>
      </c>
      <c r="E7587" t="inlineStr">
        <is>
          <t>NORDANSTIG</t>
        </is>
      </c>
      <c r="F7587" t="inlineStr">
        <is>
          <t>Holmen skog AB</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24138-2023</t>
        </is>
      </c>
      <c r="B7588" s="1" t="n">
        <v>45079</v>
      </c>
      <c r="C7588" s="1" t="n">
        <v>45344</v>
      </c>
      <c r="D7588" t="inlineStr">
        <is>
          <t>GÄVLEBORGS LÄN</t>
        </is>
      </c>
      <c r="E7588" t="inlineStr">
        <is>
          <t>GÄVLE</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24153-2023</t>
        </is>
      </c>
      <c r="B7589" s="1" t="n">
        <v>45079</v>
      </c>
      <c r="C7589" s="1" t="n">
        <v>45344</v>
      </c>
      <c r="D7589" t="inlineStr">
        <is>
          <t>GÄVLEBORGS LÄN</t>
        </is>
      </c>
      <c r="E7589" t="inlineStr">
        <is>
          <t>SÖDERHAMN</t>
        </is>
      </c>
      <c r="G7589" t="n">
        <v>3.6</v>
      </c>
      <c r="H7589" t="n">
        <v>0</v>
      </c>
      <c r="I7589" t="n">
        <v>0</v>
      </c>
      <c r="J7589" t="n">
        <v>0</v>
      </c>
      <c r="K7589" t="n">
        <v>0</v>
      </c>
      <c r="L7589" t="n">
        <v>0</v>
      </c>
      <c r="M7589" t="n">
        <v>0</v>
      </c>
      <c r="N7589" t="n">
        <v>0</v>
      </c>
      <c r="O7589" t="n">
        <v>0</v>
      </c>
      <c r="P7589" t="n">
        <v>0</v>
      </c>
      <c r="Q7589" t="n">
        <v>0</v>
      </c>
      <c r="R7589" s="2" t="inlineStr"/>
    </row>
    <row r="7590" ht="15" customHeight="1">
      <c r="A7590" t="inlineStr">
        <is>
          <t>A 24106-2023</t>
        </is>
      </c>
      <c r="B7590" s="1" t="n">
        <v>45079</v>
      </c>
      <c r="C7590" s="1" t="n">
        <v>45344</v>
      </c>
      <c r="D7590" t="inlineStr">
        <is>
          <t>GÄVLEBORGS LÄN</t>
        </is>
      </c>
      <c r="E7590" t="inlineStr">
        <is>
          <t>NORDANSTIG</t>
        </is>
      </c>
      <c r="F7590" t="inlineStr">
        <is>
          <t>Holmen skog AB</t>
        </is>
      </c>
      <c r="G7590" t="n">
        <v>2.6</v>
      </c>
      <c r="H7590" t="n">
        <v>0</v>
      </c>
      <c r="I7590" t="n">
        <v>0</v>
      </c>
      <c r="J7590" t="n">
        <v>0</v>
      </c>
      <c r="K7590" t="n">
        <v>0</v>
      </c>
      <c r="L7590" t="n">
        <v>0</v>
      </c>
      <c r="M7590" t="n">
        <v>0</v>
      </c>
      <c r="N7590" t="n">
        <v>0</v>
      </c>
      <c r="O7590" t="n">
        <v>0</v>
      </c>
      <c r="P7590" t="n">
        <v>0</v>
      </c>
      <c r="Q7590" t="n">
        <v>0</v>
      </c>
      <c r="R7590" s="2" t="inlineStr"/>
    </row>
    <row r="7591" ht="15" customHeight="1">
      <c r="A7591" t="inlineStr">
        <is>
          <t>A 24201-2023</t>
        </is>
      </c>
      <c r="B7591" s="1" t="n">
        <v>45079</v>
      </c>
      <c r="C7591" s="1" t="n">
        <v>45344</v>
      </c>
      <c r="D7591" t="inlineStr">
        <is>
          <t>GÄVLEBORGS LÄN</t>
        </is>
      </c>
      <c r="E7591" t="inlineStr">
        <is>
          <t>HUDIKSVALL</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24205-2023</t>
        </is>
      </c>
      <c r="B7592" s="1" t="n">
        <v>45079</v>
      </c>
      <c r="C7592" s="1" t="n">
        <v>45344</v>
      </c>
      <c r="D7592" t="inlineStr">
        <is>
          <t>GÄVLEBORGS LÄN</t>
        </is>
      </c>
      <c r="E7592" t="inlineStr">
        <is>
          <t>HUDIKSVALL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24209-2023</t>
        </is>
      </c>
      <c r="B7593" s="1" t="n">
        <v>45079</v>
      </c>
      <c r="C7593" s="1" t="n">
        <v>45344</v>
      </c>
      <c r="D7593" t="inlineStr">
        <is>
          <t>GÄVLEBORGS LÄN</t>
        </is>
      </c>
      <c r="E7593" t="inlineStr">
        <is>
          <t>HUDIKSVALL</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24223-2023</t>
        </is>
      </c>
      <c r="B7594" s="1" t="n">
        <v>45079</v>
      </c>
      <c r="C7594" s="1" t="n">
        <v>45344</v>
      </c>
      <c r="D7594" t="inlineStr">
        <is>
          <t>GÄVLEBORGS LÄN</t>
        </is>
      </c>
      <c r="E7594" t="inlineStr">
        <is>
          <t>HUDIKSVALL</t>
        </is>
      </c>
      <c r="G7594" t="n">
        <v>5.4</v>
      </c>
      <c r="H7594" t="n">
        <v>0</v>
      </c>
      <c r="I7594" t="n">
        <v>0</v>
      </c>
      <c r="J7594" t="n">
        <v>0</v>
      </c>
      <c r="K7594" t="n">
        <v>0</v>
      </c>
      <c r="L7594" t="n">
        <v>0</v>
      </c>
      <c r="M7594" t="n">
        <v>0</v>
      </c>
      <c r="N7594" t="n">
        <v>0</v>
      </c>
      <c r="O7594" t="n">
        <v>0</v>
      </c>
      <c r="P7594" t="n">
        <v>0</v>
      </c>
      <c r="Q7594" t="n">
        <v>0</v>
      </c>
      <c r="R7594" s="2" t="inlineStr"/>
    </row>
    <row r="7595" ht="15" customHeight="1">
      <c r="A7595" t="inlineStr">
        <is>
          <t>A 24242-2023</t>
        </is>
      </c>
      <c r="B7595" s="1" t="n">
        <v>45079</v>
      </c>
      <c r="C7595" s="1" t="n">
        <v>45344</v>
      </c>
      <c r="D7595" t="inlineStr">
        <is>
          <t>GÄVLEBORGS LÄN</t>
        </is>
      </c>
      <c r="E7595" t="inlineStr">
        <is>
          <t>NORDANSTIG</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24190-2023</t>
        </is>
      </c>
      <c r="B7596" s="1" t="n">
        <v>45079</v>
      </c>
      <c r="C7596" s="1" t="n">
        <v>45344</v>
      </c>
      <c r="D7596" t="inlineStr">
        <is>
          <t>GÄVLEBORGS LÄN</t>
        </is>
      </c>
      <c r="E7596" t="inlineStr">
        <is>
          <t>LJUSDAL</t>
        </is>
      </c>
      <c r="G7596" t="n">
        <v>5.9</v>
      </c>
      <c r="H7596" t="n">
        <v>0</v>
      </c>
      <c r="I7596" t="n">
        <v>0</v>
      </c>
      <c r="J7596" t="n">
        <v>0</v>
      </c>
      <c r="K7596" t="n">
        <v>0</v>
      </c>
      <c r="L7596" t="n">
        <v>0</v>
      </c>
      <c r="M7596" t="n">
        <v>0</v>
      </c>
      <c r="N7596" t="n">
        <v>0</v>
      </c>
      <c r="O7596" t="n">
        <v>0</v>
      </c>
      <c r="P7596" t="n">
        <v>0</v>
      </c>
      <c r="Q7596" t="n">
        <v>0</v>
      </c>
      <c r="R7596" s="2" t="inlineStr"/>
    </row>
    <row r="7597" ht="15" customHeight="1">
      <c r="A7597" t="inlineStr">
        <is>
          <t>A 24210-2023</t>
        </is>
      </c>
      <c r="B7597" s="1" t="n">
        <v>45079</v>
      </c>
      <c r="C7597" s="1" t="n">
        <v>45344</v>
      </c>
      <c r="D7597" t="inlineStr">
        <is>
          <t>GÄVLEBORGS LÄN</t>
        </is>
      </c>
      <c r="E7597" t="inlineStr">
        <is>
          <t>HUDIKSVALL</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24258-2023</t>
        </is>
      </c>
      <c r="B7598" s="1" t="n">
        <v>45079</v>
      </c>
      <c r="C7598" s="1" t="n">
        <v>45344</v>
      </c>
      <c r="D7598" t="inlineStr">
        <is>
          <t>GÄVLEBORGS LÄN</t>
        </is>
      </c>
      <c r="E7598" t="inlineStr">
        <is>
          <t>OVANÅKER</t>
        </is>
      </c>
      <c r="G7598" t="n">
        <v>2.3</v>
      </c>
      <c r="H7598" t="n">
        <v>0</v>
      </c>
      <c r="I7598" t="n">
        <v>0</v>
      </c>
      <c r="J7598" t="n">
        <v>0</v>
      </c>
      <c r="K7598" t="n">
        <v>0</v>
      </c>
      <c r="L7598" t="n">
        <v>0</v>
      </c>
      <c r="M7598" t="n">
        <v>0</v>
      </c>
      <c r="N7598" t="n">
        <v>0</v>
      </c>
      <c r="O7598" t="n">
        <v>0</v>
      </c>
      <c r="P7598" t="n">
        <v>0</v>
      </c>
      <c r="Q7598" t="n">
        <v>0</v>
      </c>
      <c r="R7598" s="2" t="inlineStr"/>
    </row>
    <row r="7599" ht="15" customHeight="1">
      <c r="A7599" t="inlineStr">
        <is>
          <t>A 24208-2023</t>
        </is>
      </c>
      <c r="B7599" s="1" t="n">
        <v>45079</v>
      </c>
      <c r="C7599" s="1" t="n">
        <v>45344</v>
      </c>
      <c r="D7599" t="inlineStr">
        <is>
          <t>GÄVLEBORGS LÄN</t>
        </is>
      </c>
      <c r="E7599" t="inlineStr">
        <is>
          <t>NORDANSTIG</t>
        </is>
      </c>
      <c r="F7599" t="inlineStr">
        <is>
          <t>Holmen skog AB</t>
        </is>
      </c>
      <c r="G7599" t="n">
        <v>8.800000000000001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24213-2023</t>
        </is>
      </c>
      <c r="B7600" s="1" t="n">
        <v>45079</v>
      </c>
      <c r="C7600" s="1" t="n">
        <v>45344</v>
      </c>
      <c r="D7600" t="inlineStr">
        <is>
          <t>GÄVLEBORGS LÄN</t>
        </is>
      </c>
      <c r="E7600" t="inlineStr">
        <is>
          <t>HUDIKSVALL</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24237-2023</t>
        </is>
      </c>
      <c r="B7601" s="1" t="n">
        <v>45079</v>
      </c>
      <c r="C7601" s="1" t="n">
        <v>45344</v>
      </c>
      <c r="D7601" t="inlineStr">
        <is>
          <t>GÄVLEBORGS LÄN</t>
        </is>
      </c>
      <c r="E7601" t="inlineStr">
        <is>
          <t>LJUSDAL</t>
        </is>
      </c>
      <c r="F7601" t="inlineStr">
        <is>
          <t>Sveaskog</t>
        </is>
      </c>
      <c r="G7601" t="n">
        <v>3.4</v>
      </c>
      <c r="H7601" t="n">
        <v>0</v>
      </c>
      <c r="I7601" t="n">
        <v>0</v>
      </c>
      <c r="J7601" t="n">
        <v>0</v>
      </c>
      <c r="K7601" t="n">
        <v>0</v>
      </c>
      <c r="L7601" t="n">
        <v>0</v>
      </c>
      <c r="M7601" t="n">
        <v>0</v>
      </c>
      <c r="N7601" t="n">
        <v>0</v>
      </c>
      <c r="O7601" t="n">
        <v>0</v>
      </c>
      <c r="P7601" t="n">
        <v>0</v>
      </c>
      <c r="Q7601" t="n">
        <v>0</v>
      </c>
      <c r="R7601" s="2" t="inlineStr"/>
    </row>
    <row r="7602" ht="15" customHeight="1">
      <c r="A7602" t="inlineStr">
        <is>
          <t>A 24480-2023</t>
        </is>
      </c>
      <c r="B7602" s="1" t="n">
        <v>45082</v>
      </c>
      <c r="C7602" s="1" t="n">
        <v>45344</v>
      </c>
      <c r="D7602" t="inlineStr">
        <is>
          <t>GÄVLEBORGS LÄN</t>
        </is>
      </c>
      <c r="E7602" t="inlineStr">
        <is>
          <t>GÄVLE</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24508-2023</t>
        </is>
      </c>
      <c r="B7603" s="1" t="n">
        <v>45082</v>
      </c>
      <c r="C7603" s="1" t="n">
        <v>45344</v>
      </c>
      <c r="D7603" t="inlineStr">
        <is>
          <t>GÄVLEBORGS LÄN</t>
        </is>
      </c>
      <c r="E7603" t="inlineStr">
        <is>
          <t>BOLLNÄS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24372-2023</t>
        </is>
      </c>
      <c r="B7604" s="1" t="n">
        <v>45082</v>
      </c>
      <c r="C7604" s="1" t="n">
        <v>45344</v>
      </c>
      <c r="D7604" t="inlineStr">
        <is>
          <t>GÄVLEBORGS LÄN</t>
        </is>
      </c>
      <c r="E7604" t="inlineStr">
        <is>
          <t>HUDIKSVALL</t>
        </is>
      </c>
      <c r="G7604" t="n">
        <v>5.9</v>
      </c>
      <c r="H7604" t="n">
        <v>0</v>
      </c>
      <c r="I7604" t="n">
        <v>0</v>
      </c>
      <c r="J7604" t="n">
        <v>0</v>
      </c>
      <c r="K7604" t="n">
        <v>0</v>
      </c>
      <c r="L7604" t="n">
        <v>0</v>
      </c>
      <c r="M7604" t="n">
        <v>0</v>
      </c>
      <c r="N7604" t="n">
        <v>0</v>
      </c>
      <c r="O7604" t="n">
        <v>0</v>
      </c>
      <c r="P7604" t="n">
        <v>0</v>
      </c>
      <c r="Q7604" t="n">
        <v>0</v>
      </c>
      <c r="R7604" s="2" t="inlineStr"/>
    </row>
    <row r="7605" ht="15" customHeight="1">
      <c r="A7605" t="inlineStr">
        <is>
          <t>A 24465-2023</t>
        </is>
      </c>
      <c r="B7605" s="1" t="n">
        <v>45082</v>
      </c>
      <c r="C7605" s="1" t="n">
        <v>45344</v>
      </c>
      <c r="D7605" t="inlineStr">
        <is>
          <t>GÄVLEBORGS LÄN</t>
        </is>
      </c>
      <c r="E7605" t="inlineStr">
        <is>
          <t>SANDVIKEN</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24478-2023</t>
        </is>
      </c>
      <c r="B7606" s="1" t="n">
        <v>45082</v>
      </c>
      <c r="C7606" s="1" t="n">
        <v>45344</v>
      </c>
      <c r="D7606" t="inlineStr">
        <is>
          <t>GÄVLEBORGS LÄN</t>
        </is>
      </c>
      <c r="E7606" t="inlineStr">
        <is>
          <t>GÄVLE</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24412-2023</t>
        </is>
      </c>
      <c r="B7607" s="1" t="n">
        <v>45082</v>
      </c>
      <c r="C7607" s="1" t="n">
        <v>45344</v>
      </c>
      <c r="D7607" t="inlineStr">
        <is>
          <t>GÄVLEBORGS LÄN</t>
        </is>
      </c>
      <c r="E7607" t="inlineStr">
        <is>
          <t>HUDIKSVALL</t>
        </is>
      </c>
      <c r="F7607" t="inlineStr">
        <is>
          <t>Holmen skog AB</t>
        </is>
      </c>
      <c r="G7607" t="n">
        <v>8.800000000000001</v>
      </c>
      <c r="H7607" t="n">
        <v>0</v>
      </c>
      <c r="I7607" t="n">
        <v>0</v>
      </c>
      <c r="J7607" t="n">
        <v>0</v>
      </c>
      <c r="K7607" t="n">
        <v>0</v>
      </c>
      <c r="L7607" t="n">
        <v>0</v>
      </c>
      <c r="M7607" t="n">
        <v>0</v>
      </c>
      <c r="N7607" t="n">
        <v>0</v>
      </c>
      <c r="O7607" t="n">
        <v>0</v>
      </c>
      <c r="P7607" t="n">
        <v>0</v>
      </c>
      <c r="Q7607" t="n">
        <v>0</v>
      </c>
      <c r="R7607" s="2" t="inlineStr"/>
    </row>
    <row r="7608" ht="15" customHeight="1">
      <c r="A7608" t="inlineStr">
        <is>
          <t>A 24445-2023</t>
        </is>
      </c>
      <c r="B7608" s="1" t="n">
        <v>45082</v>
      </c>
      <c r="C7608" s="1" t="n">
        <v>45344</v>
      </c>
      <c r="D7608" t="inlineStr">
        <is>
          <t>GÄVLEBORGS LÄN</t>
        </is>
      </c>
      <c r="E7608" t="inlineStr">
        <is>
          <t>HUDIKSVALL</t>
        </is>
      </c>
      <c r="F7608" t="inlineStr">
        <is>
          <t>Holmen skog AB</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24472-2023</t>
        </is>
      </c>
      <c r="B7609" s="1" t="n">
        <v>45082</v>
      </c>
      <c r="C7609" s="1" t="n">
        <v>45344</v>
      </c>
      <c r="D7609" t="inlineStr">
        <is>
          <t>GÄVLEBORGS LÄN</t>
        </is>
      </c>
      <c r="E7609" t="inlineStr">
        <is>
          <t>BOLLNÄS</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24470-2023</t>
        </is>
      </c>
      <c r="B7610" s="1" t="n">
        <v>45082</v>
      </c>
      <c r="C7610" s="1" t="n">
        <v>45344</v>
      </c>
      <c r="D7610" t="inlineStr">
        <is>
          <t>GÄVLEBORGS LÄN</t>
        </is>
      </c>
      <c r="E7610" t="inlineStr">
        <is>
          <t>SANDVIKEN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24516-2023</t>
        </is>
      </c>
      <c r="B7611" s="1" t="n">
        <v>45082</v>
      </c>
      <c r="C7611" s="1" t="n">
        <v>45344</v>
      </c>
      <c r="D7611" t="inlineStr">
        <is>
          <t>GÄVLEBORGS LÄN</t>
        </is>
      </c>
      <c r="E7611" t="inlineStr">
        <is>
          <t>BOLLNÄS</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24571-2023</t>
        </is>
      </c>
      <c r="B7612" s="1" t="n">
        <v>45083</v>
      </c>
      <c r="C7612" s="1" t="n">
        <v>45344</v>
      </c>
      <c r="D7612" t="inlineStr">
        <is>
          <t>GÄVLEBORGS LÄN</t>
        </is>
      </c>
      <c r="E7612" t="inlineStr">
        <is>
          <t>LJUSDAL</t>
        </is>
      </c>
      <c r="F7612" t="inlineStr">
        <is>
          <t>Allmännings- och besparingsskogar</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24646-2023</t>
        </is>
      </c>
      <c r="B7613" s="1" t="n">
        <v>45084</v>
      </c>
      <c r="C7613" s="1" t="n">
        <v>45344</v>
      </c>
      <c r="D7613" t="inlineStr">
        <is>
          <t>GÄVLEBORGS LÄN</t>
        </is>
      </c>
      <c r="E7613" t="inlineStr">
        <is>
          <t>HOFORS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24654-2023</t>
        </is>
      </c>
      <c r="B7614" s="1" t="n">
        <v>45084</v>
      </c>
      <c r="C7614" s="1" t="n">
        <v>45344</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24682-2023</t>
        </is>
      </c>
      <c r="B7615" s="1" t="n">
        <v>45084</v>
      </c>
      <c r="C7615" s="1" t="n">
        <v>45344</v>
      </c>
      <c r="D7615" t="inlineStr">
        <is>
          <t>GÄVLEBORGS LÄN</t>
        </is>
      </c>
      <c r="E7615" t="inlineStr">
        <is>
          <t>BOLLNÄS</t>
        </is>
      </c>
      <c r="F7615" t="inlineStr">
        <is>
          <t>Bergvik skog väst AB</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24723-2023</t>
        </is>
      </c>
      <c r="B7616" s="1" t="n">
        <v>45084</v>
      </c>
      <c r="C7616" s="1" t="n">
        <v>45344</v>
      </c>
      <c r="D7616" t="inlineStr">
        <is>
          <t>GÄVLEBORGS LÄN</t>
        </is>
      </c>
      <c r="E7616" t="inlineStr">
        <is>
          <t>OCKELBO</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24651-2023</t>
        </is>
      </c>
      <c r="B7617" s="1" t="n">
        <v>45084</v>
      </c>
      <c r="C7617" s="1" t="n">
        <v>45344</v>
      </c>
      <c r="D7617" t="inlineStr">
        <is>
          <t>GÄVLEBORGS LÄN</t>
        </is>
      </c>
      <c r="E7617" t="inlineStr">
        <is>
          <t>BOLLNÄS</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24745-2023</t>
        </is>
      </c>
      <c r="B7618" s="1" t="n">
        <v>45084</v>
      </c>
      <c r="C7618" s="1" t="n">
        <v>45344</v>
      </c>
      <c r="D7618" t="inlineStr">
        <is>
          <t>GÄVLEBORGS LÄN</t>
        </is>
      </c>
      <c r="E7618" t="inlineStr">
        <is>
          <t>BOLLNÄS</t>
        </is>
      </c>
      <c r="F7618" t="inlineStr">
        <is>
          <t>Bergvik skog väst AB</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24715-2023</t>
        </is>
      </c>
      <c r="B7619" s="1" t="n">
        <v>45084</v>
      </c>
      <c r="C7619" s="1" t="n">
        <v>45344</v>
      </c>
      <c r="D7619" t="inlineStr">
        <is>
          <t>GÄVLEBORGS LÄN</t>
        </is>
      </c>
      <c r="E7619" t="inlineStr">
        <is>
          <t>BOLLNÄS</t>
        </is>
      </c>
      <c r="F7619" t="inlineStr">
        <is>
          <t>Bergvik skog väst AB</t>
        </is>
      </c>
      <c r="G7619" t="n">
        <v>6.3</v>
      </c>
      <c r="H7619" t="n">
        <v>0</v>
      </c>
      <c r="I7619" t="n">
        <v>0</v>
      </c>
      <c r="J7619" t="n">
        <v>0</v>
      </c>
      <c r="K7619" t="n">
        <v>0</v>
      </c>
      <c r="L7619" t="n">
        <v>0</v>
      </c>
      <c r="M7619" t="n">
        <v>0</v>
      </c>
      <c r="N7619" t="n">
        <v>0</v>
      </c>
      <c r="O7619" t="n">
        <v>0</v>
      </c>
      <c r="P7619" t="n">
        <v>0</v>
      </c>
      <c r="Q7619" t="n">
        <v>0</v>
      </c>
      <c r="R7619" s="2" t="inlineStr"/>
    </row>
    <row r="7620" ht="15" customHeight="1">
      <c r="A7620" t="inlineStr">
        <is>
          <t>A 24720-2023</t>
        </is>
      </c>
      <c r="B7620" s="1" t="n">
        <v>45084</v>
      </c>
      <c r="C7620" s="1" t="n">
        <v>45344</v>
      </c>
      <c r="D7620" t="inlineStr">
        <is>
          <t>GÄVLEBORGS LÄN</t>
        </is>
      </c>
      <c r="E7620" t="inlineStr">
        <is>
          <t>GÄVLE</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24724-2023</t>
        </is>
      </c>
      <c r="B7621" s="1" t="n">
        <v>45084</v>
      </c>
      <c r="C7621" s="1" t="n">
        <v>45344</v>
      </c>
      <c r="D7621" t="inlineStr">
        <is>
          <t>GÄVLEBORGS LÄN</t>
        </is>
      </c>
      <c r="E7621" t="inlineStr">
        <is>
          <t>GÄVLE</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24618-2023</t>
        </is>
      </c>
      <c r="B7622" s="1" t="n">
        <v>45084</v>
      </c>
      <c r="C7622" s="1" t="n">
        <v>45344</v>
      </c>
      <c r="D7622" t="inlineStr">
        <is>
          <t>GÄVLEBORGS LÄN</t>
        </is>
      </c>
      <c r="E7622" t="inlineStr">
        <is>
          <t>GÄVLE</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24649-2023</t>
        </is>
      </c>
      <c r="B7623" s="1" t="n">
        <v>45084</v>
      </c>
      <c r="C7623" s="1" t="n">
        <v>45344</v>
      </c>
      <c r="D7623" t="inlineStr">
        <is>
          <t>GÄVLEBORGS LÄN</t>
        </is>
      </c>
      <c r="E7623" t="inlineStr">
        <is>
          <t>OCKELBO</t>
        </is>
      </c>
      <c r="G7623" t="n">
        <v>6.6</v>
      </c>
      <c r="H7623" t="n">
        <v>0</v>
      </c>
      <c r="I7623" t="n">
        <v>0</v>
      </c>
      <c r="J7623" t="n">
        <v>0</v>
      </c>
      <c r="K7623" t="n">
        <v>0</v>
      </c>
      <c r="L7623" t="n">
        <v>0</v>
      </c>
      <c r="M7623" t="n">
        <v>0</v>
      </c>
      <c r="N7623" t="n">
        <v>0</v>
      </c>
      <c r="O7623" t="n">
        <v>0</v>
      </c>
      <c r="P7623" t="n">
        <v>0</v>
      </c>
      <c r="Q7623" t="n">
        <v>0</v>
      </c>
      <c r="R7623" s="2" t="inlineStr"/>
    </row>
    <row r="7624" ht="15" customHeight="1">
      <c r="A7624" t="inlineStr">
        <is>
          <t>A 24653-2023</t>
        </is>
      </c>
      <c r="B7624" s="1" t="n">
        <v>45084</v>
      </c>
      <c r="C7624" s="1" t="n">
        <v>45344</v>
      </c>
      <c r="D7624" t="inlineStr">
        <is>
          <t>GÄVLEBORGS LÄN</t>
        </is>
      </c>
      <c r="E7624" t="inlineStr">
        <is>
          <t>BOLLNÄS</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24667-2023</t>
        </is>
      </c>
      <c r="B7625" s="1" t="n">
        <v>45084</v>
      </c>
      <c r="C7625" s="1" t="n">
        <v>45344</v>
      </c>
      <c r="D7625" t="inlineStr">
        <is>
          <t>GÄVLEBORGS LÄN</t>
        </is>
      </c>
      <c r="E7625" t="inlineStr">
        <is>
          <t>BOLLNÄS</t>
        </is>
      </c>
      <c r="F7625" t="inlineStr">
        <is>
          <t>Bergvik skog väst AB</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24722-2023</t>
        </is>
      </c>
      <c r="B7626" s="1" t="n">
        <v>45084</v>
      </c>
      <c r="C7626" s="1" t="n">
        <v>45344</v>
      </c>
      <c r="D7626" t="inlineStr">
        <is>
          <t>GÄVLEBORGS LÄN</t>
        </is>
      </c>
      <c r="E7626" t="inlineStr">
        <is>
          <t>BOLLNÄS</t>
        </is>
      </c>
      <c r="F7626" t="inlineStr">
        <is>
          <t>Bergvik skog väst AB</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24769-2023</t>
        </is>
      </c>
      <c r="B7627" s="1" t="n">
        <v>45084</v>
      </c>
      <c r="C7627" s="1" t="n">
        <v>45344</v>
      </c>
      <c r="D7627" t="inlineStr">
        <is>
          <t>GÄVLEBORGS LÄN</t>
        </is>
      </c>
      <c r="E7627" t="inlineStr">
        <is>
          <t>HOFORS</t>
        </is>
      </c>
      <c r="F7627" t="inlineStr">
        <is>
          <t>Sveaskog</t>
        </is>
      </c>
      <c r="G7627" t="n">
        <v>10.6</v>
      </c>
      <c r="H7627" t="n">
        <v>0</v>
      </c>
      <c r="I7627" t="n">
        <v>0</v>
      </c>
      <c r="J7627" t="n">
        <v>0</v>
      </c>
      <c r="K7627" t="n">
        <v>0</v>
      </c>
      <c r="L7627" t="n">
        <v>0</v>
      </c>
      <c r="M7627" t="n">
        <v>0</v>
      </c>
      <c r="N7627" t="n">
        <v>0</v>
      </c>
      <c r="O7627" t="n">
        <v>0</v>
      </c>
      <c r="P7627" t="n">
        <v>0</v>
      </c>
      <c r="Q7627" t="n">
        <v>0</v>
      </c>
      <c r="R7627" s="2" t="inlineStr"/>
    </row>
    <row r="7628" ht="15" customHeight="1">
      <c r="A7628" t="inlineStr">
        <is>
          <t>A 24764-2023</t>
        </is>
      </c>
      <c r="B7628" s="1" t="n">
        <v>45084</v>
      </c>
      <c r="C7628" s="1" t="n">
        <v>45344</v>
      </c>
      <c r="D7628" t="inlineStr">
        <is>
          <t>GÄVLEBORGS LÄN</t>
        </is>
      </c>
      <c r="E7628" t="inlineStr">
        <is>
          <t>HUDIKSVALL</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24772-2023</t>
        </is>
      </c>
      <c r="B7629" s="1" t="n">
        <v>45084</v>
      </c>
      <c r="C7629" s="1" t="n">
        <v>45344</v>
      </c>
      <c r="D7629" t="inlineStr">
        <is>
          <t>GÄVLEBORGS LÄN</t>
        </is>
      </c>
      <c r="E7629" t="inlineStr">
        <is>
          <t>HOFORS</t>
        </is>
      </c>
      <c r="F7629" t="inlineStr">
        <is>
          <t>Sveaskog</t>
        </is>
      </c>
      <c r="G7629" t="n">
        <v>4.2</v>
      </c>
      <c r="H7629" t="n">
        <v>0</v>
      </c>
      <c r="I7629" t="n">
        <v>0</v>
      </c>
      <c r="J7629" t="n">
        <v>0</v>
      </c>
      <c r="K7629" t="n">
        <v>0</v>
      </c>
      <c r="L7629" t="n">
        <v>0</v>
      </c>
      <c r="M7629" t="n">
        <v>0</v>
      </c>
      <c r="N7629" t="n">
        <v>0</v>
      </c>
      <c r="O7629" t="n">
        <v>0</v>
      </c>
      <c r="P7629" t="n">
        <v>0</v>
      </c>
      <c r="Q7629" t="n">
        <v>0</v>
      </c>
      <c r="R7629" s="2" t="inlineStr"/>
    </row>
    <row r="7630" ht="15" customHeight="1">
      <c r="A7630" t="inlineStr">
        <is>
          <t>A 24766-2023</t>
        </is>
      </c>
      <c r="B7630" s="1" t="n">
        <v>45084</v>
      </c>
      <c r="C7630" s="1" t="n">
        <v>45344</v>
      </c>
      <c r="D7630" t="inlineStr">
        <is>
          <t>GÄVLEBORGS LÄN</t>
        </is>
      </c>
      <c r="E7630" t="inlineStr">
        <is>
          <t>SÖDERHAMN</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24779-2023</t>
        </is>
      </c>
      <c r="B7631" s="1" t="n">
        <v>45084</v>
      </c>
      <c r="C7631" s="1" t="n">
        <v>45344</v>
      </c>
      <c r="D7631" t="inlineStr">
        <is>
          <t>GÄVLEBORGS LÄN</t>
        </is>
      </c>
      <c r="E7631" t="inlineStr">
        <is>
          <t>HUDIKSVALL</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24815-2023</t>
        </is>
      </c>
      <c r="B7632" s="1" t="n">
        <v>45084</v>
      </c>
      <c r="C7632" s="1" t="n">
        <v>45344</v>
      </c>
      <c r="D7632" t="inlineStr">
        <is>
          <t>GÄVLEBORGS LÄN</t>
        </is>
      </c>
      <c r="E7632" t="inlineStr">
        <is>
          <t>BOLLNÄS</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24890-2023</t>
        </is>
      </c>
      <c r="B7633" s="1" t="n">
        <v>45085</v>
      </c>
      <c r="C7633" s="1" t="n">
        <v>45344</v>
      </c>
      <c r="D7633" t="inlineStr">
        <is>
          <t>GÄVLEBORGS LÄN</t>
        </is>
      </c>
      <c r="E7633" t="inlineStr">
        <is>
          <t>HUDIKSVALL</t>
        </is>
      </c>
      <c r="G7633" t="n">
        <v>2.5</v>
      </c>
      <c r="H7633" t="n">
        <v>0</v>
      </c>
      <c r="I7633" t="n">
        <v>0</v>
      </c>
      <c r="J7633" t="n">
        <v>0</v>
      </c>
      <c r="K7633" t="n">
        <v>0</v>
      </c>
      <c r="L7633" t="n">
        <v>0</v>
      </c>
      <c r="M7633" t="n">
        <v>0</v>
      </c>
      <c r="N7633" t="n">
        <v>0</v>
      </c>
      <c r="O7633" t="n">
        <v>0</v>
      </c>
      <c r="P7633" t="n">
        <v>0</v>
      </c>
      <c r="Q7633" t="n">
        <v>0</v>
      </c>
      <c r="R7633" s="2" t="inlineStr"/>
    </row>
    <row r="7634" ht="15" customHeight="1">
      <c r="A7634" t="inlineStr">
        <is>
          <t>A 24885-2023</t>
        </is>
      </c>
      <c r="B7634" s="1" t="n">
        <v>45085</v>
      </c>
      <c r="C7634" s="1" t="n">
        <v>45344</v>
      </c>
      <c r="D7634" t="inlineStr">
        <is>
          <t>GÄVLEBORGS LÄN</t>
        </is>
      </c>
      <c r="E7634" t="inlineStr">
        <is>
          <t>HUDIKSVALL</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24919-2023</t>
        </is>
      </c>
      <c r="B7635" s="1" t="n">
        <v>45085</v>
      </c>
      <c r="C7635" s="1" t="n">
        <v>45344</v>
      </c>
      <c r="D7635" t="inlineStr">
        <is>
          <t>GÄVLEBORGS LÄN</t>
        </is>
      </c>
      <c r="E7635" t="inlineStr">
        <is>
          <t>GÄVLE</t>
        </is>
      </c>
      <c r="G7635" t="n">
        <v>2.9</v>
      </c>
      <c r="H7635" t="n">
        <v>0</v>
      </c>
      <c r="I7635" t="n">
        <v>0</v>
      </c>
      <c r="J7635" t="n">
        <v>0</v>
      </c>
      <c r="K7635" t="n">
        <v>0</v>
      </c>
      <c r="L7635" t="n">
        <v>0</v>
      </c>
      <c r="M7635" t="n">
        <v>0</v>
      </c>
      <c r="N7635" t="n">
        <v>0</v>
      </c>
      <c r="O7635" t="n">
        <v>0</v>
      </c>
      <c r="P7635" t="n">
        <v>0</v>
      </c>
      <c r="Q7635" t="n">
        <v>0</v>
      </c>
      <c r="R7635" s="2" t="inlineStr"/>
    </row>
    <row r="7636" ht="15" customHeight="1">
      <c r="A7636" t="inlineStr">
        <is>
          <t>A 24958-2023</t>
        </is>
      </c>
      <c r="B7636" s="1" t="n">
        <v>45085</v>
      </c>
      <c r="C7636" s="1" t="n">
        <v>45344</v>
      </c>
      <c r="D7636" t="inlineStr">
        <is>
          <t>GÄVLEBORGS LÄN</t>
        </is>
      </c>
      <c r="E7636" t="inlineStr">
        <is>
          <t>BOLLNÄS</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24989-2023</t>
        </is>
      </c>
      <c r="B7637" s="1" t="n">
        <v>45085</v>
      </c>
      <c r="C7637" s="1" t="n">
        <v>45344</v>
      </c>
      <c r="D7637" t="inlineStr">
        <is>
          <t>GÄVLEBORGS LÄN</t>
        </is>
      </c>
      <c r="E7637" t="inlineStr">
        <is>
          <t>HOFORS</t>
        </is>
      </c>
      <c r="F7637" t="inlineStr">
        <is>
          <t>Sveaskog</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24988-2023</t>
        </is>
      </c>
      <c r="B7638" s="1" t="n">
        <v>45085</v>
      </c>
      <c r="C7638" s="1" t="n">
        <v>45344</v>
      </c>
      <c r="D7638" t="inlineStr">
        <is>
          <t>GÄVLEBORGS LÄN</t>
        </is>
      </c>
      <c r="E7638" t="inlineStr">
        <is>
          <t>HOFORS</t>
        </is>
      </c>
      <c r="F7638" t="inlineStr">
        <is>
          <t>Sveaskog</t>
        </is>
      </c>
      <c r="G7638" t="n">
        <v>1.9</v>
      </c>
      <c r="H7638" t="n">
        <v>0</v>
      </c>
      <c r="I7638" t="n">
        <v>0</v>
      </c>
      <c r="J7638" t="n">
        <v>0</v>
      </c>
      <c r="K7638" t="n">
        <v>0</v>
      </c>
      <c r="L7638" t="n">
        <v>0</v>
      </c>
      <c r="M7638" t="n">
        <v>0</v>
      </c>
      <c r="N7638" t="n">
        <v>0</v>
      </c>
      <c r="O7638" t="n">
        <v>0</v>
      </c>
      <c r="P7638" t="n">
        <v>0</v>
      </c>
      <c r="Q7638" t="n">
        <v>0</v>
      </c>
      <c r="R7638" s="2" t="inlineStr"/>
    </row>
    <row r="7639" ht="15" customHeight="1">
      <c r="A7639" t="inlineStr">
        <is>
          <t>A 24992-2023</t>
        </is>
      </c>
      <c r="B7639" s="1" t="n">
        <v>45085</v>
      </c>
      <c r="C7639" s="1" t="n">
        <v>45344</v>
      </c>
      <c r="D7639" t="inlineStr">
        <is>
          <t>GÄVLEBORGS LÄN</t>
        </is>
      </c>
      <c r="E7639" t="inlineStr">
        <is>
          <t>SANDVIKEN</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25089-2023</t>
        </is>
      </c>
      <c r="B7640" s="1" t="n">
        <v>45086</v>
      </c>
      <c r="C7640" s="1" t="n">
        <v>45344</v>
      </c>
      <c r="D7640" t="inlineStr">
        <is>
          <t>GÄVLEBORGS LÄN</t>
        </is>
      </c>
      <c r="E7640" t="inlineStr">
        <is>
          <t>LJUSDAL</t>
        </is>
      </c>
      <c r="F7640" t="inlineStr">
        <is>
          <t>Bergvik skog väst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25116-2023</t>
        </is>
      </c>
      <c r="B7641" s="1" t="n">
        <v>45086</v>
      </c>
      <c r="C7641" s="1" t="n">
        <v>45344</v>
      </c>
      <c r="D7641" t="inlineStr">
        <is>
          <t>GÄVLEBORGS LÄN</t>
        </is>
      </c>
      <c r="E7641" t="inlineStr">
        <is>
          <t>SANDVIKEN</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25224-2023</t>
        </is>
      </c>
      <c r="B7642" s="1" t="n">
        <v>45086</v>
      </c>
      <c r="C7642" s="1" t="n">
        <v>45344</v>
      </c>
      <c r="D7642" t="inlineStr">
        <is>
          <t>GÄVLEBORGS LÄN</t>
        </is>
      </c>
      <c r="E7642" t="inlineStr">
        <is>
          <t>SÖDERHAMN</t>
        </is>
      </c>
      <c r="G7642" t="n">
        <v>9.9</v>
      </c>
      <c r="H7642" t="n">
        <v>0</v>
      </c>
      <c r="I7642" t="n">
        <v>0</v>
      </c>
      <c r="J7642" t="n">
        <v>0</v>
      </c>
      <c r="K7642" t="n">
        <v>0</v>
      </c>
      <c r="L7642" t="n">
        <v>0</v>
      </c>
      <c r="M7642" t="n">
        <v>0</v>
      </c>
      <c r="N7642" t="n">
        <v>0</v>
      </c>
      <c r="O7642" t="n">
        <v>0</v>
      </c>
      <c r="P7642" t="n">
        <v>0</v>
      </c>
      <c r="Q7642" t="n">
        <v>0</v>
      </c>
      <c r="R7642" s="2" t="inlineStr"/>
    </row>
    <row r="7643" ht="15" customHeight="1">
      <c r="A7643" t="inlineStr">
        <is>
          <t>A 25252-2023</t>
        </is>
      </c>
      <c r="B7643" s="1" t="n">
        <v>45086</v>
      </c>
      <c r="C7643" s="1" t="n">
        <v>45344</v>
      </c>
      <c r="D7643" t="inlineStr">
        <is>
          <t>GÄVLEBORGS LÄN</t>
        </is>
      </c>
      <c r="E7643" t="inlineStr">
        <is>
          <t>LJUSDAL</t>
        </is>
      </c>
      <c r="F7643" t="inlineStr">
        <is>
          <t>Sveaskog</t>
        </is>
      </c>
      <c r="G7643" t="n">
        <v>9.699999999999999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25071-2023</t>
        </is>
      </c>
      <c r="B7644" s="1" t="n">
        <v>45086</v>
      </c>
      <c r="C7644" s="1" t="n">
        <v>45344</v>
      </c>
      <c r="D7644" t="inlineStr">
        <is>
          <t>GÄVLEBORGS LÄN</t>
        </is>
      </c>
      <c r="E7644" t="inlineStr">
        <is>
          <t>GÄVLE</t>
        </is>
      </c>
      <c r="F7644" t="inlineStr">
        <is>
          <t>Kyrkan</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25081-2023</t>
        </is>
      </c>
      <c r="B7645" s="1" t="n">
        <v>45086</v>
      </c>
      <c r="C7645" s="1" t="n">
        <v>45344</v>
      </c>
      <c r="D7645" t="inlineStr">
        <is>
          <t>GÄVLEBORGS LÄN</t>
        </is>
      </c>
      <c r="E7645" t="inlineStr">
        <is>
          <t>OVANÅKER</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25084-2023</t>
        </is>
      </c>
      <c r="B7646" s="1" t="n">
        <v>45086</v>
      </c>
      <c r="C7646" s="1" t="n">
        <v>45344</v>
      </c>
      <c r="D7646" t="inlineStr">
        <is>
          <t>GÄVLEBORGS LÄN</t>
        </is>
      </c>
      <c r="E7646" t="inlineStr">
        <is>
          <t>NORDANSTIG</t>
        </is>
      </c>
      <c r="F7646" t="inlineStr">
        <is>
          <t>Holmen skog AB</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25112-2023</t>
        </is>
      </c>
      <c r="B7647" s="1" t="n">
        <v>45086</v>
      </c>
      <c r="C7647" s="1" t="n">
        <v>45344</v>
      </c>
      <c r="D7647" t="inlineStr">
        <is>
          <t>GÄVLEBORGS LÄN</t>
        </is>
      </c>
      <c r="E7647" t="inlineStr">
        <is>
          <t>LJUSDAL</t>
        </is>
      </c>
      <c r="F7647" t="inlineStr">
        <is>
          <t>Bergvik skog väst AB</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25185-2023</t>
        </is>
      </c>
      <c r="B7648" s="1" t="n">
        <v>45086</v>
      </c>
      <c r="C7648" s="1" t="n">
        <v>45344</v>
      </c>
      <c r="D7648" t="inlineStr">
        <is>
          <t>GÄVLEBORGS LÄN</t>
        </is>
      </c>
      <c r="E7648" t="inlineStr">
        <is>
          <t>GÄVLE</t>
        </is>
      </c>
      <c r="F7648" t="inlineStr">
        <is>
          <t>Bergvik skog öst AB</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25091-2023</t>
        </is>
      </c>
      <c r="B7649" s="1" t="n">
        <v>45086</v>
      </c>
      <c r="C7649" s="1" t="n">
        <v>45344</v>
      </c>
      <c r="D7649" t="inlineStr">
        <is>
          <t>GÄVLEBORGS LÄN</t>
        </is>
      </c>
      <c r="E7649" t="inlineStr">
        <is>
          <t>LJUSDAL</t>
        </is>
      </c>
      <c r="F7649" t="inlineStr">
        <is>
          <t>Bergvik skog väst AB</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25107-2023</t>
        </is>
      </c>
      <c r="B7650" s="1" t="n">
        <v>45086</v>
      </c>
      <c r="C7650" s="1" t="n">
        <v>45344</v>
      </c>
      <c r="D7650" t="inlineStr">
        <is>
          <t>GÄVLEBORGS LÄN</t>
        </is>
      </c>
      <c r="E7650" t="inlineStr">
        <is>
          <t>OCKELBO</t>
        </is>
      </c>
      <c r="F7650" t="inlineStr">
        <is>
          <t>Kyrkan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25190-2023</t>
        </is>
      </c>
      <c r="B7651" s="1" t="n">
        <v>45086</v>
      </c>
      <c r="C7651" s="1" t="n">
        <v>45344</v>
      </c>
      <c r="D7651" t="inlineStr">
        <is>
          <t>GÄVLEBORGS LÄN</t>
        </is>
      </c>
      <c r="E7651" t="inlineStr">
        <is>
          <t>OVANÅKER</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25294-2023</t>
        </is>
      </c>
      <c r="B7652" s="1" t="n">
        <v>45086</v>
      </c>
      <c r="C7652" s="1" t="n">
        <v>45344</v>
      </c>
      <c r="D7652" t="inlineStr">
        <is>
          <t>GÄVLEBORGS LÄN</t>
        </is>
      </c>
      <c r="E7652" t="inlineStr">
        <is>
          <t>NORDANSTIG</t>
        </is>
      </c>
      <c r="F7652" t="inlineStr">
        <is>
          <t>Holmen skog AB</t>
        </is>
      </c>
      <c r="G7652" t="n">
        <v>7.8</v>
      </c>
      <c r="H7652" t="n">
        <v>0</v>
      </c>
      <c r="I7652" t="n">
        <v>0</v>
      </c>
      <c r="J7652" t="n">
        <v>0</v>
      </c>
      <c r="K7652" t="n">
        <v>0</v>
      </c>
      <c r="L7652" t="n">
        <v>0</v>
      </c>
      <c r="M7652" t="n">
        <v>0</v>
      </c>
      <c r="N7652" t="n">
        <v>0</v>
      </c>
      <c r="O7652" t="n">
        <v>0</v>
      </c>
      <c r="P7652" t="n">
        <v>0</v>
      </c>
      <c r="Q7652" t="n">
        <v>0</v>
      </c>
      <c r="R7652" s="2" t="inlineStr"/>
    </row>
    <row r="7653" ht="15" customHeight="1">
      <c r="A7653" t="inlineStr">
        <is>
          <t>A 25101-2023</t>
        </is>
      </c>
      <c r="B7653" s="1" t="n">
        <v>45086</v>
      </c>
      <c r="C7653" s="1" t="n">
        <v>45344</v>
      </c>
      <c r="D7653" t="inlineStr">
        <is>
          <t>GÄVLEBORGS LÄN</t>
        </is>
      </c>
      <c r="E7653" t="inlineStr">
        <is>
          <t>OVANÅKER</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25132-2023</t>
        </is>
      </c>
      <c r="B7654" s="1" t="n">
        <v>45086</v>
      </c>
      <c r="C7654" s="1" t="n">
        <v>45344</v>
      </c>
      <c r="D7654" t="inlineStr">
        <is>
          <t>GÄVLEBORGS LÄN</t>
        </is>
      </c>
      <c r="E7654" t="inlineStr">
        <is>
          <t>SÖDERHAMN</t>
        </is>
      </c>
      <c r="F7654" t="inlineStr">
        <is>
          <t>Bergvik skog väst AB</t>
        </is>
      </c>
      <c r="G7654" t="n">
        <v>1.6</v>
      </c>
      <c r="H7654" t="n">
        <v>0</v>
      </c>
      <c r="I7654" t="n">
        <v>0</v>
      </c>
      <c r="J7654" t="n">
        <v>0</v>
      </c>
      <c r="K7654" t="n">
        <v>0</v>
      </c>
      <c r="L7654" t="n">
        <v>0</v>
      </c>
      <c r="M7654" t="n">
        <v>0</v>
      </c>
      <c r="N7654" t="n">
        <v>0</v>
      </c>
      <c r="O7654" t="n">
        <v>0</v>
      </c>
      <c r="P7654" t="n">
        <v>0</v>
      </c>
      <c r="Q7654" t="n">
        <v>0</v>
      </c>
      <c r="R7654" s="2" t="inlineStr"/>
    </row>
    <row r="7655" ht="15" customHeight="1">
      <c r="A7655" t="inlineStr">
        <is>
          <t>A 25162-2023</t>
        </is>
      </c>
      <c r="B7655" s="1" t="n">
        <v>45086</v>
      </c>
      <c r="C7655" s="1" t="n">
        <v>45344</v>
      </c>
      <c r="D7655" t="inlineStr">
        <is>
          <t>GÄVLEBORGS LÄN</t>
        </is>
      </c>
      <c r="E7655" t="inlineStr">
        <is>
          <t>OVANÅKER</t>
        </is>
      </c>
      <c r="G7655" t="n">
        <v>0.8</v>
      </c>
      <c r="H7655" t="n">
        <v>0</v>
      </c>
      <c r="I7655" t="n">
        <v>0</v>
      </c>
      <c r="J7655" t="n">
        <v>0</v>
      </c>
      <c r="K7655" t="n">
        <v>0</v>
      </c>
      <c r="L7655" t="n">
        <v>0</v>
      </c>
      <c r="M7655" t="n">
        <v>0</v>
      </c>
      <c r="N7655" t="n">
        <v>0</v>
      </c>
      <c r="O7655" t="n">
        <v>0</v>
      </c>
      <c r="P7655" t="n">
        <v>0</v>
      </c>
      <c r="Q7655" t="n">
        <v>0</v>
      </c>
      <c r="R7655" s="2" t="inlineStr"/>
    </row>
    <row r="7656" ht="15" customHeight="1">
      <c r="A7656" t="inlineStr">
        <is>
          <t>A 25177-2023</t>
        </is>
      </c>
      <c r="B7656" s="1" t="n">
        <v>45086</v>
      </c>
      <c r="C7656" s="1" t="n">
        <v>45344</v>
      </c>
      <c r="D7656" t="inlineStr">
        <is>
          <t>GÄVLEBORGS LÄN</t>
        </is>
      </c>
      <c r="E7656" t="inlineStr">
        <is>
          <t>BOLLNÄS</t>
        </is>
      </c>
      <c r="F7656" t="inlineStr">
        <is>
          <t>Sveaskog</t>
        </is>
      </c>
      <c r="G7656" t="n">
        <v>2.3</v>
      </c>
      <c r="H7656" t="n">
        <v>0</v>
      </c>
      <c r="I7656" t="n">
        <v>0</v>
      </c>
      <c r="J7656" t="n">
        <v>0</v>
      </c>
      <c r="K7656" t="n">
        <v>0</v>
      </c>
      <c r="L7656" t="n">
        <v>0</v>
      </c>
      <c r="M7656" t="n">
        <v>0</v>
      </c>
      <c r="N7656" t="n">
        <v>0</v>
      </c>
      <c r="O7656" t="n">
        <v>0</v>
      </c>
      <c r="P7656" t="n">
        <v>0</v>
      </c>
      <c r="Q7656" t="n">
        <v>0</v>
      </c>
      <c r="R7656" s="2" t="inlineStr"/>
    </row>
    <row r="7657" ht="15" customHeight="1">
      <c r="A7657" t="inlineStr">
        <is>
          <t>A 25187-2023</t>
        </is>
      </c>
      <c r="B7657" s="1" t="n">
        <v>45086</v>
      </c>
      <c r="C7657" s="1" t="n">
        <v>45344</v>
      </c>
      <c r="D7657" t="inlineStr">
        <is>
          <t>GÄVLEBORGS LÄN</t>
        </is>
      </c>
      <c r="E7657" t="inlineStr">
        <is>
          <t>OVANÅKER</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25353-2023</t>
        </is>
      </c>
      <c r="B7658" s="1" t="n">
        <v>45088</v>
      </c>
      <c r="C7658" s="1" t="n">
        <v>45344</v>
      </c>
      <c r="D7658" t="inlineStr">
        <is>
          <t>GÄVLEBORGS LÄN</t>
        </is>
      </c>
      <c r="E7658" t="inlineStr">
        <is>
          <t>LJUSDAL</t>
        </is>
      </c>
      <c r="F7658" t="inlineStr">
        <is>
          <t>SCA</t>
        </is>
      </c>
      <c r="G7658" t="n">
        <v>4</v>
      </c>
      <c r="H7658" t="n">
        <v>0</v>
      </c>
      <c r="I7658" t="n">
        <v>0</v>
      </c>
      <c r="J7658" t="n">
        <v>0</v>
      </c>
      <c r="K7658" t="n">
        <v>0</v>
      </c>
      <c r="L7658" t="n">
        <v>0</v>
      </c>
      <c r="M7658" t="n">
        <v>0</v>
      </c>
      <c r="N7658" t="n">
        <v>0</v>
      </c>
      <c r="O7658" t="n">
        <v>0</v>
      </c>
      <c r="P7658" t="n">
        <v>0</v>
      </c>
      <c r="Q7658" t="n">
        <v>0</v>
      </c>
      <c r="R7658" s="2" t="inlineStr"/>
    </row>
    <row r="7659" ht="15" customHeight="1">
      <c r="A7659" t="inlineStr">
        <is>
          <t>A 25354-2023</t>
        </is>
      </c>
      <c r="B7659" s="1" t="n">
        <v>45088</v>
      </c>
      <c r="C7659" s="1" t="n">
        <v>45344</v>
      </c>
      <c r="D7659" t="inlineStr">
        <is>
          <t>GÄVLEBORGS LÄN</t>
        </is>
      </c>
      <c r="E7659" t="inlineStr">
        <is>
          <t>LJUSDAL</t>
        </is>
      </c>
      <c r="F7659" t="inlineStr">
        <is>
          <t>SCA</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25357-2023</t>
        </is>
      </c>
      <c r="B7660" s="1" t="n">
        <v>45088</v>
      </c>
      <c r="C7660" s="1" t="n">
        <v>45344</v>
      </c>
      <c r="D7660" t="inlineStr">
        <is>
          <t>GÄVLEBORGS LÄN</t>
        </is>
      </c>
      <c r="E7660" t="inlineStr">
        <is>
          <t>SANDVIKEN</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25356-2023</t>
        </is>
      </c>
      <c r="B7661" s="1" t="n">
        <v>45088</v>
      </c>
      <c r="C7661" s="1" t="n">
        <v>45344</v>
      </c>
      <c r="D7661" t="inlineStr">
        <is>
          <t>GÄVLEBORGS LÄN</t>
        </is>
      </c>
      <c r="E7661" t="inlineStr">
        <is>
          <t>SANDVIKEN</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25398-2023</t>
        </is>
      </c>
      <c r="B7662" s="1" t="n">
        <v>45089</v>
      </c>
      <c r="C7662" s="1" t="n">
        <v>45344</v>
      </c>
      <c r="D7662" t="inlineStr">
        <is>
          <t>GÄVLEBORGS LÄN</t>
        </is>
      </c>
      <c r="E7662" t="inlineStr">
        <is>
          <t>LJUSDAL</t>
        </is>
      </c>
      <c r="F7662" t="inlineStr">
        <is>
          <t>Allmännings- och besparingsskogar</t>
        </is>
      </c>
      <c r="G7662" t="n">
        <v>24.7</v>
      </c>
      <c r="H7662" t="n">
        <v>0</v>
      </c>
      <c r="I7662" t="n">
        <v>0</v>
      </c>
      <c r="J7662" t="n">
        <v>0</v>
      </c>
      <c r="K7662" t="n">
        <v>0</v>
      </c>
      <c r="L7662" t="n">
        <v>0</v>
      </c>
      <c r="M7662" t="n">
        <v>0</v>
      </c>
      <c r="N7662" t="n">
        <v>0</v>
      </c>
      <c r="O7662" t="n">
        <v>0</v>
      </c>
      <c r="P7662" t="n">
        <v>0</v>
      </c>
      <c r="Q7662" t="n">
        <v>0</v>
      </c>
      <c r="R7662" s="2" t="inlineStr"/>
    </row>
    <row r="7663" ht="15" customHeight="1">
      <c r="A7663" t="inlineStr">
        <is>
          <t>A 25479-2023</t>
        </is>
      </c>
      <c r="B7663" s="1" t="n">
        <v>45089</v>
      </c>
      <c r="C7663" s="1" t="n">
        <v>45344</v>
      </c>
      <c r="D7663" t="inlineStr">
        <is>
          <t>GÄVLEBORGS LÄN</t>
        </is>
      </c>
      <c r="E7663" t="inlineStr">
        <is>
          <t>SANDVIKEN</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25377-2023</t>
        </is>
      </c>
      <c r="B7664" s="1" t="n">
        <v>45089</v>
      </c>
      <c r="C7664" s="1" t="n">
        <v>45344</v>
      </c>
      <c r="D7664" t="inlineStr">
        <is>
          <t>GÄVLEBORGS LÄN</t>
        </is>
      </c>
      <c r="E7664" t="inlineStr">
        <is>
          <t>HUDIKSVALL</t>
        </is>
      </c>
      <c r="F7664" t="inlineStr">
        <is>
          <t>Holmen skog AB</t>
        </is>
      </c>
      <c r="G7664" t="n">
        <v>4.1</v>
      </c>
      <c r="H7664" t="n">
        <v>0</v>
      </c>
      <c r="I7664" t="n">
        <v>0</v>
      </c>
      <c r="J7664" t="n">
        <v>0</v>
      </c>
      <c r="K7664" t="n">
        <v>0</v>
      </c>
      <c r="L7664" t="n">
        <v>0</v>
      </c>
      <c r="M7664" t="n">
        <v>0</v>
      </c>
      <c r="N7664" t="n">
        <v>0</v>
      </c>
      <c r="O7664" t="n">
        <v>0</v>
      </c>
      <c r="P7664" t="n">
        <v>0</v>
      </c>
      <c r="Q7664" t="n">
        <v>0</v>
      </c>
      <c r="R7664" s="2" t="inlineStr"/>
    </row>
    <row r="7665" ht="15" customHeight="1">
      <c r="A7665" t="inlineStr">
        <is>
          <t>A 25415-2023</t>
        </is>
      </c>
      <c r="B7665" s="1" t="n">
        <v>45089</v>
      </c>
      <c r="C7665" s="1" t="n">
        <v>45344</v>
      </c>
      <c r="D7665" t="inlineStr">
        <is>
          <t>GÄVLEBORGS LÄN</t>
        </is>
      </c>
      <c r="E7665" t="inlineStr">
        <is>
          <t>LJUSDAL</t>
        </is>
      </c>
      <c r="F7665" t="inlineStr">
        <is>
          <t>Allmännings- och besparingsskogar</t>
        </is>
      </c>
      <c r="G7665" t="n">
        <v>6.8</v>
      </c>
      <c r="H7665" t="n">
        <v>0</v>
      </c>
      <c r="I7665" t="n">
        <v>0</v>
      </c>
      <c r="J7665" t="n">
        <v>0</v>
      </c>
      <c r="K7665" t="n">
        <v>0</v>
      </c>
      <c r="L7665" t="n">
        <v>0</v>
      </c>
      <c r="M7665" t="n">
        <v>0</v>
      </c>
      <c r="N7665" t="n">
        <v>0</v>
      </c>
      <c r="O7665" t="n">
        <v>0</v>
      </c>
      <c r="P7665" t="n">
        <v>0</v>
      </c>
      <c r="Q7665" t="n">
        <v>0</v>
      </c>
      <c r="R7665" s="2" t="inlineStr"/>
    </row>
    <row r="7666" ht="15" customHeight="1">
      <c r="A7666" t="inlineStr">
        <is>
          <t>A 25610-2023</t>
        </is>
      </c>
      <c r="B7666" s="1" t="n">
        <v>45089</v>
      </c>
      <c r="C7666" s="1" t="n">
        <v>45344</v>
      </c>
      <c r="D7666" t="inlineStr">
        <is>
          <t>GÄVLEBORGS LÄN</t>
        </is>
      </c>
      <c r="E7666" t="inlineStr">
        <is>
          <t>BOLLNÄS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25466-2023</t>
        </is>
      </c>
      <c r="B7667" s="1" t="n">
        <v>45089</v>
      </c>
      <c r="C7667" s="1" t="n">
        <v>45344</v>
      </c>
      <c r="D7667" t="inlineStr">
        <is>
          <t>GÄVLEBORGS LÄN</t>
        </is>
      </c>
      <c r="E7667" t="inlineStr">
        <is>
          <t>GÄVLE</t>
        </is>
      </c>
      <c r="G7667" t="n">
        <v>5.5</v>
      </c>
      <c r="H7667" t="n">
        <v>0</v>
      </c>
      <c r="I7667" t="n">
        <v>0</v>
      </c>
      <c r="J7667" t="n">
        <v>0</v>
      </c>
      <c r="K7667" t="n">
        <v>0</v>
      </c>
      <c r="L7667" t="n">
        <v>0</v>
      </c>
      <c r="M7667" t="n">
        <v>0</v>
      </c>
      <c r="N7667" t="n">
        <v>0</v>
      </c>
      <c r="O7667" t="n">
        <v>0</v>
      </c>
      <c r="P7667" t="n">
        <v>0</v>
      </c>
      <c r="Q7667" t="n">
        <v>0</v>
      </c>
      <c r="R7667" s="2" t="inlineStr"/>
    </row>
    <row r="7668" ht="15" customHeight="1">
      <c r="A7668" t="inlineStr">
        <is>
          <t>A 25465-2023</t>
        </is>
      </c>
      <c r="B7668" s="1" t="n">
        <v>45089</v>
      </c>
      <c r="C7668" s="1" t="n">
        <v>45344</v>
      </c>
      <c r="D7668" t="inlineStr">
        <is>
          <t>GÄVLEBORGS LÄN</t>
        </is>
      </c>
      <c r="E7668" t="inlineStr">
        <is>
          <t>SÖDERHAMN</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25532-2023</t>
        </is>
      </c>
      <c r="B7669" s="1" t="n">
        <v>45089</v>
      </c>
      <c r="C7669" s="1" t="n">
        <v>45344</v>
      </c>
      <c r="D7669" t="inlineStr">
        <is>
          <t>GÄVLEBORGS LÄN</t>
        </is>
      </c>
      <c r="E7669" t="inlineStr">
        <is>
          <t>GÄVLE</t>
        </is>
      </c>
      <c r="G7669" t="n">
        <v>3</v>
      </c>
      <c r="H7669" t="n">
        <v>0</v>
      </c>
      <c r="I7669" t="n">
        <v>0</v>
      </c>
      <c r="J7669" t="n">
        <v>0</v>
      </c>
      <c r="K7669" t="n">
        <v>0</v>
      </c>
      <c r="L7669" t="n">
        <v>0</v>
      </c>
      <c r="M7669" t="n">
        <v>0</v>
      </c>
      <c r="N7669" t="n">
        <v>0</v>
      </c>
      <c r="O7669" t="n">
        <v>0</v>
      </c>
      <c r="P7669" t="n">
        <v>0</v>
      </c>
      <c r="Q7669" t="n">
        <v>0</v>
      </c>
      <c r="R7669" s="2" t="inlineStr"/>
    </row>
    <row r="7670" ht="15" customHeight="1">
      <c r="A7670" t="inlineStr">
        <is>
          <t>A 25545-2023</t>
        </is>
      </c>
      <c r="B7670" s="1" t="n">
        <v>45089</v>
      </c>
      <c r="C7670" s="1" t="n">
        <v>45344</v>
      </c>
      <c r="D7670" t="inlineStr">
        <is>
          <t>GÄVLEBORGS LÄN</t>
        </is>
      </c>
      <c r="E7670" t="inlineStr">
        <is>
          <t>BOLLNÄS</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25607-2023</t>
        </is>
      </c>
      <c r="B7671" s="1" t="n">
        <v>45089</v>
      </c>
      <c r="C7671" s="1" t="n">
        <v>45344</v>
      </c>
      <c r="D7671" t="inlineStr">
        <is>
          <t>GÄVLEBORGS LÄN</t>
        </is>
      </c>
      <c r="E7671" t="inlineStr">
        <is>
          <t>GÄVLE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25564-2023</t>
        </is>
      </c>
      <c r="B7672" s="1" t="n">
        <v>45089</v>
      </c>
      <c r="C7672" s="1" t="n">
        <v>45344</v>
      </c>
      <c r="D7672" t="inlineStr">
        <is>
          <t>GÄVLEBORGS LÄN</t>
        </is>
      </c>
      <c r="E7672" t="inlineStr">
        <is>
          <t>LJUSDAL</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25631-2023</t>
        </is>
      </c>
      <c r="B7673" s="1" t="n">
        <v>45089</v>
      </c>
      <c r="C7673" s="1" t="n">
        <v>45344</v>
      </c>
      <c r="D7673" t="inlineStr">
        <is>
          <t>GÄVLEBORGS LÄN</t>
        </is>
      </c>
      <c r="E7673" t="inlineStr">
        <is>
          <t>NORDANSTIG</t>
        </is>
      </c>
      <c r="G7673" t="n">
        <v>2.8</v>
      </c>
      <c r="H7673" t="n">
        <v>0</v>
      </c>
      <c r="I7673" t="n">
        <v>0</v>
      </c>
      <c r="J7673" t="n">
        <v>0</v>
      </c>
      <c r="K7673" t="n">
        <v>0</v>
      </c>
      <c r="L7673" t="n">
        <v>0</v>
      </c>
      <c r="M7673" t="n">
        <v>0</v>
      </c>
      <c r="N7673" t="n">
        <v>0</v>
      </c>
      <c r="O7673" t="n">
        <v>0</v>
      </c>
      <c r="P7673" t="n">
        <v>0</v>
      </c>
      <c r="Q7673" t="n">
        <v>0</v>
      </c>
      <c r="R7673" s="2" t="inlineStr"/>
    </row>
    <row r="7674" ht="15" customHeight="1">
      <c r="A7674" t="inlineStr">
        <is>
          <t>A 25645-2023</t>
        </is>
      </c>
      <c r="B7674" s="1" t="n">
        <v>45089</v>
      </c>
      <c r="C7674" s="1" t="n">
        <v>45344</v>
      </c>
      <c r="D7674" t="inlineStr">
        <is>
          <t>GÄVLEBORGS LÄN</t>
        </is>
      </c>
      <c r="E7674" t="inlineStr">
        <is>
          <t>GÄVLE</t>
        </is>
      </c>
      <c r="F7674" t="inlineStr">
        <is>
          <t>Bergvik skog öst AB</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25665-2023</t>
        </is>
      </c>
      <c r="B7675" s="1" t="n">
        <v>45089</v>
      </c>
      <c r="C7675" s="1" t="n">
        <v>45344</v>
      </c>
      <c r="D7675" t="inlineStr">
        <is>
          <t>GÄVLEBORGS LÄN</t>
        </is>
      </c>
      <c r="E7675" t="inlineStr">
        <is>
          <t>NORDANSTIG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25664-2023</t>
        </is>
      </c>
      <c r="B7676" s="1" t="n">
        <v>45090</v>
      </c>
      <c r="C7676" s="1" t="n">
        <v>45344</v>
      </c>
      <c r="D7676" t="inlineStr">
        <is>
          <t>GÄVLEBORGS LÄN</t>
        </is>
      </c>
      <c r="E7676" t="inlineStr">
        <is>
          <t>NORDANSTIG</t>
        </is>
      </c>
      <c r="G7676" t="n">
        <v>2</v>
      </c>
      <c r="H7676" t="n">
        <v>0</v>
      </c>
      <c r="I7676" t="n">
        <v>0</v>
      </c>
      <c r="J7676" t="n">
        <v>0</v>
      </c>
      <c r="K7676" t="n">
        <v>0</v>
      </c>
      <c r="L7676" t="n">
        <v>0</v>
      </c>
      <c r="M7676" t="n">
        <v>0</v>
      </c>
      <c r="N7676" t="n">
        <v>0</v>
      </c>
      <c r="O7676" t="n">
        <v>0</v>
      </c>
      <c r="P7676" t="n">
        <v>0</v>
      </c>
      <c r="Q7676" t="n">
        <v>0</v>
      </c>
      <c r="R7676" s="2" t="inlineStr"/>
    </row>
    <row r="7677" ht="15" customHeight="1">
      <c r="A7677" t="inlineStr">
        <is>
          <t>A 25646-2023</t>
        </is>
      </c>
      <c r="B7677" s="1" t="n">
        <v>45089</v>
      </c>
      <c r="C7677" s="1" t="n">
        <v>45344</v>
      </c>
      <c r="D7677" t="inlineStr">
        <is>
          <t>GÄVLEBORGS LÄN</t>
        </is>
      </c>
      <c r="E7677" t="inlineStr">
        <is>
          <t>GÄVLE</t>
        </is>
      </c>
      <c r="F7677" t="inlineStr">
        <is>
          <t>Bergvik skog öst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25650-2023</t>
        </is>
      </c>
      <c r="B7678" s="1" t="n">
        <v>45089</v>
      </c>
      <c r="C7678" s="1" t="n">
        <v>45344</v>
      </c>
      <c r="D7678" t="inlineStr">
        <is>
          <t>GÄVLEBORGS LÄN</t>
        </is>
      </c>
      <c r="E7678" t="inlineStr">
        <is>
          <t>GÄVLE</t>
        </is>
      </c>
      <c r="F7678" t="inlineStr">
        <is>
          <t>Bergvik skog öst AB</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25660-2023</t>
        </is>
      </c>
      <c r="B7679" s="1" t="n">
        <v>45089</v>
      </c>
      <c r="C7679" s="1" t="n">
        <v>45344</v>
      </c>
      <c r="D7679" t="inlineStr">
        <is>
          <t>GÄVLEBORGS LÄN</t>
        </is>
      </c>
      <c r="E7679" t="inlineStr">
        <is>
          <t>SÖDERHAMN</t>
        </is>
      </c>
      <c r="G7679" t="n">
        <v>3.3</v>
      </c>
      <c r="H7679" t="n">
        <v>0</v>
      </c>
      <c r="I7679" t="n">
        <v>0</v>
      </c>
      <c r="J7679" t="n">
        <v>0</v>
      </c>
      <c r="K7679" t="n">
        <v>0</v>
      </c>
      <c r="L7679" t="n">
        <v>0</v>
      </c>
      <c r="M7679" t="n">
        <v>0</v>
      </c>
      <c r="N7679" t="n">
        <v>0</v>
      </c>
      <c r="O7679" t="n">
        <v>0</v>
      </c>
      <c r="P7679" t="n">
        <v>0</v>
      </c>
      <c r="Q7679" t="n">
        <v>0</v>
      </c>
      <c r="R7679" s="2" t="inlineStr"/>
    </row>
    <row r="7680" ht="15" customHeight="1">
      <c r="A7680" t="inlineStr">
        <is>
          <t>A 25668-2023</t>
        </is>
      </c>
      <c r="B7680" s="1" t="n">
        <v>45090</v>
      </c>
      <c r="C7680" s="1" t="n">
        <v>45344</v>
      </c>
      <c r="D7680" t="inlineStr">
        <is>
          <t>GÄVLEBORGS LÄN</t>
        </is>
      </c>
      <c r="E7680" t="inlineStr">
        <is>
          <t>LJUSDAL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25812-2023</t>
        </is>
      </c>
      <c r="B7681" s="1" t="n">
        <v>45090</v>
      </c>
      <c r="C7681" s="1" t="n">
        <v>45344</v>
      </c>
      <c r="D7681" t="inlineStr">
        <is>
          <t>GÄVLEBORGS LÄN</t>
        </is>
      </c>
      <c r="E7681" t="inlineStr">
        <is>
          <t>GÄVLE</t>
        </is>
      </c>
      <c r="G7681" t="n">
        <v>1.7</v>
      </c>
      <c r="H7681" t="n">
        <v>0</v>
      </c>
      <c r="I7681" t="n">
        <v>0</v>
      </c>
      <c r="J7681" t="n">
        <v>0</v>
      </c>
      <c r="K7681" t="n">
        <v>0</v>
      </c>
      <c r="L7681" t="n">
        <v>0</v>
      </c>
      <c r="M7681" t="n">
        <v>0</v>
      </c>
      <c r="N7681" t="n">
        <v>0</v>
      </c>
      <c r="O7681" t="n">
        <v>0</v>
      </c>
      <c r="P7681" t="n">
        <v>0</v>
      </c>
      <c r="Q7681" t="n">
        <v>0</v>
      </c>
      <c r="R7681" s="2" t="inlineStr"/>
    </row>
    <row r="7682" ht="15" customHeight="1">
      <c r="A7682" t="inlineStr">
        <is>
          <t>A 25822-2023</t>
        </is>
      </c>
      <c r="B7682" s="1" t="n">
        <v>45090</v>
      </c>
      <c r="C7682" s="1" t="n">
        <v>45344</v>
      </c>
      <c r="D7682" t="inlineStr">
        <is>
          <t>GÄVLEBORGS LÄN</t>
        </is>
      </c>
      <c r="E7682" t="inlineStr">
        <is>
          <t>LJUSDAL</t>
        </is>
      </c>
      <c r="F7682" t="inlineStr">
        <is>
          <t>Allmännings- och besparingsskogar</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25877-2023</t>
        </is>
      </c>
      <c r="B7683" s="1" t="n">
        <v>45090</v>
      </c>
      <c r="C7683" s="1" t="n">
        <v>45344</v>
      </c>
      <c r="D7683" t="inlineStr">
        <is>
          <t>GÄVLEBORGS LÄN</t>
        </is>
      </c>
      <c r="E7683" t="inlineStr">
        <is>
          <t>BOLLNÄS</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25788-2023</t>
        </is>
      </c>
      <c r="B7684" s="1" t="n">
        <v>45090</v>
      </c>
      <c r="C7684" s="1" t="n">
        <v>45344</v>
      </c>
      <c r="D7684" t="inlineStr">
        <is>
          <t>GÄVLEBORGS LÄN</t>
        </is>
      </c>
      <c r="E7684" t="inlineStr">
        <is>
          <t>OVANÅKER</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25792-2023</t>
        </is>
      </c>
      <c r="B7685" s="1" t="n">
        <v>45090</v>
      </c>
      <c r="C7685" s="1" t="n">
        <v>45344</v>
      </c>
      <c r="D7685" t="inlineStr">
        <is>
          <t>GÄVLEBORGS LÄN</t>
        </is>
      </c>
      <c r="E7685" t="inlineStr">
        <is>
          <t>BOLLNÄS</t>
        </is>
      </c>
      <c r="G7685" t="n">
        <v>4.7</v>
      </c>
      <c r="H7685" t="n">
        <v>0</v>
      </c>
      <c r="I7685" t="n">
        <v>0</v>
      </c>
      <c r="J7685" t="n">
        <v>0</v>
      </c>
      <c r="K7685" t="n">
        <v>0</v>
      </c>
      <c r="L7685" t="n">
        <v>0</v>
      </c>
      <c r="M7685" t="n">
        <v>0</v>
      </c>
      <c r="N7685" t="n">
        <v>0</v>
      </c>
      <c r="O7685" t="n">
        <v>0</v>
      </c>
      <c r="P7685" t="n">
        <v>0</v>
      </c>
      <c r="Q7685" t="n">
        <v>0</v>
      </c>
      <c r="R7685" s="2" t="inlineStr"/>
    </row>
    <row r="7686" ht="15" customHeight="1">
      <c r="A7686" t="inlineStr">
        <is>
          <t>A 25867-2023</t>
        </is>
      </c>
      <c r="B7686" s="1" t="n">
        <v>45090</v>
      </c>
      <c r="C7686" s="1" t="n">
        <v>45344</v>
      </c>
      <c r="D7686" t="inlineStr">
        <is>
          <t>GÄVLEBORGS LÄN</t>
        </is>
      </c>
      <c r="E7686" t="inlineStr">
        <is>
          <t>SÖDERHAMN</t>
        </is>
      </c>
      <c r="G7686" t="n">
        <v>2.8</v>
      </c>
      <c r="H7686" t="n">
        <v>0</v>
      </c>
      <c r="I7686" t="n">
        <v>0</v>
      </c>
      <c r="J7686" t="n">
        <v>0</v>
      </c>
      <c r="K7686" t="n">
        <v>0</v>
      </c>
      <c r="L7686" t="n">
        <v>0</v>
      </c>
      <c r="M7686" t="n">
        <v>0</v>
      </c>
      <c r="N7686" t="n">
        <v>0</v>
      </c>
      <c r="O7686" t="n">
        <v>0</v>
      </c>
      <c r="P7686" t="n">
        <v>0</v>
      </c>
      <c r="Q7686" t="n">
        <v>0</v>
      </c>
      <c r="R7686" s="2" t="inlineStr"/>
    </row>
    <row r="7687" ht="15" customHeight="1">
      <c r="A7687" t="inlineStr">
        <is>
          <t>A 25873-2023</t>
        </is>
      </c>
      <c r="B7687" s="1" t="n">
        <v>45090</v>
      </c>
      <c r="C7687" s="1" t="n">
        <v>45344</v>
      </c>
      <c r="D7687" t="inlineStr">
        <is>
          <t>GÄVLEBORGS LÄN</t>
        </is>
      </c>
      <c r="E7687" t="inlineStr">
        <is>
          <t>BOLLNÄS</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25886-2023</t>
        </is>
      </c>
      <c r="B7688" s="1" t="n">
        <v>45090</v>
      </c>
      <c r="C7688" s="1" t="n">
        <v>45344</v>
      </c>
      <c r="D7688" t="inlineStr">
        <is>
          <t>GÄVLEBORGS LÄN</t>
        </is>
      </c>
      <c r="E7688" t="inlineStr">
        <is>
          <t>BOLLNÄS</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25893-2023</t>
        </is>
      </c>
      <c r="B7689" s="1" t="n">
        <v>45090</v>
      </c>
      <c r="C7689" s="1" t="n">
        <v>45344</v>
      </c>
      <c r="D7689" t="inlineStr">
        <is>
          <t>GÄVLEBORGS LÄN</t>
        </is>
      </c>
      <c r="E7689" t="inlineStr">
        <is>
          <t>BOLLNÄS</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25864-2023</t>
        </is>
      </c>
      <c r="B7690" s="1" t="n">
        <v>45090</v>
      </c>
      <c r="C7690" s="1" t="n">
        <v>45344</v>
      </c>
      <c r="D7690" t="inlineStr">
        <is>
          <t>GÄVLEBORGS LÄN</t>
        </is>
      </c>
      <c r="E7690" t="inlineStr">
        <is>
          <t>BOLLNÄS</t>
        </is>
      </c>
      <c r="G7690" t="n">
        <v>3</v>
      </c>
      <c r="H7690" t="n">
        <v>0</v>
      </c>
      <c r="I7690" t="n">
        <v>0</v>
      </c>
      <c r="J7690" t="n">
        <v>0</v>
      </c>
      <c r="K7690" t="n">
        <v>0</v>
      </c>
      <c r="L7690" t="n">
        <v>0</v>
      </c>
      <c r="M7690" t="n">
        <v>0</v>
      </c>
      <c r="N7690" t="n">
        <v>0</v>
      </c>
      <c r="O7690" t="n">
        <v>0</v>
      </c>
      <c r="P7690" t="n">
        <v>0</v>
      </c>
      <c r="Q7690" t="n">
        <v>0</v>
      </c>
      <c r="R7690" s="2" t="inlineStr"/>
    </row>
    <row r="7691" ht="15" customHeight="1">
      <c r="A7691" t="inlineStr">
        <is>
          <t>A 25991-2023</t>
        </is>
      </c>
      <c r="B7691" s="1" t="n">
        <v>45091</v>
      </c>
      <c r="C7691" s="1" t="n">
        <v>45344</v>
      </c>
      <c r="D7691" t="inlineStr">
        <is>
          <t>GÄVLEBORGS LÄN</t>
        </is>
      </c>
      <c r="E7691" t="inlineStr">
        <is>
          <t>LJUSDAL</t>
        </is>
      </c>
      <c r="G7691" t="n">
        <v>9.5</v>
      </c>
      <c r="H7691" t="n">
        <v>0</v>
      </c>
      <c r="I7691" t="n">
        <v>0</v>
      </c>
      <c r="J7691" t="n">
        <v>0</v>
      </c>
      <c r="K7691" t="n">
        <v>0</v>
      </c>
      <c r="L7691" t="n">
        <v>0</v>
      </c>
      <c r="M7691" t="n">
        <v>0</v>
      </c>
      <c r="N7691" t="n">
        <v>0</v>
      </c>
      <c r="O7691" t="n">
        <v>0</v>
      </c>
      <c r="P7691" t="n">
        <v>0</v>
      </c>
      <c r="Q7691" t="n">
        <v>0</v>
      </c>
      <c r="R7691" s="2" t="inlineStr"/>
    </row>
    <row r="7692" ht="15" customHeight="1">
      <c r="A7692" t="inlineStr">
        <is>
          <t>A 25995-2023</t>
        </is>
      </c>
      <c r="B7692" s="1" t="n">
        <v>45091</v>
      </c>
      <c r="C7692" s="1" t="n">
        <v>45344</v>
      </c>
      <c r="D7692" t="inlineStr">
        <is>
          <t>GÄVLEBORGS LÄN</t>
        </is>
      </c>
      <c r="E7692" t="inlineStr">
        <is>
          <t>SÖDERHAMN</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25929-2023</t>
        </is>
      </c>
      <c r="B7693" s="1" t="n">
        <v>45090</v>
      </c>
      <c r="C7693" s="1" t="n">
        <v>45344</v>
      </c>
      <c r="D7693" t="inlineStr">
        <is>
          <t>GÄVLEBORGS LÄN</t>
        </is>
      </c>
      <c r="E7693" t="inlineStr">
        <is>
          <t>LJUSDAL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26015-2023</t>
        </is>
      </c>
      <c r="B7694" s="1" t="n">
        <v>45090</v>
      </c>
      <c r="C7694" s="1" t="n">
        <v>45344</v>
      </c>
      <c r="D7694" t="inlineStr">
        <is>
          <t>GÄVLEBORGS LÄN</t>
        </is>
      </c>
      <c r="E7694" t="inlineStr">
        <is>
          <t>SÖDERHAMN</t>
        </is>
      </c>
      <c r="G7694" t="n">
        <v>18.7</v>
      </c>
      <c r="H7694" t="n">
        <v>0</v>
      </c>
      <c r="I7694" t="n">
        <v>0</v>
      </c>
      <c r="J7694" t="n">
        <v>0</v>
      </c>
      <c r="K7694" t="n">
        <v>0</v>
      </c>
      <c r="L7694" t="n">
        <v>0</v>
      </c>
      <c r="M7694" t="n">
        <v>0</v>
      </c>
      <c r="N7694" t="n">
        <v>0</v>
      </c>
      <c r="O7694" t="n">
        <v>0</v>
      </c>
      <c r="P7694" t="n">
        <v>0</v>
      </c>
      <c r="Q7694" t="n">
        <v>0</v>
      </c>
      <c r="R7694" s="2" t="inlineStr"/>
    </row>
    <row r="7695" ht="15" customHeight="1">
      <c r="A7695" t="inlineStr">
        <is>
          <t>A 25992-2023</t>
        </is>
      </c>
      <c r="B7695" s="1" t="n">
        <v>45090</v>
      </c>
      <c r="C7695" s="1" t="n">
        <v>45344</v>
      </c>
      <c r="D7695" t="inlineStr">
        <is>
          <t>GÄVLEBORGS LÄN</t>
        </is>
      </c>
      <c r="E7695" t="inlineStr">
        <is>
          <t>LJUSDAL</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25782-2023</t>
        </is>
      </c>
      <c r="B7696" s="1" t="n">
        <v>45090</v>
      </c>
      <c r="C7696" s="1" t="n">
        <v>45344</v>
      </c>
      <c r="D7696" t="inlineStr">
        <is>
          <t>GÄVLEBORGS LÄN</t>
        </is>
      </c>
      <c r="E7696" t="inlineStr">
        <is>
          <t>BOLLNÄS</t>
        </is>
      </c>
      <c r="G7696" t="n">
        <v>16.9</v>
      </c>
      <c r="H7696" t="n">
        <v>0</v>
      </c>
      <c r="I7696" t="n">
        <v>0</v>
      </c>
      <c r="J7696" t="n">
        <v>0</v>
      </c>
      <c r="K7696" t="n">
        <v>0</v>
      </c>
      <c r="L7696" t="n">
        <v>0</v>
      </c>
      <c r="M7696" t="n">
        <v>0</v>
      </c>
      <c r="N7696" t="n">
        <v>0</v>
      </c>
      <c r="O7696" t="n">
        <v>0</v>
      </c>
      <c r="P7696" t="n">
        <v>0</v>
      </c>
      <c r="Q7696" t="n">
        <v>0</v>
      </c>
      <c r="R7696" s="2" t="inlineStr"/>
    </row>
    <row r="7697" ht="15" customHeight="1">
      <c r="A7697" t="inlineStr">
        <is>
          <t>A 25810-2023</t>
        </is>
      </c>
      <c r="B7697" s="1" t="n">
        <v>45090</v>
      </c>
      <c r="C7697" s="1" t="n">
        <v>45344</v>
      </c>
      <c r="D7697" t="inlineStr">
        <is>
          <t>GÄVLEBORGS LÄN</t>
        </is>
      </c>
      <c r="E7697" t="inlineStr">
        <is>
          <t>GÄVLE</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25814-2023</t>
        </is>
      </c>
      <c r="B7698" s="1" t="n">
        <v>45090</v>
      </c>
      <c r="C7698" s="1" t="n">
        <v>45344</v>
      </c>
      <c r="D7698" t="inlineStr">
        <is>
          <t>GÄVLEBORGS LÄN</t>
        </is>
      </c>
      <c r="E7698" t="inlineStr">
        <is>
          <t>GÄVLE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25863-2023</t>
        </is>
      </c>
      <c r="B7699" s="1" t="n">
        <v>45090</v>
      </c>
      <c r="C7699" s="1" t="n">
        <v>45344</v>
      </c>
      <c r="D7699" t="inlineStr">
        <is>
          <t>GÄVLEBORGS LÄN</t>
        </is>
      </c>
      <c r="E7699" t="inlineStr">
        <is>
          <t>BOLLNÄS</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25946-2023</t>
        </is>
      </c>
      <c r="B7700" s="1" t="n">
        <v>45090</v>
      </c>
      <c r="C7700" s="1" t="n">
        <v>45344</v>
      </c>
      <c r="D7700" t="inlineStr">
        <is>
          <t>GÄVLEBORGS LÄN</t>
        </is>
      </c>
      <c r="E7700" t="inlineStr">
        <is>
          <t>NORDANSTIG</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26281-2023</t>
        </is>
      </c>
      <c r="B7701" s="1" t="n">
        <v>45091</v>
      </c>
      <c r="C7701" s="1" t="n">
        <v>45344</v>
      </c>
      <c r="D7701" t="inlineStr">
        <is>
          <t>GÄVLEBORGS LÄN</t>
        </is>
      </c>
      <c r="E7701" t="inlineStr">
        <is>
          <t>OCKELBO</t>
        </is>
      </c>
      <c r="F7701" t="inlineStr">
        <is>
          <t>Bergvik skog väst AB</t>
        </is>
      </c>
      <c r="G7701" t="n">
        <v>8.5</v>
      </c>
      <c r="H7701" t="n">
        <v>0</v>
      </c>
      <c r="I7701" t="n">
        <v>0</v>
      </c>
      <c r="J7701" t="n">
        <v>0</v>
      </c>
      <c r="K7701" t="n">
        <v>0</v>
      </c>
      <c r="L7701" t="n">
        <v>0</v>
      </c>
      <c r="M7701" t="n">
        <v>0</v>
      </c>
      <c r="N7701" t="n">
        <v>0</v>
      </c>
      <c r="O7701" t="n">
        <v>0</v>
      </c>
      <c r="P7701" t="n">
        <v>0</v>
      </c>
      <c r="Q7701" t="n">
        <v>0</v>
      </c>
      <c r="R7701" s="2" t="inlineStr"/>
    </row>
    <row r="7702" ht="15" customHeight="1">
      <c r="A7702" t="inlineStr">
        <is>
          <t>A 26264-2023</t>
        </is>
      </c>
      <c r="B7702" s="1" t="n">
        <v>45091</v>
      </c>
      <c r="C7702" s="1" t="n">
        <v>45344</v>
      </c>
      <c r="D7702" t="inlineStr">
        <is>
          <t>GÄVLEBORGS LÄN</t>
        </is>
      </c>
      <c r="E7702" t="inlineStr">
        <is>
          <t>LJUSDAL</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26200-2023</t>
        </is>
      </c>
      <c r="B7703" s="1" t="n">
        <v>45091</v>
      </c>
      <c r="C7703" s="1" t="n">
        <v>45344</v>
      </c>
      <c r="D7703" t="inlineStr">
        <is>
          <t>GÄVLEBORGS LÄN</t>
        </is>
      </c>
      <c r="E7703" t="inlineStr">
        <is>
          <t>OVANÅKER</t>
        </is>
      </c>
      <c r="F7703" t="inlineStr">
        <is>
          <t>Bergvik skog väst AB</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26188-2023</t>
        </is>
      </c>
      <c r="B7704" s="1" t="n">
        <v>45091</v>
      </c>
      <c r="C7704" s="1" t="n">
        <v>45344</v>
      </c>
      <c r="D7704" t="inlineStr">
        <is>
          <t>GÄVLEBORGS LÄN</t>
        </is>
      </c>
      <c r="E7704" t="inlineStr">
        <is>
          <t>OVANÅKER</t>
        </is>
      </c>
      <c r="F7704" t="inlineStr">
        <is>
          <t>Bergvik skog väst AB</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26184-2023</t>
        </is>
      </c>
      <c r="B7705" s="1" t="n">
        <v>45091</v>
      </c>
      <c r="C7705" s="1" t="n">
        <v>45344</v>
      </c>
      <c r="D7705" t="inlineStr">
        <is>
          <t>GÄVLEBORGS LÄN</t>
        </is>
      </c>
      <c r="E7705" t="inlineStr">
        <is>
          <t>LJUSDAL</t>
        </is>
      </c>
      <c r="F7705" t="inlineStr">
        <is>
          <t>Sveaskog</t>
        </is>
      </c>
      <c r="G7705" t="n">
        <v>11.8</v>
      </c>
      <c r="H7705" t="n">
        <v>0</v>
      </c>
      <c r="I7705" t="n">
        <v>0</v>
      </c>
      <c r="J7705" t="n">
        <v>0</v>
      </c>
      <c r="K7705" t="n">
        <v>0</v>
      </c>
      <c r="L7705" t="n">
        <v>0</v>
      </c>
      <c r="M7705" t="n">
        <v>0</v>
      </c>
      <c r="N7705" t="n">
        <v>0</v>
      </c>
      <c r="O7705" t="n">
        <v>0</v>
      </c>
      <c r="P7705" t="n">
        <v>0</v>
      </c>
      <c r="Q7705" t="n">
        <v>0</v>
      </c>
      <c r="R7705" s="2" t="inlineStr"/>
    </row>
    <row r="7706" ht="15" customHeight="1">
      <c r="A7706" t="inlineStr">
        <is>
          <t>A 26195-2023</t>
        </is>
      </c>
      <c r="B7706" s="1" t="n">
        <v>45091</v>
      </c>
      <c r="C7706" s="1" t="n">
        <v>45344</v>
      </c>
      <c r="D7706" t="inlineStr">
        <is>
          <t>GÄVLEBORGS LÄN</t>
        </is>
      </c>
      <c r="E7706" t="inlineStr">
        <is>
          <t>OVANÅKER</t>
        </is>
      </c>
      <c r="F7706" t="inlineStr">
        <is>
          <t>Bergvik skog väst AB</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26190-2023</t>
        </is>
      </c>
      <c r="B7707" s="1" t="n">
        <v>45091</v>
      </c>
      <c r="C7707" s="1" t="n">
        <v>45344</v>
      </c>
      <c r="D7707" t="inlineStr">
        <is>
          <t>GÄVLEBORGS LÄN</t>
        </is>
      </c>
      <c r="E7707" t="inlineStr">
        <is>
          <t>OVANÅKER</t>
        </is>
      </c>
      <c r="F7707" t="inlineStr">
        <is>
          <t>Bergvik skog väst AB</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26186-2023</t>
        </is>
      </c>
      <c r="B7708" s="1" t="n">
        <v>45091</v>
      </c>
      <c r="C7708" s="1" t="n">
        <v>45344</v>
      </c>
      <c r="D7708" t="inlineStr">
        <is>
          <t>GÄVLEBORGS LÄN</t>
        </is>
      </c>
      <c r="E7708" t="inlineStr">
        <is>
          <t>LJUSDAL</t>
        </is>
      </c>
      <c r="F7708" t="inlineStr">
        <is>
          <t>Sveaskog</t>
        </is>
      </c>
      <c r="G7708" t="n">
        <v>2</v>
      </c>
      <c r="H7708" t="n">
        <v>0</v>
      </c>
      <c r="I7708" t="n">
        <v>0</v>
      </c>
      <c r="J7708" t="n">
        <v>0</v>
      </c>
      <c r="K7708" t="n">
        <v>0</v>
      </c>
      <c r="L7708" t="n">
        <v>0</v>
      </c>
      <c r="M7708" t="n">
        <v>0</v>
      </c>
      <c r="N7708" t="n">
        <v>0</v>
      </c>
      <c r="O7708" t="n">
        <v>0</v>
      </c>
      <c r="P7708" t="n">
        <v>0</v>
      </c>
      <c r="Q7708" t="n">
        <v>0</v>
      </c>
      <c r="R7708" s="2" t="inlineStr"/>
    </row>
    <row r="7709" ht="15" customHeight="1">
      <c r="A7709" t="inlineStr">
        <is>
          <t>A 26181-2023</t>
        </is>
      </c>
      <c r="B7709" s="1" t="n">
        <v>45091</v>
      </c>
      <c r="C7709" s="1" t="n">
        <v>45344</v>
      </c>
      <c r="D7709" t="inlineStr">
        <is>
          <t>GÄVLEBORGS LÄN</t>
        </is>
      </c>
      <c r="E7709" t="inlineStr">
        <is>
          <t>LJUSDAL</t>
        </is>
      </c>
      <c r="F7709" t="inlineStr">
        <is>
          <t>Sveaskog</t>
        </is>
      </c>
      <c r="G7709" t="n">
        <v>6.8</v>
      </c>
      <c r="H7709" t="n">
        <v>0</v>
      </c>
      <c r="I7709" t="n">
        <v>0</v>
      </c>
      <c r="J7709" t="n">
        <v>0</v>
      </c>
      <c r="K7709" t="n">
        <v>0</v>
      </c>
      <c r="L7709" t="n">
        <v>0</v>
      </c>
      <c r="M7709" t="n">
        <v>0</v>
      </c>
      <c r="N7709" t="n">
        <v>0</v>
      </c>
      <c r="O7709" t="n">
        <v>0</v>
      </c>
      <c r="P7709" t="n">
        <v>0</v>
      </c>
      <c r="Q7709" t="n">
        <v>0</v>
      </c>
      <c r="R7709" s="2" t="inlineStr"/>
    </row>
    <row r="7710" ht="15" customHeight="1">
      <c r="A7710" t="inlineStr">
        <is>
          <t>A 26076-2023</t>
        </is>
      </c>
      <c r="B7710" s="1" t="n">
        <v>45091</v>
      </c>
      <c r="C7710" s="1" t="n">
        <v>45344</v>
      </c>
      <c r="D7710" t="inlineStr">
        <is>
          <t>GÄVLEBORGS LÄN</t>
        </is>
      </c>
      <c r="E7710" t="inlineStr">
        <is>
          <t>OVANÅKER</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26185-2023</t>
        </is>
      </c>
      <c r="B7711" s="1" t="n">
        <v>45091</v>
      </c>
      <c r="C7711" s="1" t="n">
        <v>45344</v>
      </c>
      <c r="D7711" t="inlineStr">
        <is>
          <t>GÄVLEBORGS LÄN</t>
        </is>
      </c>
      <c r="E7711" t="inlineStr">
        <is>
          <t>LJUSDAL</t>
        </is>
      </c>
      <c r="F7711" t="inlineStr">
        <is>
          <t>Sveaskog</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26180-2023</t>
        </is>
      </c>
      <c r="B7712" s="1" t="n">
        <v>45091</v>
      </c>
      <c r="C7712" s="1" t="n">
        <v>45344</v>
      </c>
      <c r="D7712" t="inlineStr">
        <is>
          <t>GÄVLEBORGS LÄN</t>
        </is>
      </c>
      <c r="E7712" t="inlineStr">
        <is>
          <t>LJUSDAL</t>
        </is>
      </c>
      <c r="F7712" t="inlineStr">
        <is>
          <t>Sveaskog</t>
        </is>
      </c>
      <c r="G7712" t="n">
        <v>3.7</v>
      </c>
      <c r="H7712" t="n">
        <v>0</v>
      </c>
      <c r="I7712" t="n">
        <v>0</v>
      </c>
      <c r="J7712" t="n">
        <v>0</v>
      </c>
      <c r="K7712" t="n">
        <v>0</v>
      </c>
      <c r="L7712" t="n">
        <v>0</v>
      </c>
      <c r="M7712" t="n">
        <v>0</v>
      </c>
      <c r="N7712" t="n">
        <v>0</v>
      </c>
      <c r="O7712" t="n">
        <v>0</v>
      </c>
      <c r="P7712" t="n">
        <v>0</v>
      </c>
      <c r="Q7712" t="n">
        <v>0</v>
      </c>
      <c r="R7712" s="2" t="inlineStr"/>
    </row>
    <row r="7713" ht="15" customHeight="1">
      <c r="A7713" t="inlineStr">
        <is>
          <t>A 26126-2023</t>
        </is>
      </c>
      <c r="B7713" s="1" t="n">
        <v>45091</v>
      </c>
      <c r="C7713" s="1" t="n">
        <v>45344</v>
      </c>
      <c r="D7713" t="inlineStr">
        <is>
          <t>GÄVLEBORGS LÄN</t>
        </is>
      </c>
      <c r="E7713" t="inlineStr">
        <is>
          <t>BOLLNÄS</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26109-2023</t>
        </is>
      </c>
      <c r="B7714" s="1" t="n">
        <v>45091</v>
      </c>
      <c r="C7714" s="1" t="n">
        <v>45344</v>
      </c>
      <c r="D7714" t="inlineStr">
        <is>
          <t>GÄVLEBORGS LÄN</t>
        </is>
      </c>
      <c r="E7714" t="inlineStr">
        <is>
          <t>LJUSDAL</t>
        </is>
      </c>
      <c r="G7714" t="n">
        <v>9.4</v>
      </c>
      <c r="H7714" t="n">
        <v>0</v>
      </c>
      <c r="I7714" t="n">
        <v>0</v>
      </c>
      <c r="J7714" t="n">
        <v>0</v>
      </c>
      <c r="K7714" t="n">
        <v>0</v>
      </c>
      <c r="L7714" t="n">
        <v>0</v>
      </c>
      <c r="M7714" t="n">
        <v>0</v>
      </c>
      <c r="N7714" t="n">
        <v>0</v>
      </c>
      <c r="O7714" t="n">
        <v>0</v>
      </c>
      <c r="P7714" t="n">
        <v>0</v>
      </c>
      <c r="Q7714" t="n">
        <v>0</v>
      </c>
      <c r="R7714" s="2" t="inlineStr"/>
    </row>
    <row r="7715" ht="15" customHeight="1">
      <c r="A7715" t="inlineStr">
        <is>
          <t>A 26377-2023</t>
        </is>
      </c>
      <c r="B7715" s="1" t="n">
        <v>45092</v>
      </c>
      <c r="C7715" s="1" t="n">
        <v>45344</v>
      </c>
      <c r="D7715" t="inlineStr">
        <is>
          <t>GÄVLEBORGS LÄN</t>
        </is>
      </c>
      <c r="E7715" t="inlineStr">
        <is>
          <t>BOLLNÄS</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26456-2023</t>
        </is>
      </c>
      <c r="B7716" s="1" t="n">
        <v>45092</v>
      </c>
      <c r="C7716" s="1" t="n">
        <v>45344</v>
      </c>
      <c r="D7716" t="inlineStr">
        <is>
          <t>GÄVLEBORGS LÄN</t>
        </is>
      </c>
      <c r="E7716" t="inlineStr">
        <is>
          <t>HUDIKSVALL</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26518-2023</t>
        </is>
      </c>
      <c r="B7717" s="1" t="n">
        <v>45092</v>
      </c>
      <c r="C7717" s="1" t="n">
        <v>45344</v>
      </c>
      <c r="D7717" t="inlineStr">
        <is>
          <t>GÄVLEBORGS LÄN</t>
        </is>
      </c>
      <c r="E7717" t="inlineStr">
        <is>
          <t>OVANÅKER</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26523-2023</t>
        </is>
      </c>
      <c r="B7718" s="1" t="n">
        <v>45092</v>
      </c>
      <c r="C7718" s="1" t="n">
        <v>45344</v>
      </c>
      <c r="D7718" t="inlineStr">
        <is>
          <t>GÄVLEBORGS LÄN</t>
        </is>
      </c>
      <c r="E7718" t="inlineStr">
        <is>
          <t>LJUSDAL</t>
        </is>
      </c>
      <c r="F7718" t="inlineStr">
        <is>
          <t>Sveaskog</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26527-2023</t>
        </is>
      </c>
      <c r="B7719" s="1" t="n">
        <v>45092</v>
      </c>
      <c r="C7719" s="1" t="n">
        <v>45344</v>
      </c>
      <c r="D7719" t="inlineStr">
        <is>
          <t>GÄVLEBORGS LÄN</t>
        </is>
      </c>
      <c r="E7719" t="inlineStr">
        <is>
          <t>LJUSDAL</t>
        </is>
      </c>
      <c r="F7719" t="inlineStr">
        <is>
          <t>Sveaskog</t>
        </is>
      </c>
      <c r="G7719" t="n">
        <v>2.8</v>
      </c>
      <c r="H7719" t="n">
        <v>0</v>
      </c>
      <c r="I7719" t="n">
        <v>0</v>
      </c>
      <c r="J7719" t="n">
        <v>0</v>
      </c>
      <c r="K7719" t="n">
        <v>0</v>
      </c>
      <c r="L7719" t="n">
        <v>0</v>
      </c>
      <c r="M7719" t="n">
        <v>0</v>
      </c>
      <c r="N7719" t="n">
        <v>0</v>
      </c>
      <c r="O7719" t="n">
        <v>0</v>
      </c>
      <c r="P7719" t="n">
        <v>0</v>
      </c>
      <c r="Q7719" t="n">
        <v>0</v>
      </c>
      <c r="R7719" s="2" t="inlineStr"/>
    </row>
    <row r="7720" ht="15" customHeight="1">
      <c r="A7720" t="inlineStr">
        <is>
          <t>A 26531-2023</t>
        </is>
      </c>
      <c r="B7720" s="1" t="n">
        <v>45092</v>
      </c>
      <c r="C7720" s="1" t="n">
        <v>45344</v>
      </c>
      <c r="D7720" t="inlineStr">
        <is>
          <t>GÄVLEBORGS LÄN</t>
        </is>
      </c>
      <c r="E7720" t="inlineStr">
        <is>
          <t>BOLLNÄS</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26539-2023</t>
        </is>
      </c>
      <c r="B7721" s="1" t="n">
        <v>45092</v>
      </c>
      <c r="C7721" s="1" t="n">
        <v>45344</v>
      </c>
      <c r="D7721" t="inlineStr">
        <is>
          <t>GÄVLEBORGS LÄN</t>
        </is>
      </c>
      <c r="E7721" t="inlineStr">
        <is>
          <t>LJUSDAL</t>
        </is>
      </c>
      <c r="F7721" t="inlineStr">
        <is>
          <t>Sveaskog</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26619-2023</t>
        </is>
      </c>
      <c r="B7722" s="1" t="n">
        <v>45092</v>
      </c>
      <c r="C7722" s="1" t="n">
        <v>45344</v>
      </c>
      <c r="D7722" t="inlineStr">
        <is>
          <t>GÄVLEBORGS LÄN</t>
        </is>
      </c>
      <c r="E7722" t="inlineStr">
        <is>
          <t>LJUSDAL</t>
        </is>
      </c>
      <c r="F7722" t="inlineStr">
        <is>
          <t>Sveaskog</t>
        </is>
      </c>
      <c r="G7722" t="n">
        <v>11.3</v>
      </c>
      <c r="H7722" t="n">
        <v>0</v>
      </c>
      <c r="I7722" t="n">
        <v>0</v>
      </c>
      <c r="J7722" t="n">
        <v>0</v>
      </c>
      <c r="K7722" t="n">
        <v>0</v>
      </c>
      <c r="L7722" t="n">
        <v>0</v>
      </c>
      <c r="M7722" t="n">
        <v>0</v>
      </c>
      <c r="N7722" t="n">
        <v>0</v>
      </c>
      <c r="O7722" t="n">
        <v>0</v>
      </c>
      <c r="P7722" t="n">
        <v>0</v>
      </c>
      <c r="Q7722" t="n">
        <v>0</v>
      </c>
      <c r="R7722" s="2" t="inlineStr"/>
    </row>
    <row r="7723" ht="15" customHeight="1">
      <c r="A7723" t="inlineStr">
        <is>
          <t>A 26436-2023</t>
        </is>
      </c>
      <c r="B7723" s="1" t="n">
        <v>45092</v>
      </c>
      <c r="C7723" s="1" t="n">
        <v>45344</v>
      </c>
      <c r="D7723" t="inlineStr">
        <is>
          <t>GÄVLEBORGS LÄN</t>
        </is>
      </c>
      <c r="E7723" t="inlineStr">
        <is>
          <t>LJUSDAL</t>
        </is>
      </c>
      <c r="F7723" t="inlineStr">
        <is>
          <t>Bergvik skog väst AB</t>
        </is>
      </c>
      <c r="G7723" t="n">
        <v>20.2</v>
      </c>
      <c r="H7723" t="n">
        <v>0</v>
      </c>
      <c r="I7723" t="n">
        <v>0</v>
      </c>
      <c r="J7723" t="n">
        <v>0</v>
      </c>
      <c r="K7723" t="n">
        <v>0</v>
      </c>
      <c r="L7723" t="n">
        <v>0</v>
      </c>
      <c r="M7723" t="n">
        <v>0</v>
      </c>
      <c r="N7723" t="n">
        <v>0</v>
      </c>
      <c r="O7723" t="n">
        <v>0</v>
      </c>
      <c r="P7723" t="n">
        <v>0</v>
      </c>
      <c r="Q7723" t="n">
        <v>0</v>
      </c>
      <c r="R7723" s="2" t="inlineStr"/>
    </row>
    <row r="7724" ht="15" customHeight="1">
      <c r="A7724" t="inlineStr">
        <is>
          <t>A 26467-2023</t>
        </is>
      </c>
      <c r="B7724" s="1" t="n">
        <v>45092</v>
      </c>
      <c r="C7724" s="1" t="n">
        <v>45344</v>
      </c>
      <c r="D7724" t="inlineStr">
        <is>
          <t>GÄVLEBORGS LÄN</t>
        </is>
      </c>
      <c r="E7724" t="inlineStr">
        <is>
          <t>OVANÅKER</t>
        </is>
      </c>
      <c r="F7724" t="inlineStr">
        <is>
          <t>Bergvik skog väst AB</t>
        </is>
      </c>
      <c r="G7724" t="n">
        <v>7.8</v>
      </c>
      <c r="H7724" t="n">
        <v>0</v>
      </c>
      <c r="I7724" t="n">
        <v>0</v>
      </c>
      <c r="J7724" t="n">
        <v>0</v>
      </c>
      <c r="K7724" t="n">
        <v>0</v>
      </c>
      <c r="L7724" t="n">
        <v>0</v>
      </c>
      <c r="M7724" t="n">
        <v>0</v>
      </c>
      <c r="N7724" t="n">
        <v>0</v>
      </c>
      <c r="O7724" t="n">
        <v>0</v>
      </c>
      <c r="P7724" t="n">
        <v>0</v>
      </c>
      <c r="Q7724" t="n">
        <v>0</v>
      </c>
      <c r="R7724" s="2" t="inlineStr"/>
    </row>
    <row r="7725" ht="15" customHeight="1">
      <c r="A7725" t="inlineStr">
        <is>
          <t>A 26491-2023</t>
        </is>
      </c>
      <c r="B7725" s="1" t="n">
        <v>45092</v>
      </c>
      <c r="C7725" s="1" t="n">
        <v>45344</v>
      </c>
      <c r="D7725" t="inlineStr">
        <is>
          <t>GÄVLEBORGS LÄN</t>
        </is>
      </c>
      <c r="E7725" t="inlineStr">
        <is>
          <t>LJUSDAL</t>
        </is>
      </c>
      <c r="F7725" t="inlineStr">
        <is>
          <t>Sveaskog</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26379-2023</t>
        </is>
      </c>
      <c r="B7726" s="1" t="n">
        <v>45092</v>
      </c>
      <c r="C7726" s="1" t="n">
        <v>45344</v>
      </c>
      <c r="D7726" t="inlineStr">
        <is>
          <t>GÄVLEBORGS LÄN</t>
        </is>
      </c>
      <c r="E7726" t="inlineStr">
        <is>
          <t>OVANÅKER</t>
        </is>
      </c>
      <c r="F7726" t="inlineStr">
        <is>
          <t>Bergvik skog väst AB</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26399-2023</t>
        </is>
      </c>
      <c r="B7727" s="1" t="n">
        <v>45092</v>
      </c>
      <c r="C7727" s="1" t="n">
        <v>45344</v>
      </c>
      <c r="D7727" t="inlineStr">
        <is>
          <t>GÄVLEBORGS LÄN</t>
        </is>
      </c>
      <c r="E7727" t="inlineStr">
        <is>
          <t>OVANÅKER</t>
        </is>
      </c>
      <c r="F7727" t="inlineStr">
        <is>
          <t>Bergvik skog väst AB</t>
        </is>
      </c>
      <c r="G7727" t="n">
        <v>40.2</v>
      </c>
      <c r="H7727" t="n">
        <v>0</v>
      </c>
      <c r="I7727" t="n">
        <v>0</v>
      </c>
      <c r="J7727" t="n">
        <v>0</v>
      </c>
      <c r="K7727" t="n">
        <v>0</v>
      </c>
      <c r="L7727" t="n">
        <v>0</v>
      </c>
      <c r="M7727" t="n">
        <v>0</v>
      </c>
      <c r="N7727" t="n">
        <v>0</v>
      </c>
      <c r="O7727" t="n">
        <v>0</v>
      </c>
      <c r="P7727" t="n">
        <v>0</v>
      </c>
      <c r="Q7727" t="n">
        <v>0</v>
      </c>
      <c r="R7727" s="2" t="inlineStr"/>
    </row>
    <row r="7728" ht="15" customHeight="1">
      <c r="A7728" t="inlineStr">
        <is>
          <t>A 26413-2023</t>
        </is>
      </c>
      <c r="B7728" s="1" t="n">
        <v>45092</v>
      </c>
      <c r="C7728" s="1" t="n">
        <v>45344</v>
      </c>
      <c r="D7728" t="inlineStr">
        <is>
          <t>GÄVLEBORGS LÄN</t>
        </is>
      </c>
      <c r="E7728" t="inlineStr">
        <is>
          <t>SANDVIKEN</t>
        </is>
      </c>
      <c r="G7728" t="n">
        <v>4.8</v>
      </c>
      <c r="H7728" t="n">
        <v>0</v>
      </c>
      <c r="I7728" t="n">
        <v>0</v>
      </c>
      <c r="J7728" t="n">
        <v>0</v>
      </c>
      <c r="K7728" t="n">
        <v>0</v>
      </c>
      <c r="L7728" t="n">
        <v>0</v>
      </c>
      <c r="M7728" t="n">
        <v>0</v>
      </c>
      <c r="N7728" t="n">
        <v>0</v>
      </c>
      <c r="O7728" t="n">
        <v>0</v>
      </c>
      <c r="P7728" t="n">
        <v>0</v>
      </c>
      <c r="Q7728" t="n">
        <v>0</v>
      </c>
      <c r="R7728" s="2" t="inlineStr"/>
    </row>
    <row r="7729" ht="15" customHeight="1">
      <c r="A7729" t="inlineStr">
        <is>
          <t>A 26458-2023</t>
        </is>
      </c>
      <c r="B7729" s="1" t="n">
        <v>45092</v>
      </c>
      <c r="C7729" s="1" t="n">
        <v>45344</v>
      </c>
      <c r="D7729" t="inlineStr">
        <is>
          <t>GÄVLEBORGS LÄN</t>
        </is>
      </c>
      <c r="E7729" t="inlineStr">
        <is>
          <t>HUDIKSVALL</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26503-2023</t>
        </is>
      </c>
      <c r="B7730" s="1" t="n">
        <v>45092</v>
      </c>
      <c r="C7730" s="1" t="n">
        <v>45344</v>
      </c>
      <c r="D7730" t="inlineStr">
        <is>
          <t>GÄVLEBORGS LÄN</t>
        </is>
      </c>
      <c r="E7730" t="inlineStr">
        <is>
          <t>LJUSDAL</t>
        </is>
      </c>
      <c r="F7730" t="inlineStr">
        <is>
          <t>Sveaskog</t>
        </is>
      </c>
      <c r="G7730" t="n">
        <v>8.199999999999999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26463-2023</t>
        </is>
      </c>
      <c r="B7731" s="1" t="n">
        <v>45092</v>
      </c>
      <c r="C7731" s="1" t="n">
        <v>45344</v>
      </c>
      <c r="D7731" t="inlineStr">
        <is>
          <t>GÄVLEBORGS LÄN</t>
        </is>
      </c>
      <c r="E7731" t="inlineStr">
        <is>
          <t>OVANÅKER</t>
        </is>
      </c>
      <c r="F7731" t="inlineStr">
        <is>
          <t>Bergvik skog väst AB</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26470-2023</t>
        </is>
      </c>
      <c r="B7732" s="1" t="n">
        <v>45092</v>
      </c>
      <c r="C7732" s="1" t="n">
        <v>45344</v>
      </c>
      <c r="D7732" t="inlineStr">
        <is>
          <t>GÄVLEBORGS LÄN</t>
        </is>
      </c>
      <c r="E7732" t="inlineStr">
        <is>
          <t>OVANÅKER</t>
        </is>
      </c>
      <c r="F7732" t="inlineStr">
        <is>
          <t>Bergvik skog väst AB</t>
        </is>
      </c>
      <c r="G7732" t="n">
        <v>5</v>
      </c>
      <c r="H7732" t="n">
        <v>0</v>
      </c>
      <c r="I7732" t="n">
        <v>0</v>
      </c>
      <c r="J7732" t="n">
        <v>0</v>
      </c>
      <c r="K7732" t="n">
        <v>0</v>
      </c>
      <c r="L7732" t="n">
        <v>0</v>
      </c>
      <c r="M7732" t="n">
        <v>0</v>
      </c>
      <c r="N7732" t="n">
        <v>0</v>
      </c>
      <c r="O7732" t="n">
        <v>0</v>
      </c>
      <c r="P7732" t="n">
        <v>0</v>
      </c>
      <c r="Q7732" t="n">
        <v>0</v>
      </c>
      <c r="R7732" s="2" t="inlineStr"/>
    </row>
    <row r="7733" ht="15" customHeight="1">
      <c r="A7733" t="inlineStr">
        <is>
          <t>A 26479-2023</t>
        </is>
      </c>
      <c r="B7733" s="1" t="n">
        <v>45092</v>
      </c>
      <c r="C7733" s="1" t="n">
        <v>45344</v>
      </c>
      <c r="D7733" t="inlineStr">
        <is>
          <t>GÄVLEBORGS LÄN</t>
        </is>
      </c>
      <c r="E7733" t="inlineStr">
        <is>
          <t>LJUSDAL</t>
        </is>
      </c>
      <c r="F7733" t="inlineStr">
        <is>
          <t>Sveaskog</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26484-2023</t>
        </is>
      </c>
      <c r="B7734" s="1" t="n">
        <v>45092</v>
      </c>
      <c r="C7734" s="1" t="n">
        <v>45344</v>
      </c>
      <c r="D7734" t="inlineStr">
        <is>
          <t>GÄVLEBORGS LÄN</t>
        </is>
      </c>
      <c r="E7734" t="inlineStr">
        <is>
          <t>LJUSDAL</t>
        </is>
      </c>
      <c r="F7734" t="inlineStr">
        <is>
          <t>Sveaskog</t>
        </is>
      </c>
      <c r="G7734" t="n">
        <v>0.8</v>
      </c>
      <c r="H7734" t="n">
        <v>0</v>
      </c>
      <c r="I7734" t="n">
        <v>0</v>
      </c>
      <c r="J7734" t="n">
        <v>0</v>
      </c>
      <c r="K7734" t="n">
        <v>0</v>
      </c>
      <c r="L7734" t="n">
        <v>0</v>
      </c>
      <c r="M7734" t="n">
        <v>0</v>
      </c>
      <c r="N7734" t="n">
        <v>0</v>
      </c>
      <c r="O7734" t="n">
        <v>0</v>
      </c>
      <c r="P7734" t="n">
        <v>0</v>
      </c>
      <c r="Q7734" t="n">
        <v>0</v>
      </c>
      <c r="R7734" s="2" t="inlineStr"/>
    </row>
    <row r="7735" ht="15" customHeight="1">
      <c r="A7735" t="inlineStr">
        <is>
          <t>A 26525-2023</t>
        </is>
      </c>
      <c r="B7735" s="1" t="n">
        <v>45092</v>
      </c>
      <c r="C7735" s="1" t="n">
        <v>45344</v>
      </c>
      <c r="D7735" t="inlineStr">
        <is>
          <t>GÄVLEBORGS LÄN</t>
        </is>
      </c>
      <c r="E7735" t="inlineStr">
        <is>
          <t>LJUSDAL</t>
        </is>
      </c>
      <c r="F7735" t="inlineStr">
        <is>
          <t>Sveaskog</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26502-2023</t>
        </is>
      </c>
      <c r="B7736" s="1" t="n">
        <v>45092</v>
      </c>
      <c r="C7736" s="1" t="n">
        <v>45344</v>
      </c>
      <c r="D7736" t="inlineStr">
        <is>
          <t>GÄVLEBORGS LÄN</t>
        </is>
      </c>
      <c r="E7736" t="inlineStr">
        <is>
          <t>LJUSDAL</t>
        </is>
      </c>
      <c r="F7736" t="inlineStr">
        <is>
          <t>Sveaskog</t>
        </is>
      </c>
      <c r="G7736" t="n">
        <v>1.7</v>
      </c>
      <c r="H7736" t="n">
        <v>0</v>
      </c>
      <c r="I7736" t="n">
        <v>0</v>
      </c>
      <c r="J7736" t="n">
        <v>0</v>
      </c>
      <c r="K7736" t="n">
        <v>0</v>
      </c>
      <c r="L7736" t="n">
        <v>0</v>
      </c>
      <c r="M7736" t="n">
        <v>0</v>
      </c>
      <c r="N7736" t="n">
        <v>0</v>
      </c>
      <c r="O7736" t="n">
        <v>0</v>
      </c>
      <c r="P7736" t="n">
        <v>0</v>
      </c>
      <c r="Q7736" t="n">
        <v>0</v>
      </c>
      <c r="R7736" s="2" t="inlineStr"/>
    </row>
    <row r="7737" ht="15" customHeight="1">
      <c r="A7737" t="inlineStr">
        <is>
          <t>A 26506-2023</t>
        </is>
      </c>
      <c r="B7737" s="1" t="n">
        <v>45092</v>
      </c>
      <c r="C7737" s="1" t="n">
        <v>45344</v>
      </c>
      <c r="D7737" t="inlineStr">
        <is>
          <t>GÄVLEBORGS LÄN</t>
        </is>
      </c>
      <c r="E7737" t="inlineStr">
        <is>
          <t>LJUSDAL</t>
        </is>
      </c>
      <c r="F7737" t="inlineStr">
        <is>
          <t>Sveaskog</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26510-2023</t>
        </is>
      </c>
      <c r="B7738" s="1" t="n">
        <v>45092</v>
      </c>
      <c r="C7738" s="1" t="n">
        <v>45344</v>
      </c>
      <c r="D7738" t="inlineStr">
        <is>
          <t>GÄVLEBORGS LÄN</t>
        </is>
      </c>
      <c r="E7738" t="inlineStr">
        <is>
          <t>LJUSDAL</t>
        </is>
      </c>
      <c r="F7738" t="inlineStr">
        <is>
          <t>Sveaskog</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26524-2023</t>
        </is>
      </c>
      <c r="B7739" s="1" t="n">
        <v>45092</v>
      </c>
      <c r="C7739" s="1" t="n">
        <v>45344</v>
      </c>
      <c r="D7739" t="inlineStr">
        <is>
          <t>GÄVLEBORGS LÄN</t>
        </is>
      </c>
      <c r="E7739" t="inlineStr">
        <is>
          <t>LJUSDAL</t>
        </is>
      </c>
      <c r="F7739" t="inlineStr">
        <is>
          <t>Sveaskog</t>
        </is>
      </c>
      <c r="G7739" t="n">
        <v>4.5</v>
      </c>
      <c r="H7739" t="n">
        <v>0</v>
      </c>
      <c r="I7739" t="n">
        <v>0</v>
      </c>
      <c r="J7739" t="n">
        <v>0</v>
      </c>
      <c r="K7739" t="n">
        <v>0</v>
      </c>
      <c r="L7739" t="n">
        <v>0</v>
      </c>
      <c r="M7739" t="n">
        <v>0</v>
      </c>
      <c r="N7739" t="n">
        <v>0</v>
      </c>
      <c r="O7739" t="n">
        <v>0</v>
      </c>
      <c r="P7739" t="n">
        <v>0</v>
      </c>
      <c r="Q7739" t="n">
        <v>0</v>
      </c>
      <c r="R7739" s="2" t="inlineStr"/>
    </row>
    <row r="7740" ht="15" customHeight="1">
      <c r="A7740" t="inlineStr">
        <is>
          <t>A 26611-2023</t>
        </is>
      </c>
      <c r="B7740" s="1" t="n">
        <v>45092</v>
      </c>
      <c r="C7740" s="1" t="n">
        <v>45344</v>
      </c>
      <c r="D7740" t="inlineStr">
        <is>
          <t>GÄVLEBORGS LÄN</t>
        </is>
      </c>
      <c r="E7740" t="inlineStr">
        <is>
          <t>LJUSDAL</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26621-2023</t>
        </is>
      </c>
      <c r="B7741" s="1" t="n">
        <v>45092</v>
      </c>
      <c r="C7741" s="1" t="n">
        <v>45344</v>
      </c>
      <c r="D7741" t="inlineStr">
        <is>
          <t>GÄVLEBORGS LÄN</t>
        </is>
      </c>
      <c r="E7741" t="inlineStr">
        <is>
          <t>LJUSDAL</t>
        </is>
      </c>
      <c r="F7741" t="inlineStr">
        <is>
          <t>Sveaskog</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26625-2023</t>
        </is>
      </c>
      <c r="B7742" s="1" t="n">
        <v>45092</v>
      </c>
      <c r="C7742" s="1" t="n">
        <v>45344</v>
      </c>
      <c r="D7742" t="inlineStr">
        <is>
          <t>GÄVLEBORGS LÄN</t>
        </is>
      </c>
      <c r="E7742" t="inlineStr">
        <is>
          <t>LJUSDAL</t>
        </is>
      </c>
      <c r="G7742" t="n">
        <v>3.1</v>
      </c>
      <c r="H7742" t="n">
        <v>0</v>
      </c>
      <c r="I7742" t="n">
        <v>0</v>
      </c>
      <c r="J7742" t="n">
        <v>0</v>
      </c>
      <c r="K7742" t="n">
        <v>0</v>
      </c>
      <c r="L7742" t="n">
        <v>0</v>
      </c>
      <c r="M7742" t="n">
        <v>0</v>
      </c>
      <c r="N7742" t="n">
        <v>0</v>
      </c>
      <c r="O7742" t="n">
        <v>0</v>
      </c>
      <c r="P7742" t="n">
        <v>0</v>
      </c>
      <c r="Q7742" t="n">
        <v>0</v>
      </c>
      <c r="R7742" s="2" t="inlineStr"/>
    </row>
    <row r="7743" ht="15" customHeight="1">
      <c r="A7743" t="inlineStr">
        <is>
          <t>A 26653-2023</t>
        </is>
      </c>
      <c r="B7743" s="1" t="n">
        <v>45093</v>
      </c>
      <c r="C7743" s="1" t="n">
        <v>45344</v>
      </c>
      <c r="D7743" t="inlineStr">
        <is>
          <t>GÄVLEBORGS LÄN</t>
        </is>
      </c>
      <c r="E7743" t="inlineStr">
        <is>
          <t>LJUSDAL</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26669-2023</t>
        </is>
      </c>
      <c r="B7744" s="1" t="n">
        <v>45093</v>
      </c>
      <c r="C7744" s="1" t="n">
        <v>45344</v>
      </c>
      <c r="D7744" t="inlineStr">
        <is>
          <t>GÄVLEBORGS LÄN</t>
        </is>
      </c>
      <c r="E7744" t="inlineStr">
        <is>
          <t>LJUSDAL</t>
        </is>
      </c>
      <c r="F7744" t="inlineStr">
        <is>
          <t>Bergvik skog väst AB</t>
        </is>
      </c>
      <c r="G7744" t="n">
        <v>22.6</v>
      </c>
      <c r="H7744" t="n">
        <v>0</v>
      </c>
      <c r="I7744" t="n">
        <v>0</v>
      </c>
      <c r="J7744" t="n">
        <v>0</v>
      </c>
      <c r="K7744" t="n">
        <v>0</v>
      </c>
      <c r="L7744" t="n">
        <v>0</v>
      </c>
      <c r="M7744" t="n">
        <v>0</v>
      </c>
      <c r="N7744" t="n">
        <v>0</v>
      </c>
      <c r="O7744" t="n">
        <v>0</v>
      </c>
      <c r="P7744" t="n">
        <v>0</v>
      </c>
      <c r="Q7744" t="n">
        <v>0</v>
      </c>
      <c r="R7744" s="2" t="inlineStr"/>
    </row>
    <row r="7745" ht="15" customHeight="1">
      <c r="A7745" t="inlineStr">
        <is>
          <t>A 26630-2023</t>
        </is>
      </c>
      <c r="B7745" s="1" t="n">
        <v>45092</v>
      </c>
      <c r="C7745" s="1" t="n">
        <v>45344</v>
      </c>
      <c r="D7745" t="inlineStr">
        <is>
          <t>GÄVLEBORGS LÄN</t>
        </is>
      </c>
      <c r="E7745" t="inlineStr">
        <is>
          <t>OCKELBO</t>
        </is>
      </c>
      <c r="G7745" t="n">
        <v>8</v>
      </c>
      <c r="H7745" t="n">
        <v>0</v>
      </c>
      <c r="I7745" t="n">
        <v>0</v>
      </c>
      <c r="J7745" t="n">
        <v>0</v>
      </c>
      <c r="K7745" t="n">
        <v>0</v>
      </c>
      <c r="L7745" t="n">
        <v>0</v>
      </c>
      <c r="M7745" t="n">
        <v>0</v>
      </c>
      <c r="N7745" t="n">
        <v>0</v>
      </c>
      <c r="O7745" t="n">
        <v>0</v>
      </c>
      <c r="P7745" t="n">
        <v>0</v>
      </c>
      <c r="Q7745" t="n">
        <v>0</v>
      </c>
      <c r="R7745" s="2" t="inlineStr"/>
    </row>
    <row r="7746" ht="15" customHeight="1">
      <c r="A7746" t="inlineStr">
        <is>
          <t>A 26667-2023</t>
        </is>
      </c>
      <c r="B7746" s="1" t="n">
        <v>45093</v>
      </c>
      <c r="C7746" s="1" t="n">
        <v>45344</v>
      </c>
      <c r="D7746" t="inlineStr">
        <is>
          <t>GÄVLEBORGS LÄN</t>
        </is>
      </c>
      <c r="E7746" t="inlineStr">
        <is>
          <t>LJUSDAL</t>
        </is>
      </c>
      <c r="F7746" t="inlineStr">
        <is>
          <t>Bergvik skog väst AB</t>
        </is>
      </c>
      <c r="G7746" t="n">
        <v>3.7</v>
      </c>
      <c r="H7746" t="n">
        <v>0</v>
      </c>
      <c r="I7746" t="n">
        <v>0</v>
      </c>
      <c r="J7746" t="n">
        <v>0</v>
      </c>
      <c r="K7746" t="n">
        <v>0</v>
      </c>
      <c r="L7746" t="n">
        <v>0</v>
      </c>
      <c r="M7746" t="n">
        <v>0</v>
      </c>
      <c r="N7746" t="n">
        <v>0</v>
      </c>
      <c r="O7746" t="n">
        <v>0</v>
      </c>
      <c r="P7746" t="n">
        <v>0</v>
      </c>
      <c r="Q7746" t="n">
        <v>0</v>
      </c>
      <c r="R7746" s="2" t="inlineStr"/>
    </row>
    <row r="7747" ht="15" customHeight="1">
      <c r="A7747" t="inlineStr">
        <is>
          <t>A 26643-2023</t>
        </is>
      </c>
      <c r="B7747" s="1" t="n">
        <v>45092</v>
      </c>
      <c r="C7747" s="1" t="n">
        <v>45344</v>
      </c>
      <c r="D7747" t="inlineStr">
        <is>
          <t>GÄVLEBORGS LÄN</t>
        </is>
      </c>
      <c r="E7747" t="inlineStr">
        <is>
          <t>OCKELBO</t>
        </is>
      </c>
      <c r="G7747" t="n">
        <v>9.6</v>
      </c>
      <c r="H7747" t="n">
        <v>0</v>
      </c>
      <c r="I7747" t="n">
        <v>0</v>
      </c>
      <c r="J7747" t="n">
        <v>0</v>
      </c>
      <c r="K7747" t="n">
        <v>0</v>
      </c>
      <c r="L7747" t="n">
        <v>0</v>
      </c>
      <c r="M7747" t="n">
        <v>0</v>
      </c>
      <c r="N7747" t="n">
        <v>0</v>
      </c>
      <c r="O7747" t="n">
        <v>0</v>
      </c>
      <c r="P7747" t="n">
        <v>0</v>
      </c>
      <c r="Q7747" t="n">
        <v>0</v>
      </c>
      <c r="R7747" s="2" t="inlineStr"/>
    </row>
    <row r="7748" ht="15" customHeight="1">
      <c r="A7748" t="inlineStr">
        <is>
          <t>A 26668-2023</t>
        </is>
      </c>
      <c r="B7748" s="1" t="n">
        <v>45093</v>
      </c>
      <c r="C7748" s="1" t="n">
        <v>45344</v>
      </c>
      <c r="D7748" t="inlineStr">
        <is>
          <t>GÄVLEBORGS LÄN</t>
        </is>
      </c>
      <c r="E7748" t="inlineStr">
        <is>
          <t>LJUSDAL</t>
        </is>
      </c>
      <c r="F7748" t="inlineStr">
        <is>
          <t>Bergvik skog väst AB</t>
        </is>
      </c>
      <c r="G7748" t="n">
        <v>19.4</v>
      </c>
      <c r="H7748" t="n">
        <v>0</v>
      </c>
      <c r="I7748" t="n">
        <v>0</v>
      </c>
      <c r="J7748" t="n">
        <v>0</v>
      </c>
      <c r="K7748" t="n">
        <v>0</v>
      </c>
      <c r="L7748" t="n">
        <v>0</v>
      </c>
      <c r="M7748" t="n">
        <v>0</v>
      </c>
      <c r="N7748" t="n">
        <v>0</v>
      </c>
      <c r="O7748" t="n">
        <v>0</v>
      </c>
      <c r="P7748" t="n">
        <v>0</v>
      </c>
      <c r="Q7748" t="n">
        <v>0</v>
      </c>
      <c r="R7748" s="2" t="inlineStr"/>
    </row>
    <row r="7749" ht="15" customHeight="1">
      <c r="A7749" t="inlineStr">
        <is>
          <t>A 26654-2023</t>
        </is>
      </c>
      <c r="B7749" s="1" t="n">
        <v>45093</v>
      </c>
      <c r="C7749" s="1" t="n">
        <v>45344</v>
      </c>
      <c r="D7749" t="inlineStr">
        <is>
          <t>GÄVLEBORGS LÄN</t>
        </is>
      </c>
      <c r="E7749" t="inlineStr">
        <is>
          <t>LJUSDAL</t>
        </is>
      </c>
      <c r="F7749" t="inlineStr">
        <is>
          <t>SCA</t>
        </is>
      </c>
      <c r="G7749" t="n">
        <v>1.8</v>
      </c>
      <c r="H7749" t="n">
        <v>0</v>
      </c>
      <c r="I7749" t="n">
        <v>0</v>
      </c>
      <c r="J7749" t="n">
        <v>0</v>
      </c>
      <c r="K7749" t="n">
        <v>0</v>
      </c>
      <c r="L7749" t="n">
        <v>0</v>
      </c>
      <c r="M7749" t="n">
        <v>0</v>
      </c>
      <c r="N7749" t="n">
        <v>0</v>
      </c>
      <c r="O7749" t="n">
        <v>0</v>
      </c>
      <c r="P7749" t="n">
        <v>0</v>
      </c>
      <c r="Q7749" t="n">
        <v>0</v>
      </c>
      <c r="R7749" s="2" t="inlineStr"/>
    </row>
    <row r="7750" ht="15" customHeight="1">
      <c r="A7750" t="inlineStr">
        <is>
          <t>A 26781-2023</t>
        </is>
      </c>
      <c r="B7750" s="1" t="n">
        <v>45093</v>
      </c>
      <c r="C7750" s="1" t="n">
        <v>45344</v>
      </c>
      <c r="D7750" t="inlineStr">
        <is>
          <t>GÄVLEBORGS LÄN</t>
        </is>
      </c>
      <c r="E7750" t="inlineStr">
        <is>
          <t>LJUSDAL</t>
        </is>
      </c>
      <c r="F7750" t="inlineStr">
        <is>
          <t>Sveaskog</t>
        </is>
      </c>
      <c r="G7750" t="n">
        <v>3.1</v>
      </c>
      <c r="H7750" t="n">
        <v>0</v>
      </c>
      <c r="I7750" t="n">
        <v>0</v>
      </c>
      <c r="J7750" t="n">
        <v>0</v>
      </c>
      <c r="K7750" t="n">
        <v>0</v>
      </c>
      <c r="L7750" t="n">
        <v>0</v>
      </c>
      <c r="M7750" t="n">
        <v>0</v>
      </c>
      <c r="N7750" t="n">
        <v>0</v>
      </c>
      <c r="O7750" t="n">
        <v>0</v>
      </c>
      <c r="P7750" t="n">
        <v>0</v>
      </c>
      <c r="Q7750" t="n">
        <v>0</v>
      </c>
      <c r="R7750" s="2" t="inlineStr"/>
    </row>
    <row r="7751" ht="15" customHeight="1">
      <c r="A7751" t="inlineStr">
        <is>
          <t>A 26782-2023</t>
        </is>
      </c>
      <c r="B7751" s="1" t="n">
        <v>45093</v>
      </c>
      <c r="C7751" s="1" t="n">
        <v>45344</v>
      </c>
      <c r="D7751" t="inlineStr">
        <is>
          <t>GÄVLEBORGS LÄN</t>
        </is>
      </c>
      <c r="E7751" t="inlineStr">
        <is>
          <t>SÖDERHAMN</t>
        </is>
      </c>
      <c r="G7751" t="n">
        <v>2.7</v>
      </c>
      <c r="H7751" t="n">
        <v>0</v>
      </c>
      <c r="I7751" t="n">
        <v>0</v>
      </c>
      <c r="J7751" t="n">
        <v>0</v>
      </c>
      <c r="K7751" t="n">
        <v>0</v>
      </c>
      <c r="L7751" t="n">
        <v>0</v>
      </c>
      <c r="M7751" t="n">
        <v>0</v>
      </c>
      <c r="N7751" t="n">
        <v>0</v>
      </c>
      <c r="O7751" t="n">
        <v>0</v>
      </c>
      <c r="P7751" t="n">
        <v>0</v>
      </c>
      <c r="Q7751" t="n">
        <v>0</v>
      </c>
      <c r="R7751" s="2" t="inlineStr"/>
    </row>
    <row r="7752" ht="15" customHeight="1">
      <c r="A7752" t="inlineStr">
        <is>
          <t>A 26795-2023</t>
        </is>
      </c>
      <c r="B7752" s="1" t="n">
        <v>45093</v>
      </c>
      <c r="C7752" s="1" t="n">
        <v>45344</v>
      </c>
      <c r="D7752" t="inlineStr">
        <is>
          <t>GÄVLEBORGS LÄN</t>
        </is>
      </c>
      <c r="E7752" t="inlineStr">
        <is>
          <t>SÖDERHAMN</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26854-2023</t>
        </is>
      </c>
      <c r="B7753" s="1" t="n">
        <v>45093</v>
      </c>
      <c r="C7753" s="1" t="n">
        <v>45344</v>
      </c>
      <c r="D7753" t="inlineStr">
        <is>
          <t>GÄVLEBORGS LÄN</t>
        </is>
      </c>
      <c r="E7753" t="inlineStr">
        <is>
          <t>BOLLNÄS</t>
        </is>
      </c>
      <c r="G7753" t="n">
        <v>3.2</v>
      </c>
      <c r="H7753" t="n">
        <v>0</v>
      </c>
      <c r="I7753" t="n">
        <v>0</v>
      </c>
      <c r="J7753" t="n">
        <v>0</v>
      </c>
      <c r="K7753" t="n">
        <v>0</v>
      </c>
      <c r="L7753" t="n">
        <v>0</v>
      </c>
      <c r="M7753" t="n">
        <v>0</v>
      </c>
      <c r="N7753" t="n">
        <v>0</v>
      </c>
      <c r="O7753" t="n">
        <v>0</v>
      </c>
      <c r="P7753" t="n">
        <v>0</v>
      </c>
      <c r="Q7753" t="n">
        <v>0</v>
      </c>
      <c r="R7753" s="2" t="inlineStr"/>
    </row>
    <row r="7754" ht="15" customHeight="1">
      <c r="A7754" t="inlineStr">
        <is>
          <t>A 26874-2023</t>
        </is>
      </c>
      <c r="B7754" s="1" t="n">
        <v>45093</v>
      </c>
      <c r="C7754" s="1" t="n">
        <v>45344</v>
      </c>
      <c r="D7754" t="inlineStr">
        <is>
          <t>GÄVLEBORGS LÄN</t>
        </is>
      </c>
      <c r="E7754" t="inlineStr">
        <is>
          <t>HUDIKSVALL</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26894-2023</t>
        </is>
      </c>
      <c r="B7755" s="1" t="n">
        <v>45093</v>
      </c>
      <c r="C7755" s="1" t="n">
        <v>45344</v>
      </c>
      <c r="D7755" t="inlineStr">
        <is>
          <t>GÄVLEBORGS LÄN</t>
        </is>
      </c>
      <c r="E7755" t="inlineStr">
        <is>
          <t>LJUSDAL</t>
        </is>
      </c>
      <c r="F7755" t="inlineStr">
        <is>
          <t>Holmen skog AB</t>
        </is>
      </c>
      <c r="G7755" t="n">
        <v>10</v>
      </c>
      <c r="H7755" t="n">
        <v>0</v>
      </c>
      <c r="I7755" t="n">
        <v>0</v>
      </c>
      <c r="J7755" t="n">
        <v>0</v>
      </c>
      <c r="K7755" t="n">
        <v>0</v>
      </c>
      <c r="L7755" t="n">
        <v>0</v>
      </c>
      <c r="M7755" t="n">
        <v>0</v>
      </c>
      <c r="N7755" t="n">
        <v>0</v>
      </c>
      <c r="O7755" t="n">
        <v>0</v>
      </c>
      <c r="P7755" t="n">
        <v>0</v>
      </c>
      <c r="Q7755" t="n">
        <v>0</v>
      </c>
      <c r="R7755" s="2" t="inlineStr"/>
    </row>
    <row r="7756" ht="15" customHeight="1">
      <c r="A7756" t="inlineStr">
        <is>
          <t>A 26785-2023</t>
        </is>
      </c>
      <c r="B7756" s="1" t="n">
        <v>45093</v>
      </c>
      <c r="C7756" s="1" t="n">
        <v>45344</v>
      </c>
      <c r="D7756" t="inlineStr">
        <is>
          <t>GÄVLEBORGS LÄN</t>
        </is>
      </c>
      <c r="E7756" t="inlineStr">
        <is>
          <t>LJUSDAL</t>
        </is>
      </c>
      <c r="F7756" t="inlineStr">
        <is>
          <t>Sveaskog</t>
        </is>
      </c>
      <c r="G7756" t="n">
        <v>18.6</v>
      </c>
      <c r="H7756" t="n">
        <v>0</v>
      </c>
      <c r="I7756" t="n">
        <v>0</v>
      </c>
      <c r="J7756" t="n">
        <v>0</v>
      </c>
      <c r="K7756" t="n">
        <v>0</v>
      </c>
      <c r="L7756" t="n">
        <v>0</v>
      </c>
      <c r="M7756" t="n">
        <v>0</v>
      </c>
      <c r="N7756" t="n">
        <v>0</v>
      </c>
      <c r="O7756" t="n">
        <v>0</v>
      </c>
      <c r="P7756" t="n">
        <v>0</v>
      </c>
      <c r="Q7756" t="n">
        <v>0</v>
      </c>
      <c r="R7756" s="2" t="inlineStr"/>
    </row>
    <row r="7757" ht="15" customHeight="1">
      <c r="A7757" t="inlineStr">
        <is>
          <t>A 26861-2023</t>
        </is>
      </c>
      <c r="B7757" s="1" t="n">
        <v>45093</v>
      </c>
      <c r="C7757" s="1" t="n">
        <v>45344</v>
      </c>
      <c r="D7757" t="inlineStr">
        <is>
          <t>GÄVLEBORGS LÄN</t>
        </is>
      </c>
      <c r="E7757" t="inlineStr">
        <is>
          <t>LJUSDAL</t>
        </is>
      </c>
      <c r="F7757" t="inlineStr">
        <is>
          <t>Sveaskog</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26860-2023</t>
        </is>
      </c>
      <c r="B7758" s="1" t="n">
        <v>45093</v>
      </c>
      <c r="C7758" s="1" t="n">
        <v>45344</v>
      </c>
      <c r="D7758" t="inlineStr">
        <is>
          <t>GÄVLEBORGS LÄN</t>
        </is>
      </c>
      <c r="E7758" t="inlineStr">
        <is>
          <t>LJUSDAL</t>
        </is>
      </c>
      <c r="F7758" t="inlineStr">
        <is>
          <t>Sveaskog</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26801-2023</t>
        </is>
      </c>
      <c r="B7759" s="1" t="n">
        <v>45093</v>
      </c>
      <c r="C7759" s="1" t="n">
        <v>45344</v>
      </c>
      <c r="D7759" t="inlineStr">
        <is>
          <t>GÄVLEBORGS LÄN</t>
        </is>
      </c>
      <c r="E7759" t="inlineStr">
        <is>
          <t>SÖDERHAMN</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26822-2023</t>
        </is>
      </c>
      <c r="B7760" s="1" t="n">
        <v>45093</v>
      </c>
      <c r="C7760" s="1" t="n">
        <v>45344</v>
      </c>
      <c r="D7760" t="inlineStr">
        <is>
          <t>GÄVLEBORGS LÄN</t>
        </is>
      </c>
      <c r="E7760" t="inlineStr">
        <is>
          <t>BOLLNÄS</t>
        </is>
      </c>
      <c r="G7760" t="n">
        <v>8.800000000000001</v>
      </c>
      <c r="H7760" t="n">
        <v>0</v>
      </c>
      <c r="I7760" t="n">
        <v>0</v>
      </c>
      <c r="J7760" t="n">
        <v>0</v>
      </c>
      <c r="K7760" t="n">
        <v>0</v>
      </c>
      <c r="L7760" t="n">
        <v>0</v>
      </c>
      <c r="M7760" t="n">
        <v>0</v>
      </c>
      <c r="N7760" t="n">
        <v>0</v>
      </c>
      <c r="O7760" t="n">
        <v>0</v>
      </c>
      <c r="P7760" t="n">
        <v>0</v>
      </c>
      <c r="Q7760" t="n">
        <v>0</v>
      </c>
      <c r="R7760" s="2" t="inlineStr"/>
    </row>
    <row r="7761" ht="15" customHeight="1">
      <c r="A7761" t="inlineStr">
        <is>
          <t>A 26827-2023</t>
        </is>
      </c>
      <c r="B7761" s="1" t="n">
        <v>45093</v>
      </c>
      <c r="C7761" s="1" t="n">
        <v>45344</v>
      </c>
      <c r="D7761" t="inlineStr">
        <is>
          <t>GÄVLEBORGS LÄN</t>
        </is>
      </c>
      <c r="E7761" t="inlineStr">
        <is>
          <t>LJUSDAL</t>
        </is>
      </c>
      <c r="F7761" t="inlineStr">
        <is>
          <t>Sveaskog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26851-2023</t>
        </is>
      </c>
      <c r="B7762" s="1" t="n">
        <v>45093</v>
      </c>
      <c r="C7762" s="1" t="n">
        <v>45344</v>
      </c>
      <c r="D7762" t="inlineStr">
        <is>
          <t>GÄVLEBORGS LÄN</t>
        </is>
      </c>
      <c r="E7762" t="inlineStr">
        <is>
          <t>BOLLNÄS</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26918-2023</t>
        </is>
      </c>
      <c r="B7763" s="1" t="n">
        <v>45093</v>
      </c>
      <c r="C7763" s="1" t="n">
        <v>45344</v>
      </c>
      <c r="D7763" t="inlineStr">
        <is>
          <t>GÄVLEBORGS LÄN</t>
        </is>
      </c>
      <c r="E7763" t="inlineStr">
        <is>
          <t>SÖDERHAMN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26930-2023</t>
        </is>
      </c>
      <c r="B7764" s="1" t="n">
        <v>45093</v>
      </c>
      <c r="C7764" s="1" t="n">
        <v>45344</v>
      </c>
      <c r="D7764" t="inlineStr">
        <is>
          <t>GÄVLEBORGS LÄN</t>
        </is>
      </c>
      <c r="E7764" t="inlineStr">
        <is>
          <t>SÖDERHAMN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26947-2023</t>
        </is>
      </c>
      <c r="B7765" s="1" t="n">
        <v>45093</v>
      </c>
      <c r="C7765" s="1" t="n">
        <v>45344</v>
      </c>
      <c r="D7765" t="inlineStr">
        <is>
          <t>GÄVLEBORGS LÄN</t>
        </is>
      </c>
      <c r="E7765" t="inlineStr">
        <is>
          <t>SÖDERHAMN</t>
        </is>
      </c>
      <c r="G7765" t="n">
        <v>3</v>
      </c>
      <c r="H7765" t="n">
        <v>0</v>
      </c>
      <c r="I7765" t="n">
        <v>0</v>
      </c>
      <c r="J7765" t="n">
        <v>0</v>
      </c>
      <c r="K7765" t="n">
        <v>0</v>
      </c>
      <c r="L7765" t="n">
        <v>0</v>
      </c>
      <c r="M7765" t="n">
        <v>0</v>
      </c>
      <c r="N7765" t="n">
        <v>0</v>
      </c>
      <c r="O7765" t="n">
        <v>0</v>
      </c>
      <c r="P7765" t="n">
        <v>0</v>
      </c>
      <c r="Q7765" t="n">
        <v>0</v>
      </c>
      <c r="R7765" s="2" t="inlineStr"/>
    </row>
    <row r="7766" ht="15" customHeight="1">
      <c r="A7766" t="inlineStr">
        <is>
          <t>A 26936-2023</t>
        </is>
      </c>
      <c r="B7766" s="1" t="n">
        <v>45093</v>
      </c>
      <c r="C7766" s="1" t="n">
        <v>45344</v>
      </c>
      <c r="D7766" t="inlineStr">
        <is>
          <t>GÄVLEBORGS LÄN</t>
        </is>
      </c>
      <c r="E7766" t="inlineStr">
        <is>
          <t>SÖDERHAMN</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26958-2023</t>
        </is>
      </c>
      <c r="B7767" s="1" t="n">
        <v>45093</v>
      </c>
      <c r="C7767" s="1" t="n">
        <v>45344</v>
      </c>
      <c r="D7767" t="inlineStr">
        <is>
          <t>GÄVLEBORGS LÄN</t>
        </is>
      </c>
      <c r="E7767" t="inlineStr">
        <is>
          <t>HUDIKSVALL</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27012-2023</t>
        </is>
      </c>
      <c r="B7768" s="1" t="n">
        <v>45094</v>
      </c>
      <c r="C7768" s="1" t="n">
        <v>45344</v>
      </c>
      <c r="D7768" t="inlineStr">
        <is>
          <t>GÄVLEBORGS LÄN</t>
        </is>
      </c>
      <c r="E7768" t="inlineStr">
        <is>
          <t>LJUSDAL</t>
        </is>
      </c>
      <c r="G7768" t="n">
        <v>7.6</v>
      </c>
      <c r="H7768" t="n">
        <v>0</v>
      </c>
      <c r="I7768" t="n">
        <v>0</v>
      </c>
      <c r="J7768" t="n">
        <v>0</v>
      </c>
      <c r="K7768" t="n">
        <v>0</v>
      </c>
      <c r="L7768" t="n">
        <v>0</v>
      </c>
      <c r="M7768" t="n">
        <v>0</v>
      </c>
      <c r="N7768" t="n">
        <v>0</v>
      </c>
      <c r="O7768" t="n">
        <v>0</v>
      </c>
      <c r="P7768" t="n">
        <v>0</v>
      </c>
      <c r="Q7768" t="n">
        <v>0</v>
      </c>
      <c r="R7768" s="2" t="inlineStr"/>
    </row>
    <row r="7769" ht="15" customHeight="1">
      <c r="A7769" t="inlineStr">
        <is>
          <t>A 27006-2023</t>
        </is>
      </c>
      <c r="B7769" s="1" t="n">
        <v>45094</v>
      </c>
      <c r="C7769" s="1" t="n">
        <v>45344</v>
      </c>
      <c r="D7769" t="inlineStr">
        <is>
          <t>GÄVLEBORGS LÄN</t>
        </is>
      </c>
      <c r="E7769" t="inlineStr">
        <is>
          <t>SANDVIKEN</t>
        </is>
      </c>
      <c r="F7769" t="inlineStr">
        <is>
          <t>Bergvik skog öst AB</t>
        </is>
      </c>
      <c r="G7769" t="n">
        <v>9.5</v>
      </c>
      <c r="H7769" t="n">
        <v>0</v>
      </c>
      <c r="I7769" t="n">
        <v>0</v>
      </c>
      <c r="J7769" t="n">
        <v>0</v>
      </c>
      <c r="K7769" t="n">
        <v>0</v>
      </c>
      <c r="L7769" t="n">
        <v>0</v>
      </c>
      <c r="M7769" t="n">
        <v>0</v>
      </c>
      <c r="N7769" t="n">
        <v>0</v>
      </c>
      <c r="O7769" t="n">
        <v>0</v>
      </c>
      <c r="P7769" t="n">
        <v>0</v>
      </c>
      <c r="Q7769" t="n">
        <v>0</v>
      </c>
      <c r="R7769" s="2" t="inlineStr"/>
    </row>
    <row r="7770" ht="15" customHeight="1">
      <c r="A7770" t="inlineStr">
        <is>
          <t>A 27005-2023</t>
        </is>
      </c>
      <c r="B7770" s="1" t="n">
        <v>45094</v>
      </c>
      <c r="C7770" s="1" t="n">
        <v>45344</v>
      </c>
      <c r="D7770" t="inlineStr">
        <is>
          <t>GÄVLEBORGS LÄN</t>
        </is>
      </c>
      <c r="E7770" t="inlineStr">
        <is>
          <t>SANDVIKEN</t>
        </is>
      </c>
      <c r="F7770" t="inlineStr">
        <is>
          <t>Bergvik skog öst AB</t>
        </is>
      </c>
      <c r="G7770" t="n">
        <v>11.3</v>
      </c>
      <c r="H7770" t="n">
        <v>0</v>
      </c>
      <c r="I7770" t="n">
        <v>0</v>
      </c>
      <c r="J7770" t="n">
        <v>0</v>
      </c>
      <c r="K7770" t="n">
        <v>0</v>
      </c>
      <c r="L7770" t="n">
        <v>0</v>
      </c>
      <c r="M7770" t="n">
        <v>0</v>
      </c>
      <c r="N7770" t="n">
        <v>0</v>
      </c>
      <c r="O7770" t="n">
        <v>0</v>
      </c>
      <c r="P7770" t="n">
        <v>0</v>
      </c>
      <c r="Q7770" t="n">
        <v>0</v>
      </c>
      <c r="R7770" s="2" t="inlineStr"/>
    </row>
    <row r="7771" ht="15" customHeight="1">
      <c r="A7771" t="inlineStr">
        <is>
          <t>A 27089-2023</t>
        </is>
      </c>
      <c r="B7771" s="1" t="n">
        <v>45096</v>
      </c>
      <c r="C7771" s="1" t="n">
        <v>45344</v>
      </c>
      <c r="D7771" t="inlineStr">
        <is>
          <t>GÄVLEBORGS LÄN</t>
        </is>
      </c>
      <c r="E7771" t="inlineStr">
        <is>
          <t>GÄVLE</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27144-2023</t>
        </is>
      </c>
      <c r="B7772" s="1" t="n">
        <v>45096</v>
      </c>
      <c r="C7772" s="1" t="n">
        <v>45344</v>
      </c>
      <c r="D7772" t="inlineStr">
        <is>
          <t>GÄVLEBORGS LÄN</t>
        </is>
      </c>
      <c r="E7772" t="inlineStr">
        <is>
          <t>SÖDERHAMN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27194-2023</t>
        </is>
      </c>
      <c r="B7773" s="1" t="n">
        <v>45096</v>
      </c>
      <c r="C7773" s="1" t="n">
        <v>45344</v>
      </c>
      <c r="D7773" t="inlineStr">
        <is>
          <t>GÄVLEBORGS LÄN</t>
        </is>
      </c>
      <c r="E7773" t="inlineStr">
        <is>
          <t>OVANÅKER</t>
        </is>
      </c>
      <c r="F7773" t="inlineStr">
        <is>
          <t>Bergvik skog väst AB</t>
        </is>
      </c>
      <c r="G7773" t="n">
        <v>7.5</v>
      </c>
      <c r="H7773" t="n">
        <v>0</v>
      </c>
      <c r="I7773" t="n">
        <v>0</v>
      </c>
      <c r="J7773" t="n">
        <v>0</v>
      </c>
      <c r="K7773" t="n">
        <v>0</v>
      </c>
      <c r="L7773" t="n">
        <v>0</v>
      </c>
      <c r="M7773" t="n">
        <v>0</v>
      </c>
      <c r="N7773" t="n">
        <v>0</v>
      </c>
      <c r="O7773" t="n">
        <v>0</v>
      </c>
      <c r="P7773" t="n">
        <v>0</v>
      </c>
      <c r="Q7773" t="n">
        <v>0</v>
      </c>
      <c r="R7773" s="2" t="inlineStr"/>
    </row>
    <row r="7774" ht="15" customHeight="1">
      <c r="A7774" t="inlineStr">
        <is>
          <t>A 27203-2023</t>
        </is>
      </c>
      <c r="B7774" s="1" t="n">
        <v>45096</v>
      </c>
      <c r="C7774" s="1" t="n">
        <v>45344</v>
      </c>
      <c r="D7774" t="inlineStr">
        <is>
          <t>GÄVLEBORGS LÄN</t>
        </is>
      </c>
      <c r="E7774" t="inlineStr">
        <is>
          <t>OVANÅKER</t>
        </is>
      </c>
      <c r="F7774" t="inlineStr">
        <is>
          <t>Bergvik skog väst AB</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27113-2023</t>
        </is>
      </c>
      <c r="B7775" s="1" t="n">
        <v>45096</v>
      </c>
      <c r="C7775" s="1" t="n">
        <v>45344</v>
      </c>
      <c r="D7775" t="inlineStr">
        <is>
          <t>GÄVLEBORGS LÄN</t>
        </is>
      </c>
      <c r="E7775" t="inlineStr">
        <is>
          <t>OVANÅKER</t>
        </is>
      </c>
      <c r="G7775" t="n">
        <v>1.4</v>
      </c>
      <c r="H7775" t="n">
        <v>0</v>
      </c>
      <c r="I7775" t="n">
        <v>0</v>
      </c>
      <c r="J7775" t="n">
        <v>0</v>
      </c>
      <c r="K7775" t="n">
        <v>0</v>
      </c>
      <c r="L7775" t="n">
        <v>0</v>
      </c>
      <c r="M7775" t="n">
        <v>0</v>
      </c>
      <c r="N7775" t="n">
        <v>0</v>
      </c>
      <c r="O7775" t="n">
        <v>0</v>
      </c>
      <c r="P7775" t="n">
        <v>0</v>
      </c>
      <c r="Q7775" t="n">
        <v>0</v>
      </c>
      <c r="R7775" s="2" t="inlineStr"/>
    </row>
    <row r="7776" ht="15" customHeight="1">
      <c r="A7776" t="inlineStr">
        <is>
          <t>A 27127-2023</t>
        </is>
      </c>
      <c r="B7776" s="1" t="n">
        <v>45096</v>
      </c>
      <c r="C7776" s="1" t="n">
        <v>45344</v>
      </c>
      <c r="D7776" t="inlineStr">
        <is>
          <t>GÄVLEBORGS LÄN</t>
        </is>
      </c>
      <c r="E7776" t="inlineStr">
        <is>
          <t>OCKELBO</t>
        </is>
      </c>
      <c r="F7776" t="inlineStr">
        <is>
          <t>Bergvik skog väst AB</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27151-2023</t>
        </is>
      </c>
      <c r="B7777" s="1" t="n">
        <v>45096</v>
      </c>
      <c r="C7777" s="1" t="n">
        <v>45344</v>
      </c>
      <c r="D7777" t="inlineStr">
        <is>
          <t>GÄVLEBORGS LÄN</t>
        </is>
      </c>
      <c r="E7777" t="inlineStr">
        <is>
          <t>SÖDERHAMN</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27155-2023</t>
        </is>
      </c>
      <c r="B7778" s="1" t="n">
        <v>45096</v>
      </c>
      <c r="C7778" s="1" t="n">
        <v>45344</v>
      </c>
      <c r="D7778" t="inlineStr">
        <is>
          <t>GÄVLEBORGS LÄN</t>
        </is>
      </c>
      <c r="E7778" t="inlineStr">
        <is>
          <t>SÖDERHAMN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27179-2023</t>
        </is>
      </c>
      <c r="B7779" s="1" t="n">
        <v>45096</v>
      </c>
      <c r="C7779" s="1" t="n">
        <v>45344</v>
      </c>
      <c r="D7779" t="inlineStr">
        <is>
          <t>GÄVLEBORGS LÄN</t>
        </is>
      </c>
      <c r="E7779" t="inlineStr">
        <is>
          <t>BOLLNÄS</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27174-2023</t>
        </is>
      </c>
      <c r="B7780" s="1" t="n">
        <v>45096</v>
      </c>
      <c r="C7780" s="1" t="n">
        <v>45344</v>
      </c>
      <c r="D7780" t="inlineStr">
        <is>
          <t>GÄVLEBORGS LÄN</t>
        </is>
      </c>
      <c r="E7780" t="inlineStr">
        <is>
          <t>SANDVIKEN</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27192-2023</t>
        </is>
      </c>
      <c r="B7781" s="1" t="n">
        <v>45096</v>
      </c>
      <c r="C7781" s="1" t="n">
        <v>45344</v>
      </c>
      <c r="D7781" t="inlineStr">
        <is>
          <t>GÄVLEBORGS LÄN</t>
        </is>
      </c>
      <c r="E7781" t="inlineStr">
        <is>
          <t>SÖDERHAMN</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27202-2023</t>
        </is>
      </c>
      <c r="B7782" s="1" t="n">
        <v>45096</v>
      </c>
      <c r="C7782" s="1" t="n">
        <v>45344</v>
      </c>
      <c r="D7782" t="inlineStr">
        <is>
          <t>GÄVLEBORGS LÄN</t>
        </is>
      </c>
      <c r="E7782" t="inlineStr">
        <is>
          <t>HUDIKSVALL</t>
        </is>
      </c>
      <c r="F7782" t="inlineStr">
        <is>
          <t>Naturvårdsverket</t>
        </is>
      </c>
      <c r="G7782" t="n">
        <v>8.9</v>
      </c>
      <c r="H7782" t="n">
        <v>0</v>
      </c>
      <c r="I7782" t="n">
        <v>0</v>
      </c>
      <c r="J7782" t="n">
        <v>0</v>
      </c>
      <c r="K7782" t="n">
        <v>0</v>
      </c>
      <c r="L7782" t="n">
        <v>0</v>
      </c>
      <c r="M7782" t="n">
        <v>0</v>
      </c>
      <c r="N7782" t="n">
        <v>0</v>
      </c>
      <c r="O7782" t="n">
        <v>0</v>
      </c>
      <c r="P7782" t="n">
        <v>0</v>
      </c>
      <c r="Q7782" t="n">
        <v>0</v>
      </c>
      <c r="R7782" s="2" t="inlineStr"/>
    </row>
    <row r="7783" ht="15" customHeight="1">
      <c r="A7783" t="inlineStr">
        <is>
          <t>A 27100-2023</t>
        </is>
      </c>
      <c r="B7783" s="1" t="n">
        <v>45096</v>
      </c>
      <c r="C7783" s="1" t="n">
        <v>45344</v>
      </c>
      <c r="D7783" t="inlineStr">
        <is>
          <t>GÄVLEBORGS LÄN</t>
        </is>
      </c>
      <c r="E7783" t="inlineStr">
        <is>
          <t>OVANÅKER</t>
        </is>
      </c>
      <c r="G7783" t="n">
        <v>3.3</v>
      </c>
      <c r="H7783" t="n">
        <v>0</v>
      </c>
      <c r="I7783" t="n">
        <v>0</v>
      </c>
      <c r="J7783" t="n">
        <v>0</v>
      </c>
      <c r="K7783" t="n">
        <v>0</v>
      </c>
      <c r="L7783" t="n">
        <v>0</v>
      </c>
      <c r="M7783" t="n">
        <v>0</v>
      </c>
      <c r="N7783" t="n">
        <v>0</v>
      </c>
      <c r="O7783" t="n">
        <v>0</v>
      </c>
      <c r="P7783" t="n">
        <v>0</v>
      </c>
      <c r="Q7783" t="n">
        <v>0</v>
      </c>
      <c r="R7783" s="2" t="inlineStr"/>
    </row>
    <row r="7784" ht="15" customHeight="1">
      <c r="A7784" t="inlineStr">
        <is>
          <t>A 27161-2023</t>
        </is>
      </c>
      <c r="B7784" s="1" t="n">
        <v>45096</v>
      </c>
      <c r="C7784" s="1" t="n">
        <v>45344</v>
      </c>
      <c r="D7784" t="inlineStr">
        <is>
          <t>GÄVLEBORGS LÄN</t>
        </is>
      </c>
      <c r="E7784" t="inlineStr">
        <is>
          <t>BOLLNÄS</t>
        </is>
      </c>
      <c r="F7784" t="inlineStr">
        <is>
          <t>Bergvik skog väst AB</t>
        </is>
      </c>
      <c r="G7784" t="n">
        <v>15.5</v>
      </c>
      <c r="H7784" t="n">
        <v>0</v>
      </c>
      <c r="I7784" t="n">
        <v>0</v>
      </c>
      <c r="J7784" t="n">
        <v>0</v>
      </c>
      <c r="K7784" t="n">
        <v>0</v>
      </c>
      <c r="L7784" t="n">
        <v>0</v>
      </c>
      <c r="M7784" t="n">
        <v>0</v>
      </c>
      <c r="N7784" t="n">
        <v>0</v>
      </c>
      <c r="O7784" t="n">
        <v>0</v>
      </c>
      <c r="P7784" t="n">
        <v>0</v>
      </c>
      <c r="Q7784" t="n">
        <v>0</v>
      </c>
      <c r="R7784" s="2" t="inlineStr"/>
    </row>
    <row r="7785" ht="15" customHeight="1">
      <c r="A7785" t="inlineStr">
        <is>
          <t>A 27165-2023</t>
        </is>
      </c>
      <c r="B7785" s="1" t="n">
        <v>45096</v>
      </c>
      <c r="C7785" s="1" t="n">
        <v>45344</v>
      </c>
      <c r="D7785" t="inlineStr">
        <is>
          <t>GÄVLEBORGS LÄN</t>
        </is>
      </c>
      <c r="E7785" t="inlineStr">
        <is>
          <t>BOLLNÄS</t>
        </is>
      </c>
      <c r="F7785" t="inlineStr">
        <is>
          <t>Bergvik skog väst AB</t>
        </is>
      </c>
      <c r="G7785" t="n">
        <v>5.1</v>
      </c>
      <c r="H7785" t="n">
        <v>0</v>
      </c>
      <c r="I7785" t="n">
        <v>0</v>
      </c>
      <c r="J7785" t="n">
        <v>0</v>
      </c>
      <c r="K7785" t="n">
        <v>0</v>
      </c>
      <c r="L7785" t="n">
        <v>0</v>
      </c>
      <c r="M7785" t="n">
        <v>0</v>
      </c>
      <c r="N7785" t="n">
        <v>0</v>
      </c>
      <c r="O7785" t="n">
        <v>0</v>
      </c>
      <c r="P7785" t="n">
        <v>0</v>
      </c>
      <c r="Q7785" t="n">
        <v>0</v>
      </c>
      <c r="R7785" s="2" t="inlineStr"/>
    </row>
    <row r="7786" ht="15" customHeight="1">
      <c r="A7786" t="inlineStr">
        <is>
          <t>A 27169-2023</t>
        </is>
      </c>
      <c r="B7786" s="1" t="n">
        <v>45096</v>
      </c>
      <c r="C7786" s="1" t="n">
        <v>45344</v>
      </c>
      <c r="D7786" t="inlineStr">
        <is>
          <t>GÄVLEBORGS LÄN</t>
        </is>
      </c>
      <c r="E7786" t="inlineStr">
        <is>
          <t>BOLLNÄS</t>
        </is>
      </c>
      <c r="F7786" t="inlineStr">
        <is>
          <t>Bergvik skog väst AB</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27204-2023</t>
        </is>
      </c>
      <c r="B7787" s="1" t="n">
        <v>45096</v>
      </c>
      <c r="C7787" s="1" t="n">
        <v>45344</v>
      </c>
      <c r="D7787" t="inlineStr">
        <is>
          <t>GÄVLEBORGS LÄN</t>
        </is>
      </c>
      <c r="E7787" t="inlineStr">
        <is>
          <t>HUDIKSVALL</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27289-2023</t>
        </is>
      </c>
      <c r="B7788" s="1" t="n">
        <v>45096</v>
      </c>
      <c r="C7788" s="1" t="n">
        <v>45344</v>
      </c>
      <c r="D7788" t="inlineStr">
        <is>
          <t>GÄVLEBORGS LÄN</t>
        </is>
      </c>
      <c r="E7788" t="inlineStr">
        <is>
          <t>HUDIKSVALL</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27324-2023</t>
        </is>
      </c>
      <c r="B7789" s="1" t="n">
        <v>45096</v>
      </c>
      <c r="C7789" s="1" t="n">
        <v>45344</v>
      </c>
      <c r="D7789" t="inlineStr">
        <is>
          <t>GÄVLEBORGS LÄN</t>
        </is>
      </c>
      <c r="E7789" t="inlineStr">
        <is>
          <t>OVANÅKER</t>
        </is>
      </c>
      <c r="G7789" t="n">
        <v>1.8</v>
      </c>
      <c r="H7789" t="n">
        <v>0</v>
      </c>
      <c r="I7789" t="n">
        <v>0</v>
      </c>
      <c r="J7789" t="n">
        <v>0</v>
      </c>
      <c r="K7789" t="n">
        <v>0</v>
      </c>
      <c r="L7789" t="n">
        <v>0</v>
      </c>
      <c r="M7789" t="n">
        <v>0</v>
      </c>
      <c r="N7789" t="n">
        <v>0</v>
      </c>
      <c r="O7789" t="n">
        <v>0</v>
      </c>
      <c r="P7789" t="n">
        <v>0</v>
      </c>
      <c r="Q7789" t="n">
        <v>0</v>
      </c>
      <c r="R7789" s="2" t="inlineStr"/>
    </row>
    <row r="7790" ht="15" customHeight="1">
      <c r="A7790" t="inlineStr">
        <is>
          <t>A 27337-2023</t>
        </is>
      </c>
      <c r="B7790" s="1" t="n">
        <v>45096</v>
      </c>
      <c r="C7790" s="1" t="n">
        <v>45344</v>
      </c>
      <c r="D7790" t="inlineStr">
        <is>
          <t>GÄVLEBORGS LÄN</t>
        </is>
      </c>
      <c r="E7790" t="inlineStr">
        <is>
          <t>SANDVIKEN</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27302-2023</t>
        </is>
      </c>
      <c r="B7791" s="1" t="n">
        <v>45096</v>
      </c>
      <c r="C7791" s="1" t="n">
        <v>45344</v>
      </c>
      <c r="D7791" t="inlineStr">
        <is>
          <t>GÄVLEBORGS LÄN</t>
        </is>
      </c>
      <c r="E7791" t="inlineStr">
        <is>
          <t>HUDIKSVALL</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27320-2023</t>
        </is>
      </c>
      <c r="B7792" s="1" t="n">
        <v>45096</v>
      </c>
      <c r="C7792" s="1" t="n">
        <v>45344</v>
      </c>
      <c r="D7792" t="inlineStr">
        <is>
          <t>GÄVLEBORGS LÄN</t>
        </is>
      </c>
      <c r="E7792" t="inlineStr">
        <is>
          <t>OVANÅKER</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27296-2023</t>
        </is>
      </c>
      <c r="B7793" s="1" t="n">
        <v>45096</v>
      </c>
      <c r="C7793" s="1" t="n">
        <v>45344</v>
      </c>
      <c r="D7793" t="inlineStr">
        <is>
          <t>GÄVLEBORGS LÄN</t>
        </is>
      </c>
      <c r="E7793" t="inlineStr">
        <is>
          <t>HUDIKSVALL</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28163-2023</t>
        </is>
      </c>
      <c r="B7794" s="1" t="n">
        <v>45096</v>
      </c>
      <c r="C7794" s="1" t="n">
        <v>45344</v>
      </c>
      <c r="D7794" t="inlineStr">
        <is>
          <t>GÄVLEBORGS LÄN</t>
        </is>
      </c>
      <c r="E7794" t="inlineStr">
        <is>
          <t>SANDVIKEN</t>
        </is>
      </c>
      <c r="G7794" t="n">
        <v>1.9</v>
      </c>
      <c r="H7794" t="n">
        <v>0</v>
      </c>
      <c r="I7794" t="n">
        <v>0</v>
      </c>
      <c r="J7794" t="n">
        <v>0</v>
      </c>
      <c r="K7794" t="n">
        <v>0</v>
      </c>
      <c r="L7794" t="n">
        <v>0</v>
      </c>
      <c r="M7794" t="n">
        <v>0</v>
      </c>
      <c r="N7794" t="n">
        <v>0</v>
      </c>
      <c r="O7794" t="n">
        <v>0</v>
      </c>
      <c r="P7794" t="n">
        <v>0</v>
      </c>
      <c r="Q7794" t="n">
        <v>0</v>
      </c>
      <c r="R7794" s="2" t="inlineStr"/>
    </row>
    <row r="7795" ht="15" customHeight="1">
      <c r="A7795" t="inlineStr">
        <is>
          <t>A 27423-2023</t>
        </is>
      </c>
      <c r="B7795" s="1" t="n">
        <v>45097</v>
      </c>
      <c r="C7795" s="1" t="n">
        <v>45344</v>
      </c>
      <c r="D7795" t="inlineStr">
        <is>
          <t>GÄVLEBORGS LÄN</t>
        </is>
      </c>
      <c r="E7795" t="inlineStr">
        <is>
          <t>SANDVIKEN</t>
        </is>
      </c>
      <c r="F7795" t="inlineStr">
        <is>
          <t>Kommuner</t>
        </is>
      </c>
      <c r="G7795" t="n">
        <v>18.9</v>
      </c>
      <c r="H7795" t="n">
        <v>0</v>
      </c>
      <c r="I7795" t="n">
        <v>0</v>
      </c>
      <c r="J7795" t="n">
        <v>0</v>
      </c>
      <c r="K7795" t="n">
        <v>0</v>
      </c>
      <c r="L7795" t="n">
        <v>0</v>
      </c>
      <c r="M7795" t="n">
        <v>0</v>
      </c>
      <c r="N7795" t="n">
        <v>0</v>
      </c>
      <c r="O7795" t="n">
        <v>0</v>
      </c>
      <c r="P7795" t="n">
        <v>0</v>
      </c>
      <c r="Q7795" t="n">
        <v>0</v>
      </c>
      <c r="R7795" s="2" t="inlineStr"/>
    </row>
    <row r="7796" ht="15" customHeight="1">
      <c r="A7796" t="inlineStr">
        <is>
          <t>A 27547-2023</t>
        </is>
      </c>
      <c r="B7796" s="1" t="n">
        <v>45097</v>
      </c>
      <c r="C7796" s="1" t="n">
        <v>45344</v>
      </c>
      <c r="D7796" t="inlineStr">
        <is>
          <t>GÄVLEBORGS LÄN</t>
        </is>
      </c>
      <c r="E7796" t="inlineStr">
        <is>
          <t>BOLLNÄS</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27397-2023</t>
        </is>
      </c>
      <c r="B7797" s="1" t="n">
        <v>45097</v>
      </c>
      <c r="C7797" s="1" t="n">
        <v>45344</v>
      </c>
      <c r="D7797" t="inlineStr">
        <is>
          <t>GÄVLEBORGS LÄN</t>
        </is>
      </c>
      <c r="E7797" t="inlineStr">
        <is>
          <t>SÖDERHAMN</t>
        </is>
      </c>
      <c r="G7797" t="n">
        <v>3.1</v>
      </c>
      <c r="H7797" t="n">
        <v>0</v>
      </c>
      <c r="I7797" t="n">
        <v>0</v>
      </c>
      <c r="J7797" t="n">
        <v>0</v>
      </c>
      <c r="K7797" t="n">
        <v>0</v>
      </c>
      <c r="L7797" t="n">
        <v>0</v>
      </c>
      <c r="M7797" t="n">
        <v>0</v>
      </c>
      <c r="N7797" t="n">
        <v>0</v>
      </c>
      <c r="O7797" t="n">
        <v>0</v>
      </c>
      <c r="P7797" t="n">
        <v>0</v>
      </c>
      <c r="Q7797" t="n">
        <v>0</v>
      </c>
      <c r="R7797" s="2" t="inlineStr"/>
    </row>
    <row r="7798" ht="15" customHeight="1">
      <c r="A7798" t="inlineStr">
        <is>
          <t>A 27460-2023</t>
        </is>
      </c>
      <c r="B7798" s="1" t="n">
        <v>45097</v>
      </c>
      <c r="C7798" s="1" t="n">
        <v>45344</v>
      </c>
      <c r="D7798" t="inlineStr">
        <is>
          <t>GÄVLEBORGS LÄN</t>
        </is>
      </c>
      <c r="E7798" t="inlineStr">
        <is>
          <t>LJUSDAL</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27497-2023</t>
        </is>
      </c>
      <c r="B7799" s="1" t="n">
        <v>45097</v>
      </c>
      <c r="C7799" s="1" t="n">
        <v>45344</v>
      </c>
      <c r="D7799" t="inlineStr">
        <is>
          <t>GÄVLEBORGS LÄN</t>
        </is>
      </c>
      <c r="E7799" t="inlineStr">
        <is>
          <t>LJUSDAL</t>
        </is>
      </c>
      <c r="F7799" t="inlineStr">
        <is>
          <t>Bergvik skog väst AB</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27590-2023</t>
        </is>
      </c>
      <c r="B7800" s="1" t="n">
        <v>45097</v>
      </c>
      <c r="C7800" s="1" t="n">
        <v>45344</v>
      </c>
      <c r="D7800" t="inlineStr">
        <is>
          <t>GÄVLEBORGS LÄN</t>
        </is>
      </c>
      <c r="E7800" t="inlineStr">
        <is>
          <t>BOLLNÄS</t>
        </is>
      </c>
      <c r="G7800" t="n">
        <v>3.8</v>
      </c>
      <c r="H7800" t="n">
        <v>0</v>
      </c>
      <c r="I7800" t="n">
        <v>0</v>
      </c>
      <c r="J7800" t="n">
        <v>0</v>
      </c>
      <c r="K7800" t="n">
        <v>0</v>
      </c>
      <c r="L7800" t="n">
        <v>0</v>
      </c>
      <c r="M7800" t="n">
        <v>0</v>
      </c>
      <c r="N7800" t="n">
        <v>0</v>
      </c>
      <c r="O7800" t="n">
        <v>0</v>
      </c>
      <c r="P7800" t="n">
        <v>0</v>
      </c>
      <c r="Q7800" t="n">
        <v>0</v>
      </c>
      <c r="R7800" s="2" t="inlineStr"/>
    </row>
    <row r="7801" ht="15" customHeight="1">
      <c r="A7801" t="inlineStr">
        <is>
          <t>A 27564-2023</t>
        </is>
      </c>
      <c r="B7801" s="1" t="n">
        <v>45097</v>
      </c>
      <c r="C7801" s="1" t="n">
        <v>45344</v>
      </c>
      <c r="D7801" t="inlineStr">
        <is>
          <t>GÄVLEBORGS LÄN</t>
        </is>
      </c>
      <c r="E7801" t="inlineStr">
        <is>
          <t>LJUSDAL</t>
        </is>
      </c>
      <c r="F7801" t="inlineStr">
        <is>
          <t>Holmen skog AB</t>
        </is>
      </c>
      <c r="G7801" t="n">
        <v>9.4</v>
      </c>
      <c r="H7801" t="n">
        <v>0</v>
      </c>
      <c r="I7801" t="n">
        <v>0</v>
      </c>
      <c r="J7801" t="n">
        <v>0</v>
      </c>
      <c r="K7801" t="n">
        <v>0</v>
      </c>
      <c r="L7801" t="n">
        <v>0</v>
      </c>
      <c r="M7801" t="n">
        <v>0</v>
      </c>
      <c r="N7801" t="n">
        <v>0</v>
      </c>
      <c r="O7801" t="n">
        <v>0</v>
      </c>
      <c r="P7801" t="n">
        <v>0</v>
      </c>
      <c r="Q7801" t="n">
        <v>0</v>
      </c>
      <c r="R7801" s="2" t="inlineStr"/>
    </row>
    <row r="7802" ht="15" customHeight="1">
      <c r="A7802" t="inlineStr">
        <is>
          <t>A 27490-2023</t>
        </is>
      </c>
      <c r="B7802" s="1" t="n">
        <v>45097</v>
      </c>
      <c r="C7802" s="1" t="n">
        <v>45344</v>
      </c>
      <c r="D7802" t="inlineStr">
        <is>
          <t>GÄVLEBORGS LÄN</t>
        </is>
      </c>
      <c r="E7802" t="inlineStr">
        <is>
          <t>LJUSDAL</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27512-2023</t>
        </is>
      </c>
      <c r="B7803" s="1" t="n">
        <v>45097</v>
      </c>
      <c r="C7803" s="1" t="n">
        <v>45344</v>
      </c>
      <c r="D7803" t="inlineStr">
        <is>
          <t>GÄVLEBORGS LÄN</t>
        </is>
      </c>
      <c r="E7803" t="inlineStr">
        <is>
          <t>LJUSDAL</t>
        </is>
      </c>
      <c r="F7803" t="inlineStr">
        <is>
          <t>Holmen skog AB</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27578-2023</t>
        </is>
      </c>
      <c r="B7804" s="1" t="n">
        <v>45097</v>
      </c>
      <c r="C7804" s="1" t="n">
        <v>45344</v>
      </c>
      <c r="D7804" t="inlineStr">
        <is>
          <t>GÄVLEBORGS LÄN</t>
        </is>
      </c>
      <c r="E7804" t="inlineStr">
        <is>
          <t>BOLLNÄS</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27583-2023</t>
        </is>
      </c>
      <c r="B7805" s="1" t="n">
        <v>45097</v>
      </c>
      <c r="C7805" s="1" t="n">
        <v>45344</v>
      </c>
      <c r="D7805" t="inlineStr">
        <is>
          <t>GÄVLEBORGS LÄN</t>
        </is>
      </c>
      <c r="E7805" t="inlineStr">
        <is>
          <t>HOFORS</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27605-2023</t>
        </is>
      </c>
      <c r="B7806" s="1" t="n">
        <v>45097</v>
      </c>
      <c r="C7806" s="1" t="n">
        <v>45344</v>
      </c>
      <c r="D7806" t="inlineStr">
        <is>
          <t>GÄVLEBORGS LÄN</t>
        </is>
      </c>
      <c r="E7806" t="inlineStr">
        <is>
          <t>OCKELBO</t>
        </is>
      </c>
      <c r="G7806" t="n">
        <v>3</v>
      </c>
      <c r="H7806" t="n">
        <v>0</v>
      </c>
      <c r="I7806" t="n">
        <v>0</v>
      </c>
      <c r="J7806" t="n">
        <v>0</v>
      </c>
      <c r="K7806" t="n">
        <v>0</v>
      </c>
      <c r="L7806" t="n">
        <v>0</v>
      </c>
      <c r="M7806" t="n">
        <v>0</v>
      </c>
      <c r="N7806" t="n">
        <v>0</v>
      </c>
      <c r="O7806" t="n">
        <v>0</v>
      </c>
      <c r="P7806" t="n">
        <v>0</v>
      </c>
      <c r="Q7806" t="n">
        <v>0</v>
      </c>
      <c r="R7806" s="2" t="inlineStr"/>
    </row>
    <row r="7807" ht="15" customHeight="1">
      <c r="A7807" t="inlineStr">
        <is>
          <t>A 27475-2023</t>
        </is>
      </c>
      <c r="B7807" s="1" t="n">
        <v>45097</v>
      </c>
      <c r="C7807" s="1" t="n">
        <v>45344</v>
      </c>
      <c r="D7807" t="inlineStr">
        <is>
          <t>GÄVLEBORGS LÄN</t>
        </is>
      </c>
      <c r="E7807" t="inlineStr">
        <is>
          <t>HUDIKSVALL</t>
        </is>
      </c>
      <c r="F7807" t="inlineStr">
        <is>
          <t>Holmen skog AB</t>
        </is>
      </c>
      <c r="G7807" t="n">
        <v>14.6</v>
      </c>
      <c r="H7807" t="n">
        <v>0</v>
      </c>
      <c r="I7807" t="n">
        <v>0</v>
      </c>
      <c r="J7807" t="n">
        <v>0</v>
      </c>
      <c r="K7807" t="n">
        <v>0</v>
      </c>
      <c r="L7807" t="n">
        <v>0</v>
      </c>
      <c r="M7807" t="n">
        <v>0</v>
      </c>
      <c r="N7807" t="n">
        <v>0</v>
      </c>
      <c r="O7807" t="n">
        <v>0</v>
      </c>
      <c r="P7807" t="n">
        <v>0</v>
      </c>
      <c r="Q7807" t="n">
        <v>0</v>
      </c>
      <c r="R7807" s="2" t="inlineStr"/>
    </row>
    <row r="7808" ht="15" customHeight="1">
      <c r="A7808" t="inlineStr">
        <is>
          <t>A 27558-2023</t>
        </is>
      </c>
      <c r="B7808" s="1" t="n">
        <v>45097</v>
      </c>
      <c r="C7808" s="1" t="n">
        <v>45344</v>
      </c>
      <c r="D7808" t="inlineStr">
        <is>
          <t>GÄVLEBORGS LÄN</t>
        </is>
      </c>
      <c r="E7808" t="inlineStr">
        <is>
          <t>BOLLNÄS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27742-2023</t>
        </is>
      </c>
      <c r="B7809" s="1" t="n">
        <v>45098</v>
      </c>
      <c r="C7809" s="1" t="n">
        <v>45344</v>
      </c>
      <c r="D7809" t="inlineStr">
        <is>
          <t>GÄVLEBORGS LÄN</t>
        </is>
      </c>
      <c r="E7809" t="inlineStr">
        <is>
          <t>GÄVLE</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27710-2023</t>
        </is>
      </c>
      <c r="B7810" s="1" t="n">
        <v>45098</v>
      </c>
      <c r="C7810" s="1" t="n">
        <v>45344</v>
      </c>
      <c r="D7810" t="inlineStr">
        <is>
          <t>GÄVLEBORGS LÄN</t>
        </is>
      </c>
      <c r="E7810" t="inlineStr">
        <is>
          <t>HUDIKSVALL</t>
        </is>
      </c>
      <c r="F7810" t="inlineStr">
        <is>
          <t>Kommuner</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27718-2023</t>
        </is>
      </c>
      <c r="B7811" s="1" t="n">
        <v>45098</v>
      </c>
      <c r="C7811" s="1" t="n">
        <v>45344</v>
      </c>
      <c r="D7811" t="inlineStr">
        <is>
          <t>GÄVLEBORGS LÄN</t>
        </is>
      </c>
      <c r="E7811" t="inlineStr">
        <is>
          <t>LJUSDAL</t>
        </is>
      </c>
      <c r="F7811" t="inlineStr">
        <is>
          <t>Holmen skog AB</t>
        </is>
      </c>
      <c r="G7811" t="n">
        <v>23.3</v>
      </c>
      <c r="H7811" t="n">
        <v>0</v>
      </c>
      <c r="I7811" t="n">
        <v>0</v>
      </c>
      <c r="J7811" t="n">
        <v>0</v>
      </c>
      <c r="K7811" t="n">
        <v>0</v>
      </c>
      <c r="L7811" t="n">
        <v>0</v>
      </c>
      <c r="M7811" t="n">
        <v>0</v>
      </c>
      <c r="N7811" t="n">
        <v>0</v>
      </c>
      <c r="O7811" t="n">
        <v>0</v>
      </c>
      <c r="P7811" t="n">
        <v>0</v>
      </c>
      <c r="Q7811" t="n">
        <v>0</v>
      </c>
      <c r="R7811" s="2" t="inlineStr"/>
    </row>
    <row r="7812" ht="15" customHeight="1">
      <c r="A7812" t="inlineStr">
        <is>
          <t>A 27761-2023</t>
        </is>
      </c>
      <c r="B7812" s="1" t="n">
        <v>45098</v>
      </c>
      <c r="C7812" s="1" t="n">
        <v>45344</v>
      </c>
      <c r="D7812" t="inlineStr">
        <is>
          <t>GÄVLEBORGS LÄN</t>
        </is>
      </c>
      <c r="E7812" t="inlineStr">
        <is>
          <t>BOLLNÄS</t>
        </is>
      </c>
      <c r="F7812" t="inlineStr">
        <is>
          <t>Kyrkan</t>
        </is>
      </c>
      <c r="G7812" t="n">
        <v>13.7</v>
      </c>
      <c r="H7812" t="n">
        <v>0</v>
      </c>
      <c r="I7812" t="n">
        <v>0</v>
      </c>
      <c r="J7812" t="n">
        <v>0</v>
      </c>
      <c r="K7812" t="n">
        <v>0</v>
      </c>
      <c r="L7812" t="n">
        <v>0</v>
      </c>
      <c r="M7812" t="n">
        <v>0</v>
      </c>
      <c r="N7812" t="n">
        <v>0</v>
      </c>
      <c r="O7812" t="n">
        <v>0</v>
      </c>
      <c r="P7812" t="n">
        <v>0</v>
      </c>
      <c r="Q7812" t="n">
        <v>0</v>
      </c>
      <c r="R7812" s="2" t="inlineStr"/>
    </row>
    <row r="7813" ht="15" customHeight="1">
      <c r="A7813" t="inlineStr">
        <is>
          <t>A 27795-2023</t>
        </is>
      </c>
      <c r="B7813" s="1" t="n">
        <v>45098</v>
      </c>
      <c r="C7813" s="1" t="n">
        <v>45344</v>
      </c>
      <c r="D7813" t="inlineStr">
        <is>
          <t>GÄVLEBORGS LÄN</t>
        </is>
      </c>
      <c r="E7813" t="inlineStr">
        <is>
          <t>BOLLNÄS</t>
        </is>
      </c>
      <c r="F7813" t="inlineStr">
        <is>
          <t>Bergvik skog väst AB</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27793-2023</t>
        </is>
      </c>
      <c r="B7814" s="1" t="n">
        <v>45098</v>
      </c>
      <c r="C7814" s="1" t="n">
        <v>45344</v>
      </c>
      <c r="D7814" t="inlineStr">
        <is>
          <t>GÄVLEBORGS LÄN</t>
        </is>
      </c>
      <c r="E7814" t="inlineStr">
        <is>
          <t>BOLLNÄS</t>
        </is>
      </c>
      <c r="F7814" t="inlineStr">
        <is>
          <t>Bergvik skog väst AB</t>
        </is>
      </c>
      <c r="G7814" t="n">
        <v>4.8</v>
      </c>
      <c r="H7814" t="n">
        <v>0</v>
      </c>
      <c r="I7814" t="n">
        <v>0</v>
      </c>
      <c r="J7814" t="n">
        <v>0</v>
      </c>
      <c r="K7814" t="n">
        <v>0</v>
      </c>
      <c r="L7814" t="n">
        <v>0</v>
      </c>
      <c r="M7814" t="n">
        <v>0</v>
      </c>
      <c r="N7814" t="n">
        <v>0</v>
      </c>
      <c r="O7814" t="n">
        <v>0</v>
      </c>
      <c r="P7814" t="n">
        <v>0</v>
      </c>
      <c r="Q7814" t="n">
        <v>0</v>
      </c>
      <c r="R7814" s="2" t="inlineStr"/>
    </row>
    <row r="7815" ht="15" customHeight="1">
      <c r="A7815" t="inlineStr">
        <is>
          <t>A 27817-2023</t>
        </is>
      </c>
      <c r="B7815" s="1" t="n">
        <v>45098</v>
      </c>
      <c r="C7815" s="1" t="n">
        <v>45344</v>
      </c>
      <c r="D7815" t="inlineStr">
        <is>
          <t>GÄVLEBORGS LÄN</t>
        </is>
      </c>
      <c r="E7815" t="inlineStr">
        <is>
          <t>HUDIKSVALL</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27862-2023</t>
        </is>
      </c>
      <c r="B7816" s="1" t="n">
        <v>45098</v>
      </c>
      <c r="C7816" s="1" t="n">
        <v>45344</v>
      </c>
      <c r="D7816" t="inlineStr">
        <is>
          <t>GÄVLEBORGS LÄN</t>
        </is>
      </c>
      <c r="E7816" t="inlineStr">
        <is>
          <t>SÖDERHAMN</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27866-2023</t>
        </is>
      </c>
      <c r="B7817" s="1" t="n">
        <v>45098</v>
      </c>
      <c r="C7817" s="1" t="n">
        <v>45344</v>
      </c>
      <c r="D7817" t="inlineStr">
        <is>
          <t>GÄVLEBORGS LÄN</t>
        </is>
      </c>
      <c r="E7817" t="inlineStr">
        <is>
          <t>HUDIKSVALL</t>
        </is>
      </c>
      <c r="G7817" t="n">
        <v>0.1</v>
      </c>
      <c r="H7817" t="n">
        <v>0</v>
      </c>
      <c r="I7817" t="n">
        <v>0</v>
      </c>
      <c r="J7817" t="n">
        <v>0</v>
      </c>
      <c r="K7817" t="n">
        <v>0</v>
      </c>
      <c r="L7817" t="n">
        <v>0</v>
      </c>
      <c r="M7817" t="n">
        <v>0</v>
      </c>
      <c r="N7817" t="n">
        <v>0</v>
      </c>
      <c r="O7817" t="n">
        <v>0</v>
      </c>
      <c r="P7817" t="n">
        <v>0</v>
      </c>
      <c r="Q7817" t="n">
        <v>0</v>
      </c>
      <c r="R7817" s="2" t="inlineStr"/>
    </row>
    <row r="7818" ht="15" customHeight="1">
      <c r="A7818" t="inlineStr">
        <is>
          <t>A 27995-2023</t>
        </is>
      </c>
      <c r="B7818" s="1" t="n">
        <v>45098</v>
      </c>
      <c r="C7818" s="1" t="n">
        <v>45344</v>
      </c>
      <c r="D7818" t="inlineStr">
        <is>
          <t>GÄVLEBORGS LÄN</t>
        </is>
      </c>
      <c r="E7818" t="inlineStr">
        <is>
          <t>SANDVIKEN</t>
        </is>
      </c>
      <c r="F7818" t="inlineStr">
        <is>
          <t>Bergvik skog öst AB</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27988-2023</t>
        </is>
      </c>
      <c r="B7819" s="1" t="n">
        <v>45098</v>
      </c>
      <c r="C7819" s="1" t="n">
        <v>45344</v>
      </c>
      <c r="D7819" t="inlineStr">
        <is>
          <t>GÄVLEBORGS LÄN</t>
        </is>
      </c>
      <c r="E7819" t="inlineStr">
        <is>
          <t>SANDVIKEN</t>
        </is>
      </c>
      <c r="F7819" t="inlineStr">
        <is>
          <t>Bergvik skog öst AB</t>
        </is>
      </c>
      <c r="G7819" t="n">
        <v>7.2</v>
      </c>
      <c r="H7819" t="n">
        <v>0</v>
      </c>
      <c r="I7819" t="n">
        <v>0</v>
      </c>
      <c r="J7819" t="n">
        <v>0</v>
      </c>
      <c r="K7819" t="n">
        <v>0</v>
      </c>
      <c r="L7819" t="n">
        <v>0</v>
      </c>
      <c r="M7819" t="n">
        <v>0</v>
      </c>
      <c r="N7819" t="n">
        <v>0</v>
      </c>
      <c r="O7819" t="n">
        <v>0</v>
      </c>
      <c r="P7819" t="n">
        <v>0</v>
      </c>
      <c r="Q7819" t="n">
        <v>0</v>
      </c>
      <c r="R7819" s="2" t="inlineStr"/>
    </row>
    <row r="7820" ht="15" customHeight="1">
      <c r="A7820" t="inlineStr">
        <is>
          <t>A 27984-2023</t>
        </is>
      </c>
      <c r="B7820" s="1" t="n">
        <v>45098</v>
      </c>
      <c r="C7820" s="1" t="n">
        <v>45344</v>
      </c>
      <c r="D7820" t="inlineStr">
        <is>
          <t>GÄVLEBORGS LÄN</t>
        </is>
      </c>
      <c r="E7820" t="inlineStr">
        <is>
          <t>SANDVIKEN</t>
        </is>
      </c>
      <c r="F7820" t="inlineStr">
        <is>
          <t>Bergvik skog öst AB</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28037-2023</t>
        </is>
      </c>
      <c r="B7821" s="1" t="n">
        <v>45099</v>
      </c>
      <c r="C7821" s="1" t="n">
        <v>45344</v>
      </c>
      <c r="D7821" t="inlineStr">
        <is>
          <t>GÄVLEBORGS LÄN</t>
        </is>
      </c>
      <c r="E7821" t="inlineStr">
        <is>
          <t>SANDVIKEN</t>
        </is>
      </c>
      <c r="F7821" t="inlineStr">
        <is>
          <t>Bergvik skog öst AB</t>
        </is>
      </c>
      <c r="G7821" t="n">
        <v>4.7</v>
      </c>
      <c r="H7821" t="n">
        <v>0</v>
      </c>
      <c r="I7821" t="n">
        <v>0</v>
      </c>
      <c r="J7821" t="n">
        <v>0</v>
      </c>
      <c r="K7821" t="n">
        <v>0</v>
      </c>
      <c r="L7821" t="n">
        <v>0</v>
      </c>
      <c r="M7821" t="n">
        <v>0</v>
      </c>
      <c r="N7821" t="n">
        <v>0</v>
      </c>
      <c r="O7821" t="n">
        <v>0</v>
      </c>
      <c r="P7821" t="n">
        <v>0</v>
      </c>
      <c r="Q7821" t="n">
        <v>0</v>
      </c>
      <c r="R7821" s="2" t="inlineStr"/>
    </row>
    <row r="7822" ht="15" customHeight="1">
      <c r="A7822" t="inlineStr">
        <is>
          <t>A 28041-2023</t>
        </is>
      </c>
      <c r="B7822" s="1" t="n">
        <v>45099</v>
      </c>
      <c r="C7822" s="1" t="n">
        <v>45344</v>
      </c>
      <c r="D7822" t="inlineStr">
        <is>
          <t>GÄVLEBORGS LÄN</t>
        </is>
      </c>
      <c r="E7822" t="inlineStr">
        <is>
          <t>BOLLNÄS</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28040-2023</t>
        </is>
      </c>
      <c r="B7823" s="1" t="n">
        <v>45099</v>
      </c>
      <c r="C7823" s="1" t="n">
        <v>45344</v>
      </c>
      <c r="D7823" t="inlineStr">
        <is>
          <t>GÄVLEBORGS LÄN</t>
        </is>
      </c>
      <c r="E7823" t="inlineStr">
        <is>
          <t>HUDIKSVALL</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28063-2023</t>
        </is>
      </c>
      <c r="B7824" s="1" t="n">
        <v>45099</v>
      </c>
      <c r="C7824" s="1" t="n">
        <v>45344</v>
      </c>
      <c r="D7824" t="inlineStr">
        <is>
          <t>GÄVLEBORGS LÄN</t>
        </is>
      </c>
      <c r="E7824" t="inlineStr">
        <is>
          <t>SANDVIKEN</t>
        </is>
      </c>
      <c r="G7824" t="n">
        <v>8.1</v>
      </c>
      <c r="H7824" t="n">
        <v>0</v>
      </c>
      <c r="I7824" t="n">
        <v>0</v>
      </c>
      <c r="J7824" t="n">
        <v>0</v>
      </c>
      <c r="K7824" t="n">
        <v>0</v>
      </c>
      <c r="L7824" t="n">
        <v>0</v>
      </c>
      <c r="M7824" t="n">
        <v>0</v>
      </c>
      <c r="N7824" t="n">
        <v>0</v>
      </c>
      <c r="O7824" t="n">
        <v>0</v>
      </c>
      <c r="P7824" t="n">
        <v>0</v>
      </c>
      <c r="Q7824" t="n">
        <v>0</v>
      </c>
      <c r="R7824" s="2" t="inlineStr"/>
    </row>
    <row r="7825" ht="15" customHeight="1">
      <c r="A7825" t="inlineStr">
        <is>
          <t>A 28114-2023</t>
        </is>
      </c>
      <c r="B7825" s="1" t="n">
        <v>45099</v>
      </c>
      <c r="C7825" s="1" t="n">
        <v>45344</v>
      </c>
      <c r="D7825" t="inlineStr">
        <is>
          <t>GÄVLEBORGS LÄN</t>
        </is>
      </c>
      <c r="E7825" t="inlineStr">
        <is>
          <t>LJUSDAL</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28058-2023</t>
        </is>
      </c>
      <c r="B7826" s="1" t="n">
        <v>45099</v>
      </c>
      <c r="C7826" s="1" t="n">
        <v>45344</v>
      </c>
      <c r="D7826" t="inlineStr">
        <is>
          <t>GÄVLEBORGS LÄN</t>
        </is>
      </c>
      <c r="E7826" t="inlineStr">
        <is>
          <t>HOFORS</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28179-2023</t>
        </is>
      </c>
      <c r="B7827" s="1" t="n">
        <v>45099</v>
      </c>
      <c r="C7827" s="1" t="n">
        <v>45344</v>
      </c>
      <c r="D7827" t="inlineStr">
        <is>
          <t>GÄVLEBORGS LÄN</t>
        </is>
      </c>
      <c r="E7827" t="inlineStr">
        <is>
          <t>BOLLNÄS</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28085-2023</t>
        </is>
      </c>
      <c r="B7828" s="1" t="n">
        <v>45099</v>
      </c>
      <c r="C7828" s="1" t="n">
        <v>45344</v>
      </c>
      <c r="D7828" t="inlineStr">
        <is>
          <t>GÄVLEBORGS LÄN</t>
        </is>
      </c>
      <c r="E7828" t="inlineStr">
        <is>
          <t>OVANÅKER</t>
        </is>
      </c>
      <c r="F7828" t="inlineStr">
        <is>
          <t>Bergvik skog väst AB</t>
        </is>
      </c>
      <c r="G7828" t="n">
        <v>6</v>
      </c>
      <c r="H7828" t="n">
        <v>0</v>
      </c>
      <c r="I7828" t="n">
        <v>0</v>
      </c>
      <c r="J7828" t="n">
        <v>0</v>
      </c>
      <c r="K7828" t="n">
        <v>0</v>
      </c>
      <c r="L7828" t="n">
        <v>0</v>
      </c>
      <c r="M7828" t="n">
        <v>0</v>
      </c>
      <c r="N7828" t="n">
        <v>0</v>
      </c>
      <c r="O7828" t="n">
        <v>0</v>
      </c>
      <c r="P7828" t="n">
        <v>0</v>
      </c>
      <c r="Q7828" t="n">
        <v>0</v>
      </c>
      <c r="R7828" s="2" t="inlineStr"/>
    </row>
    <row r="7829" ht="15" customHeight="1">
      <c r="A7829" t="inlineStr">
        <is>
          <t>A 28117-2023</t>
        </is>
      </c>
      <c r="B7829" s="1" t="n">
        <v>45099</v>
      </c>
      <c r="C7829" s="1" t="n">
        <v>45344</v>
      </c>
      <c r="D7829" t="inlineStr">
        <is>
          <t>GÄVLEBORGS LÄN</t>
        </is>
      </c>
      <c r="E7829" t="inlineStr">
        <is>
          <t>OVANÅKER</t>
        </is>
      </c>
      <c r="F7829" t="inlineStr">
        <is>
          <t>Bergvik skog väst AB</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28102-2023</t>
        </is>
      </c>
      <c r="B7830" s="1" t="n">
        <v>45099</v>
      </c>
      <c r="C7830" s="1" t="n">
        <v>45344</v>
      </c>
      <c r="D7830" t="inlineStr">
        <is>
          <t>GÄVLEBORGS LÄN</t>
        </is>
      </c>
      <c r="E7830" t="inlineStr">
        <is>
          <t>OVANÅKER</t>
        </is>
      </c>
      <c r="F7830" t="inlineStr">
        <is>
          <t>Bergvik skog väst AB</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28240-2023</t>
        </is>
      </c>
      <c r="B7831" s="1" t="n">
        <v>45099</v>
      </c>
      <c r="C7831" s="1" t="n">
        <v>45344</v>
      </c>
      <c r="D7831" t="inlineStr">
        <is>
          <t>GÄVLEBORGS LÄN</t>
        </is>
      </c>
      <c r="E7831" t="inlineStr">
        <is>
          <t>LJUSDAL</t>
        </is>
      </c>
      <c r="F7831" t="inlineStr">
        <is>
          <t>Holmen skog AB</t>
        </is>
      </c>
      <c r="G7831" t="n">
        <v>5.8</v>
      </c>
      <c r="H7831" t="n">
        <v>0</v>
      </c>
      <c r="I7831" t="n">
        <v>0</v>
      </c>
      <c r="J7831" t="n">
        <v>0</v>
      </c>
      <c r="K7831" t="n">
        <v>0</v>
      </c>
      <c r="L7831" t="n">
        <v>0</v>
      </c>
      <c r="M7831" t="n">
        <v>0</v>
      </c>
      <c r="N7831" t="n">
        <v>0</v>
      </c>
      <c r="O7831" t="n">
        <v>0</v>
      </c>
      <c r="P7831" t="n">
        <v>0</v>
      </c>
      <c r="Q7831" t="n">
        <v>0</v>
      </c>
      <c r="R7831" s="2" t="inlineStr"/>
    </row>
    <row r="7832" ht="15" customHeight="1">
      <c r="A7832" t="inlineStr">
        <is>
          <t>A 28197-2023</t>
        </is>
      </c>
      <c r="B7832" s="1" t="n">
        <v>45099</v>
      </c>
      <c r="C7832" s="1" t="n">
        <v>45344</v>
      </c>
      <c r="D7832" t="inlineStr">
        <is>
          <t>GÄVLEBORGS LÄN</t>
        </is>
      </c>
      <c r="E7832" t="inlineStr">
        <is>
          <t>SÖDERHAMN</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28200-2023</t>
        </is>
      </c>
      <c r="B7833" s="1" t="n">
        <v>45099</v>
      </c>
      <c r="C7833" s="1" t="n">
        <v>45344</v>
      </c>
      <c r="D7833" t="inlineStr">
        <is>
          <t>GÄVLEBORGS LÄN</t>
        </is>
      </c>
      <c r="E7833" t="inlineStr">
        <is>
          <t>SÖDERHAMN</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28205-2023</t>
        </is>
      </c>
      <c r="B7834" s="1" t="n">
        <v>45099</v>
      </c>
      <c r="C7834" s="1" t="n">
        <v>45344</v>
      </c>
      <c r="D7834" t="inlineStr">
        <is>
          <t>GÄVLEBORGS LÄN</t>
        </is>
      </c>
      <c r="E7834" t="inlineStr">
        <is>
          <t>SÖDERHAMN</t>
        </is>
      </c>
      <c r="G7834" t="n">
        <v>4</v>
      </c>
      <c r="H7834" t="n">
        <v>0</v>
      </c>
      <c r="I7834" t="n">
        <v>0</v>
      </c>
      <c r="J7834" t="n">
        <v>0</v>
      </c>
      <c r="K7834" t="n">
        <v>0</v>
      </c>
      <c r="L7834" t="n">
        <v>0</v>
      </c>
      <c r="M7834" t="n">
        <v>0</v>
      </c>
      <c r="N7834" t="n">
        <v>0</v>
      </c>
      <c r="O7834" t="n">
        <v>0</v>
      </c>
      <c r="P7834" t="n">
        <v>0</v>
      </c>
      <c r="Q7834" t="n">
        <v>0</v>
      </c>
      <c r="R7834" s="2" t="inlineStr"/>
    </row>
    <row r="7835" ht="15" customHeight="1">
      <c r="A7835" t="inlineStr">
        <is>
          <t>A 28110-2023</t>
        </is>
      </c>
      <c r="B7835" s="1" t="n">
        <v>45099</v>
      </c>
      <c r="C7835" s="1" t="n">
        <v>45344</v>
      </c>
      <c r="D7835" t="inlineStr">
        <is>
          <t>GÄVLEBORGS LÄN</t>
        </is>
      </c>
      <c r="E7835" t="inlineStr">
        <is>
          <t>OVANÅKER</t>
        </is>
      </c>
      <c r="F7835" t="inlineStr">
        <is>
          <t>Bergvik skog väst AB</t>
        </is>
      </c>
      <c r="G7835" t="n">
        <v>8.5</v>
      </c>
      <c r="H7835" t="n">
        <v>0</v>
      </c>
      <c r="I7835" t="n">
        <v>0</v>
      </c>
      <c r="J7835" t="n">
        <v>0</v>
      </c>
      <c r="K7835" t="n">
        <v>0</v>
      </c>
      <c r="L7835" t="n">
        <v>0</v>
      </c>
      <c r="M7835" t="n">
        <v>0</v>
      </c>
      <c r="N7835" t="n">
        <v>0</v>
      </c>
      <c r="O7835" t="n">
        <v>0</v>
      </c>
      <c r="P7835" t="n">
        <v>0</v>
      </c>
      <c r="Q7835" t="n">
        <v>0</v>
      </c>
      <c r="R7835" s="2" t="inlineStr"/>
    </row>
    <row r="7836" ht="15" customHeight="1">
      <c r="A7836" t="inlineStr">
        <is>
          <t>A 28115-2023</t>
        </is>
      </c>
      <c r="B7836" s="1" t="n">
        <v>45099</v>
      </c>
      <c r="C7836" s="1" t="n">
        <v>45344</v>
      </c>
      <c r="D7836" t="inlineStr">
        <is>
          <t>GÄVLEBORGS LÄN</t>
        </is>
      </c>
      <c r="E7836" t="inlineStr">
        <is>
          <t>HUDIKSVALL</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28248-2023</t>
        </is>
      </c>
      <c r="B7837" s="1" t="n">
        <v>45099</v>
      </c>
      <c r="C7837" s="1" t="n">
        <v>45344</v>
      </c>
      <c r="D7837" t="inlineStr">
        <is>
          <t>GÄVLEBORGS LÄN</t>
        </is>
      </c>
      <c r="E7837" t="inlineStr">
        <is>
          <t>LJUSDAL</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28174-2023</t>
        </is>
      </c>
      <c r="B7838" s="1" t="n">
        <v>45099</v>
      </c>
      <c r="C7838" s="1" t="n">
        <v>45344</v>
      </c>
      <c r="D7838" t="inlineStr">
        <is>
          <t>GÄVLEBORGS LÄN</t>
        </is>
      </c>
      <c r="E7838" t="inlineStr">
        <is>
          <t>HUDIKSVALL</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28180-2023</t>
        </is>
      </c>
      <c r="B7839" s="1" t="n">
        <v>45099</v>
      </c>
      <c r="C7839" s="1" t="n">
        <v>45344</v>
      </c>
      <c r="D7839" t="inlineStr">
        <is>
          <t>GÄVLEBORGS LÄN</t>
        </is>
      </c>
      <c r="E7839" t="inlineStr">
        <is>
          <t>SÖDERHAMN</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28246-2023</t>
        </is>
      </c>
      <c r="B7840" s="1" t="n">
        <v>45099</v>
      </c>
      <c r="C7840" s="1" t="n">
        <v>45344</v>
      </c>
      <c r="D7840" t="inlineStr">
        <is>
          <t>GÄVLEBORGS LÄN</t>
        </is>
      </c>
      <c r="E7840" t="inlineStr">
        <is>
          <t>LJUSDAL</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28272-2023</t>
        </is>
      </c>
      <c r="B7841" s="1" t="n">
        <v>45099</v>
      </c>
      <c r="C7841" s="1" t="n">
        <v>45344</v>
      </c>
      <c r="D7841" t="inlineStr">
        <is>
          <t>GÄVLEBORGS LÄN</t>
        </is>
      </c>
      <c r="E7841" t="inlineStr">
        <is>
          <t>LJUSDAL</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28303-2023</t>
        </is>
      </c>
      <c r="B7842" s="1" t="n">
        <v>45099</v>
      </c>
      <c r="C7842" s="1" t="n">
        <v>45344</v>
      </c>
      <c r="D7842" t="inlineStr">
        <is>
          <t>GÄVLEBORGS LÄN</t>
        </is>
      </c>
      <c r="E7842" t="inlineStr">
        <is>
          <t>LJUSDAL</t>
        </is>
      </c>
      <c r="G7842" t="n">
        <v>2.4</v>
      </c>
      <c r="H7842" t="n">
        <v>0</v>
      </c>
      <c r="I7842" t="n">
        <v>0</v>
      </c>
      <c r="J7842" t="n">
        <v>0</v>
      </c>
      <c r="K7842" t="n">
        <v>0</v>
      </c>
      <c r="L7842" t="n">
        <v>0</v>
      </c>
      <c r="M7842" t="n">
        <v>0</v>
      </c>
      <c r="N7842" t="n">
        <v>0</v>
      </c>
      <c r="O7842" t="n">
        <v>0</v>
      </c>
      <c r="P7842" t="n">
        <v>0</v>
      </c>
      <c r="Q7842" t="n">
        <v>0</v>
      </c>
      <c r="R7842" s="2" t="inlineStr"/>
    </row>
    <row r="7843" ht="15" customHeight="1">
      <c r="A7843" t="inlineStr">
        <is>
          <t>A 28284-2023</t>
        </is>
      </c>
      <c r="B7843" s="1" t="n">
        <v>45099</v>
      </c>
      <c r="C7843" s="1" t="n">
        <v>45344</v>
      </c>
      <c r="D7843" t="inlineStr">
        <is>
          <t>GÄVLEBORGS LÄN</t>
        </is>
      </c>
      <c r="E7843" t="inlineStr">
        <is>
          <t>SÖDERHAMN</t>
        </is>
      </c>
      <c r="G7843" t="n">
        <v>2.4</v>
      </c>
      <c r="H7843" t="n">
        <v>0</v>
      </c>
      <c r="I7843" t="n">
        <v>0</v>
      </c>
      <c r="J7843" t="n">
        <v>0</v>
      </c>
      <c r="K7843" t="n">
        <v>0</v>
      </c>
      <c r="L7843" t="n">
        <v>0</v>
      </c>
      <c r="M7843" t="n">
        <v>0</v>
      </c>
      <c r="N7843" t="n">
        <v>0</v>
      </c>
      <c r="O7843" t="n">
        <v>0</v>
      </c>
      <c r="P7843" t="n">
        <v>0</v>
      </c>
      <c r="Q7843" t="n">
        <v>0</v>
      </c>
      <c r="R7843" s="2" t="inlineStr"/>
    </row>
    <row r="7844" ht="15" customHeight="1">
      <c r="A7844" t="inlineStr">
        <is>
          <t>A 28293-2023</t>
        </is>
      </c>
      <c r="B7844" s="1" t="n">
        <v>45099</v>
      </c>
      <c r="C7844" s="1" t="n">
        <v>45344</v>
      </c>
      <c r="D7844" t="inlineStr">
        <is>
          <t>GÄVLEBORGS LÄN</t>
        </is>
      </c>
      <c r="E7844" t="inlineStr">
        <is>
          <t>LJUSDAL</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28298-2023</t>
        </is>
      </c>
      <c r="B7845" s="1" t="n">
        <v>45099</v>
      </c>
      <c r="C7845" s="1" t="n">
        <v>45344</v>
      </c>
      <c r="D7845" t="inlineStr">
        <is>
          <t>GÄVLEBORGS LÄN</t>
        </is>
      </c>
      <c r="E7845" t="inlineStr">
        <is>
          <t>LJUSDAL</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28302-2023</t>
        </is>
      </c>
      <c r="B7846" s="1" t="n">
        <v>45099</v>
      </c>
      <c r="C7846" s="1" t="n">
        <v>45344</v>
      </c>
      <c r="D7846" t="inlineStr">
        <is>
          <t>GÄVLEBORGS LÄN</t>
        </is>
      </c>
      <c r="E7846" t="inlineStr">
        <is>
          <t>LJUSDAL</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28306-2023</t>
        </is>
      </c>
      <c r="B7847" s="1" t="n">
        <v>45099</v>
      </c>
      <c r="C7847" s="1" t="n">
        <v>45344</v>
      </c>
      <c r="D7847" t="inlineStr">
        <is>
          <t>GÄVLEBORGS LÄN</t>
        </is>
      </c>
      <c r="E7847" t="inlineStr">
        <is>
          <t>LJUSDAL</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28301-2023</t>
        </is>
      </c>
      <c r="B7848" s="1" t="n">
        <v>45099</v>
      </c>
      <c r="C7848" s="1" t="n">
        <v>45344</v>
      </c>
      <c r="D7848" t="inlineStr">
        <is>
          <t>GÄVLEBORGS LÄN</t>
        </is>
      </c>
      <c r="E7848" t="inlineStr">
        <is>
          <t>LJUSDAL</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28305-2023</t>
        </is>
      </c>
      <c r="B7849" s="1" t="n">
        <v>45099</v>
      </c>
      <c r="C7849" s="1" t="n">
        <v>45344</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28320-2023</t>
        </is>
      </c>
      <c r="B7850" s="1" t="n">
        <v>45099</v>
      </c>
      <c r="C7850" s="1" t="n">
        <v>45344</v>
      </c>
      <c r="D7850" t="inlineStr">
        <is>
          <t>GÄVLEBORGS LÄN</t>
        </is>
      </c>
      <c r="E7850" t="inlineStr">
        <is>
          <t>BOLLNÄS</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28270-2023</t>
        </is>
      </c>
      <c r="B7851" s="1" t="n">
        <v>45099</v>
      </c>
      <c r="C7851" s="1" t="n">
        <v>45344</v>
      </c>
      <c r="D7851" t="inlineStr">
        <is>
          <t>GÄVLEBORGS LÄN</t>
        </is>
      </c>
      <c r="E7851" t="inlineStr">
        <is>
          <t>NORDANSTIG</t>
        </is>
      </c>
      <c r="F7851" t="inlineStr">
        <is>
          <t>Holmen skog AB</t>
        </is>
      </c>
      <c r="G7851" t="n">
        <v>22.3</v>
      </c>
      <c r="H7851" t="n">
        <v>0</v>
      </c>
      <c r="I7851" t="n">
        <v>0</v>
      </c>
      <c r="J7851" t="n">
        <v>0</v>
      </c>
      <c r="K7851" t="n">
        <v>0</v>
      </c>
      <c r="L7851" t="n">
        <v>0</v>
      </c>
      <c r="M7851" t="n">
        <v>0</v>
      </c>
      <c r="N7851" t="n">
        <v>0</v>
      </c>
      <c r="O7851" t="n">
        <v>0</v>
      </c>
      <c r="P7851" t="n">
        <v>0</v>
      </c>
      <c r="Q7851" t="n">
        <v>0</v>
      </c>
      <c r="R7851" s="2" t="inlineStr"/>
    </row>
    <row r="7852" ht="15" customHeight="1">
      <c r="A7852" t="inlineStr">
        <is>
          <t>A 28314-2023</t>
        </is>
      </c>
      <c r="B7852" s="1" t="n">
        <v>45099</v>
      </c>
      <c r="C7852" s="1" t="n">
        <v>45344</v>
      </c>
      <c r="D7852" t="inlineStr">
        <is>
          <t>GÄVLEBORGS LÄN</t>
        </is>
      </c>
      <c r="E7852" t="inlineStr">
        <is>
          <t>BOLLNÄS</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28319-2023</t>
        </is>
      </c>
      <c r="B7853" s="1" t="n">
        <v>45099</v>
      </c>
      <c r="C7853" s="1" t="n">
        <v>45344</v>
      </c>
      <c r="D7853" t="inlineStr">
        <is>
          <t>GÄVLEBORGS LÄN</t>
        </is>
      </c>
      <c r="E7853" t="inlineStr">
        <is>
          <t>NORDANSTIG</t>
        </is>
      </c>
      <c r="F7853" t="inlineStr">
        <is>
          <t>Holmen skog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28339-2023</t>
        </is>
      </c>
      <c r="B7854" s="1" t="n">
        <v>45099</v>
      </c>
      <c r="C7854" s="1" t="n">
        <v>45344</v>
      </c>
      <c r="D7854" t="inlineStr">
        <is>
          <t>GÄVLEBORGS LÄN</t>
        </is>
      </c>
      <c r="E7854" t="inlineStr">
        <is>
          <t>LJUSDAL</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28347-2023</t>
        </is>
      </c>
      <c r="B7855" s="1" t="n">
        <v>45099</v>
      </c>
      <c r="C7855" s="1" t="n">
        <v>45344</v>
      </c>
      <c r="D7855" t="inlineStr">
        <is>
          <t>GÄVLEBORGS LÄN</t>
        </is>
      </c>
      <c r="E7855" t="inlineStr">
        <is>
          <t>LJUSDAL</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29807-2023</t>
        </is>
      </c>
      <c r="B7856" s="1" t="n">
        <v>45099</v>
      </c>
      <c r="C7856" s="1" t="n">
        <v>45344</v>
      </c>
      <c r="D7856" t="inlineStr">
        <is>
          <t>GÄVLEBORGS LÄN</t>
        </is>
      </c>
      <c r="E7856" t="inlineStr">
        <is>
          <t>LJUSDAL</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28300-2023</t>
        </is>
      </c>
      <c r="B7857" s="1" t="n">
        <v>45099</v>
      </c>
      <c r="C7857" s="1" t="n">
        <v>45344</v>
      </c>
      <c r="D7857" t="inlineStr">
        <is>
          <t>GÄVLEBORGS LÄN</t>
        </is>
      </c>
      <c r="E7857" t="inlineStr">
        <is>
          <t>LJUSDAL</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28304-2023</t>
        </is>
      </c>
      <c r="B7858" s="1" t="n">
        <v>45099</v>
      </c>
      <c r="C7858" s="1" t="n">
        <v>45344</v>
      </c>
      <c r="D7858" t="inlineStr">
        <is>
          <t>GÄVLEBORGS LÄN</t>
        </is>
      </c>
      <c r="E7858" t="inlineStr">
        <is>
          <t>LJUSDAL</t>
        </is>
      </c>
      <c r="G7858" t="n">
        <v>4.7</v>
      </c>
      <c r="H7858" t="n">
        <v>0</v>
      </c>
      <c r="I7858" t="n">
        <v>0</v>
      </c>
      <c r="J7858" t="n">
        <v>0</v>
      </c>
      <c r="K7858" t="n">
        <v>0</v>
      </c>
      <c r="L7858" t="n">
        <v>0</v>
      </c>
      <c r="M7858" t="n">
        <v>0</v>
      </c>
      <c r="N7858" t="n">
        <v>0</v>
      </c>
      <c r="O7858" t="n">
        <v>0</v>
      </c>
      <c r="P7858" t="n">
        <v>0</v>
      </c>
      <c r="Q7858" t="n">
        <v>0</v>
      </c>
      <c r="R7858" s="2" t="inlineStr"/>
    </row>
    <row r="7859" ht="15" customHeight="1">
      <c r="A7859" t="inlineStr">
        <is>
          <t>A 28346-2023</t>
        </is>
      </c>
      <c r="B7859" s="1" t="n">
        <v>45099</v>
      </c>
      <c r="C7859" s="1" t="n">
        <v>45344</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29841-2023</t>
        </is>
      </c>
      <c r="B7860" s="1" t="n">
        <v>45099</v>
      </c>
      <c r="C7860" s="1" t="n">
        <v>45344</v>
      </c>
      <c r="D7860" t="inlineStr">
        <is>
          <t>GÄVLEBORGS LÄN</t>
        </is>
      </c>
      <c r="E7860" t="inlineStr">
        <is>
          <t>LJUSDAL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29831-2023</t>
        </is>
      </c>
      <c r="B7861" s="1" t="n">
        <v>45099</v>
      </c>
      <c r="C7861" s="1" t="n">
        <v>45344</v>
      </c>
      <c r="D7861" t="inlineStr">
        <is>
          <t>GÄVLEBORGS LÄN</t>
        </is>
      </c>
      <c r="E7861" t="inlineStr">
        <is>
          <t>LJUSDAL</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29845-2023</t>
        </is>
      </c>
      <c r="B7862" s="1" t="n">
        <v>45099</v>
      </c>
      <c r="C7862" s="1" t="n">
        <v>45344</v>
      </c>
      <c r="D7862" t="inlineStr">
        <is>
          <t>GÄVLEBORGS LÄN</t>
        </is>
      </c>
      <c r="E7862" t="inlineStr">
        <is>
          <t>LJUSDAL</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28418-2023</t>
        </is>
      </c>
      <c r="B7863" s="1" t="n">
        <v>45102</v>
      </c>
      <c r="C7863" s="1" t="n">
        <v>45344</v>
      </c>
      <c r="D7863" t="inlineStr">
        <is>
          <t>GÄVLEBORGS LÄN</t>
        </is>
      </c>
      <c r="E7863" t="inlineStr">
        <is>
          <t>OVANÅKER</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28419-2023</t>
        </is>
      </c>
      <c r="B7864" s="1" t="n">
        <v>45102</v>
      </c>
      <c r="C7864" s="1" t="n">
        <v>45344</v>
      </c>
      <c r="D7864" t="inlineStr">
        <is>
          <t>GÄVLEBORGS LÄN</t>
        </is>
      </c>
      <c r="E7864" t="inlineStr">
        <is>
          <t>OVANÅKER</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28475-2023</t>
        </is>
      </c>
      <c r="B7865" s="1" t="n">
        <v>45103</v>
      </c>
      <c r="C7865" s="1" t="n">
        <v>45344</v>
      </c>
      <c r="D7865" t="inlineStr">
        <is>
          <t>GÄVLEBORGS LÄN</t>
        </is>
      </c>
      <c r="E7865" t="inlineStr">
        <is>
          <t>OVANÅKER</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28487-2023</t>
        </is>
      </c>
      <c r="B7866" s="1" t="n">
        <v>45103</v>
      </c>
      <c r="C7866" s="1" t="n">
        <v>45344</v>
      </c>
      <c r="D7866" t="inlineStr">
        <is>
          <t>GÄVLEBORGS LÄN</t>
        </is>
      </c>
      <c r="E7866" t="inlineStr">
        <is>
          <t>OCKELBO</t>
        </is>
      </c>
      <c r="G7866" t="n">
        <v>10.8</v>
      </c>
      <c r="H7866" t="n">
        <v>0</v>
      </c>
      <c r="I7866" t="n">
        <v>0</v>
      </c>
      <c r="J7866" t="n">
        <v>0</v>
      </c>
      <c r="K7866" t="n">
        <v>0</v>
      </c>
      <c r="L7866" t="n">
        <v>0</v>
      </c>
      <c r="M7866" t="n">
        <v>0</v>
      </c>
      <c r="N7866" t="n">
        <v>0</v>
      </c>
      <c r="O7866" t="n">
        <v>0</v>
      </c>
      <c r="P7866" t="n">
        <v>0</v>
      </c>
      <c r="Q7866" t="n">
        <v>0</v>
      </c>
      <c r="R7866" s="2" t="inlineStr"/>
    </row>
    <row r="7867" ht="15" customHeight="1">
      <c r="A7867" t="inlineStr">
        <is>
          <t>A 28453-2023</t>
        </is>
      </c>
      <c r="B7867" s="1" t="n">
        <v>45103</v>
      </c>
      <c r="C7867" s="1" t="n">
        <v>45344</v>
      </c>
      <c r="D7867" t="inlineStr">
        <is>
          <t>GÄVLEBORGS LÄN</t>
        </is>
      </c>
      <c r="E7867" t="inlineStr">
        <is>
          <t>OVANÅKER</t>
        </is>
      </c>
      <c r="G7867" t="n">
        <v>1.7</v>
      </c>
      <c r="H7867" t="n">
        <v>0</v>
      </c>
      <c r="I7867" t="n">
        <v>0</v>
      </c>
      <c r="J7867" t="n">
        <v>0</v>
      </c>
      <c r="K7867" t="n">
        <v>0</v>
      </c>
      <c r="L7867" t="n">
        <v>0</v>
      </c>
      <c r="M7867" t="n">
        <v>0</v>
      </c>
      <c r="N7867" t="n">
        <v>0</v>
      </c>
      <c r="O7867" t="n">
        <v>0</v>
      </c>
      <c r="P7867" t="n">
        <v>0</v>
      </c>
      <c r="Q7867" t="n">
        <v>0</v>
      </c>
      <c r="R7867" s="2" t="inlineStr"/>
    </row>
    <row r="7868" ht="15" customHeight="1">
      <c r="A7868" t="inlineStr">
        <is>
          <t>A 28523-2023</t>
        </is>
      </c>
      <c r="B7868" s="1" t="n">
        <v>45103</v>
      </c>
      <c r="C7868" s="1" t="n">
        <v>45344</v>
      </c>
      <c r="D7868" t="inlineStr">
        <is>
          <t>GÄVLEBORGS LÄN</t>
        </is>
      </c>
      <c r="E7868" t="inlineStr">
        <is>
          <t>BOLLNÄS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28563-2023</t>
        </is>
      </c>
      <c r="B7869" s="1" t="n">
        <v>45103</v>
      </c>
      <c r="C7869" s="1" t="n">
        <v>45344</v>
      </c>
      <c r="D7869" t="inlineStr">
        <is>
          <t>GÄVLEBORGS LÄN</t>
        </is>
      </c>
      <c r="E7869" t="inlineStr">
        <is>
          <t>BOLLNÄS</t>
        </is>
      </c>
      <c r="G7869" t="n">
        <v>13</v>
      </c>
      <c r="H7869" t="n">
        <v>0</v>
      </c>
      <c r="I7869" t="n">
        <v>0</v>
      </c>
      <c r="J7869" t="n">
        <v>0</v>
      </c>
      <c r="K7869" t="n">
        <v>0</v>
      </c>
      <c r="L7869" t="n">
        <v>0</v>
      </c>
      <c r="M7869" t="n">
        <v>0</v>
      </c>
      <c r="N7869" t="n">
        <v>0</v>
      </c>
      <c r="O7869" t="n">
        <v>0</v>
      </c>
      <c r="P7869" t="n">
        <v>0</v>
      </c>
      <c r="Q7869" t="n">
        <v>0</v>
      </c>
      <c r="R7869" s="2" t="inlineStr"/>
    </row>
    <row r="7870" ht="15" customHeight="1">
      <c r="A7870" t="inlineStr">
        <is>
          <t>A 28622-2023</t>
        </is>
      </c>
      <c r="B7870" s="1" t="n">
        <v>45103</v>
      </c>
      <c r="C7870" s="1" t="n">
        <v>45344</v>
      </c>
      <c r="D7870" t="inlineStr">
        <is>
          <t>GÄVLEBORGS LÄN</t>
        </is>
      </c>
      <c r="E7870" t="inlineStr">
        <is>
          <t>HUDIKSVALL</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28631-2023</t>
        </is>
      </c>
      <c r="B7871" s="1" t="n">
        <v>45103</v>
      </c>
      <c r="C7871" s="1" t="n">
        <v>45344</v>
      </c>
      <c r="D7871" t="inlineStr">
        <is>
          <t>GÄVLEBORGS LÄN</t>
        </is>
      </c>
      <c r="E7871" t="inlineStr">
        <is>
          <t>LJUSDAL</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28604-2023</t>
        </is>
      </c>
      <c r="B7872" s="1" t="n">
        <v>45103</v>
      </c>
      <c r="C7872" s="1" t="n">
        <v>45344</v>
      </c>
      <c r="D7872" t="inlineStr">
        <is>
          <t>GÄVLEBORGS LÄN</t>
        </is>
      </c>
      <c r="E7872" t="inlineStr">
        <is>
          <t>OVANÅKER</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28697-2023</t>
        </is>
      </c>
      <c r="B7873" s="1" t="n">
        <v>45103</v>
      </c>
      <c r="C7873" s="1" t="n">
        <v>45344</v>
      </c>
      <c r="D7873" t="inlineStr">
        <is>
          <t>GÄVLEBORGS LÄN</t>
        </is>
      </c>
      <c r="E7873" t="inlineStr">
        <is>
          <t>NORDANSTIG</t>
        </is>
      </c>
      <c r="F7873" t="inlineStr">
        <is>
          <t>Holmen skog AB</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28687-2023</t>
        </is>
      </c>
      <c r="B7874" s="1" t="n">
        <v>45103</v>
      </c>
      <c r="C7874" s="1" t="n">
        <v>45344</v>
      </c>
      <c r="D7874" t="inlineStr">
        <is>
          <t>GÄVLEBORGS LÄN</t>
        </is>
      </c>
      <c r="E7874" t="inlineStr">
        <is>
          <t>OVANÅKER</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28712-2023</t>
        </is>
      </c>
      <c r="B7875" s="1" t="n">
        <v>45103</v>
      </c>
      <c r="C7875" s="1" t="n">
        <v>45344</v>
      </c>
      <c r="D7875" t="inlineStr">
        <is>
          <t>GÄVLEBORGS LÄN</t>
        </is>
      </c>
      <c r="E7875" t="inlineStr">
        <is>
          <t>LJUSDAL</t>
        </is>
      </c>
      <c r="F7875" t="inlineStr">
        <is>
          <t>Holmen skog AB</t>
        </is>
      </c>
      <c r="G7875" t="n">
        <v>5.4</v>
      </c>
      <c r="H7875" t="n">
        <v>0</v>
      </c>
      <c r="I7875" t="n">
        <v>0</v>
      </c>
      <c r="J7875" t="n">
        <v>0</v>
      </c>
      <c r="K7875" t="n">
        <v>0</v>
      </c>
      <c r="L7875" t="n">
        <v>0</v>
      </c>
      <c r="M7875" t="n">
        <v>0</v>
      </c>
      <c r="N7875" t="n">
        <v>0</v>
      </c>
      <c r="O7875" t="n">
        <v>0</v>
      </c>
      <c r="P7875" t="n">
        <v>0</v>
      </c>
      <c r="Q7875" t="n">
        <v>0</v>
      </c>
      <c r="R7875" s="2" t="inlineStr"/>
    </row>
    <row r="7876" ht="15" customHeight="1">
      <c r="A7876" t="inlineStr">
        <is>
          <t>A 28593-2023</t>
        </is>
      </c>
      <c r="B7876" s="1" t="n">
        <v>45103</v>
      </c>
      <c r="C7876" s="1" t="n">
        <v>45344</v>
      </c>
      <c r="D7876" t="inlineStr">
        <is>
          <t>GÄVLEBORGS LÄN</t>
        </is>
      </c>
      <c r="E7876" t="inlineStr">
        <is>
          <t>BOLLNÄS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28606-2023</t>
        </is>
      </c>
      <c r="B7877" s="1" t="n">
        <v>45103</v>
      </c>
      <c r="C7877" s="1" t="n">
        <v>45344</v>
      </c>
      <c r="D7877" t="inlineStr">
        <is>
          <t>GÄVLEBORGS LÄN</t>
        </is>
      </c>
      <c r="E7877" t="inlineStr">
        <is>
          <t>OVANÅKER</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28626-2023</t>
        </is>
      </c>
      <c r="B7878" s="1" t="n">
        <v>45103</v>
      </c>
      <c r="C7878" s="1" t="n">
        <v>45344</v>
      </c>
      <c r="D7878" t="inlineStr">
        <is>
          <t>GÄVLEBORGS LÄN</t>
        </is>
      </c>
      <c r="E7878" t="inlineStr">
        <is>
          <t>HUDIKSVALL</t>
        </is>
      </c>
      <c r="G7878" t="n">
        <v>2.8</v>
      </c>
      <c r="H7878" t="n">
        <v>0</v>
      </c>
      <c r="I7878" t="n">
        <v>0</v>
      </c>
      <c r="J7878" t="n">
        <v>0</v>
      </c>
      <c r="K7878" t="n">
        <v>0</v>
      </c>
      <c r="L7878" t="n">
        <v>0</v>
      </c>
      <c r="M7878" t="n">
        <v>0</v>
      </c>
      <c r="N7878" t="n">
        <v>0</v>
      </c>
      <c r="O7878" t="n">
        <v>0</v>
      </c>
      <c r="P7878" t="n">
        <v>0</v>
      </c>
      <c r="Q7878" t="n">
        <v>0</v>
      </c>
      <c r="R7878" s="2" t="inlineStr"/>
    </row>
    <row r="7879" ht="15" customHeight="1">
      <c r="A7879" t="inlineStr">
        <is>
          <t>A 28657-2023</t>
        </is>
      </c>
      <c r="B7879" s="1" t="n">
        <v>45103</v>
      </c>
      <c r="C7879" s="1" t="n">
        <v>45344</v>
      </c>
      <c r="D7879" t="inlineStr">
        <is>
          <t>GÄVLEBORGS LÄN</t>
        </is>
      </c>
      <c r="E7879" t="inlineStr">
        <is>
          <t>NORDANSTIG</t>
        </is>
      </c>
      <c r="F7879" t="inlineStr">
        <is>
          <t>Holmen skog AB</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28675-2023</t>
        </is>
      </c>
      <c r="B7880" s="1" t="n">
        <v>45103</v>
      </c>
      <c r="C7880" s="1" t="n">
        <v>45344</v>
      </c>
      <c r="D7880" t="inlineStr">
        <is>
          <t>GÄVLEBORGS LÄN</t>
        </is>
      </c>
      <c r="E7880" t="inlineStr">
        <is>
          <t>GÄVLE</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28680-2023</t>
        </is>
      </c>
      <c r="B7881" s="1" t="n">
        <v>45103</v>
      </c>
      <c r="C7881" s="1" t="n">
        <v>45344</v>
      </c>
      <c r="D7881" t="inlineStr">
        <is>
          <t>GÄVLEBORGS LÄN</t>
        </is>
      </c>
      <c r="E7881" t="inlineStr">
        <is>
          <t>NORDANSTIG</t>
        </is>
      </c>
      <c r="F7881" t="inlineStr">
        <is>
          <t>Holmen skog AB</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28690-2023</t>
        </is>
      </c>
      <c r="B7882" s="1" t="n">
        <v>45103</v>
      </c>
      <c r="C7882" s="1" t="n">
        <v>45344</v>
      </c>
      <c r="D7882" t="inlineStr">
        <is>
          <t>GÄVLEBORGS LÄN</t>
        </is>
      </c>
      <c r="E7882" t="inlineStr">
        <is>
          <t>NORDANSTIG</t>
        </is>
      </c>
      <c r="F7882" t="inlineStr">
        <is>
          <t>Holmen skog AB</t>
        </is>
      </c>
      <c r="G7882" t="n">
        <v>21.8</v>
      </c>
      <c r="H7882" t="n">
        <v>0</v>
      </c>
      <c r="I7882" t="n">
        <v>0</v>
      </c>
      <c r="J7882" t="n">
        <v>0</v>
      </c>
      <c r="K7882" t="n">
        <v>0</v>
      </c>
      <c r="L7882" t="n">
        <v>0</v>
      </c>
      <c r="M7882" t="n">
        <v>0</v>
      </c>
      <c r="N7882" t="n">
        <v>0</v>
      </c>
      <c r="O7882" t="n">
        <v>0</v>
      </c>
      <c r="P7882" t="n">
        <v>0</v>
      </c>
      <c r="Q7882" t="n">
        <v>0</v>
      </c>
      <c r="R7882" s="2" t="inlineStr"/>
    </row>
    <row r="7883" ht="15" customHeight="1">
      <c r="A7883" t="inlineStr">
        <is>
          <t>A 31317-2023</t>
        </is>
      </c>
      <c r="B7883" s="1" t="n">
        <v>45103</v>
      </c>
      <c r="C7883" s="1" t="n">
        <v>45344</v>
      </c>
      <c r="D7883" t="inlineStr">
        <is>
          <t>GÄVLEBORGS LÄN</t>
        </is>
      </c>
      <c r="E7883" t="inlineStr">
        <is>
          <t>SANDVIKEN</t>
        </is>
      </c>
      <c r="G7883" t="n">
        <v>0.4</v>
      </c>
      <c r="H7883" t="n">
        <v>0</v>
      </c>
      <c r="I7883" t="n">
        <v>0</v>
      </c>
      <c r="J7883" t="n">
        <v>0</v>
      </c>
      <c r="K7883" t="n">
        <v>0</v>
      </c>
      <c r="L7883" t="n">
        <v>0</v>
      </c>
      <c r="M7883" t="n">
        <v>0</v>
      </c>
      <c r="N7883" t="n">
        <v>0</v>
      </c>
      <c r="O7883" t="n">
        <v>0</v>
      </c>
      <c r="P7883" t="n">
        <v>0</v>
      </c>
      <c r="Q7883" t="n">
        <v>0</v>
      </c>
      <c r="R7883" s="2" t="inlineStr"/>
    </row>
    <row r="7884" ht="15" customHeight="1">
      <c r="A7884" t="inlineStr">
        <is>
          <t>A 28771-2023</t>
        </is>
      </c>
      <c r="B7884" s="1" t="n">
        <v>45104</v>
      </c>
      <c r="C7884" s="1" t="n">
        <v>45344</v>
      </c>
      <c r="D7884" t="inlineStr">
        <is>
          <t>GÄVLEBORGS LÄN</t>
        </is>
      </c>
      <c r="E7884" t="inlineStr">
        <is>
          <t>BOLLNÄS</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28797-2023</t>
        </is>
      </c>
      <c r="B7885" s="1" t="n">
        <v>45104</v>
      </c>
      <c r="C7885" s="1" t="n">
        <v>45344</v>
      </c>
      <c r="D7885" t="inlineStr">
        <is>
          <t>GÄVLEBORGS LÄN</t>
        </is>
      </c>
      <c r="E7885" t="inlineStr">
        <is>
          <t>GÄVLE</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28826-2023</t>
        </is>
      </c>
      <c r="B7886" s="1" t="n">
        <v>45104</v>
      </c>
      <c r="C7886" s="1" t="n">
        <v>45344</v>
      </c>
      <c r="D7886" t="inlineStr">
        <is>
          <t>GÄVLEBORGS LÄN</t>
        </is>
      </c>
      <c r="E7886" t="inlineStr">
        <is>
          <t>NORDANSTIG</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28865-2023</t>
        </is>
      </c>
      <c r="B7887" s="1" t="n">
        <v>45104</v>
      </c>
      <c r="C7887" s="1" t="n">
        <v>45344</v>
      </c>
      <c r="D7887" t="inlineStr">
        <is>
          <t>GÄVLEBORGS LÄN</t>
        </is>
      </c>
      <c r="E7887" t="inlineStr">
        <is>
          <t>LJUSDAL</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28891-2023</t>
        </is>
      </c>
      <c r="B7888" s="1" t="n">
        <v>45104</v>
      </c>
      <c r="C7888" s="1" t="n">
        <v>45344</v>
      </c>
      <c r="D7888" t="inlineStr">
        <is>
          <t>GÄVLEBORGS LÄN</t>
        </is>
      </c>
      <c r="E7888" t="inlineStr">
        <is>
          <t>LJUSDAL</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28944-2023</t>
        </is>
      </c>
      <c r="B7889" s="1" t="n">
        <v>45104</v>
      </c>
      <c r="C7889" s="1" t="n">
        <v>45344</v>
      </c>
      <c r="D7889" t="inlineStr">
        <is>
          <t>GÄVLEBORGS LÄN</t>
        </is>
      </c>
      <c r="E7889" t="inlineStr">
        <is>
          <t>LJUSDAL</t>
        </is>
      </c>
      <c r="G7889" t="n">
        <v>2.2</v>
      </c>
      <c r="H7889" t="n">
        <v>0</v>
      </c>
      <c r="I7889" t="n">
        <v>0</v>
      </c>
      <c r="J7889" t="n">
        <v>0</v>
      </c>
      <c r="K7889" t="n">
        <v>0</v>
      </c>
      <c r="L7889" t="n">
        <v>0</v>
      </c>
      <c r="M7889" t="n">
        <v>0</v>
      </c>
      <c r="N7889" t="n">
        <v>0</v>
      </c>
      <c r="O7889" t="n">
        <v>0</v>
      </c>
      <c r="P7889" t="n">
        <v>0</v>
      </c>
      <c r="Q7889" t="n">
        <v>0</v>
      </c>
      <c r="R7889" s="2" t="inlineStr"/>
    </row>
    <row r="7890" ht="15" customHeight="1">
      <c r="A7890" t="inlineStr">
        <is>
          <t>A 31319-2023</t>
        </is>
      </c>
      <c r="B7890" s="1" t="n">
        <v>45104</v>
      </c>
      <c r="C7890" s="1" t="n">
        <v>45344</v>
      </c>
      <c r="D7890" t="inlineStr">
        <is>
          <t>GÄVLEBORGS LÄN</t>
        </is>
      </c>
      <c r="E7890" t="inlineStr">
        <is>
          <t>SANDVIKEN</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28770-2023</t>
        </is>
      </c>
      <c r="B7891" s="1" t="n">
        <v>45104</v>
      </c>
      <c r="C7891" s="1" t="n">
        <v>45344</v>
      </c>
      <c r="D7891" t="inlineStr">
        <is>
          <t>GÄVLEBORGS LÄN</t>
        </is>
      </c>
      <c r="E7891" t="inlineStr">
        <is>
          <t>BOLLNÄS</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28812-2023</t>
        </is>
      </c>
      <c r="B7892" s="1" t="n">
        <v>45104</v>
      </c>
      <c r="C7892" s="1" t="n">
        <v>45344</v>
      </c>
      <c r="D7892" t="inlineStr">
        <is>
          <t>GÄVLEBORGS LÄN</t>
        </is>
      </c>
      <c r="E7892" t="inlineStr">
        <is>
          <t>GÄVLE</t>
        </is>
      </c>
      <c r="F7892" t="inlineStr">
        <is>
          <t>Bergvik skog öst AB</t>
        </is>
      </c>
      <c r="G7892" t="n">
        <v>17.4</v>
      </c>
      <c r="H7892" t="n">
        <v>0</v>
      </c>
      <c r="I7892" t="n">
        <v>0</v>
      </c>
      <c r="J7892" t="n">
        <v>0</v>
      </c>
      <c r="K7892" t="n">
        <v>0</v>
      </c>
      <c r="L7892" t="n">
        <v>0</v>
      </c>
      <c r="M7892" t="n">
        <v>0</v>
      </c>
      <c r="N7892" t="n">
        <v>0</v>
      </c>
      <c r="O7892" t="n">
        <v>0</v>
      </c>
      <c r="P7892" t="n">
        <v>0</v>
      </c>
      <c r="Q7892" t="n">
        <v>0</v>
      </c>
      <c r="R7892" s="2" t="inlineStr"/>
    </row>
    <row r="7893" ht="15" customHeight="1">
      <c r="A7893" t="inlineStr">
        <is>
          <t>A 28927-2023</t>
        </is>
      </c>
      <c r="B7893" s="1" t="n">
        <v>45104</v>
      </c>
      <c r="C7893" s="1" t="n">
        <v>45344</v>
      </c>
      <c r="D7893" t="inlineStr">
        <is>
          <t>GÄVLEBORGS LÄN</t>
        </is>
      </c>
      <c r="E7893" t="inlineStr">
        <is>
          <t>LJUSDAL</t>
        </is>
      </c>
      <c r="F7893" t="inlineStr">
        <is>
          <t>Holmen skog AB</t>
        </is>
      </c>
      <c r="G7893" t="n">
        <v>2.2</v>
      </c>
      <c r="H7893" t="n">
        <v>0</v>
      </c>
      <c r="I7893" t="n">
        <v>0</v>
      </c>
      <c r="J7893" t="n">
        <v>0</v>
      </c>
      <c r="K7893" t="n">
        <v>0</v>
      </c>
      <c r="L7893" t="n">
        <v>0</v>
      </c>
      <c r="M7893" t="n">
        <v>0</v>
      </c>
      <c r="N7893" t="n">
        <v>0</v>
      </c>
      <c r="O7893" t="n">
        <v>0</v>
      </c>
      <c r="P7893" t="n">
        <v>0</v>
      </c>
      <c r="Q7893" t="n">
        <v>0</v>
      </c>
      <c r="R7893" s="2" t="inlineStr"/>
    </row>
    <row r="7894" ht="15" customHeight="1">
      <c r="A7894" t="inlineStr">
        <is>
          <t>A 28971-2023</t>
        </is>
      </c>
      <c r="B7894" s="1" t="n">
        <v>45104</v>
      </c>
      <c r="C7894" s="1" t="n">
        <v>45344</v>
      </c>
      <c r="D7894" t="inlineStr">
        <is>
          <t>GÄVLEBORGS LÄN</t>
        </is>
      </c>
      <c r="E7894" t="inlineStr">
        <is>
          <t>SANDVIKEN</t>
        </is>
      </c>
      <c r="F7894" t="inlineStr">
        <is>
          <t>Bergvik skog öst AB</t>
        </is>
      </c>
      <c r="G7894" t="n">
        <v>3.9</v>
      </c>
      <c r="H7894" t="n">
        <v>0</v>
      </c>
      <c r="I7894" t="n">
        <v>0</v>
      </c>
      <c r="J7894" t="n">
        <v>0</v>
      </c>
      <c r="K7894" t="n">
        <v>0</v>
      </c>
      <c r="L7894" t="n">
        <v>0</v>
      </c>
      <c r="M7894" t="n">
        <v>0</v>
      </c>
      <c r="N7894" t="n">
        <v>0</v>
      </c>
      <c r="O7894" t="n">
        <v>0</v>
      </c>
      <c r="P7894" t="n">
        <v>0</v>
      </c>
      <c r="Q7894" t="n">
        <v>0</v>
      </c>
      <c r="R7894" s="2" t="inlineStr"/>
    </row>
    <row r="7895" ht="15" customHeight="1">
      <c r="A7895" t="inlineStr">
        <is>
          <t>A 29014-2023</t>
        </is>
      </c>
      <c r="B7895" s="1" t="n">
        <v>45104</v>
      </c>
      <c r="C7895" s="1" t="n">
        <v>45344</v>
      </c>
      <c r="D7895" t="inlineStr">
        <is>
          <t>GÄVLEBORGS LÄN</t>
        </is>
      </c>
      <c r="E7895" t="inlineStr">
        <is>
          <t>GÄVLE</t>
        </is>
      </c>
      <c r="F7895" t="inlineStr">
        <is>
          <t>Bergvik skog öst AB</t>
        </is>
      </c>
      <c r="G7895" t="n">
        <v>2.4</v>
      </c>
      <c r="H7895" t="n">
        <v>0</v>
      </c>
      <c r="I7895" t="n">
        <v>0</v>
      </c>
      <c r="J7895" t="n">
        <v>0</v>
      </c>
      <c r="K7895" t="n">
        <v>0</v>
      </c>
      <c r="L7895" t="n">
        <v>0</v>
      </c>
      <c r="M7895" t="n">
        <v>0</v>
      </c>
      <c r="N7895" t="n">
        <v>0</v>
      </c>
      <c r="O7895" t="n">
        <v>0</v>
      </c>
      <c r="P7895" t="n">
        <v>0</v>
      </c>
      <c r="Q7895" t="n">
        <v>0</v>
      </c>
      <c r="R7895" s="2" t="inlineStr"/>
    </row>
    <row r="7896" ht="15" customHeight="1">
      <c r="A7896" t="inlineStr">
        <is>
          <t>A 31331-2023</t>
        </is>
      </c>
      <c r="B7896" s="1" t="n">
        <v>45104</v>
      </c>
      <c r="C7896" s="1" t="n">
        <v>45344</v>
      </c>
      <c r="D7896" t="inlineStr">
        <is>
          <t>GÄVLEBORGS LÄN</t>
        </is>
      </c>
      <c r="E7896" t="inlineStr">
        <is>
          <t>SANDVIKEN</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28853-2023</t>
        </is>
      </c>
      <c r="B7897" s="1" t="n">
        <v>45104</v>
      </c>
      <c r="C7897" s="1" t="n">
        <v>45344</v>
      </c>
      <c r="D7897" t="inlineStr">
        <is>
          <t>GÄVLEBORGS LÄN</t>
        </is>
      </c>
      <c r="E7897" t="inlineStr">
        <is>
          <t>LJUSDAL</t>
        </is>
      </c>
      <c r="G7897" t="n">
        <v>2.1</v>
      </c>
      <c r="H7897" t="n">
        <v>0</v>
      </c>
      <c r="I7897" t="n">
        <v>0</v>
      </c>
      <c r="J7897" t="n">
        <v>0</v>
      </c>
      <c r="K7897" t="n">
        <v>0</v>
      </c>
      <c r="L7897" t="n">
        <v>0</v>
      </c>
      <c r="M7897" t="n">
        <v>0</v>
      </c>
      <c r="N7897" t="n">
        <v>0</v>
      </c>
      <c r="O7897" t="n">
        <v>0</v>
      </c>
      <c r="P7897" t="n">
        <v>0</v>
      </c>
      <c r="Q7897" t="n">
        <v>0</v>
      </c>
      <c r="R7897" s="2" t="inlineStr"/>
    </row>
    <row r="7898" ht="15" customHeight="1">
      <c r="A7898" t="inlineStr">
        <is>
          <t>A 28892-2023</t>
        </is>
      </c>
      <c r="B7898" s="1" t="n">
        <v>45104</v>
      </c>
      <c r="C7898" s="1" t="n">
        <v>45344</v>
      </c>
      <c r="D7898" t="inlineStr">
        <is>
          <t>GÄVLEBORGS LÄN</t>
        </is>
      </c>
      <c r="E7898" t="inlineStr">
        <is>
          <t>LJUSDAL</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28905-2023</t>
        </is>
      </c>
      <c r="B7899" s="1" t="n">
        <v>45104</v>
      </c>
      <c r="C7899" s="1" t="n">
        <v>45344</v>
      </c>
      <c r="D7899" t="inlineStr">
        <is>
          <t>GÄVLEBORGS LÄN</t>
        </is>
      </c>
      <c r="E7899" t="inlineStr">
        <is>
          <t>GÄVLE</t>
        </is>
      </c>
      <c r="F7899" t="inlineStr">
        <is>
          <t>Bergvik skog väst AB</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28945-2023</t>
        </is>
      </c>
      <c r="B7900" s="1" t="n">
        <v>45104</v>
      </c>
      <c r="C7900" s="1" t="n">
        <v>45344</v>
      </c>
      <c r="D7900" t="inlineStr">
        <is>
          <t>GÄVLEBORGS LÄN</t>
        </is>
      </c>
      <c r="E7900" t="inlineStr">
        <is>
          <t>SANDVIKEN</t>
        </is>
      </c>
      <c r="F7900" t="inlineStr">
        <is>
          <t>Bergvik skog öst AB</t>
        </is>
      </c>
      <c r="G7900" t="n">
        <v>4.9</v>
      </c>
      <c r="H7900" t="n">
        <v>0</v>
      </c>
      <c r="I7900" t="n">
        <v>0</v>
      </c>
      <c r="J7900" t="n">
        <v>0</v>
      </c>
      <c r="K7900" t="n">
        <v>0</v>
      </c>
      <c r="L7900" t="n">
        <v>0</v>
      </c>
      <c r="M7900" t="n">
        <v>0</v>
      </c>
      <c r="N7900" t="n">
        <v>0</v>
      </c>
      <c r="O7900" t="n">
        <v>0</v>
      </c>
      <c r="P7900" t="n">
        <v>0</v>
      </c>
      <c r="Q7900" t="n">
        <v>0</v>
      </c>
      <c r="R7900" s="2" t="inlineStr"/>
    </row>
    <row r="7901" ht="15" customHeight="1">
      <c r="A7901" t="inlineStr">
        <is>
          <t>A 29016-2023</t>
        </is>
      </c>
      <c r="B7901" s="1" t="n">
        <v>45104</v>
      </c>
      <c r="C7901" s="1" t="n">
        <v>45344</v>
      </c>
      <c r="D7901" t="inlineStr">
        <is>
          <t>GÄVLEBORGS LÄN</t>
        </is>
      </c>
      <c r="E7901" t="inlineStr">
        <is>
          <t>GÄVLE</t>
        </is>
      </c>
      <c r="F7901" t="inlineStr">
        <is>
          <t>Bergvik skog öst AB</t>
        </is>
      </c>
      <c r="G7901" t="n">
        <v>6.8</v>
      </c>
      <c r="H7901" t="n">
        <v>0</v>
      </c>
      <c r="I7901" t="n">
        <v>0</v>
      </c>
      <c r="J7901" t="n">
        <v>0</v>
      </c>
      <c r="K7901" t="n">
        <v>0</v>
      </c>
      <c r="L7901" t="n">
        <v>0</v>
      </c>
      <c r="M7901" t="n">
        <v>0</v>
      </c>
      <c r="N7901" t="n">
        <v>0</v>
      </c>
      <c r="O7901" t="n">
        <v>0</v>
      </c>
      <c r="P7901" t="n">
        <v>0</v>
      </c>
      <c r="Q7901" t="n">
        <v>0</v>
      </c>
      <c r="R7901" s="2" t="inlineStr"/>
    </row>
    <row r="7902" ht="15" customHeight="1">
      <c r="A7902" t="inlineStr">
        <is>
          <t>A 31324-2023</t>
        </is>
      </c>
      <c r="B7902" s="1" t="n">
        <v>45104</v>
      </c>
      <c r="C7902" s="1" t="n">
        <v>45344</v>
      </c>
      <c r="D7902" t="inlineStr">
        <is>
          <t>GÄVLEBORGS LÄN</t>
        </is>
      </c>
      <c r="E7902" t="inlineStr">
        <is>
          <t>SANDVIKEN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29159-2023</t>
        </is>
      </c>
      <c r="B7903" s="1" t="n">
        <v>45105</v>
      </c>
      <c r="C7903" s="1" t="n">
        <v>45344</v>
      </c>
      <c r="D7903" t="inlineStr">
        <is>
          <t>GÄVLEBORGS LÄN</t>
        </is>
      </c>
      <c r="E7903" t="inlineStr">
        <is>
          <t>BOLLNÄS</t>
        </is>
      </c>
      <c r="F7903" t="inlineStr">
        <is>
          <t>Bergvik skog väst AB</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29132-2023</t>
        </is>
      </c>
      <c r="B7904" s="1" t="n">
        <v>45105</v>
      </c>
      <c r="C7904" s="1" t="n">
        <v>45344</v>
      </c>
      <c r="D7904" t="inlineStr">
        <is>
          <t>GÄVLEBORGS LÄN</t>
        </is>
      </c>
      <c r="E7904" t="inlineStr">
        <is>
          <t>OCKELBO</t>
        </is>
      </c>
      <c r="G7904" t="n">
        <v>14.5</v>
      </c>
      <c r="H7904" t="n">
        <v>0</v>
      </c>
      <c r="I7904" t="n">
        <v>0</v>
      </c>
      <c r="J7904" t="n">
        <v>0</v>
      </c>
      <c r="K7904" t="n">
        <v>0</v>
      </c>
      <c r="L7904" t="n">
        <v>0</v>
      </c>
      <c r="M7904" t="n">
        <v>0</v>
      </c>
      <c r="N7904" t="n">
        <v>0</v>
      </c>
      <c r="O7904" t="n">
        <v>0</v>
      </c>
      <c r="P7904" t="n">
        <v>0</v>
      </c>
      <c r="Q7904" t="n">
        <v>0</v>
      </c>
      <c r="R7904" s="2" t="inlineStr"/>
    </row>
    <row r="7905" ht="15" customHeight="1">
      <c r="A7905" t="inlineStr">
        <is>
          <t>A 29205-2023</t>
        </is>
      </c>
      <c r="B7905" s="1" t="n">
        <v>45105</v>
      </c>
      <c r="C7905" s="1" t="n">
        <v>45344</v>
      </c>
      <c r="D7905" t="inlineStr">
        <is>
          <t>GÄVLEBORGS LÄN</t>
        </is>
      </c>
      <c r="E7905" t="inlineStr">
        <is>
          <t>LJUSDAL</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29156-2023</t>
        </is>
      </c>
      <c r="B7906" s="1" t="n">
        <v>45105</v>
      </c>
      <c r="C7906" s="1" t="n">
        <v>45344</v>
      </c>
      <c r="D7906" t="inlineStr">
        <is>
          <t>GÄVLEBORGS LÄN</t>
        </is>
      </c>
      <c r="E7906" t="inlineStr">
        <is>
          <t>HUDIKSVALL</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29239-2023</t>
        </is>
      </c>
      <c r="B7907" s="1" t="n">
        <v>45105</v>
      </c>
      <c r="C7907" s="1" t="n">
        <v>45344</v>
      </c>
      <c r="D7907" t="inlineStr">
        <is>
          <t>GÄVLEBORGS LÄN</t>
        </is>
      </c>
      <c r="E7907" t="inlineStr">
        <is>
          <t>LJUSDAL</t>
        </is>
      </c>
      <c r="F7907" t="inlineStr">
        <is>
          <t>Sveaskog</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29238-2023</t>
        </is>
      </c>
      <c r="B7908" s="1" t="n">
        <v>45105</v>
      </c>
      <c r="C7908" s="1" t="n">
        <v>45344</v>
      </c>
      <c r="D7908" t="inlineStr">
        <is>
          <t>GÄVLEBORGS LÄN</t>
        </is>
      </c>
      <c r="E7908" t="inlineStr">
        <is>
          <t>LJUSDAL</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29260-2023</t>
        </is>
      </c>
      <c r="B7909" s="1" t="n">
        <v>45105</v>
      </c>
      <c r="C7909" s="1" t="n">
        <v>45344</v>
      </c>
      <c r="D7909" t="inlineStr">
        <is>
          <t>GÄVLEBORGS LÄN</t>
        </is>
      </c>
      <c r="E7909" t="inlineStr">
        <is>
          <t>LJUSDAL</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29268-2023</t>
        </is>
      </c>
      <c r="B7910" s="1" t="n">
        <v>45105</v>
      </c>
      <c r="C7910" s="1" t="n">
        <v>45344</v>
      </c>
      <c r="D7910" t="inlineStr">
        <is>
          <t>GÄVLEBORGS LÄN</t>
        </is>
      </c>
      <c r="E7910" t="inlineStr">
        <is>
          <t>NORDANSTIG</t>
        </is>
      </c>
      <c r="G7910" t="n">
        <v>6.7</v>
      </c>
      <c r="H7910" t="n">
        <v>0</v>
      </c>
      <c r="I7910" t="n">
        <v>0</v>
      </c>
      <c r="J7910" t="n">
        <v>0</v>
      </c>
      <c r="K7910" t="n">
        <v>0</v>
      </c>
      <c r="L7910" t="n">
        <v>0</v>
      </c>
      <c r="M7910" t="n">
        <v>0</v>
      </c>
      <c r="N7910" t="n">
        <v>0</v>
      </c>
      <c r="O7910" t="n">
        <v>0</v>
      </c>
      <c r="P7910" t="n">
        <v>0</v>
      </c>
      <c r="Q7910" t="n">
        <v>0</v>
      </c>
      <c r="R7910" s="2" t="inlineStr"/>
    </row>
    <row r="7911" ht="15" customHeight="1">
      <c r="A7911" t="inlineStr">
        <is>
          <t>A 29153-2023</t>
        </is>
      </c>
      <c r="B7911" s="1" t="n">
        <v>45105</v>
      </c>
      <c r="C7911" s="1" t="n">
        <v>45344</v>
      </c>
      <c r="D7911" t="inlineStr">
        <is>
          <t>GÄVLEBORGS LÄN</t>
        </is>
      </c>
      <c r="E7911" t="inlineStr">
        <is>
          <t>HUDIKSVALL</t>
        </is>
      </c>
      <c r="G7911" t="n">
        <v>10.3</v>
      </c>
      <c r="H7911" t="n">
        <v>0</v>
      </c>
      <c r="I7911" t="n">
        <v>0</v>
      </c>
      <c r="J7911" t="n">
        <v>0</v>
      </c>
      <c r="K7911" t="n">
        <v>0</v>
      </c>
      <c r="L7911" t="n">
        <v>0</v>
      </c>
      <c r="M7911" t="n">
        <v>0</v>
      </c>
      <c r="N7911" t="n">
        <v>0</v>
      </c>
      <c r="O7911" t="n">
        <v>0</v>
      </c>
      <c r="P7911" t="n">
        <v>0</v>
      </c>
      <c r="Q7911" t="n">
        <v>0</v>
      </c>
      <c r="R7911" s="2" t="inlineStr"/>
    </row>
    <row r="7912" ht="15" customHeight="1">
      <c r="A7912" t="inlineStr">
        <is>
          <t>A 29424-2023</t>
        </is>
      </c>
      <c r="B7912" s="1" t="n">
        <v>45106</v>
      </c>
      <c r="C7912" s="1" t="n">
        <v>45344</v>
      </c>
      <c r="D7912" t="inlineStr">
        <is>
          <t>GÄVLEBORGS LÄN</t>
        </is>
      </c>
      <c r="E7912" t="inlineStr">
        <is>
          <t>OCKELBO</t>
        </is>
      </c>
      <c r="F7912" t="inlineStr">
        <is>
          <t>Bergvik skog väst AB</t>
        </is>
      </c>
      <c r="G7912" t="n">
        <v>8.9</v>
      </c>
      <c r="H7912" t="n">
        <v>0</v>
      </c>
      <c r="I7912" t="n">
        <v>0</v>
      </c>
      <c r="J7912" t="n">
        <v>0</v>
      </c>
      <c r="K7912" t="n">
        <v>0</v>
      </c>
      <c r="L7912" t="n">
        <v>0</v>
      </c>
      <c r="M7912" t="n">
        <v>0</v>
      </c>
      <c r="N7912" t="n">
        <v>0</v>
      </c>
      <c r="O7912" t="n">
        <v>0</v>
      </c>
      <c r="P7912" t="n">
        <v>0</v>
      </c>
      <c r="Q7912" t="n">
        <v>0</v>
      </c>
      <c r="R7912" s="2" t="inlineStr"/>
    </row>
    <row r="7913" ht="15" customHeight="1">
      <c r="A7913" t="inlineStr">
        <is>
          <t>A 29386-2023</t>
        </is>
      </c>
      <c r="B7913" s="1" t="n">
        <v>45106</v>
      </c>
      <c r="C7913" s="1" t="n">
        <v>45344</v>
      </c>
      <c r="D7913" t="inlineStr">
        <is>
          <t>GÄVLEBORGS LÄN</t>
        </is>
      </c>
      <c r="E7913" t="inlineStr">
        <is>
          <t>OVANÅKER</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29489-2023</t>
        </is>
      </c>
      <c r="B7914" s="1" t="n">
        <v>45106</v>
      </c>
      <c r="C7914" s="1" t="n">
        <v>45344</v>
      </c>
      <c r="D7914" t="inlineStr">
        <is>
          <t>GÄVLEBORGS LÄN</t>
        </is>
      </c>
      <c r="E7914" t="inlineStr">
        <is>
          <t>OCKELBO</t>
        </is>
      </c>
      <c r="F7914" t="inlineStr">
        <is>
          <t>Bergvik skog väst AB</t>
        </is>
      </c>
      <c r="G7914" t="n">
        <v>4.7</v>
      </c>
      <c r="H7914" t="n">
        <v>0</v>
      </c>
      <c r="I7914" t="n">
        <v>0</v>
      </c>
      <c r="J7914" t="n">
        <v>0</v>
      </c>
      <c r="K7914" t="n">
        <v>0</v>
      </c>
      <c r="L7914" t="n">
        <v>0</v>
      </c>
      <c r="M7914" t="n">
        <v>0</v>
      </c>
      <c r="N7914" t="n">
        <v>0</v>
      </c>
      <c r="O7914" t="n">
        <v>0</v>
      </c>
      <c r="P7914" t="n">
        <v>0</v>
      </c>
      <c r="Q7914" t="n">
        <v>0</v>
      </c>
      <c r="R7914" s="2" t="inlineStr"/>
    </row>
    <row r="7915" ht="15" customHeight="1">
      <c r="A7915" t="inlineStr">
        <is>
          <t>A 29507-2023</t>
        </is>
      </c>
      <c r="B7915" s="1" t="n">
        <v>45106</v>
      </c>
      <c r="C7915" s="1" t="n">
        <v>45344</v>
      </c>
      <c r="D7915" t="inlineStr">
        <is>
          <t>GÄVLEBORGS LÄN</t>
        </is>
      </c>
      <c r="E7915" t="inlineStr">
        <is>
          <t>OCKELBO</t>
        </is>
      </c>
      <c r="F7915" t="inlineStr">
        <is>
          <t>Bergvik skog väst AB</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29380-2023</t>
        </is>
      </c>
      <c r="B7916" s="1" t="n">
        <v>45106</v>
      </c>
      <c r="C7916" s="1" t="n">
        <v>45344</v>
      </c>
      <c r="D7916" t="inlineStr">
        <is>
          <t>GÄVLEBORGS LÄN</t>
        </is>
      </c>
      <c r="E7916" t="inlineStr">
        <is>
          <t>OVANÅKER</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29494-2023</t>
        </is>
      </c>
      <c r="B7917" s="1" t="n">
        <v>45106</v>
      </c>
      <c r="C7917" s="1" t="n">
        <v>45344</v>
      </c>
      <c r="D7917" t="inlineStr">
        <is>
          <t>GÄVLEBORGS LÄN</t>
        </is>
      </c>
      <c r="E7917" t="inlineStr">
        <is>
          <t>LJUSDAL</t>
        </is>
      </c>
      <c r="G7917" t="n">
        <v>7.1</v>
      </c>
      <c r="H7917" t="n">
        <v>0</v>
      </c>
      <c r="I7917" t="n">
        <v>0</v>
      </c>
      <c r="J7917" t="n">
        <v>0</v>
      </c>
      <c r="K7917" t="n">
        <v>0</v>
      </c>
      <c r="L7917" t="n">
        <v>0</v>
      </c>
      <c r="M7917" t="n">
        <v>0</v>
      </c>
      <c r="N7917" t="n">
        <v>0</v>
      </c>
      <c r="O7917" t="n">
        <v>0</v>
      </c>
      <c r="P7917" t="n">
        <v>0</v>
      </c>
      <c r="Q7917" t="n">
        <v>0</v>
      </c>
      <c r="R7917" s="2" t="inlineStr"/>
    </row>
    <row r="7918" ht="15" customHeight="1">
      <c r="A7918" t="inlineStr">
        <is>
          <t>A 29511-2023</t>
        </is>
      </c>
      <c r="B7918" s="1" t="n">
        <v>45106</v>
      </c>
      <c r="C7918" s="1" t="n">
        <v>45344</v>
      </c>
      <c r="D7918" t="inlineStr">
        <is>
          <t>GÄVLEBORGS LÄN</t>
        </is>
      </c>
      <c r="E7918" t="inlineStr">
        <is>
          <t>OCKELBO</t>
        </is>
      </c>
      <c r="F7918" t="inlineStr">
        <is>
          <t>Bergvik skog väst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29439-2023</t>
        </is>
      </c>
      <c r="B7919" s="1" t="n">
        <v>45106</v>
      </c>
      <c r="C7919" s="1" t="n">
        <v>45344</v>
      </c>
      <c r="D7919" t="inlineStr">
        <is>
          <t>GÄVLEBORGS LÄN</t>
        </is>
      </c>
      <c r="E7919" t="inlineStr">
        <is>
          <t>LJUSDAL</t>
        </is>
      </c>
      <c r="G7919" t="n">
        <v>2.8</v>
      </c>
      <c r="H7919" t="n">
        <v>0</v>
      </c>
      <c r="I7919" t="n">
        <v>0</v>
      </c>
      <c r="J7919" t="n">
        <v>0</v>
      </c>
      <c r="K7919" t="n">
        <v>0</v>
      </c>
      <c r="L7919" t="n">
        <v>0</v>
      </c>
      <c r="M7919" t="n">
        <v>0</v>
      </c>
      <c r="N7919" t="n">
        <v>0</v>
      </c>
      <c r="O7919" t="n">
        <v>0</v>
      </c>
      <c r="P7919" t="n">
        <v>0</v>
      </c>
      <c r="Q7919" t="n">
        <v>0</v>
      </c>
      <c r="R7919" s="2" t="inlineStr"/>
    </row>
    <row r="7920" ht="15" customHeight="1">
      <c r="A7920" t="inlineStr">
        <is>
          <t>A 29488-2023</t>
        </is>
      </c>
      <c r="B7920" s="1" t="n">
        <v>45106</v>
      </c>
      <c r="C7920" s="1" t="n">
        <v>45344</v>
      </c>
      <c r="D7920" t="inlineStr">
        <is>
          <t>GÄVLEBORGS LÄN</t>
        </is>
      </c>
      <c r="E7920" t="inlineStr">
        <is>
          <t>HUDIKSVALL</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29505-2023</t>
        </is>
      </c>
      <c r="B7921" s="1" t="n">
        <v>45106</v>
      </c>
      <c r="C7921" s="1" t="n">
        <v>45344</v>
      </c>
      <c r="D7921" t="inlineStr">
        <is>
          <t>GÄVLEBORGS LÄN</t>
        </is>
      </c>
      <c r="E7921" t="inlineStr">
        <is>
          <t>LJUSDAL</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29534-2023</t>
        </is>
      </c>
      <c r="B7922" s="1" t="n">
        <v>45106</v>
      </c>
      <c r="C7922" s="1" t="n">
        <v>45344</v>
      </c>
      <c r="D7922" t="inlineStr">
        <is>
          <t>GÄVLEBORGS LÄN</t>
        </is>
      </c>
      <c r="E7922" t="inlineStr">
        <is>
          <t>OCKELBO</t>
        </is>
      </c>
      <c r="F7922" t="inlineStr">
        <is>
          <t>Bergvik skog väst AB</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29562-2023</t>
        </is>
      </c>
      <c r="B7923" s="1" t="n">
        <v>45106</v>
      </c>
      <c r="C7923" s="1" t="n">
        <v>45344</v>
      </c>
      <c r="D7923" t="inlineStr">
        <is>
          <t>GÄVLEBORGS LÄN</t>
        </is>
      </c>
      <c r="E7923" t="inlineStr">
        <is>
          <t>NORDANSTIG</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29592-2023</t>
        </is>
      </c>
      <c r="B7924" s="1" t="n">
        <v>45106</v>
      </c>
      <c r="C7924" s="1" t="n">
        <v>45344</v>
      </c>
      <c r="D7924" t="inlineStr">
        <is>
          <t>GÄVLEBORGS LÄN</t>
        </is>
      </c>
      <c r="E7924" t="inlineStr">
        <is>
          <t>HUDIKSVALL</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29565-2023</t>
        </is>
      </c>
      <c r="B7925" s="1" t="n">
        <v>45106</v>
      </c>
      <c r="C7925" s="1" t="n">
        <v>45344</v>
      </c>
      <c r="D7925" t="inlineStr">
        <is>
          <t>GÄVLEBORGS LÄN</t>
        </is>
      </c>
      <c r="E7925" t="inlineStr">
        <is>
          <t>NORDANSTIG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29569-2023</t>
        </is>
      </c>
      <c r="B7926" s="1" t="n">
        <v>45106</v>
      </c>
      <c r="C7926" s="1" t="n">
        <v>45344</v>
      </c>
      <c r="D7926" t="inlineStr">
        <is>
          <t>GÄVLEBORGS LÄN</t>
        </is>
      </c>
      <c r="E7926" t="inlineStr">
        <is>
          <t>NORDANSTIG</t>
        </is>
      </c>
      <c r="G7926" t="n">
        <v>4.3</v>
      </c>
      <c r="H7926" t="n">
        <v>0</v>
      </c>
      <c r="I7926" t="n">
        <v>0</v>
      </c>
      <c r="J7926" t="n">
        <v>0</v>
      </c>
      <c r="K7926" t="n">
        <v>0</v>
      </c>
      <c r="L7926" t="n">
        <v>0</v>
      </c>
      <c r="M7926" t="n">
        <v>0</v>
      </c>
      <c r="N7926" t="n">
        <v>0</v>
      </c>
      <c r="O7926" t="n">
        <v>0</v>
      </c>
      <c r="P7926" t="n">
        <v>0</v>
      </c>
      <c r="Q7926" t="n">
        <v>0</v>
      </c>
      <c r="R7926" s="2" t="inlineStr"/>
    </row>
    <row r="7927" ht="15" customHeight="1">
      <c r="A7927" t="inlineStr">
        <is>
          <t>A 29464-2023</t>
        </is>
      </c>
      <c r="B7927" s="1" t="n">
        <v>45106</v>
      </c>
      <c r="C7927" s="1" t="n">
        <v>45344</v>
      </c>
      <c r="D7927" t="inlineStr">
        <is>
          <t>GÄVLEBORGS LÄN</t>
        </is>
      </c>
      <c r="E7927" t="inlineStr">
        <is>
          <t>LJUSDAL</t>
        </is>
      </c>
      <c r="F7927" t="inlineStr">
        <is>
          <t>Sveaskog</t>
        </is>
      </c>
      <c r="G7927" t="n">
        <v>3.7</v>
      </c>
      <c r="H7927" t="n">
        <v>0</v>
      </c>
      <c r="I7927" t="n">
        <v>0</v>
      </c>
      <c r="J7927" t="n">
        <v>0</v>
      </c>
      <c r="K7927" t="n">
        <v>0</v>
      </c>
      <c r="L7927" t="n">
        <v>0</v>
      </c>
      <c r="M7927" t="n">
        <v>0</v>
      </c>
      <c r="N7927" t="n">
        <v>0</v>
      </c>
      <c r="O7927" t="n">
        <v>0</v>
      </c>
      <c r="P7927" t="n">
        <v>0</v>
      </c>
      <c r="Q7927" t="n">
        <v>0</v>
      </c>
      <c r="R7927" s="2" t="inlineStr"/>
    </row>
    <row r="7928" ht="15" customHeight="1">
      <c r="A7928" t="inlineStr">
        <is>
          <t>A 29478-2023</t>
        </is>
      </c>
      <c r="B7928" s="1" t="n">
        <v>45106</v>
      </c>
      <c r="C7928" s="1" t="n">
        <v>45344</v>
      </c>
      <c r="D7928" t="inlineStr">
        <is>
          <t>GÄVLEBORGS LÄN</t>
        </is>
      </c>
      <c r="E7928" t="inlineStr">
        <is>
          <t>HUDIKSVALL</t>
        </is>
      </c>
      <c r="G7928" t="n">
        <v>9.6</v>
      </c>
      <c r="H7928" t="n">
        <v>0</v>
      </c>
      <c r="I7928" t="n">
        <v>0</v>
      </c>
      <c r="J7928" t="n">
        <v>0</v>
      </c>
      <c r="K7928" t="n">
        <v>0</v>
      </c>
      <c r="L7928" t="n">
        <v>0</v>
      </c>
      <c r="M7928" t="n">
        <v>0</v>
      </c>
      <c r="N7928" t="n">
        <v>0</v>
      </c>
      <c r="O7928" t="n">
        <v>0</v>
      </c>
      <c r="P7928" t="n">
        <v>0</v>
      </c>
      <c r="Q7928" t="n">
        <v>0</v>
      </c>
      <c r="R7928" s="2" t="inlineStr"/>
    </row>
    <row r="7929" ht="15" customHeight="1">
      <c r="A7929" t="inlineStr">
        <is>
          <t>A 31866-2023</t>
        </is>
      </c>
      <c r="B7929" s="1" t="n">
        <v>45106</v>
      </c>
      <c r="C7929" s="1" t="n">
        <v>45344</v>
      </c>
      <c r="D7929" t="inlineStr">
        <is>
          <t>GÄVLEBORGS LÄN</t>
        </is>
      </c>
      <c r="E7929" t="inlineStr">
        <is>
          <t>GÄVLE</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29672-2023</t>
        </is>
      </c>
      <c r="B7930" s="1" t="n">
        <v>45107</v>
      </c>
      <c r="C7930" s="1" t="n">
        <v>45344</v>
      </c>
      <c r="D7930" t="inlineStr">
        <is>
          <t>GÄVLEBORGS LÄN</t>
        </is>
      </c>
      <c r="E7930" t="inlineStr">
        <is>
          <t>BOLLNÄS</t>
        </is>
      </c>
      <c r="F7930" t="inlineStr">
        <is>
          <t>Sveaskog</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29662-2023</t>
        </is>
      </c>
      <c r="B7931" s="1" t="n">
        <v>45107</v>
      </c>
      <c r="C7931" s="1" t="n">
        <v>45344</v>
      </c>
      <c r="D7931" t="inlineStr">
        <is>
          <t>GÄVLEBORGS LÄN</t>
        </is>
      </c>
      <c r="E7931" t="inlineStr">
        <is>
          <t>OCKELBO</t>
        </is>
      </c>
      <c r="F7931" t="inlineStr">
        <is>
          <t>Bergvik skog väst AB</t>
        </is>
      </c>
      <c r="G7931" t="n">
        <v>10</v>
      </c>
      <c r="H7931" t="n">
        <v>0</v>
      </c>
      <c r="I7931" t="n">
        <v>0</v>
      </c>
      <c r="J7931" t="n">
        <v>0</v>
      </c>
      <c r="K7931" t="n">
        <v>0</v>
      </c>
      <c r="L7931" t="n">
        <v>0</v>
      </c>
      <c r="M7931" t="n">
        <v>0</v>
      </c>
      <c r="N7931" t="n">
        <v>0</v>
      </c>
      <c r="O7931" t="n">
        <v>0</v>
      </c>
      <c r="P7931" t="n">
        <v>0</v>
      </c>
      <c r="Q7931" t="n">
        <v>0</v>
      </c>
      <c r="R7931" s="2" t="inlineStr"/>
    </row>
    <row r="7932" ht="15" customHeight="1">
      <c r="A7932" t="inlineStr">
        <is>
          <t>A 29713-2023</t>
        </is>
      </c>
      <c r="B7932" s="1" t="n">
        <v>45107</v>
      </c>
      <c r="C7932" s="1" t="n">
        <v>45344</v>
      </c>
      <c r="D7932" t="inlineStr">
        <is>
          <t>GÄVLEBORGS LÄN</t>
        </is>
      </c>
      <c r="E7932" t="inlineStr">
        <is>
          <t>OCKELBO</t>
        </is>
      </c>
      <c r="F7932" t="inlineStr">
        <is>
          <t>Bergvik skog väst AB</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29708-2023</t>
        </is>
      </c>
      <c r="B7933" s="1" t="n">
        <v>45107</v>
      </c>
      <c r="C7933" s="1" t="n">
        <v>45344</v>
      </c>
      <c r="D7933" t="inlineStr">
        <is>
          <t>GÄVLEBORGS LÄN</t>
        </is>
      </c>
      <c r="E7933" t="inlineStr">
        <is>
          <t>BOLLNÄS</t>
        </is>
      </c>
      <c r="F7933" t="inlineStr">
        <is>
          <t>Sveaskog</t>
        </is>
      </c>
      <c r="G7933" t="n">
        <v>2.6</v>
      </c>
      <c r="H7933" t="n">
        <v>0</v>
      </c>
      <c r="I7933" t="n">
        <v>0</v>
      </c>
      <c r="J7933" t="n">
        <v>0</v>
      </c>
      <c r="K7933" t="n">
        <v>0</v>
      </c>
      <c r="L7933" t="n">
        <v>0</v>
      </c>
      <c r="M7933" t="n">
        <v>0</v>
      </c>
      <c r="N7933" t="n">
        <v>0</v>
      </c>
      <c r="O7933" t="n">
        <v>0</v>
      </c>
      <c r="P7933" t="n">
        <v>0</v>
      </c>
      <c r="Q7933" t="n">
        <v>0</v>
      </c>
      <c r="R7933" s="2" t="inlineStr"/>
    </row>
    <row r="7934" ht="15" customHeight="1">
      <c r="A7934" t="inlineStr">
        <is>
          <t>A 29725-2023</t>
        </is>
      </c>
      <c r="B7934" s="1" t="n">
        <v>45107</v>
      </c>
      <c r="C7934" s="1" t="n">
        <v>45344</v>
      </c>
      <c r="D7934" t="inlineStr">
        <is>
          <t>GÄVLEBORGS LÄN</t>
        </is>
      </c>
      <c r="E7934" t="inlineStr">
        <is>
          <t>LJUSDAL</t>
        </is>
      </c>
      <c r="F7934" t="inlineStr">
        <is>
          <t>Holmen skog AB</t>
        </is>
      </c>
      <c r="G7934" t="n">
        <v>0.8</v>
      </c>
      <c r="H7934" t="n">
        <v>0</v>
      </c>
      <c r="I7934" t="n">
        <v>0</v>
      </c>
      <c r="J7934" t="n">
        <v>0</v>
      </c>
      <c r="K7934" t="n">
        <v>0</v>
      </c>
      <c r="L7934" t="n">
        <v>0</v>
      </c>
      <c r="M7934" t="n">
        <v>0</v>
      </c>
      <c r="N7934" t="n">
        <v>0</v>
      </c>
      <c r="O7934" t="n">
        <v>0</v>
      </c>
      <c r="P7934" t="n">
        <v>0</v>
      </c>
      <c r="Q7934" t="n">
        <v>0</v>
      </c>
      <c r="R7934" s="2" t="inlineStr"/>
    </row>
    <row r="7935" ht="15" customHeight="1">
      <c r="A7935" t="inlineStr">
        <is>
          <t>A 29769-2023</t>
        </is>
      </c>
      <c r="B7935" s="1" t="n">
        <v>45107</v>
      </c>
      <c r="C7935" s="1" t="n">
        <v>45344</v>
      </c>
      <c r="D7935" t="inlineStr">
        <is>
          <t>GÄVLEBORGS LÄN</t>
        </is>
      </c>
      <c r="E7935" t="inlineStr">
        <is>
          <t>BOLLNÄS</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29773-2023</t>
        </is>
      </c>
      <c r="B7936" s="1" t="n">
        <v>45107</v>
      </c>
      <c r="C7936" s="1" t="n">
        <v>45344</v>
      </c>
      <c r="D7936" t="inlineStr">
        <is>
          <t>GÄVLEBORGS LÄN</t>
        </is>
      </c>
      <c r="E7936" t="inlineStr">
        <is>
          <t>BOLLNÄS</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29813-2023</t>
        </is>
      </c>
      <c r="B7937" s="1" t="n">
        <v>45107</v>
      </c>
      <c r="C7937" s="1" t="n">
        <v>45344</v>
      </c>
      <c r="D7937" t="inlineStr">
        <is>
          <t>GÄVLEBORGS LÄN</t>
        </is>
      </c>
      <c r="E7937" t="inlineStr">
        <is>
          <t>SÖDERHAMN</t>
        </is>
      </c>
      <c r="G7937" t="n">
        <v>0.4</v>
      </c>
      <c r="H7937" t="n">
        <v>0</v>
      </c>
      <c r="I7937" t="n">
        <v>0</v>
      </c>
      <c r="J7937" t="n">
        <v>0</v>
      </c>
      <c r="K7937" t="n">
        <v>0</v>
      </c>
      <c r="L7937" t="n">
        <v>0</v>
      </c>
      <c r="M7937" t="n">
        <v>0</v>
      </c>
      <c r="N7937" t="n">
        <v>0</v>
      </c>
      <c r="O7937" t="n">
        <v>0</v>
      </c>
      <c r="P7937" t="n">
        <v>0</v>
      </c>
      <c r="Q7937" t="n">
        <v>0</v>
      </c>
      <c r="R7937" s="2" t="inlineStr"/>
    </row>
    <row r="7938" ht="15" customHeight="1">
      <c r="A7938" t="inlineStr">
        <is>
          <t>A 29821-2023</t>
        </is>
      </c>
      <c r="B7938" s="1" t="n">
        <v>45107</v>
      </c>
      <c r="C7938" s="1" t="n">
        <v>45344</v>
      </c>
      <c r="D7938" t="inlineStr">
        <is>
          <t>GÄVLEBORGS LÄN</t>
        </is>
      </c>
      <c r="E7938" t="inlineStr">
        <is>
          <t>GÄVLE</t>
        </is>
      </c>
      <c r="G7938" t="n">
        <v>5.3</v>
      </c>
      <c r="H7938" t="n">
        <v>0</v>
      </c>
      <c r="I7938" t="n">
        <v>0</v>
      </c>
      <c r="J7938" t="n">
        <v>0</v>
      </c>
      <c r="K7938" t="n">
        <v>0</v>
      </c>
      <c r="L7938" t="n">
        <v>0</v>
      </c>
      <c r="M7938" t="n">
        <v>0</v>
      </c>
      <c r="N7938" t="n">
        <v>0</v>
      </c>
      <c r="O7938" t="n">
        <v>0</v>
      </c>
      <c r="P7938" t="n">
        <v>0</v>
      </c>
      <c r="Q7938" t="n">
        <v>0</v>
      </c>
      <c r="R7938" s="2" t="inlineStr"/>
    </row>
    <row r="7939" ht="15" customHeight="1">
      <c r="A7939" t="inlineStr">
        <is>
          <t>A 29678-2023</t>
        </is>
      </c>
      <c r="B7939" s="1" t="n">
        <v>45107</v>
      </c>
      <c r="C7939" s="1" t="n">
        <v>45344</v>
      </c>
      <c r="D7939" t="inlineStr">
        <is>
          <t>GÄVLEBORGS LÄN</t>
        </is>
      </c>
      <c r="E7939" t="inlineStr">
        <is>
          <t>OCKELBO</t>
        </is>
      </c>
      <c r="F7939" t="inlineStr">
        <is>
          <t>Bergvik skog väst AB</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29687-2023</t>
        </is>
      </c>
      <c r="B7940" s="1" t="n">
        <v>45107</v>
      </c>
      <c r="C7940" s="1" t="n">
        <v>45344</v>
      </c>
      <c r="D7940" t="inlineStr">
        <is>
          <t>GÄVLEBORGS LÄN</t>
        </is>
      </c>
      <c r="E7940" t="inlineStr">
        <is>
          <t>OCKELBO</t>
        </is>
      </c>
      <c r="F7940" t="inlineStr">
        <is>
          <t>Bergvik skog väst AB</t>
        </is>
      </c>
      <c r="G7940" t="n">
        <v>3.2</v>
      </c>
      <c r="H7940" t="n">
        <v>0</v>
      </c>
      <c r="I7940" t="n">
        <v>0</v>
      </c>
      <c r="J7940" t="n">
        <v>0</v>
      </c>
      <c r="K7940" t="n">
        <v>0</v>
      </c>
      <c r="L7940" t="n">
        <v>0</v>
      </c>
      <c r="M7940" t="n">
        <v>0</v>
      </c>
      <c r="N7940" t="n">
        <v>0</v>
      </c>
      <c r="O7940" t="n">
        <v>0</v>
      </c>
      <c r="P7940" t="n">
        <v>0</v>
      </c>
      <c r="Q7940" t="n">
        <v>0</v>
      </c>
      <c r="R7940" s="2" t="inlineStr"/>
    </row>
    <row r="7941" ht="15" customHeight="1">
      <c r="A7941" t="inlineStr">
        <is>
          <t>A 29699-2023</t>
        </is>
      </c>
      <c r="B7941" s="1" t="n">
        <v>45107</v>
      </c>
      <c r="C7941" s="1" t="n">
        <v>45344</v>
      </c>
      <c r="D7941" t="inlineStr">
        <is>
          <t>GÄVLEBORGS LÄN</t>
        </is>
      </c>
      <c r="E7941" t="inlineStr">
        <is>
          <t>GÄVLE</t>
        </is>
      </c>
      <c r="F7941" t="inlineStr">
        <is>
          <t>Kyrkan</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29711-2023</t>
        </is>
      </c>
      <c r="B7942" s="1" t="n">
        <v>45107</v>
      </c>
      <c r="C7942" s="1" t="n">
        <v>45344</v>
      </c>
      <c r="D7942" t="inlineStr">
        <is>
          <t>GÄVLEBORGS LÄN</t>
        </is>
      </c>
      <c r="E7942" t="inlineStr">
        <is>
          <t>HUDIKSVALL</t>
        </is>
      </c>
      <c r="G7942" t="n">
        <v>0.8</v>
      </c>
      <c r="H7942" t="n">
        <v>0</v>
      </c>
      <c r="I7942" t="n">
        <v>0</v>
      </c>
      <c r="J7942" t="n">
        <v>0</v>
      </c>
      <c r="K7942" t="n">
        <v>0</v>
      </c>
      <c r="L7942" t="n">
        <v>0</v>
      </c>
      <c r="M7942" t="n">
        <v>0</v>
      </c>
      <c r="N7942" t="n">
        <v>0</v>
      </c>
      <c r="O7942" t="n">
        <v>0</v>
      </c>
      <c r="P7942" t="n">
        <v>0</v>
      </c>
      <c r="Q7942" t="n">
        <v>0</v>
      </c>
      <c r="R7942" s="2" t="inlineStr"/>
    </row>
    <row r="7943" ht="15" customHeight="1">
      <c r="A7943" t="inlineStr">
        <is>
          <t>A 29715-2023</t>
        </is>
      </c>
      <c r="B7943" s="1" t="n">
        <v>45107</v>
      </c>
      <c r="C7943" s="1" t="n">
        <v>45344</v>
      </c>
      <c r="D7943" t="inlineStr">
        <is>
          <t>GÄVLEBORGS LÄN</t>
        </is>
      </c>
      <c r="E7943" t="inlineStr">
        <is>
          <t>OCKELBO</t>
        </is>
      </c>
      <c r="F7943" t="inlineStr">
        <is>
          <t>Bergvik skog väst AB</t>
        </is>
      </c>
      <c r="G7943" t="n">
        <v>1.6</v>
      </c>
      <c r="H7943" t="n">
        <v>0</v>
      </c>
      <c r="I7943" t="n">
        <v>0</v>
      </c>
      <c r="J7943" t="n">
        <v>0</v>
      </c>
      <c r="K7943" t="n">
        <v>0</v>
      </c>
      <c r="L7943" t="n">
        <v>0</v>
      </c>
      <c r="M7943" t="n">
        <v>0</v>
      </c>
      <c r="N7943" t="n">
        <v>0</v>
      </c>
      <c r="O7943" t="n">
        <v>0</v>
      </c>
      <c r="P7943" t="n">
        <v>0</v>
      </c>
      <c r="Q7943" t="n">
        <v>0</v>
      </c>
      <c r="R7943" s="2" t="inlineStr"/>
    </row>
    <row r="7944" ht="15" customHeight="1">
      <c r="A7944" t="inlineStr">
        <is>
          <t>A 29723-2023</t>
        </is>
      </c>
      <c r="B7944" s="1" t="n">
        <v>45107</v>
      </c>
      <c r="C7944" s="1" t="n">
        <v>45344</v>
      </c>
      <c r="D7944" t="inlineStr">
        <is>
          <t>GÄVLEBORGS LÄN</t>
        </is>
      </c>
      <c r="E7944" t="inlineStr">
        <is>
          <t>HUDIKSVALL</t>
        </is>
      </c>
      <c r="G7944" t="n">
        <v>6.2</v>
      </c>
      <c r="H7944" t="n">
        <v>0</v>
      </c>
      <c r="I7944" t="n">
        <v>0</v>
      </c>
      <c r="J7944" t="n">
        <v>0</v>
      </c>
      <c r="K7944" t="n">
        <v>0</v>
      </c>
      <c r="L7944" t="n">
        <v>0</v>
      </c>
      <c r="M7944" t="n">
        <v>0</v>
      </c>
      <c r="N7944" t="n">
        <v>0</v>
      </c>
      <c r="O7944" t="n">
        <v>0</v>
      </c>
      <c r="P7944" t="n">
        <v>0</v>
      </c>
      <c r="Q7944" t="n">
        <v>0</v>
      </c>
      <c r="R7944" s="2" t="inlineStr"/>
    </row>
    <row r="7945" ht="15" customHeight="1">
      <c r="A7945" t="inlineStr">
        <is>
          <t>A 29790-2023</t>
        </is>
      </c>
      <c r="B7945" s="1" t="n">
        <v>45107</v>
      </c>
      <c r="C7945" s="1" t="n">
        <v>45344</v>
      </c>
      <c r="D7945" t="inlineStr">
        <is>
          <t>GÄVLEBORGS LÄN</t>
        </is>
      </c>
      <c r="E7945" t="inlineStr">
        <is>
          <t>LJUSDAL</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29802-2023</t>
        </is>
      </c>
      <c r="B7946" s="1" t="n">
        <v>45107</v>
      </c>
      <c r="C7946" s="1" t="n">
        <v>45344</v>
      </c>
      <c r="D7946" t="inlineStr">
        <is>
          <t>GÄVLEBORGS LÄN</t>
        </is>
      </c>
      <c r="E7946" t="inlineStr">
        <is>
          <t>SÖDERHAMN</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29811-2023</t>
        </is>
      </c>
      <c r="B7947" s="1" t="n">
        <v>45107</v>
      </c>
      <c r="C7947" s="1" t="n">
        <v>45344</v>
      </c>
      <c r="D7947" t="inlineStr">
        <is>
          <t>GÄVLEBORGS LÄN</t>
        </is>
      </c>
      <c r="E7947" t="inlineStr">
        <is>
          <t>BOLLNÄS</t>
        </is>
      </c>
      <c r="G7947" t="n">
        <v>9.1</v>
      </c>
      <c r="H7947" t="n">
        <v>0</v>
      </c>
      <c r="I7947" t="n">
        <v>0</v>
      </c>
      <c r="J7947" t="n">
        <v>0</v>
      </c>
      <c r="K7947" t="n">
        <v>0</v>
      </c>
      <c r="L7947" t="n">
        <v>0</v>
      </c>
      <c r="M7947" t="n">
        <v>0</v>
      </c>
      <c r="N7947" t="n">
        <v>0</v>
      </c>
      <c r="O7947" t="n">
        <v>0</v>
      </c>
      <c r="P7947" t="n">
        <v>0</v>
      </c>
      <c r="Q7947" t="n">
        <v>0</v>
      </c>
      <c r="R7947" s="2" t="inlineStr"/>
    </row>
    <row r="7948" ht="15" customHeight="1">
      <c r="A7948" t="inlineStr">
        <is>
          <t>A 29840-2023</t>
        </is>
      </c>
      <c r="B7948" s="1" t="n">
        <v>45107</v>
      </c>
      <c r="C7948" s="1" t="n">
        <v>45344</v>
      </c>
      <c r="D7948" t="inlineStr">
        <is>
          <t>GÄVLEBORGS LÄN</t>
        </is>
      </c>
      <c r="E7948" t="inlineStr">
        <is>
          <t>GÄVLE</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29885-2023</t>
        </is>
      </c>
      <c r="B7949" s="1" t="n">
        <v>45107</v>
      </c>
      <c r="C7949" s="1" t="n">
        <v>45344</v>
      </c>
      <c r="D7949" t="inlineStr">
        <is>
          <t>GÄVLEBORGS LÄN</t>
        </is>
      </c>
      <c r="E7949" t="inlineStr">
        <is>
          <t>OCKELBO</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29910-2023</t>
        </is>
      </c>
      <c r="B7950" s="1" t="n">
        <v>45107</v>
      </c>
      <c r="C7950" s="1" t="n">
        <v>45344</v>
      </c>
      <c r="D7950" t="inlineStr">
        <is>
          <t>GÄVLEBORGS LÄN</t>
        </is>
      </c>
      <c r="E7950" t="inlineStr">
        <is>
          <t>LJUSDAL</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29660-2023</t>
        </is>
      </c>
      <c r="B7951" s="1" t="n">
        <v>45107</v>
      </c>
      <c r="C7951" s="1" t="n">
        <v>45344</v>
      </c>
      <c r="D7951" t="inlineStr">
        <is>
          <t>GÄVLEBORGS LÄN</t>
        </is>
      </c>
      <c r="E7951" t="inlineStr">
        <is>
          <t>OCKELBO</t>
        </is>
      </c>
      <c r="F7951" t="inlineStr">
        <is>
          <t>Bergvik skog väst AB</t>
        </is>
      </c>
      <c r="G7951" t="n">
        <v>2.7</v>
      </c>
      <c r="H7951" t="n">
        <v>0</v>
      </c>
      <c r="I7951" t="n">
        <v>0</v>
      </c>
      <c r="J7951" t="n">
        <v>0</v>
      </c>
      <c r="K7951" t="n">
        <v>0</v>
      </c>
      <c r="L7951" t="n">
        <v>0</v>
      </c>
      <c r="M7951" t="n">
        <v>0</v>
      </c>
      <c r="N7951" t="n">
        <v>0</v>
      </c>
      <c r="O7951" t="n">
        <v>0</v>
      </c>
      <c r="P7951" t="n">
        <v>0</v>
      </c>
      <c r="Q7951" t="n">
        <v>0</v>
      </c>
      <c r="R7951" s="2" t="inlineStr"/>
    </row>
    <row r="7952" ht="15" customHeight="1">
      <c r="A7952" t="inlineStr">
        <is>
          <t>A 29669-2023</t>
        </is>
      </c>
      <c r="B7952" s="1" t="n">
        <v>45107</v>
      </c>
      <c r="C7952" s="1" t="n">
        <v>45344</v>
      </c>
      <c r="D7952" t="inlineStr">
        <is>
          <t>GÄVLEBORGS LÄN</t>
        </is>
      </c>
      <c r="E7952" t="inlineStr">
        <is>
          <t>BOLLNÄS</t>
        </is>
      </c>
      <c r="F7952" t="inlineStr">
        <is>
          <t>Bergvik skog väst AB</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29686-2023</t>
        </is>
      </c>
      <c r="B7953" s="1" t="n">
        <v>45107</v>
      </c>
      <c r="C7953" s="1" t="n">
        <v>45344</v>
      </c>
      <c r="D7953" t="inlineStr">
        <is>
          <t>GÄVLEBORGS LÄN</t>
        </is>
      </c>
      <c r="E7953" t="inlineStr">
        <is>
          <t>LJUSDAL</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29690-2023</t>
        </is>
      </c>
      <c r="B7954" s="1" t="n">
        <v>45107</v>
      </c>
      <c r="C7954" s="1" t="n">
        <v>45344</v>
      </c>
      <c r="D7954" t="inlineStr">
        <is>
          <t>GÄVLEBORGS LÄN</t>
        </is>
      </c>
      <c r="E7954" t="inlineStr">
        <is>
          <t>BOLLNÄS</t>
        </is>
      </c>
      <c r="F7954" t="inlineStr">
        <is>
          <t>Sveaskog</t>
        </is>
      </c>
      <c r="G7954" t="n">
        <v>4.4</v>
      </c>
      <c r="H7954" t="n">
        <v>0</v>
      </c>
      <c r="I7954" t="n">
        <v>0</v>
      </c>
      <c r="J7954" t="n">
        <v>0</v>
      </c>
      <c r="K7954" t="n">
        <v>0</v>
      </c>
      <c r="L7954" t="n">
        <v>0</v>
      </c>
      <c r="M7954" t="n">
        <v>0</v>
      </c>
      <c r="N7954" t="n">
        <v>0</v>
      </c>
      <c r="O7954" t="n">
        <v>0</v>
      </c>
      <c r="P7954" t="n">
        <v>0</v>
      </c>
      <c r="Q7954" t="n">
        <v>0</v>
      </c>
      <c r="R7954" s="2" t="inlineStr"/>
    </row>
    <row r="7955" ht="15" customHeight="1">
      <c r="A7955" t="inlineStr">
        <is>
          <t>A 29702-2023</t>
        </is>
      </c>
      <c r="B7955" s="1" t="n">
        <v>45107</v>
      </c>
      <c r="C7955" s="1" t="n">
        <v>45344</v>
      </c>
      <c r="D7955" t="inlineStr">
        <is>
          <t>GÄVLEBORGS LÄN</t>
        </is>
      </c>
      <c r="E7955" t="inlineStr">
        <is>
          <t>HUDIKSVALL</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29748-2023</t>
        </is>
      </c>
      <c r="B7956" s="1" t="n">
        <v>45107</v>
      </c>
      <c r="C7956" s="1" t="n">
        <v>45344</v>
      </c>
      <c r="D7956" t="inlineStr">
        <is>
          <t>GÄVLEBORGS LÄN</t>
        </is>
      </c>
      <c r="E7956" t="inlineStr">
        <is>
          <t>BOLLNÄS</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29761-2023</t>
        </is>
      </c>
      <c r="B7957" s="1" t="n">
        <v>45107</v>
      </c>
      <c r="C7957" s="1" t="n">
        <v>45344</v>
      </c>
      <c r="D7957" t="inlineStr">
        <is>
          <t>GÄVLEBORGS LÄN</t>
        </is>
      </c>
      <c r="E7957" t="inlineStr">
        <is>
          <t>BOLLNÄS</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29765-2023</t>
        </is>
      </c>
      <c r="B7958" s="1" t="n">
        <v>45107</v>
      </c>
      <c r="C7958" s="1" t="n">
        <v>45344</v>
      </c>
      <c r="D7958" t="inlineStr">
        <is>
          <t>GÄVLEBORGS LÄN</t>
        </is>
      </c>
      <c r="E7958" t="inlineStr">
        <is>
          <t>BOLLNÄS</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29797-2023</t>
        </is>
      </c>
      <c r="B7959" s="1" t="n">
        <v>45107</v>
      </c>
      <c r="C7959" s="1" t="n">
        <v>45344</v>
      </c>
      <c r="D7959" t="inlineStr">
        <is>
          <t>GÄVLEBORGS LÄN</t>
        </is>
      </c>
      <c r="E7959" t="inlineStr">
        <is>
          <t>BOLLNÄS</t>
        </is>
      </c>
      <c r="G7959" t="n">
        <v>3.9</v>
      </c>
      <c r="H7959" t="n">
        <v>0</v>
      </c>
      <c r="I7959" t="n">
        <v>0</v>
      </c>
      <c r="J7959" t="n">
        <v>0</v>
      </c>
      <c r="K7959" t="n">
        <v>0</v>
      </c>
      <c r="L7959" t="n">
        <v>0</v>
      </c>
      <c r="M7959" t="n">
        <v>0</v>
      </c>
      <c r="N7959" t="n">
        <v>0</v>
      </c>
      <c r="O7959" t="n">
        <v>0</v>
      </c>
      <c r="P7959" t="n">
        <v>0</v>
      </c>
      <c r="Q7959" t="n">
        <v>0</v>
      </c>
      <c r="R7959" s="2" t="inlineStr"/>
    </row>
    <row r="7960" ht="15" customHeight="1">
      <c r="A7960" t="inlineStr">
        <is>
          <t>A 29801-2023</t>
        </is>
      </c>
      <c r="B7960" s="1" t="n">
        <v>45107</v>
      </c>
      <c r="C7960" s="1" t="n">
        <v>45344</v>
      </c>
      <c r="D7960" t="inlineStr">
        <is>
          <t>GÄVLEBORGS LÄN</t>
        </is>
      </c>
      <c r="E7960" t="inlineStr">
        <is>
          <t>LJUSDAL</t>
        </is>
      </c>
      <c r="F7960" t="inlineStr">
        <is>
          <t>Holmen skog AB</t>
        </is>
      </c>
      <c r="G7960" t="n">
        <v>4.8</v>
      </c>
      <c r="H7960" t="n">
        <v>0</v>
      </c>
      <c r="I7960" t="n">
        <v>0</v>
      </c>
      <c r="J7960" t="n">
        <v>0</v>
      </c>
      <c r="K7960" t="n">
        <v>0</v>
      </c>
      <c r="L7960" t="n">
        <v>0</v>
      </c>
      <c r="M7960" t="n">
        <v>0</v>
      </c>
      <c r="N7960" t="n">
        <v>0</v>
      </c>
      <c r="O7960" t="n">
        <v>0</v>
      </c>
      <c r="P7960" t="n">
        <v>0</v>
      </c>
      <c r="Q7960" t="n">
        <v>0</v>
      </c>
      <c r="R7960" s="2" t="inlineStr"/>
    </row>
    <row r="7961" ht="15" customHeight="1">
      <c r="A7961" t="inlineStr">
        <is>
          <t>A 29818-2023</t>
        </is>
      </c>
      <c r="B7961" s="1" t="n">
        <v>45107</v>
      </c>
      <c r="C7961" s="1" t="n">
        <v>45344</v>
      </c>
      <c r="D7961" t="inlineStr">
        <is>
          <t>GÄVLEBORGS LÄN</t>
        </is>
      </c>
      <c r="E7961" t="inlineStr">
        <is>
          <t>SÖDERHAMN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29712-2023</t>
        </is>
      </c>
      <c r="B7962" s="1" t="n">
        <v>45107</v>
      </c>
      <c r="C7962" s="1" t="n">
        <v>45344</v>
      </c>
      <c r="D7962" t="inlineStr">
        <is>
          <t>GÄVLEBORGS LÄN</t>
        </is>
      </c>
      <c r="E7962" t="inlineStr">
        <is>
          <t>BOLLNÄS</t>
        </is>
      </c>
      <c r="F7962" t="inlineStr">
        <is>
          <t>Sveaskog</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29716-2023</t>
        </is>
      </c>
      <c r="B7963" s="1" t="n">
        <v>45107</v>
      </c>
      <c r="C7963" s="1" t="n">
        <v>45344</v>
      </c>
      <c r="D7963" t="inlineStr">
        <is>
          <t>GÄVLEBORGS LÄN</t>
        </is>
      </c>
      <c r="E7963" t="inlineStr">
        <is>
          <t>BOLLNÄS</t>
        </is>
      </c>
      <c r="F7963" t="inlineStr">
        <is>
          <t>Sveaskog</t>
        </is>
      </c>
      <c r="G7963" t="n">
        <v>7.3</v>
      </c>
      <c r="H7963" t="n">
        <v>0</v>
      </c>
      <c r="I7963" t="n">
        <v>0</v>
      </c>
      <c r="J7963" t="n">
        <v>0</v>
      </c>
      <c r="K7963" t="n">
        <v>0</v>
      </c>
      <c r="L7963" t="n">
        <v>0</v>
      </c>
      <c r="M7963" t="n">
        <v>0</v>
      </c>
      <c r="N7963" t="n">
        <v>0</v>
      </c>
      <c r="O7963" t="n">
        <v>0</v>
      </c>
      <c r="P7963" t="n">
        <v>0</v>
      </c>
      <c r="Q7963" t="n">
        <v>0</v>
      </c>
      <c r="R7963" s="2" t="inlineStr"/>
    </row>
    <row r="7964" ht="15" customHeight="1">
      <c r="A7964" t="inlineStr">
        <is>
          <t>A 29720-2023</t>
        </is>
      </c>
      <c r="B7964" s="1" t="n">
        <v>45107</v>
      </c>
      <c r="C7964" s="1" t="n">
        <v>45344</v>
      </c>
      <c r="D7964" t="inlineStr">
        <is>
          <t>GÄVLEBORGS LÄN</t>
        </is>
      </c>
      <c r="E7964" t="inlineStr">
        <is>
          <t>BOLLNÄS</t>
        </is>
      </c>
      <c r="G7964" t="n">
        <v>10.3</v>
      </c>
      <c r="H7964" t="n">
        <v>0</v>
      </c>
      <c r="I7964" t="n">
        <v>0</v>
      </c>
      <c r="J7964" t="n">
        <v>0</v>
      </c>
      <c r="K7964" t="n">
        <v>0</v>
      </c>
      <c r="L7964" t="n">
        <v>0</v>
      </c>
      <c r="M7964" t="n">
        <v>0</v>
      </c>
      <c r="N7964" t="n">
        <v>0</v>
      </c>
      <c r="O7964" t="n">
        <v>0</v>
      </c>
      <c r="P7964" t="n">
        <v>0</v>
      </c>
      <c r="Q7964" t="n">
        <v>0</v>
      </c>
      <c r="R7964" s="2" t="inlineStr"/>
    </row>
    <row r="7965" ht="15" customHeight="1">
      <c r="A7965" t="inlineStr">
        <is>
          <t>A 29768-2023</t>
        </is>
      </c>
      <c r="B7965" s="1" t="n">
        <v>45107</v>
      </c>
      <c r="C7965" s="1" t="n">
        <v>45344</v>
      </c>
      <c r="D7965" t="inlineStr">
        <is>
          <t>GÄVLEBORGS LÄN</t>
        </is>
      </c>
      <c r="E7965" t="inlineStr">
        <is>
          <t>OCKELBO</t>
        </is>
      </c>
      <c r="F7965" t="inlineStr">
        <is>
          <t>Bergvik skog väst AB</t>
        </is>
      </c>
      <c r="G7965" t="n">
        <v>2.9</v>
      </c>
      <c r="H7965" t="n">
        <v>0</v>
      </c>
      <c r="I7965" t="n">
        <v>0</v>
      </c>
      <c r="J7965" t="n">
        <v>0</v>
      </c>
      <c r="K7965" t="n">
        <v>0</v>
      </c>
      <c r="L7965" t="n">
        <v>0</v>
      </c>
      <c r="M7965" t="n">
        <v>0</v>
      </c>
      <c r="N7965" t="n">
        <v>0</v>
      </c>
      <c r="O7965" t="n">
        <v>0</v>
      </c>
      <c r="P7965" t="n">
        <v>0</v>
      </c>
      <c r="Q7965" t="n">
        <v>0</v>
      </c>
      <c r="R7965" s="2" t="inlineStr"/>
    </row>
    <row r="7966" ht="15" customHeight="1">
      <c r="A7966" t="inlineStr">
        <is>
          <t>A 29812-2023</t>
        </is>
      </c>
      <c r="B7966" s="1" t="n">
        <v>45107</v>
      </c>
      <c r="C7966" s="1" t="n">
        <v>45344</v>
      </c>
      <c r="D7966" t="inlineStr">
        <is>
          <t>GÄVLEBORGS LÄN</t>
        </is>
      </c>
      <c r="E7966" t="inlineStr">
        <is>
          <t>SÖDERHAMN</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29816-2023</t>
        </is>
      </c>
      <c r="B7967" s="1" t="n">
        <v>45107</v>
      </c>
      <c r="C7967" s="1" t="n">
        <v>45344</v>
      </c>
      <c r="D7967" t="inlineStr">
        <is>
          <t>GÄVLEBORGS LÄN</t>
        </is>
      </c>
      <c r="E7967" t="inlineStr">
        <is>
          <t>OCKELBO</t>
        </is>
      </c>
      <c r="F7967" t="inlineStr">
        <is>
          <t>Bergvik skog väst AB</t>
        </is>
      </c>
      <c r="G7967" t="n">
        <v>4.3</v>
      </c>
      <c r="H7967" t="n">
        <v>0</v>
      </c>
      <c r="I7967" t="n">
        <v>0</v>
      </c>
      <c r="J7967" t="n">
        <v>0</v>
      </c>
      <c r="K7967" t="n">
        <v>0</v>
      </c>
      <c r="L7967" t="n">
        <v>0</v>
      </c>
      <c r="M7967" t="n">
        <v>0</v>
      </c>
      <c r="N7967" t="n">
        <v>0</v>
      </c>
      <c r="O7967" t="n">
        <v>0</v>
      </c>
      <c r="P7967" t="n">
        <v>0</v>
      </c>
      <c r="Q7967" t="n">
        <v>0</v>
      </c>
      <c r="R7967" s="2" t="inlineStr"/>
    </row>
    <row r="7968" ht="15" customHeight="1">
      <c r="A7968" t="inlineStr">
        <is>
          <t>A 29837-2023</t>
        </is>
      </c>
      <c r="B7968" s="1" t="n">
        <v>45107</v>
      </c>
      <c r="C7968" s="1" t="n">
        <v>45344</v>
      </c>
      <c r="D7968" t="inlineStr">
        <is>
          <t>GÄVLEBORGS LÄN</t>
        </is>
      </c>
      <c r="E7968" t="inlineStr">
        <is>
          <t>LJUSDAL</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29862-2023</t>
        </is>
      </c>
      <c r="B7969" s="1" t="n">
        <v>45107</v>
      </c>
      <c r="C7969" s="1" t="n">
        <v>45344</v>
      </c>
      <c r="D7969" t="inlineStr">
        <is>
          <t>GÄVLEBORGS LÄN</t>
        </is>
      </c>
      <c r="E7969" t="inlineStr">
        <is>
          <t>GÄVLE</t>
        </is>
      </c>
      <c r="G7969" t="n">
        <v>4.2</v>
      </c>
      <c r="H7969" t="n">
        <v>0</v>
      </c>
      <c r="I7969" t="n">
        <v>0</v>
      </c>
      <c r="J7969" t="n">
        <v>0</v>
      </c>
      <c r="K7969" t="n">
        <v>0</v>
      </c>
      <c r="L7969" t="n">
        <v>0</v>
      </c>
      <c r="M7969" t="n">
        <v>0</v>
      </c>
      <c r="N7969" t="n">
        <v>0</v>
      </c>
      <c r="O7969" t="n">
        <v>0</v>
      </c>
      <c r="P7969" t="n">
        <v>0</v>
      </c>
      <c r="Q7969" t="n">
        <v>0</v>
      </c>
      <c r="R7969" s="2" t="inlineStr"/>
    </row>
    <row r="7970" ht="15" customHeight="1">
      <c r="A7970" t="inlineStr">
        <is>
          <t>A 29928-2023</t>
        </is>
      </c>
      <c r="B7970" s="1" t="n">
        <v>45107</v>
      </c>
      <c r="C7970" s="1" t="n">
        <v>45344</v>
      </c>
      <c r="D7970" t="inlineStr">
        <is>
          <t>GÄVLEBORGS LÄN</t>
        </is>
      </c>
      <c r="E7970" t="inlineStr">
        <is>
          <t>LJUSDAL</t>
        </is>
      </c>
      <c r="F7970" t="inlineStr">
        <is>
          <t>Sveaskog</t>
        </is>
      </c>
      <c r="G7970" t="n">
        <v>24.2</v>
      </c>
      <c r="H7970" t="n">
        <v>0</v>
      </c>
      <c r="I7970" t="n">
        <v>0</v>
      </c>
      <c r="J7970" t="n">
        <v>0</v>
      </c>
      <c r="K7970" t="n">
        <v>0</v>
      </c>
      <c r="L7970" t="n">
        <v>0</v>
      </c>
      <c r="M7970" t="n">
        <v>0</v>
      </c>
      <c r="N7970" t="n">
        <v>0</v>
      </c>
      <c r="O7970" t="n">
        <v>0</v>
      </c>
      <c r="P7970" t="n">
        <v>0</v>
      </c>
      <c r="Q7970" t="n">
        <v>0</v>
      </c>
      <c r="R7970" s="2" t="inlineStr"/>
    </row>
    <row r="7971" ht="15" customHeight="1">
      <c r="A7971" t="inlineStr">
        <is>
          <t>A 29931-2023</t>
        </is>
      </c>
      <c r="B7971" s="1" t="n">
        <v>45107</v>
      </c>
      <c r="C7971" s="1" t="n">
        <v>45344</v>
      </c>
      <c r="D7971" t="inlineStr">
        <is>
          <t>GÄVLEBORGS LÄN</t>
        </is>
      </c>
      <c r="E7971" t="inlineStr">
        <is>
          <t>LJUSDAL</t>
        </is>
      </c>
      <c r="G7971" t="n">
        <v>4.9</v>
      </c>
      <c r="H7971" t="n">
        <v>0</v>
      </c>
      <c r="I7971" t="n">
        <v>0</v>
      </c>
      <c r="J7971" t="n">
        <v>0</v>
      </c>
      <c r="K7971" t="n">
        <v>0</v>
      </c>
      <c r="L7971" t="n">
        <v>0</v>
      </c>
      <c r="M7971" t="n">
        <v>0</v>
      </c>
      <c r="N7971" t="n">
        <v>0</v>
      </c>
      <c r="O7971" t="n">
        <v>0</v>
      </c>
      <c r="P7971" t="n">
        <v>0</v>
      </c>
      <c r="Q7971" t="n">
        <v>0</v>
      </c>
      <c r="R7971" s="2" t="inlineStr"/>
    </row>
    <row r="7972" ht="15" customHeight="1">
      <c r="A7972" t="inlineStr">
        <is>
          <t>A 32287-2023</t>
        </is>
      </c>
      <c r="B7972" s="1" t="n">
        <v>45107</v>
      </c>
      <c r="C7972" s="1" t="n">
        <v>45344</v>
      </c>
      <c r="D7972" t="inlineStr">
        <is>
          <t>GÄVLEBORGS LÄN</t>
        </is>
      </c>
      <c r="E7972" t="inlineStr">
        <is>
          <t>LJUSDAL</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32293-2023</t>
        </is>
      </c>
      <c r="B7973" s="1" t="n">
        <v>45107</v>
      </c>
      <c r="C7973" s="1" t="n">
        <v>45344</v>
      </c>
      <c r="D7973" t="inlineStr">
        <is>
          <t>GÄVLEBORGS LÄN</t>
        </is>
      </c>
      <c r="E7973" t="inlineStr">
        <is>
          <t>LJUSDAL</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32289-2023</t>
        </is>
      </c>
      <c r="B7974" s="1" t="n">
        <v>45107</v>
      </c>
      <c r="C7974" s="1" t="n">
        <v>45344</v>
      </c>
      <c r="D7974" t="inlineStr">
        <is>
          <t>GÄVLEBORGS LÄN</t>
        </is>
      </c>
      <c r="E7974" t="inlineStr">
        <is>
          <t>LJUSDAL</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32294-2023</t>
        </is>
      </c>
      <c r="B7975" s="1" t="n">
        <v>45107</v>
      </c>
      <c r="C7975" s="1" t="n">
        <v>45344</v>
      </c>
      <c r="D7975" t="inlineStr">
        <is>
          <t>GÄVLEBORGS LÄN</t>
        </is>
      </c>
      <c r="E7975" t="inlineStr">
        <is>
          <t>LJUSDAL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29980-2023</t>
        </is>
      </c>
      <c r="B7976" s="1" t="n">
        <v>45108</v>
      </c>
      <c r="C7976" s="1" t="n">
        <v>45344</v>
      </c>
      <c r="D7976" t="inlineStr">
        <is>
          <t>GÄVLEBORGS LÄN</t>
        </is>
      </c>
      <c r="E7976" t="inlineStr">
        <is>
          <t>SÖDERHAMN</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29982-2023</t>
        </is>
      </c>
      <c r="B7977" s="1" t="n">
        <v>45109</v>
      </c>
      <c r="C7977" s="1" t="n">
        <v>45344</v>
      </c>
      <c r="D7977" t="inlineStr">
        <is>
          <t>GÄVLEBORGS LÄN</t>
        </is>
      </c>
      <c r="E7977" t="inlineStr">
        <is>
          <t>SÖDERHAMN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29981-2023</t>
        </is>
      </c>
      <c r="B7978" s="1" t="n">
        <v>45109</v>
      </c>
      <c r="C7978" s="1" t="n">
        <v>45344</v>
      </c>
      <c r="D7978" t="inlineStr">
        <is>
          <t>GÄVLEBORGS LÄN</t>
        </is>
      </c>
      <c r="E7978" t="inlineStr">
        <is>
          <t>SÖDERHAMN</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29979-2023</t>
        </is>
      </c>
      <c r="B7979" s="1" t="n">
        <v>45108</v>
      </c>
      <c r="C7979" s="1" t="n">
        <v>45344</v>
      </c>
      <c r="D7979" t="inlineStr">
        <is>
          <t>GÄVLEBORGS LÄN</t>
        </is>
      </c>
      <c r="E7979" t="inlineStr">
        <is>
          <t>SÖDERHAMN</t>
        </is>
      </c>
      <c r="G7979" t="n">
        <v>1.9</v>
      </c>
      <c r="H7979" t="n">
        <v>0</v>
      </c>
      <c r="I7979" t="n">
        <v>0</v>
      </c>
      <c r="J7979" t="n">
        <v>0</v>
      </c>
      <c r="K7979" t="n">
        <v>0</v>
      </c>
      <c r="L7979" t="n">
        <v>0</v>
      </c>
      <c r="M7979" t="n">
        <v>0</v>
      </c>
      <c r="N7979" t="n">
        <v>0</v>
      </c>
      <c r="O7979" t="n">
        <v>0</v>
      </c>
      <c r="P7979" t="n">
        <v>0</v>
      </c>
      <c r="Q7979" t="n">
        <v>0</v>
      </c>
      <c r="R7979" s="2" t="inlineStr"/>
    </row>
    <row r="7980" ht="15" customHeight="1">
      <c r="A7980" t="inlineStr">
        <is>
          <t>A 29983-2023</t>
        </is>
      </c>
      <c r="B7980" s="1" t="n">
        <v>45109</v>
      </c>
      <c r="C7980" s="1" t="n">
        <v>45344</v>
      </c>
      <c r="D7980" t="inlineStr">
        <is>
          <t>GÄVLEBORGS LÄN</t>
        </is>
      </c>
      <c r="E7980" t="inlineStr">
        <is>
          <t>SÖDERHAMN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30009-2023</t>
        </is>
      </c>
      <c r="B7981" s="1" t="n">
        <v>45109</v>
      </c>
      <c r="C7981" s="1" t="n">
        <v>45344</v>
      </c>
      <c r="D7981" t="inlineStr">
        <is>
          <t>GÄVLEBORGS LÄN</t>
        </is>
      </c>
      <c r="E7981" t="inlineStr">
        <is>
          <t>OCKELBO</t>
        </is>
      </c>
      <c r="G7981" t="n">
        <v>4.8</v>
      </c>
      <c r="H7981" t="n">
        <v>0</v>
      </c>
      <c r="I7981" t="n">
        <v>0</v>
      </c>
      <c r="J7981" t="n">
        <v>0</v>
      </c>
      <c r="K7981" t="n">
        <v>0</v>
      </c>
      <c r="L7981" t="n">
        <v>0</v>
      </c>
      <c r="M7981" t="n">
        <v>0</v>
      </c>
      <c r="N7981" t="n">
        <v>0</v>
      </c>
      <c r="O7981" t="n">
        <v>0</v>
      </c>
      <c r="P7981" t="n">
        <v>0</v>
      </c>
      <c r="Q7981" t="n">
        <v>0</v>
      </c>
      <c r="R7981" s="2" t="inlineStr"/>
    </row>
    <row r="7982" ht="15" customHeight="1">
      <c r="A7982" t="inlineStr">
        <is>
          <t>A 30011-2023</t>
        </is>
      </c>
      <c r="B7982" s="1" t="n">
        <v>45109</v>
      </c>
      <c r="C7982" s="1" t="n">
        <v>45344</v>
      </c>
      <c r="D7982" t="inlineStr">
        <is>
          <t>GÄVLEBORGS LÄN</t>
        </is>
      </c>
      <c r="E7982" t="inlineStr">
        <is>
          <t>OCKELBO</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30067-2023</t>
        </is>
      </c>
      <c r="B7983" s="1" t="n">
        <v>45110</v>
      </c>
      <c r="C7983" s="1" t="n">
        <v>45344</v>
      </c>
      <c r="D7983" t="inlineStr">
        <is>
          <t>GÄVLEBORGS LÄN</t>
        </is>
      </c>
      <c r="E7983" t="inlineStr">
        <is>
          <t>BOLLNÄS</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30061-2023</t>
        </is>
      </c>
      <c r="B7984" s="1" t="n">
        <v>45110</v>
      </c>
      <c r="C7984" s="1" t="n">
        <v>45344</v>
      </c>
      <c r="D7984" t="inlineStr">
        <is>
          <t>GÄVLEBORGS LÄN</t>
        </is>
      </c>
      <c r="E7984" t="inlineStr">
        <is>
          <t>LJUSDAL</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30117-2023</t>
        </is>
      </c>
      <c r="B7985" s="1" t="n">
        <v>45110</v>
      </c>
      <c r="C7985" s="1" t="n">
        <v>45344</v>
      </c>
      <c r="D7985" t="inlineStr">
        <is>
          <t>GÄVLEBORGS LÄN</t>
        </is>
      </c>
      <c r="E7985" t="inlineStr">
        <is>
          <t>HUDIKSVALL</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30224-2023</t>
        </is>
      </c>
      <c r="B7986" s="1" t="n">
        <v>45110</v>
      </c>
      <c r="C7986" s="1" t="n">
        <v>45344</v>
      </c>
      <c r="D7986" t="inlineStr">
        <is>
          <t>GÄVLEBORGS LÄN</t>
        </is>
      </c>
      <c r="E7986" t="inlineStr">
        <is>
          <t>BOLLNÄS</t>
        </is>
      </c>
      <c r="G7986" t="n">
        <v>5.2</v>
      </c>
      <c r="H7986" t="n">
        <v>0</v>
      </c>
      <c r="I7986" t="n">
        <v>0</v>
      </c>
      <c r="J7986" t="n">
        <v>0</v>
      </c>
      <c r="K7986" t="n">
        <v>0</v>
      </c>
      <c r="L7986" t="n">
        <v>0</v>
      </c>
      <c r="M7986" t="n">
        <v>0</v>
      </c>
      <c r="N7986" t="n">
        <v>0</v>
      </c>
      <c r="O7986" t="n">
        <v>0</v>
      </c>
      <c r="P7986" t="n">
        <v>0</v>
      </c>
      <c r="Q7986" t="n">
        <v>0</v>
      </c>
      <c r="R7986" s="2" t="inlineStr"/>
    </row>
    <row r="7987" ht="15" customHeight="1">
      <c r="A7987" t="inlineStr">
        <is>
          <t>A 30228-2023</t>
        </is>
      </c>
      <c r="B7987" s="1" t="n">
        <v>45110</v>
      </c>
      <c r="C7987" s="1" t="n">
        <v>45344</v>
      </c>
      <c r="D7987" t="inlineStr">
        <is>
          <t>GÄVLEBORGS LÄN</t>
        </is>
      </c>
      <c r="E7987" t="inlineStr">
        <is>
          <t>SANDVIKEN</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30034-2023</t>
        </is>
      </c>
      <c r="B7988" s="1" t="n">
        <v>45110</v>
      </c>
      <c r="C7988" s="1" t="n">
        <v>45344</v>
      </c>
      <c r="D7988" t="inlineStr">
        <is>
          <t>GÄVLEBORGS LÄN</t>
        </is>
      </c>
      <c r="E7988" t="inlineStr">
        <is>
          <t>HUDIKSVALL</t>
        </is>
      </c>
      <c r="G7988" t="n">
        <v>6</v>
      </c>
      <c r="H7988" t="n">
        <v>0</v>
      </c>
      <c r="I7988" t="n">
        <v>0</v>
      </c>
      <c r="J7988" t="n">
        <v>0</v>
      </c>
      <c r="K7988" t="n">
        <v>0</v>
      </c>
      <c r="L7988" t="n">
        <v>0</v>
      </c>
      <c r="M7988" t="n">
        <v>0</v>
      </c>
      <c r="N7988" t="n">
        <v>0</v>
      </c>
      <c r="O7988" t="n">
        <v>0</v>
      </c>
      <c r="P7988" t="n">
        <v>0</v>
      </c>
      <c r="Q7988" t="n">
        <v>0</v>
      </c>
      <c r="R7988" s="2" t="inlineStr"/>
    </row>
    <row r="7989" ht="15" customHeight="1">
      <c r="A7989" t="inlineStr">
        <is>
          <t>A 30122-2023</t>
        </is>
      </c>
      <c r="B7989" s="1" t="n">
        <v>45110</v>
      </c>
      <c r="C7989" s="1" t="n">
        <v>45344</v>
      </c>
      <c r="D7989" t="inlineStr">
        <is>
          <t>GÄVLEBORGS LÄN</t>
        </is>
      </c>
      <c r="E7989" t="inlineStr">
        <is>
          <t>HUDIKSVALL</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30200-2023</t>
        </is>
      </c>
      <c r="B7990" s="1" t="n">
        <v>45110</v>
      </c>
      <c r="C7990" s="1" t="n">
        <v>45344</v>
      </c>
      <c r="D7990" t="inlineStr">
        <is>
          <t>GÄVLEBORGS LÄN</t>
        </is>
      </c>
      <c r="E7990" t="inlineStr">
        <is>
          <t>BOLLNÄS</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30168-2023</t>
        </is>
      </c>
      <c r="B7991" s="1" t="n">
        <v>45110</v>
      </c>
      <c r="C7991" s="1" t="n">
        <v>45344</v>
      </c>
      <c r="D7991" t="inlineStr">
        <is>
          <t>GÄVLEBORGS LÄN</t>
        </is>
      </c>
      <c r="E7991" t="inlineStr">
        <is>
          <t>HUDIKSVALL</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30240-2023</t>
        </is>
      </c>
      <c r="B7992" s="1" t="n">
        <v>45110</v>
      </c>
      <c r="C7992" s="1" t="n">
        <v>45344</v>
      </c>
      <c r="D7992" t="inlineStr">
        <is>
          <t>GÄVLEBORGS LÄN</t>
        </is>
      </c>
      <c r="E7992" t="inlineStr">
        <is>
          <t>LJUSDAL</t>
        </is>
      </c>
      <c r="F7992" t="inlineStr">
        <is>
          <t>Sveaskog</t>
        </is>
      </c>
      <c r="G7992" t="n">
        <v>0.5</v>
      </c>
      <c r="H7992" t="n">
        <v>0</v>
      </c>
      <c r="I7992" t="n">
        <v>0</v>
      </c>
      <c r="J7992" t="n">
        <v>0</v>
      </c>
      <c r="K7992" t="n">
        <v>0</v>
      </c>
      <c r="L7992" t="n">
        <v>0</v>
      </c>
      <c r="M7992" t="n">
        <v>0</v>
      </c>
      <c r="N7992" t="n">
        <v>0</v>
      </c>
      <c r="O7992" t="n">
        <v>0</v>
      </c>
      <c r="P7992" t="n">
        <v>0</v>
      </c>
      <c r="Q7992" t="n">
        <v>0</v>
      </c>
      <c r="R7992" s="2" t="inlineStr"/>
    </row>
    <row r="7993" ht="15" customHeight="1">
      <c r="A7993" t="inlineStr">
        <is>
          <t>A 30476-2023</t>
        </is>
      </c>
      <c r="B7993" s="1" t="n">
        <v>45111</v>
      </c>
      <c r="C7993" s="1" t="n">
        <v>45344</v>
      </c>
      <c r="D7993" t="inlineStr">
        <is>
          <t>GÄVLEBORGS LÄN</t>
        </is>
      </c>
      <c r="E7993" t="inlineStr">
        <is>
          <t>LJUSDAL</t>
        </is>
      </c>
      <c r="G7993" t="n">
        <v>2.5</v>
      </c>
      <c r="H7993" t="n">
        <v>0</v>
      </c>
      <c r="I7993" t="n">
        <v>0</v>
      </c>
      <c r="J7993" t="n">
        <v>0</v>
      </c>
      <c r="K7993" t="n">
        <v>0</v>
      </c>
      <c r="L7993" t="n">
        <v>0</v>
      </c>
      <c r="M7993" t="n">
        <v>0</v>
      </c>
      <c r="N7993" t="n">
        <v>0</v>
      </c>
      <c r="O7993" t="n">
        <v>0</v>
      </c>
      <c r="P7993" t="n">
        <v>0</v>
      </c>
      <c r="Q7993" t="n">
        <v>0</v>
      </c>
      <c r="R7993" s="2" t="inlineStr"/>
    </row>
    <row r="7994" ht="15" customHeight="1">
      <c r="A7994" t="inlineStr">
        <is>
          <t>A 30454-2023</t>
        </is>
      </c>
      <c r="B7994" s="1" t="n">
        <v>45111</v>
      </c>
      <c r="C7994" s="1" t="n">
        <v>45344</v>
      </c>
      <c r="D7994" t="inlineStr">
        <is>
          <t>GÄVLEBORGS LÄN</t>
        </is>
      </c>
      <c r="E7994" t="inlineStr">
        <is>
          <t>LJUSDAL</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30502-2023</t>
        </is>
      </c>
      <c r="B7995" s="1" t="n">
        <v>45111</v>
      </c>
      <c r="C7995" s="1" t="n">
        <v>45344</v>
      </c>
      <c r="D7995" t="inlineStr">
        <is>
          <t>GÄVLEBORGS LÄN</t>
        </is>
      </c>
      <c r="E7995" t="inlineStr">
        <is>
          <t>OVANÅKER</t>
        </is>
      </c>
      <c r="G7995" t="n">
        <v>4.5</v>
      </c>
      <c r="H7995" t="n">
        <v>0</v>
      </c>
      <c r="I7995" t="n">
        <v>0</v>
      </c>
      <c r="J7995" t="n">
        <v>0</v>
      </c>
      <c r="K7995" t="n">
        <v>0</v>
      </c>
      <c r="L7995" t="n">
        <v>0</v>
      </c>
      <c r="M7995" t="n">
        <v>0</v>
      </c>
      <c r="N7995" t="n">
        <v>0</v>
      </c>
      <c r="O7995" t="n">
        <v>0</v>
      </c>
      <c r="P7995" t="n">
        <v>0</v>
      </c>
      <c r="Q7995" t="n">
        <v>0</v>
      </c>
      <c r="R7995" s="2" t="inlineStr"/>
    </row>
    <row r="7996" ht="15" customHeight="1">
      <c r="A7996" t="inlineStr">
        <is>
          <t>A 30507-2023</t>
        </is>
      </c>
      <c r="B7996" s="1" t="n">
        <v>45111</v>
      </c>
      <c r="C7996" s="1" t="n">
        <v>45344</v>
      </c>
      <c r="D7996" t="inlineStr">
        <is>
          <t>GÄVLEBORGS LÄN</t>
        </is>
      </c>
      <c r="E7996" t="inlineStr">
        <is>
          <t>OVANÅKER</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30520-2023</t>
        </is>
      </c>
      <c r="B7997" s="1" t="n">
        <v>45111</v>
      </c>
      <c r="C7997" s="1" t="n">
        <v>45344</v>
      </c>
      <c r="D7997" t="inlineStr">
        <is>
          <t>GÄVLEBORGS LÄN</t>
        </is>
      </c>
      <c r="E7997" t="inlineStr">
        <is>
          <t>OVANÅKER</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30539-2023</t>
        </is>
      </c>
      <c r="B7998" s="1" t="n">
        <v>45111</v>
      </c>
      <c r="C7998" s="1" t="n">
        <v>45344</v>
      </c>
      <c r="D7998" t="inlineStr">
        <is>
          <t>GÄVLEBORGS LÄN</t>
        </is>
      </c>
      <c r="E7998" t="inlineStr">
        <is>
          <t>SÖDERHAMN</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30331-2023</t>
        </is>
      </c>
      <c r="B7999" s="1" t="n">
        <v>45111</v>
      </c>
      <c r="C7999" s="1" t="n">
        <v>45344</v>
      </c>
      <c r="D7999" t="inlineStr">
        <is>
          <t>GÄVLEBORGS LÄN</t>
        </is>
      </c>
      <c r="E7999" t="inlineStr">
        <is>
          <t>OVANÅKER</t>
        </is>
      </c>
      <c r="G7999" t="n">
        <v>2.8</v>
      </c>
      <c r="H7999" t="n">
        <v>0</v>
      </c>
      <c r="I7999" t="n">
        <v>0</v>
      </c>
      <c r="J7999" t="n">
        <v>0</v>
      </c>
      <c r="K7999" t="n">
        <v>0</v>
      </c>
      <c r="L7999" t="n">
        <v>0</v>
      </c>
      <c r="M7999" t="n">
        <v>0</v>
      </c>
      <c r="N7999" t="n">
        <v>0</v>
      </c>
      <c r="O7999" t="n">
        <v>0</v>
      </c>
      <c r="P7999" t="n">
        <v>0</v>
      </c>
      <c r="Q7999" t="n">
        <v>0</v>
      </c>
      <c r="R7999" s="2" t="inlineStr"/>
    </row>
    <row r="8000" ht="15" customHeight="1">
      <c r="A8000" t="inlineStr">
        <is>
          <t>A 30335-2023</t>
        </is>
      </c>
      <c r="B8000" s="1" t="n">
        <v>45111</v>
      </c>
      <c r="C8000" s="1" t="n">
        <v>45344</v>
      </c>
      <c r="D8000" t="inlineStr">
        <is>
          <t>GÄVLEBORGS LÄN</t>
        </is>
      </c>
      <c r="E8000" t="inlineStr">
        <is>
          <t>OVANÅKER</t>
        </is>
      </c>
      <c r="G8000" t="n">
        <v>4.9</v>
      </c>
      <c r="H8000" t="n">
        <v>0</v>
      </c>
      <c r="I8000" t="n">
        <v>0</v>
      </c>
      <c r="J8000" t="n">
        <v>0</v>
      </c>
      <c r="K8000" t="n">
        <v>0</v>
      </c>
      <c r="L8000" t="n">
        <v>0</v>
      </c>
      <c r="M8000" t="n">
        <v>0</v>
      </c>
      <c r="N8000" t="n">
        <v>0</v>
      </c>
      <c r="O8000" t="n">
        <v>0</v>
      </c>
      <c r="P8000" t="n">
        <v>0</v>
      </c>
      <c r="Q8000" t="n">
        <v>0</v>
      </c>
      <c r="R8000" s="2" t="inlineStr"/>
    </row>
    <row r="8001" ht="15" customHeight="1">
      <c r="A8001" t="inlineStr">
        <is>
          <t>A 30463-2023</t>
        </is>
      </c>
      <c r="B8001" s="1" t="n">
        <v>45111</v>
      </c>
      <c r="C8001" s="1" t="n">
        <v>45344</v>
      </c>
      <c r="D8001" t="inlineStr">
        <is>
          <t>GÄVLEBORGS LÄN</t>
        </is>
      </c>
      <c r="E8001" t="inlineStr">
        <is>
          <t>OVANÅKER</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30375-2023</t>
        </is>
      </c>
      <c r="B8002" s="1" t="n">
        <v>45111</v>
      </c>
      <c r="C8002" s="1" t="n">
        <v>45344</v>
      </c>
      <c r="D8002" t="inlineStr">
        <is>
          <t>GÄVLEBORGS LÄN</t>
        </is>
      </c>
      <c r="E8002" t="inlineStr">
        <is>
          <t>HUDIKSVALL</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30396-2023</t>
        </is>
      </c>
      <c r="B8003" s="1" t="n">
        <v>45111</v>
      </c>
      <c r="C8003" s="1" t="n">
        <v>45344</v>
      </c>
      <c r="D8003" t="inlineStr">
        <is>
          <t>GÄVLEBORGS LÄN</t>
        </is>
      </c>
      <c r="E8003" t="inlineStr">
        <is>
          <t>HUDIKSVALL</t>
        </is>
      </c>
      <c r="G8003" t="n">
        <v>8.800000000000001</v>
      </c>
      <c r="H8003" t="n">
        <v>0</v>
      </c>
      <c r="I8003" t="n">
        <v>0</v>
      </c>
      <c r="J8003" t="n">
        <v>0</v>
      </c>
      <c r="K8003" t="n">
        <v>0</v>
      </c>
      <c r="L8003" t="n">
        <v>0</v>
      </c>
      <c r="M8003" t="n">
        <v>0</v>
      </c>
      <c r="N8003" t="n">
        <v>0</v>
      </c>
      <c r="O8003" t="n">
        <v>0</v>
      </c>
      <c r="P8003" t="n">
        <v>0</v>
      </c>
      <c r="Q8003" t="n">
        <v>0</v>
      </c>
      <c r="R8003" s="2" t="inlineStr"/>
    </row>
    <row r="8004" ht="15" customHeight="1">
      <c r="A8004" t="inlineStr">
        <is>
          <t>A 30418-2023</t>
        </is>
      </c>
      <c r="B8004" s="1" t="n">
        <v>45111</v>
      </c>
      <c r="C8004" s="1" t="n">
        <v>45344</v>
      </c>
      <c r="D8004" t="inlineStr">
        <is>
          <t>GÄVLEBORGS LÄN</t>
        </is>
      </c>
      <c r="E8004" t="inlineStr">
        <is>
          <t>OCKELBO</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30422-2023</t>
        </is>
      </c>
      <c r="B8005" s="1" t="n">
        <v>45111</v>
      </c>
      <c r="C8005" s="1" t="n">
        <v>45344</v>
      </c>
      <c r="D8005" t="inlineStr">
        <is>
          <t>GÄVLEBORGS LÄN</t>
        </is>
      </c>
      <c r="E8005" t="inlineStr">
        <is>
          <t>OCKELBO</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30398-2023</t>
        </is>
      </c>
      <c r="B8006" s="1" t="n">
        <v>45111</v>
      </c>
      <c r="C8006" s="1" t="n">
        <v>45344</v>
      </c>
      <c r="D8006" t="inlineStr">
        <is>
          <t>GÄVLEBORGS LÄN</t>
        </is>
      </c>
      <c r="E8006" t="inlineStr">
        <is>
          <t>HUDIKSVALL</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30407-2023</t>
        </is>
      </c>
      <c r="B8007" s="1" t="n">
        <v>45111</v>
      </c>
      <c r="C8007" s="1" t="n">
        <v>45344</v>
      </c>
      <c r="D8007" t="inlineStr">
        <is>
          <t>GÄVLEBORGS LÄN</t>
        </is>
      </c>
      <c r="E8007" t="inlineStr">
        <is>
          <t>SÖDERHAMN</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30416-2023</t>
        </is>
      </c>
      <c r="B8008" s="1" t="n">
        <v>45111</v>
      </c>
      <c r="C8008" s="1" t="n">
        <v>45344</v>
      </c>
      <c r="D8008" t="inlineStr">
        <is>
          <t>GÄVLEBORGS LÄN</t>
        </is>
      </c>
      <c r="E8008" t="inlineStr">
        <is>
          <t>LJUSDAL</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30349-2023</t>
        </is>
      </c>
      <c r="B8009" s="1" t="n">
        <v>45111</v>
      </c>
      <c r="C8009" s="1" t="n">
        <v>45344</v>
      </c>
      <c r="D8009" t="inlineStr">
        <is>
          <t>GÄVLEBORGS LÄN</t>
        </is>
      </c>
      <c r="E8009" t="inlineStr">
        <is>
          <t>OCKELBO</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30371-2023</t>
        </is>
      </c>
      <c r="B8010" s="1" t="n">
        <v>45111</v>
      </c>
      <c r="C8010" s="1" t="n">
        <v>45344</v>
      </c>
      <c r="D8010" t="inlineStr">
        <is>
          <t>GÄVLEBORGS LÄN</t>
        </is>
      </c>
      <c r="E8010" t="inlineStr">
        <is>
          <t>SÖDERHAMN</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30562-2023</t>
        </is>
      </c>
      <c r="B8011" s="1" t="n">
        <v>45111</v>
      </c>
      <c r="C8011" s="1" t="n">
        <v>45344</v>
      </c>
      <c r="D8011" t="inlineStr">
        <is>
          <t>GÄVLEBORGS LÄN</t>
        </is>
      </c>
      <c r="E8011" t="inlineStr">
        <is>
          <t>HUDIKSVALL</t>
        </is>
      </c>
      <c r="G8011" t="n">
        <v>11.5</v>
      </c>
      <c r="H8011" t="n">
        <v>0</v>
      </c>
      <c r="I8011" t="n">
        <v>0</v>
      </c>
      <c r="J8011" t="n">
        <v>0</v>
      </c>
      <c r="K8011" t="n">
        <v>0</v>
      </c>
      <c r="L8011" t="n">
        <v>0</v>
      </c>
      <c r="M8011" t="n">
        <v>0</v>
      </c>
      <c r="N8011" t="n">
        <v>0</v>
      </c>
      <c r="O8011" t="n">
        <v>0</v>
      </c>
      <c r="P8011" t="n">
        <v>0</v>
      </c>
      <c r="Q8011" t="n">
        <v>0</v>
      </c>
      <c r="R8011" s="2" t="inlineStr"/>
    </row>
    <row r="8012" ht="15" customHeight="1">
      <c r="A8012" t="inlineStr">
        <is>
          <t>A 30564-2023</t>
        </is>
      </c>
      <c r="B8012" s="1" t="n">
        <v>45112</v>
      </c>
      <c r="C8012" s="1" t="n">
        <v>45344</v>
      </c>
      <c r="D8012" t="inlineStr">
        <is>
          <t>GÄVLEBORGS LÄN</t>
        </is>
      </c>
      <c r="E8012" t="inlineStr">
        <is>
          <t>HUDIKSVALL</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30619-2023</t>
        </is>
      </c>
      <c r="B8013" s="1" t="n">
        <v>45112</v>
      </c>
      <c r="C8013" s="1" t="n">
        <v>45344</v>
      </c>
      <c r="D8013" t="inlineStr">
        <is>
          <t>GÄVLEBORGS LÄN</t>
        </is>
      </c>
      <c r="E8013" t="inlineStr">
        <is>
          <t>LJUSDAL</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30735-2023</t>
        </is>
      </c>
      <c r="B8014" s="1" t="n">
        <v>45112</v>
      </c>
      <c r="C8014" s="1" t="n">
        <v>45344</v>
      </c>
      <c r="D8014" t="inlineStr">
        <is>
          <t>GÄVLEBORGS LÄN</t>
        </is>
      </c>
      <c r="E8014" t="inlineStr">
        <is>
          <t>BOLLNÄS</t>
        </is>
      </c>
      <c r="F8014" t="inlineStr">
        <is>
          <t>Holmen skog AB</t>
        </is>
      </c>
      <c r="G8014" t="n">
        <v>5.6</v>
      </c>
      <c r="H8014" t="n">
        <v>0</v>
      </c>
      <c r="I8014" t="n">
        <v>0</v>
      </c>
      <c r="J8014" t="n">
        <v>0</v>
      </c>
      <c r="K8014" t="n">
        <v>0</v>
      </c>
      <c r="L8014" t="n">
        <v>0</v>
      </c>
      <c r="M8014" t="n">
        <v>0</v>
      </c>
      <c r="N8014" t="n">
        <v>0</v>
      </c>
      <c r="O8014" t="n">
        <v>0</v>
      </c>
      <c r="P8014" t="n">
        <v>0</v>
      </c>
      <c r="Q8014" t="n">
        <v>0</v>
      </c>
      <c r="R8014" s="2" t="inlineStr"/>
    </row>
    <row r="8015" ht="15" customHeight="1">
      <c r="A8015" t="inlineStr">
        <is>
          <t>A 30609-2023</t>
        </is>
      </c>
      <c r="B8015" s="1" t="n">
        <v>45112</v>
      </c>
      <c r="C8015" s="1" t="n">
        <v>45344</v>
      </c>
      <c r="D8015" t="inlineStr">
        <is>
          <t>GÄVLEBORGS LÄN</t>
        </is>
      </c>
      <c r="E8015" t="inlineStr">
        <is>
          <t>LJUSDAL</t>
        </is>
      </c>
      <c r="F8015" t="inlineStr">
        <is>
          <t>Sveaskog</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30608-2023</t>
        </is>
      </c>
      <c r="B8016" s="1" t="n">
        <v>45112</v>
      </c>
      <c r="C8016" s="1" t="n">
        <v>45344</v>
      </c>
      <c r="D8016" t="inlineStr">
        <is>
          <t>GÄVLEBORGS LÄN</t>
        </is>
      </c>
      <c r="E8016" t="inlineStr">
        <is>
          <t>LJUSDAL</t>
        </is>
      </c>
      <c r="F8016" t="inlineStr">
        <is>
          <t>Sveaskog</t>
        </is>
      </c>
      <c r="G8016" t="n">
        <v>11.6</v>
      </c>
      <c r="H8016" t="n">
        <v>0</v>
      </c>
      <c r="I8016" t="n">
        <v>0</v>
      </c>
      <c r="J8016" t="n">
        <v>0</v>
      </c>
      <c r="K8016" t="n">
        <v>0</v>
      </c>
      <c r="L8016" t="n">
        <v>0</v>
      </c>
      <c r="M8016" t="n">
        <v>0</v>
      </c>
      <c r="N8016" t="n">
        <v>0</v>
      </c>
      <c r="O8016" t="n">
        <v>0</v>
      </c>
      <c r="P8016" t="n">
        <v>0</v>
      </c>
      <c r="Q8016" t="n">
        <v>0</v>
      </c>
      <c r="R8016" s="2" t="inlineStr"/>
    </row>
    <row r="8017" ht="15" customHeight="1">
      <c r="A8017" t="inlineStr">
        <is>
          <t>A 30672-2023</t>
        </is>
      </c>
      <c r="B8017" s="1" t="n">
        <v>45112</v>
      </c>
      <c r="C8017" s="1" t="n">
        <v>45344</v>
      </c>
      <c r="D8017" t="inlineStr">
        <is>
          <t>GÄVLEBORGS LÄN</t>
        </is>
      </c>
      <c r="E8017" t="inlineStr">
        <is>
          <t>HUDIKSVALL</t>
        </is>
      </c>
      <c r="F8017" t="inlineStr">
        <is>
          <t>Sveaskog</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30721-2023</t>
        </is>
      </c>
      <c r="B8018" s="1" t="n">
        <v>45112</v>
      </c>
      <c r="C8018" s="1" t="n">
        <v>45344</v>
      </c>
      <c r="D8018" t="inlineStr">
        <is>
          <t>GÄVLEBORGS LÄN</t>
        </is>
      </c>
      <c r="E8018" t="inlineStr">
        <is>
          <t>SANDVIKEN</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30737-2023</t>
        </is>
      </c>
      <c r="B8019" s="1" t="n">
        <v>45112</v>
      </c>
      <c r="C8019" s="1" t="n">
        <v>45344</v>
      </c>
      <c r="D8019" t="inlineStr">
        <is>
          <t>GÄVLEBORGS LÄN</t>
        </is>
      </c>
      <c r="E8019" t="inlineStr">
        <is>
          <t>OVANÅKER</t>
        </is>
      </c>
      <c r="G8019" t="n">
        <v>5</v>
      </c>
      <c r="H8019" t="n">
        <v>0</v>
      </c>
      <c r="I8019" t="n">
        <v>0</v>
      </c>
      <c r="J8019" t="n">
        <v>0</v>
      </c>
      <c r="K8019" t="n">
        <v>0</v>
      </c>
      <c r="L8019" t="n">
        <v>0</v>
      </c>
      <c r="M8019" t="n">
        <v>0</v>
      </c>
      <c r="N8019" t="n">
        <v>0</v>
      </c>
      <c r="O8019" t="n">
        <v>0</v>
      </c>
      <c r="P8019" t="n">
        <v>0</v>
      </c>
      <c r="Q8019" t="n">
        <v>0</v>
      </c>
      <c r="R8019" s="2" t="inlineStr"/>
    </row>
    <row r="8020" ht="15" customHeight="1">
      <c r="A8020" t="inlineStr">
        <is>
          <t>A 30759-2023</t>
        </is>
      </c>
      <c r="B8020" s="1" t="n">
        <v>45112</v>
      </c>
      <c r="C8020" s="1" t="n">
        <v>45344</v>
      </c>
      <c r="D8020" t="inlineStr">
        <is>
          <t>GÄVLEBORGS LÄN</t>
        </is>
      </c>
      <c r="E8020" t="inlineStr">
        <is>
          <t>BOLLNÄS</t>
        </is>
      </c>
      <c r="F8020" t="inlineStr">
        <is>
          <t>Holmen skog AB</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30728-2023</t>
        </is>
      </c>
      <c r="B8021" s="1" t="n">
        <v>45112</v>
      </c>
      <c r="C8021" s="1" t="n">
        <v>45344</v>
      </c>
      <c r="D8021" t="inlineStr">
        <is>
          <t>GÄVLEBORGS LÄN</t>
        </is>
      </c>
      <c r="E8021" t="inlineStr">
        <is>
          <t>BOLLNÄS</t>
        </is>
      </c>
      <c r="F8021" t="inlineStr">
        <is>
          <t>Holmen skog AB</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30732-2023</t>
        </is>
      </c>
      <c r="B8022" s="1" t="n">
        <v>45112</v>
      </c>
      <c r="C8022" s="1" t="n">
        <v>45344</v>
      </c>
      <c r="D8022" t="inlineStr">
        <is>
          <t>GÄVLEBORGS LÄN</t>
        </is>
      </c>
      <c r="E8022" t="inlineStr">
        <is>
          <t>OVANÅKER</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30750-2023</t>
        </is>
      </c>
      <c r="B8023" s="1" t="n">
        <v>45112</v>
      </c>
      <c r="C8023" s="1" t="n">
        <v>45344</v>
      </c>
      <c r="D8023" t="inlineStr">
        <is>
          <t>GÄVLEBORGS LÄN</t>
        </is>
      </c>
      <c r="E8023" t="inlineStr">
        <is>
          <t>BOLLNÄS</t>
        </is>
      </c>
      <c r="F8023" t="inlineStr">
        <is>
          <t>Holmen skog AB</t>
        </is>
      </c>
      <c r="G8023" t="n">
        <v>11.2</v>
      </c>
      <c r="H8023" t="n">
        <v>0</v>
      </c>
      <c r="I8023" t="n">
        <v>0</v>
      </c>
      <c r="J8023" t="n">
        <v>0</v>
      </c>
      <c r="K8023" t="n">
        <v>0</v>
      </c>
      <c r="L8023" t="n">
        <v>0</v>
      </c>
      <c r="M8023" t="n">
        <v>0</v>
      </c>
      <c r="N8023" t="n">
        <v>0</v>
      </c>
      <c r="O8023" t="n">
        <v>0</v>
      </c>
      <c r="P8023" t="n">
        <v>0</v>
      </c>
      <c r="Q8023" t="n">
        <v>0</v>
      </c>
      <c r="R8023" s="2" t="inlineStr"/>
    </row>
    <row r="8024" ht="15" customHeight="1">
      <c r="A8024" t="inlineStr">
        <is>
          <t>A 30622-2023</t>
        </is>
      </c>
      <c r="B8024" s="1" t="n">
        <v>45112</v>
      </c>
      <c r="C8024" s="1" t="n">
        <v>45344</v>
      </c>
      <c r="D8024" t="inlineStr">
        <is>
          <t>GÄVLEBORGS LÄN</t>
        </is>
      </c>
      <c r="E8024" t="inlineStr">
        <is>
          <t>LJUSDAL</t>
        </is>
      </c>
      <c r="G8024" t="n">
        <v>4.4</v>
      </c>
      <c r="H8024" t="n">
        <v>0</v>
      </c>
      <c r="I8024" t="n">
        <v>0</v>
      </c>
      <c r="J8024" t="n">
        <v>0</v>
      </c>
      <c r="K8024" t="n">
        <v>0</v>
      </c>
      <c r="L8024" t="n">
        <v>0</v>
      </c>
      <c r="M8024" t="n">
        <v>0</v>
      </c>
      <c r="N8024" t="n">
        <v>0</v>
      </c>
      <c r="O8024" t="n">
        <v>0</v>
      </c>
      <c r="P8024" t="n">
        <v>0</v>
      </c>
      <c r="Q8024" t="n">
        <v>0</v>
      </c>
      <c r="R8024" s="2" t="inlineStr"/>
    </row>
    <row r="8025" ht="15" customHeight="1">
      <c r="A8025" t="inlineStr">
        <is>
          <t>A 30669-2023</t>
        </is>
      </c>
      <c r="B8025" s="1" t="n">
        <v>45112</v>
      </c>
      <c r="C8025" s="1" t="n">
        <v>45344</v>
      </c>
      <c r="D8025" t="inlineStr">
        <is>
          <t>GÄVLEBORGS LÄN</t>
        </is>
      </c>
      <c r="E8025" t="inlineStr">
        <is>
          <t>LJUSDAL</t>
        </is>
      </c>
      <c r="F8025" t="inlineStr">
        <is>
          <t>Allmännings- och besparingsskogar</t>
        </is>
      </c>
      <c r="G8025" t="n">
        <v>35.5</v>
      </c>
      <c r="H8025" t="n">
        <v>0</v>
      </c>
      <c r="I8025" t="n">
        <v>0</v>
      </c>
      <c r="J8025" t="n">
        <v>0</v>
      </c>
      <c r="K8025" t="n">
        <v>0</v>
      </c>
      <c r="L8025" t="n">
        <v>0</v>
      </c>
      <c r="M8025" t="n">
        <v>0</v>
      </c>
      <c r="N8025" t="n">
        <v>0</v>
      </c>
      <c r="O8025" t="n">
        <v>0</v>
      </c>
      <c r="P8025" t="n">
        <v>0</v>
      </c>
      <c r="Q8025" t="n">
        <v>0</v>
      </c>
      <c r="R8025" s="2" t="inlineStr"/>
    </row>
    <row r="8026" ht="15" customHeight="1">
      <c r="A8026" t="inlineStr">
        <is>
          <t>A 30714-2023</t>
        </is>
      </c>
      <c r="B8026" s="1" t="n">
        <v>45112</v>
      </c>
      <c r="C8026" s="1" t="n">
        <v>45344</v>
      </c>
      <c r="D8026" t="inlineStr">
        <is>
          <t>GÄVLEBORGS LÄN</t>
        </is>
      </c>
      <c r="E8026" t="inlineStr">
        <is>
          <t>SANDVIKEN</t>
        </is>
      </c>
      <c r="G8026" t="n">
        <v>4.9</v>
      </c>
      <c r="H8026" t="n">
        <v>0</v>
      </c>
      <c r="I8026" t="n">
        <v>0</v>
      </c>
      <c r="J8026" t="n">
        <v>0</v>
      </c>
      <c r="K8026" t="n">
        <v>0</v>
      </c>
      <c r="L8026" t="n">
        <v>0</v>
      </c>
      <c r="M8026" t="n">
        <v>0</v>
      </c>
      <c r="N8026" t="n">
        <v>0</v>
      </c>
      <c r="O8026" t="n">
        <v>0</v>
      </c>
      <c r="P8026" t="n">
        <v>0</v>
      </c>
      <c r="Q8026" t="n">
        <v>0</v>
      </c>
      <c r="R8026" s="2" t="inlineStr"/>
    </row>
    <row r="8027" ht="15" customHeight="1">
      <c r="A8027" t="inlineStr">
        <is>
          <t>A 30718-2023</t>
        </is>
      </c>
      <c r="B8027" s="1" t="n">
        <v>45112</v>
      </c>
      <c r="C8027" s="1" t="n">
        <v>45344</v>
      </c>
      <c r="D8027" t="inlineStr">
        <is>
          <t>GÄVLEBORGS LÄN</t>
        </is>
      </c>
      <c r="E8027" t="inlineStr">
        <is>
          <t>SANDVIKEN</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30928-2023</t>
        </is>
      </c>
      <c r="B8028" s="1" t="n">
        <v>45113</v>
      </c>
      <c r="C8028" s="1" t="n">
        <v>45344</v>
      </c>
      <c r="D8028" t="inlineStr">
        <is>
          <t>GÄVLEBORGS LÄN</t>
        </is>
      </c>
      <c r="E8028" t="inlineStr">
        <is>
          <t>SÖDERHAMN</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30959-2023</t>
        </is>
      </c>
      <c r="B8029" s="1" t="n">
        <v>45113</v>
      </c>
      <c r="C8029" s="1" t="n">
        <v>45344</v>
      </c>
      <c r="D8029" t="inlineStr">
        <is>
          <t>GÄVLEBORGS LÄN</t>
        </is>
      </c>
      <c r="E8029" t="inlineStr">
        <is>
          <t>BOLLNÄS</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30968-2023</t>
        </is>
      </c>
      <c r="B8030" s="1" t="n">
        <v>45113</v>
      </c>
      <c r="C8030" s="1" t="n">
        <v>45344</v>
      </c>
      <c r="D8030" t="inlineStr">
        <is>
          <t>GÄVLEBORGS LÄN</t>
        </is>
      </c>
      <c r="E8030" t="inlineStr">
        <is>
          <t>LJUSDAL</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30997-2023</t>
        </is>
      </c>
      <c r="B8031" s="1" t="n">
        <v>45113</v>
      </c>
      <c r="C8031" s="1" t="n">
        <v>45344</v>
      </c>
      <c r="D8031" t="inlineStr">
        <is>
          <t>GÄVLEBORGS LÄN</t>
        </is>
      </c>
      <c r="E8031" t="inlineStr">
        <is>
          <t>LJUSDAL</t>
        </is>
      </c>
      <c r="F8031" t="inlineStr">
        <is>
          <t>Holmen skog AB</t>
        </is>
      </c>
      <c r="G8031" t="n">
        <v>3.2</v>
      </c>
      <c r="H8031" t="n">
        <v>0</v>
      </c>
      <c r="I8031" t="n">
        <v>0</v>
      </c>
      <c r="J8031" t="n">
        <v>0</v>
      </c>
      <c r="K8031" t="n">
        <v>0</v>
      </c>
      <c r="L8031" t="n">
        <v>0</v>
      </c>
      <c r="M8031" t="n">
        <v>0</v>
      </c>
      <c r="N8031" t="n">
        <v>0</v>
      </c>
      <c r="O8031" t="n">
        <v>0</v>
      </c>
      <c r="P8031" t="n">
        <v>0</v>
      </c>
      <c r="Q8031" t="n">
        <v>0</v>
      </c>
      <c r="R8031" s="2" t="inlineStr"/>
    </row>
    <row r="8032" ht="15" customHeight="1">
      <c r="A8032" t="inlineStr">
        <is>
          <t>A 31011-2023</t>
        </is>
      </c>
      <c r="B8032" s="1" t="n">
        <v>45113</v>
      </c>
      <c r="C8032" s="1" t="n">
        <v>45344</v>
      </c>
      <c r="D8032" t="inlineStr">
        <is>
          <t>GÄVLEBORGS LÄN</t>
        </is>
      </c>
      <c r="E8032" t="inlineStr">
        <is>
          <t>GÄVLE</t>
        </is>
      </c>
      <c r="G8032" t="n">
        <v>5.2</v>
      </c>
      <c r="H8032" t="n">
        <v>0</v>
      </c>
      <c r="I8032" t="n">
        <v>0</v>
      </c>
      <c r="J8032" t="n">
        <v>0</v>
      </c>
      <c r="K8032" t="n">
        <v>0</v>
      </c>
      <c r="L8032" t="n">
        <v>0</v>
      </c>
      <c r="M8032" t="n">
        <v>0</v>
      </c>
      <c r="N8032" t="n">
        <v>0</v>
      </c>
      <c r="O8032" t="n">
        <v>0</v>
      </c>
      <c r="P8032" t="n">
        <v>0</v>
      </c>
      <c r="Q8032" t="n">
        <v>0</v>
      </c>
      <c r="R8032" s="2" t="inlineStr"/>
    </row>
    <row r="8033" ht="15" customHeight="1">
      <c r="A8033" t="inlineStr">
        <is>
          <t>A 30866-2023</t>
        </is>
      </c>
      <c r="B8033" s="1" t="n">
        <v>45113</v>
      </c>
      <c r="C8033" s="1" t="n">
        <v>45344</v>
      </c>
      <c r="D8033" t="inlineStr">
        <is>
          <t>GÄVLEBORGS LÄN</t>
        </is>
      </c>
      <c r="E8033" t="inlineStr">
        <is>
          <t>BOLLNÄS</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30973-2023</t>
        </is>
      </c>
      <c r="B8034" s="1" t="n">
        <v>45113</v>
      </c>
      <c r="C8034" s="1" t="n">
        <v>45344</v>
      </c>
      <c r="D8034" t="inlineStr">
        <is>
          <t>GÄVLEBORGS LÄN</t>
        </is>
      </c>
      <c r="E8034" t="inlineStr">
        <is>
          <t>LJUSDAL</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31014-2023</t>
        </is>
      </c>
      <c r="B8035" s="1" t="n">
        <v>45113</v>
      </c>
      <c r="C8035" s="1" t="n">
        <v>45344</v>
      </c>
      <c r="D8035" t="inlineStr">
        <is>
          <t>GÄVLEBORGS LÄN</t>
        </is>
      </c>
      <c r="E8035" t="inlineStr">
        <is>
          <t>BOLLNÄS</t>
        </is>
      </c>
      <c r="F8035" t="inlineStr">
        <is>
          <t>Bergvik skog väst AB</t>
        </is>
      </c>
      <c r="G8035" t="n">
        <v>4.7</v>
      </c>
      <c r="H8035" t="n">
        <v>0</v>
      </c>
      <c r="I8035" t="n">
        <v>0</v>
      </c>
      <c r="J8035" t="n">
        <v>0</v>
      </c>
      <c r="K8035" t="n">
        <v>0</v>
      </c>
      <c r="L8035" t="n">
        <v>0</v>
      </c>
      <c r="M8035" t="n">
        <v>0</v>
      </c>
      <c r="N8035" t="n">
        <v>0</v>
      </c>
      <c r="O8035" t="n">
        <v>0</v>
      </c>
      <c r="P8035" t="n">
        <v>0</v>
      </c>
      <c r="Q8035" t="n">
        <v>0</v>
      </c>
      <c r="R8035" s="2" t="inlineStr"/>
    </row>
    <row r="8036" ht="15" customHeight="1">
      <c r="A8036" t="inlineStr">
        <is>
          <t>A 31023-2023</t>
        </is>
      </c>
      <c r="B8036" s="1" t="n">
        <v>45113</v>
      </c>
      <c r="C8036" s="1" t="n">
        <v>45344</v>
      </c>
      <c r="D8036" t="inlineStr">
        <is>
          <t>GÄVLEBORGS LÄN</t>
        </is>
      </c>
      <c r="E8036" t="inlineStr">
        <is>
          <t>OVANÅKER</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31129-2023</t>
        </is>
      </c>
      <c r="B8037" s="1" t="n">
        <v>45113</v>
      </c>
      <c r="C8037" s="1" t="n">
        <v>45344</v>
      </c>
      <c r="D8037" t="inlineStr">
        <is>
          <t>GÄVLEBORGS LÄN</t>
        </is>
      </c>
      <c r="E8037" t="inlineStr">
        <is>
          <t>LJUSDAL</t>
        </is>
      </c>
      <c r="F8037" t="inlineStr">
        <is>
          <t>Sveaskog</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30877-2023</t>
        </is>
      </c>
      <c r="B8038" s="1" t="n">
        <v>45113</v>
      </c>
      <c r="C8038" s="1" t="n">
        <v>45344</v>
      </c>
      <c r="D8038" t="inlineStr">
        <is>
          <t>GÄVLEBORGS LÄN</t>
        </is>
      </c>
      <c r="E8038" t="inlineStr">
        <is>
          <t>BOLLNÄS</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30881-2023</t>
        </is>
      </c>
      <c r="B8039" s="1" t="n">
        <v>45113</v>
      </c>
      <c r="C8039" s="1" t="n">
        <v>45344</v>
      </c>
      <c r="D8039" t="inlineStr">
        <is>
          <t>GÄVLEBORGS LÄN</t>
        </is>
      </c>
      <c r="E8039" t="inlineStr">
        <is>
          <t>BOLLNÄS</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30893-2023</t>
        </is>
      </c>
      <c r="B8040" s="1" t="n">
        <v>45113</v>
      </c>
      <c r="C8040" s="1" t="n">
        <v>45344</v>
      </c>
      <c r="D8040" t="inlineStr">
        <is>
          <t>GÄVLEBORGS LÄN</t>
        </is>
      </c>
      <c r="E8040" t="inlineStr">
        <is>
          <t>OVANÅKER</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30913-2023</t>
        </is>
      </c>
      <c r="B8041" s="1" t="n">
        <v>45113</v>
      </c>
      <c r="C8041" s="1" t="n">
        <v>45344</v>
      </c>
      <c r="D8041" t="inlineStr">
        <is>
          <t>GÄVLEBORGS LÄN</t>
        </is>
      </c>
      <c r="E8041" t="inlineStr">
        <is>
          <t>LJUSDAL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30962-2023</t>
        </is>
      </c>
      <c r="B8042" s="1" t="n">
        <v>45113</v>
      </c>
      <c r="C8042" s="1" t="n">
        <v>45344</v>
      </c>
      <c r="D8042" t="inlineStr">
        <is>
          <t>GÄVLEBORGS LÄN</t>
        </is>
      </c>
      <c r="E8042" t="inlineStr">
        <is>
          <t>LJUSDAL</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30977-2023</t>
        </is>
      </c>
      <c r="B8043" s="1" t="n">
        <v>45113</v>
      </c>
      <c r="C8043" s="1" t="n">
        <v>45344</v>
      </c>
      <c r="D8043" t="inlineStr">
        <is>
          <t>GÄVLEBORGS LÄN</t>
        </is>
      </c>
      <c r="E8043" t="inlineStr">
        <is>
          <t>OVANÅKER</t>
        </is>
      </c>
      <c r="G8043" t="n">
        <v>14.8</v>
      </c>
      <c r="H8043" t="n">
        <v>0</v>
      </c>
      <c r="I8043" t="n">
        <v>0</v>
      </c>
      <c r="J8043" t="n">
        <v>0</v>
      </c>
      <c r="K8043" t="n">
        <v>0</v>
      </c>
      <c r="L8043" t="n">
        <v>0</v>
      </c>
      <c r="M8043" t="n">
        <v>0</v>
      </c>
      <c r="N8043" t="n">
        <v>0</v>
      </c>
      <c r="O8043" t="n">
        <v>0</v>
      </c>
      <c r="P8043" t="n">
        <v>0</v>
      </c>
      <c r="Q8043" t="n">
        <v>0</v>
      </c>
      <c r="R8043" s="2" t="inlineStr"/>
    </row>
    <row r="8044" ht="15" customHeight="1">
      <c r="A8044" t="inlineStr">
        <is>
          <t>A 31058-2023</t>
        </is>
      </c>
      <c r="B8044" s="1" t="n">
        <v>45113</v>
      </c>
      <c r="C8044" s="1" t="n">
        <v>45344</v>
      </c>
      <c r="D8044" t="inlineStr">
        <is>
          <t>GÄVLEBORGS LÄN</t>
        </is>
      </c>
      <c r="E8044" t="inlineStr">
        <is>
          <t>BOLLNÄS</t>
        </is>
      </c>
      <c r="F8044" t="inlineStr">
        <is>
          <t>Bergvik skog väst AB</t>
        </is>
      </c>
      <c r="G8044" t="n">
        <v>8.1</v>
      </c>
      <c r="H8044" t="n">
        <v>0</v>
      </c>
      <c r="I8044" t="n">
        <v>0</v>
      </c>
      <c r="J8044" t="n">
        <v>0</v>
      </c>
      <c r="K8044" t="n">
        <v>0</v>
      </c>
      <c r="L8044" t="n">
        <v>0</v>
      </c>
      <c r="M8044" t="n">
        <v>0</v>
      </c>
      <c r="N8044" t="n">
        <v>0</v>
      </c>
      <c r="O8044" t="n">
        <v>0</v>
      </c>
      <c r="P8044" t="n">
        <v>0</v>
      </c>
      <c r="Q8044" t="n">
        <v>0</v>
      </c>
      <c r="R8044" s="2" t="inlineStr"/>
    </row>
    <row r="8045" ht="15" customHeight="1">
      <c r="A8045" t="inlineStr">
        <is>
          <t>A 31062-2023</t>
        </is>
      </c>
      <c r="B8045" s="1" t="n">
        <v>45113</v>
      </c>
      <c r="C8045" s="1" t="n">
        <v>45344</v>
      </c>
      <c r="D8045" t="inlineStr">
        <is>
          <t>GÄVLEBORGS LÄN</t>
        </is>
      </c>
      <c r="E8045" t="inlineStr">
        <is>
          <t>GÄVLE</t>
        </is>
      </c>
      <c r="F8045" t="inlineStr">
        <is>
          <t>Kommuner</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31005-2023</t>
        </is>
      </c>
      <c r="B8046" s="1" t="n">
        <v>45113</v>
      </c>
      <c r="C8046" s="1" t="n">
        <v>45344</v>
      </c>
      <c r="D8046" t="inlineStr">
        <is>
          <t>GÄVLEBORGS LÄN</t>
        </is>
      </c>
      <c r="E8046" t="inlineStr">
        <is>
          <t>OVANÅKER</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31176-2023</t>
        </is>
      </c>
      <c r="B8047" s="1" t="n">
        <v>45113</v>
      </c>
      <c r="C8047" s="1" t="n">
        <v>45344</v>
      </c>
      <c r="D8047" t="inlineStr">
        <is>
          <t>GÄVLEBORGS LÄN</t>
        </is>
      </c>
      <c r="E8047" t="inlineStr">
        <is>
          <t>SÖDERHAMN</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31303-2023</t>
        </is>
      </c>
      <c r="B8048" s="1" t="n">
        <v>45114</v>
      </c>
      <c r="C8048" s="1" t="n">
        <v>45344</v>
      </c>
      <c r="D8048" t="inlineStr">
        <is>
          <t>GÄVLEBORGS LÄN</t>
        </is>
      </c>
      <c r="E8048" t="inlineStr">
        <is>
          <t>OCKELBO</t>
        </is>
      </c>
      <c r="F8048" t="inlineStr">
        <is>
          <t>Bergvik skog väst AB</t>
        </is>
      </c>
      <c r="G8048" t="n">
        <v>9.699999999999999</v>
      </c>
      <c r="H8048" t="n">
        <v>0</v>
      </c>
      <c r="I8048" t="n">
        <v>0</v>
      </c>
      <c r="J8048" t="n">
        <v>0</v>
      </c>
      <c r="K8048" t="n">
        <v>0</v>
      </c>
      <c r="L8048" t="n">
        <v>0</v>
      </c>
      <c r="M8048" t="n">
        <v>0</v>
      </c>
      <c r="N8048" t="n">
        <v>0</v>
      </c>
      <c r="O8048" t="n">
        <v>0</v>
      </c>
      <c r="P8048" t="n">
        <v>0</v>
      </c>
      <c r="Q8048" t="n">
        <v>0</v>
      </c>
      <c r="R8048" s="2" t="inlineStr"/>
    </row>
    <row r="8049" ht="15" customHeight="1">
      <c r="A8049" t="inlineStr">
        <is>
          <t>A 31323-2023</t>
        </is>
      </c>
      <c r="B8049" s="1" t="n">
        <v>45114</v>
      </c>
      <c r="C8049" s="1" t="n">
        <v>45344</v>
      </c>
      <c r="D8049" t="inlineStr">
        <is>
          <t>GÄVLEBORGS LÄN</t>
        </is>
      </c>
      <c r="E8049" t="inlineStr">
        <is>
          <t>OCKELBO</t>
        </is>
      </c>
      <c r="F8049" t="inlineStr">
        <is>
          <t>Bergvik skog väst AB</t>
        </is>
      </c>
      <c r="G8049" t="n">
        <v>5.1</v>
      </c>
      <c r="H8049" t="n">
        <v>0</v>
      </c>
      <c r="I8049" t="n">
        <v>0</v>
      </c>
      <c r="J8049" t="n">
        <v>0</v>
      </c>
      <c r="K8049" t="n">
        <v>0</v>
      </c>
      <c r="L8049" t="n">
        <v>0</v>
      </c>
      <c r="M8049" t="n">
        <v>0</v>
      </c>
      <c r="N8049" t="n">
        <v>0</v>
      </c>
      <c r="O8049" t="n">
        <v>0</v>
      </c>
      <c r="P8049" t="n">
        <v>0</v>
      </c>
      <c r="Q8049" t="n">
        <v>0</v>
      </c>
      <c r="R8049" s="2" t="inlineStr"/>
    </row>
    <row r="8050" ht="15" customHeight="1">
      <c r="A8050" t="inlineStr">
        <is>
          <t>A 31416-2023</t>
        </is>
      </c>
      <c r="B8050" s="1" t="n">
        <v>45114</v>
      </c>
      <c r="C8050" s="1" t="n">
        <v>45344</v>
      </c>
      <c r="D8050" t="inlineStr">
        <is>
          <t>GÄVLEBORGS LÄN</t>
        </is>
      </c>
      <c r="E8050" t="inlineStr">
        <is>
          <t>OCKELBO</t>
        </is>
      </c>
      <c r="F8050" t="inlineStr">
        <is>
          <t>Bergvik skog väst AB</t>
        </is>
      </c>
      <c r="G8050" t="n">
        <v>4.4</v>
      </c>
      <c r="H8050" t="n">
        <v>0</v>
      </c>
      <c r="I8050" t="n">
        <v>0</v>
      </c>
      <c r="J8050" t="n">
        <v>0</v>
      </c>
      <c r="K8050" t="n">
        <v>0</v>
      </c>
      <c r="L8050" t="n">
        <v>0</v>
      </c>
      <c r="M8050" t="n">
        <v>0</v>
      </c>
      <c r="N8050" t="n">
        <v>0</v>
      </c>
      <c r="O8050" t="n">
        <v>0</v>
      </c>
      <c r="P8050" t="n">
        <v>0</v>
      </c>
      <c r="Q8050" t="n">
        <v>0</v>
      </c>
      <c r="R8050" s="2" t="inlineStr"/>
    </row>
    <row r="8051" ht="15" customHeight="1">
      <c r="A8051" t="inlineStr">
        <is>
          <t>A 31443-2023</t>
        </is>
      </c>
      <c r="B8051" s="1" t="n">
        <v>45114</v>
      </c>
      <c r="C8051" s="1" t="n">
        <v>45344</v>
      </c>
      <c r="D8051" t="inlineStr">
        <is>
          <t>GÄVLEBORGS LÄN</t>
        </is>
      </c>
      <c r="E8051" t="inlineStr">
        <is>
          <t>BOLLNÄS</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31406-2023</t>
        </is>
      </c>
      <c r="B8052" s="1" t="n">
        <v>45114</v>
      </c>
      <c r="C8052" s="1" t="n">
        <v>45344</v>
      </c>
      <c r="D8052" t="inlineStr">
        <is>
          <t>GÄVLEBORGS LÄN</t>
        </is>
      </c>
      <c r="E8052" t="inlineStr">
        <is>
          <t>OVANÅKER</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31376-2023</t>
        </is>
      </c>
      <c r="B8053" s="1" t="n">
        <v>45114</v>
      </c>
      <c r="C8053" s="1" t="n">
        <v>45344</v>
      </c>
      <c r="D8053" t="inlineStr">
        <is>
          <t>GÄVLEBORGS LÄN</t>
        </is>
      </c>
      <c r="E8053" t="inlineStr">
        <is>
          <t>OVANÅKER</t>
        </is>
      </c>
      <c r="F8053" t="inlineStr">
        <is>
          <t>Bergvik skog öst AB</t>
        </is>
      </c>
      <c r="G8053" t="n">
        <v>20.4</v>
      </c>
      <c r="H8053" t="n">
        <v>0</v>
      </c>
      <c r="I8053" t="n">
        <v>0</v>
      </c>
      <c r="J8053" t="n">
        <v>0</v>
      </c>
      <c r="K8053" t="n">
        <v>0</v>
      </c>
      <c r="L8053" t="n">
        <v>0</v>
      </c>
      <c r="M8053" t="n">
        <v>0</v>
      </c>
      <c r="N8053" t="n">
        <v>0</v>
      </c>
      <c r="O8053" t="n">
        <v>0</v>
      </c>
      <c r="P8053" t="n">
        <v>0</v>
      </c>
      <c r="Q8053" t="n">
        <v>0</v>
      </c>
      <c r="R8053" s="2" t="inlineStr"/>
    </row>
    <row r="8054" ht="15" customHeight="1">
      <c r="A8054" t="inlineStr">
        <is>
          <t>A 31396-2023</t>
        </is>
      </c>
      <c r="B8054" s="1" t="n">
        <v>45114</v>
      </c>
      <c r="C8054" s="1" t="n">
        <v>45344</v>
      </c>
      <c r="D8054" t="inlineStr">
        <is>
          <t>GÄVLEBORGS LÄN</t>
        </is>
      </c>
      <c r="E8054" t="inlineStr">
        <is>
          <t>OVANÅKER</t>
        </is>
      </c>
      <c r="G8054" t="n">
        <v>3.9</v>
      </c>
      <c r="H8054" t="n">
        <v>0</v>
      </c>
      <c r="I8054" t="n">
        <v>0</v>
      </c>
      <c r="J8054" t="n">
        <v>0</v>
      </c>
      <c r="K8054" t="n">
        <v>0</v>
      </c>
      <c r="L8054" t="n">
        <v>0</v>
      </c>
      <c r="M8054" t="n">
        <v>0</v>
      </c>
      <c r="N8054" t="n">
        <v>0</v>
      </c>
      <c r="O8054" t="n">
        <v>0</v>
      </c>
      <c r="P8054" t="n">
        <v>0</v>
      </c>
      <c r="Q8054" t="n">
        <v>0</v>
      </c>
      <c r="R8054" s="2" t="inlineStr"/>
    </row>
    <row r="8055" ht="15" customHeight="1">
      <c r="A8055" t="inlineStr">
        <is>
          <t>A 31400-2023</t>
        </is>
      </c>
      <c r="B8055" s="1" t="n">
        <v>45114</v>
      </c>
      <c r="C8055" s="1" t="n">
        <v>45344</v>
      </c>
      <c r="D8055" t="inlineStr">
        <is>
          <t>GÄVLEBORGS LÄN</t>
        </is>
      </c>
      <c r="E8055" t="inlineStr">
        <is>
          <t>OCKELBO</t>
        </is>
      </c>
      <c r="F8055" t="inlineStr">
        <is>
          <t>Bergvik skog väst AB</t>
        </is>
      </c>
      <c r="G8055" t="n">
        <v>5.1</v>
      </c>
      <c r="H8055" t="n">
        <v>0</v>
      </c>
      <c r="I8055" t="n">
        <v>0</v>
      </c>
      <c r="J8055" t="n">
        <v>0</v>
      </c>
      <c r="K8055" t="n">
        <v>0</v>
      </c>
      <c r="L8055" t="n">
        <v>0</v>
      </c>
      <c r="M8055" t="n">
        <v>0</v>
      </c>
      <c r="N8055" t="n">
        <v>0</v>
      </c>
      <c r="O8055" t="n">
        <v>0</v>
      </c>
      <c r="P8055" t="n">
        <v>0</v>
      </c>
      <c r="Q8055" t="n">
        <v>0</v>
      </c>
      <c r="R8055" s="2" t="inlineStr"/>
    </row>
    <row r="8056" ht="15" customHeight="1">
      <c r="A8056" t="inlineStr">
        <is>
          <t>A 31248-2023</t>
        </is>
      </c>
      <c r="B8056" s="1" t="n">
        <v>45114</v>
      </c>
      <c r="C8056" s="1" t="n">
        <v>45344</v>
      </c>
      <c r="D8056" t="inlineStr">
        <is>
          <t>GÄVLEBORGS LÄN</t>
        </is>
      </c>
      <c r="E8056" t="inlineStr">
        <is>
          <t>LJUSDAL</t>
        </is>
      </c>
      <c r="F8056" t="inlineStr">
        <is>
          <t>Sveaskog</t>
        </is>
      </c>
      <c r="G8056" t="n">
        <v>6.9</v>
      </c>
      <c r="H8056" t="n">
        <v>0</v>
      </c>
      <c r="I8056" t="n">
        <v>0</v>
      </c>
      <c r="J8056" t="n">
        <v>0</v>
      </c>
      <c r="K8056" t="n">
        <v>0</v>
      </c>
      <c r="L8056" t="n">
        <v>0</v>
      </c>
      <c r="M8056" t="n">
        <v>0</v>
      </c>
      <c r="N8056" t="n">
        <v>0</v>
      </c>
      <c r="O8056" t="n">
        <v>0</v>
      </c>
      <c r="P8056" t="n">
        <v>0</v>
      </c>
      <c r="Q8056" t="n">
        <v>0</v>
      </c>
      <c r="R8056" s="2" t="inlineStr"/>
    </row>
    <row r="8057" ht="15" customHeight="1">
      <c r="A8057" t="inlineStr">
        <is>
          <t>A 31293-2023</t>
        </is>
      </c>
      <c r="B8057" s="1" t="n">
        <v>45114</v>
      </c>
      <c r="C8057" s="1" t="n">
        <v>45344</v>
      </c>
      <c r="D8057" t="inlineStr">
        <is>
          <t>GÄVLEBORGS LÄN</t>
        </is>
      </c>
      <c r="E8057" t="inlineStr">
        <is>
          <t>SANDVIKEN</t>
        </is>
      </c>
      <c r="F8057" t="inlineStr">
        <is>
          <t>Bergvik skog öst AB</t>
        </is>
      </c>
      <c r="G8057" t="n">
        <v>18.1</v>
      </c>
      <c r="H8057" t="n">
        <v>0</v>
      </c>
      <c r="I8057" t="n">
        <v>0</v>
      </c>
      <c r="J8057" t="n">
        <v>0</v>
      </c>
      <c r="K8057" t="n">
        <v>0</v>
      </c>
      <c r="L8057" t="n">
        <v>0</v>
      </c>
      <c r="M8057" t="n">
        <v>0</v>
      </c>
      <c r="N8057" t="n">
        <v>0</v>
      </c>
      <c r="O8057" t="n">
        <v>0</v>
      </c>
      <c r="P8057" t="n">
        <v>0</v>
      </c>
      <c r="Q8057" t="n">
        <v>0</v>
      </c>
      <c r="R8057" s="2" t="inlineStr"/>
    </row>
    <row r="8058" ht="15" customHeight="1">
      <c r="A8058" t="inlineStr">
        <is>
          <t>A 31385-2023</t>
        </is>
      </c>
      <c r="B8058" s="1" t="n">
        <v>45114</v>
      </c>
      <c r="C8058" s="1" t="n">
        <v>45344</v>
      </c>
      <c r="D8058" t="inlineStr">
        <is>
          <t>GÄVLEBORGS LÄN</t>
        </is>
      </c>
      <c r="E8058" t="inlineStr">
        <is>
          <t>BOLLNÄS</t>
        </is>
      </c>
      <c r="G8058" t="n">
        <v>6.9</v>
      </c>
      <c r="H8058" t="n">
        <v>0</v>
      </c>
      <c r="I8058" t="n">
        <v>0</v>
      </c>
      <c r="J8058" t="n">
        <v>0</v>
      </c>
      <c r="K8058" t="n">
        <v>0</v>
      </c>
      <c r="L8058" t="n">
        <v>0</v>
      </c>
      <c r="M8058" t="n">
        <v>0</v>
      </c>
      <c r="N8058" t="n">
        <v>0</v>
      </c>
      <c r="O8058" t="n">
        <v>0</v>
      </c>
      <c r="P8058" t="n">
        <v>0</v>
      </c>
      <c r="Q8058" t="n">
        <v>0</v>
      </c>
      <c r="R8058" s="2" t="inlineStr"/>
    </row>
    <row r="8059" ht="15" customHeight="1">
      <c r="A8059" t="inlineStr">
        <is>
          <t>A 31404-2023</t>
        </is>
      </c>
      <c r="B8059" s="1" t="n">
        <v>45114</v>
      </c>
      <c r="C8059" s="1" t="n">
        <v>45344</v>
      </c>
      <c r="D8059" t="inlineStr">
        <is>
          <t>GÄVLEBORGS LÄN</t>
        </is>
      </c>
      <c r="E8059" t="inlineStr">
        <is>
          <t>OVANÅKER</t>
        </is>
      </c>
      <c r="G8059" t="n">
        <v>0.7</v>
      </c>
      <c r="H8059" t="n">
        <v>0</v>
      </c>
      <c r="I8059" t="n">
        <v>0</v>
      </c>
      <c r="J8059" t="n">
        <v>0</v>
      </c>
      <c r="K8059" t="n">
        <v>0</v>
      </c>
      <c r="L8059" t="n">
        <v>0</v>
      </c>
      <c r="M8059" t="n">
        <v>0</v>
      </c>
      <c r="N8059" t="n">
        <v>0</v>
      </c>
      <c r="O8059" t="n">
        <v>0</v>
      </c>
      <c r="P8059" t="n">
        <v>0</v>
      </c>
      <c r="Q8059" t="n">
        <v>0</v>
      </c>
      <c r="R8059" s="2" t="inlineStr"/>
    </row>
    <row r="8060" ht="15" customHeight="1">
      <c r="A8060" t="inlineStr">
        <is>
          <t>A 31440-2023</t>
        </is>
      </c>
      <c r="B8060" s="1" t="n">
        <v>45114</v>
      </c>
      <c r="C8060" s="1" t="n">
        <v>45344</v>
      </c>
      <c r="D8060" t="inlineStr">
        <is>
          <t>GÄVLEBORGS LÄN</t>
        </is>
      </c>
      <c r="E8060" t="inlineStr">
        <is>
          <t>BOLLNÄS</t>
        </is>
      </c>
      <c r="G8060" t="n">
        <v>1.6</v>
      </c>
      <c r="H8060" t="n">
        <v>0</v>
      </c>
      <c r="I8060" t="n">
        <v>0</v>
      </c>
      <c r="J8060" t="n">
        <v>0</v>
      </c>
      <c r="K8060" t="n">
        <v>0</v>
      </c>
      <c r="L8060" t="n">
        <v>0</v>
      </c>
      <c r="M8060" t="n">
        <v>0</v>
      </c>
      <c r="N8060" t="n">
        <v>0</v>
      </c>
      <c r="O8060" t="n">
        <v>0</v>
      </c>
      <c r="P8060" t="n">
        <v>0</v>
      </c>
      <c r="Q8060" t="n">
        <v>0</v>
      </c>
      <c r="R8060" s="2" t="inlineStr"/>
    </row>
    <row r="8061" ht="15" customHeight="1">
      <c r="A8061" t="inlineStr">
        <is>
          <t>A 31607-2023</t>
        </is>
      </c>
      <c r="B8061" s="1" t="n">
        <v>45117</v>
      </c>
      <c r="C8061" s="1" t="n">
        <v>45344</v>
      </c>
      <c r="D8061" t="inlineStr">
        <is>
          <t>GÄVLEBORGS LÄN</t>
        </is>
      </c>
      <c r="E8061" t="inlineStr">
        <is>
          <t>HOFORS</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31611-2023</t>
        </is>
      </c>
      <c r="B8062" s="1" t="n">
        <v>45117</v>
      </c>
      <c r="C8062" s="1" t="n">
        <v>45344</v>
      </c>
      <c r="D8062" t="inlineStr">
        <is>
          <t>GÄVLEBORGS LÄN</t>
        </is>
      </c>
      <c r="E8062" t="inlineStr">
        <is>
          <t>HOFORS</t>
        </is>
      </c>
      <c r="G8062" t="n">
        <v>4.4</v>
      </c>
      <c r="H8062" t="n">
        <v>0</v>
      </c>
      <c r="I8062" t="n">
        <v>0</v>
      </c>
      <c r="J8062" t="n">
        <v>0</v>
      </c>
      <c r="K8062" t="n">
        <v>0</v>
      </c>
      <c r="L8062" t="n">
        <v>0</v>
      </c>
      <c r="M8062" t="n">
        <v>0</v>
      </c>
      <c r="N8062" t="n">
        <v>0</v>
      </c>
      <c r="O8062" t="n">
        <v>0</v>
      </c>
      <c r="P8062" t="n">
        <v>0</v>
      </c>
      <c r="Q8062" t="n">
        <v>0</v>
      </c>
      <c r="R8062" s="2" t="inlineStr"/>
    </row>
    <row r="8063" ht="15" customHeight="1">
      <c r="A8063" t="inlineStr">
        <is>
          <t>A 31544-2023</t>
        </is>
      </c>
      <c r="B8063" s="1" t="n">
        <v>45117</v>
      </c>
      <c r="C8063" s="1" t="n">
        <v>45344</v>
      </c>
      <c r="D8063" t="inlineStr">
        <is>
          <t>GÄVLEBORGS LÄN</t>
        </is>
      </c>
      <c r="E8063" t="inlineStr">
        <is>
          <t>GÄVLE</t>
        </is>
      </c>
      <c r="F8063" t="inlineStr">
        <is>
          <t>Bergvik skog väst AB</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31723-2023</t>
        </is>
      </c>
      <c r="B8064" s="1" t="n">
        <v>45117</v>
      </c>
      <c r="C8064" s="1" t="n">
        <v>45344</v>
      </c>
      <c r="D8064" t="inlineStr">
        <is>
          <t>GÄVLEBORGS LÄN</t>
        </is>
      </c>
      <c r="E8064" t="inlineStr">
        <is>
          <t>OVANÅKER</t>
        </is>
      </c>
      <c r="G8064" t="n">
        <v>5.5</v>
      </c>
      <c r="H8064" t="n">
        <v>0</v>
      </c>
      <c r="I8064" t="n">
        <v>0</v>
      </c>
      <c r="J8064" t="n">
        <v>0</v>
      </c>
      <c r="K8064" t="n">
        <v>0</v>
      </c>
      <c r="L8064" t="n">
        <v>0</v>
      </c>
      <c r="M8064" t="n">
        <v>0</v>
      </c>
      <c r="N8064" t="n">
        <v>0</v>
      </c>
      <c r="O8064" t="n">
        <v>0</v>
      </c>
      <c r="P8064" t="n">
        <v>0</v>
      </c>
      <c r="Q8064" t="n">
        <v>0</v>
      </c>
      <c r="R8064" s="2" t="inlineStr"/>
    </row>
    <row r="8065" ht="15" customHeight="1">
      <c r="A8065" t="inlineStr">
        <is>
          <t>A 31613-2023</t>
        </is>
      </c>
      <c r="B8065" s="1" t="n">
        <v>45117</v>
      </c>
      <c r="C8065" s="1" t="n">
        <v>45344</v>
      </c>
      <c r="D8065" t="inlineStr">
        <is>
          <t>GÄVLEBORGS LÄN</t>
        </is>
      </c>
      <c r="E8065" t="inlineStr">
        <is>
          <t>HOFORS</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31725-2023</t>
        </is>
      </c>
      <c r="B8066" s="1" t="n">
        <v>45118</v>
      </c>
      <c r="C8066" s="1" t="n">
        <v>45344</v>
      </c>
      <c r="D8066" t="inlineStr">
        <is>
          <t>GÄVLEBORGS LÄN</t>
        </is>
      </c>
      <c r="E8066" t="inlineStr">
        <is>
          <t>OVANÅKER</t>
        </is>
      </c>
      <c r="G8066" t="n">
        <v>0.9</v>
      </c>
      <c r="H8066" t="n">
        <v>0</v>
      </c>
      <c r="I8066" t="n">
        <v>0</v>
      </c>
      <c r="J8066" t="n">
        <v>0</v>
      </c>
      <c r="K8066" t="n">
        <v>0</v>
      </c>
      <c r="L8066" t="n">
        <v>0</v>
      </c>
      <c r="M8066" t="n">
        <v>0</v>
      </c>
      <c r="N8066" t="n">
        <v>0</v>
      </c>
      <c r="O8066" t="n">
        <v>0</v>
      </c>
      <c r="P8066" t="n">
        <v>0</v>
      </c>
      <c r="Q8066" t="n">
        <v>0</v>
      </c>
      <c r="R8066" s="2" t="inlineStr"/>
    </row>
    <row r="8067" ht="15" customHeight="1">
      <c r="A8067" t="inlineStr">
        <is>
          <t>A 31638-2023</t>
        </is>
      </c>
      <c r="B8067" s="1" t="n">
        <v>45117</v>
      </c>
      <c r="C8067" s="1" t="n">
        <v>45344</v>
      </c>
      <c r="D8067" t="inlineStr">
        <is>
          <t>GÄVLEBORGS LÄN</t>
        </is>
      </c>
      <c r="E8067" t="inlineStr">
        <is>
          <t>BOLLNÄS</t>
        </is>
      </c>
      <c r="G8067" t="n">
        <v>18.1</v>
      </c>
      <c r="H8067" t="n">
        <v>0</v>
      </c>
      <c r="I8067" t="n">
        <v>0</v>
      </c>
      <c r="J8067" t="n">
        <v>0</v>
      </c>
      <c r="K8067" t="n">
        <v>0</v>
      </c>
      <c r="L8067" t="n">
        <v>0</v>
      </c>
      <c r="M8067" t="n">
        <v>0</v>
      </c>
      <c r="N8067" t="n">
        <v>0</v>
      </c>
      <c r="O8067" t="n">
        <v>0</v>
      </c>
      <c r="P8067" t="n">
        <v>0</v>
      </c>
      <c r="Q8067" t="n">
        <v>0</v>
      </c>
      <c r="R8067" s="2" t="inlineStr"/>
    </row>
    <row r="8068" ht="15" customHeight="1">
      <c r="A8068" t="inlineStr">
        <is>
          <t>A 33410-2023</t>
        </is>
      </c>
      <c r="B8068" s="1" t="n">
        <v>45117</v>
      </c>
      <c r="C8068" s="1" t="n">
        <v>45344</v>
      </c>
      <c r="D8068" t="inlineStr">
        <is>
          <t>GÄVLEBORGS LÄN</t>
        </is>
      </c>
      <c r="E8068" t="inlineStr">
        <is>
          <t>OVANÅKER</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33411-2023</t>
        </is>
      </c>
      <c r="B8069" s="1" t="n">
        <v>45117</v>
      </c>
      <c r="C8069" s="1" t="n">
        <v>45344</v>
      </c>
      <c r="D8069" t="inlineStr">
        <is>
          <t>GÄVLEBORGS LÄN</t>
        </is>
      </c>
      <c r="E8069" t="inlineStr">
        <is>
          <t>OVANÅKER</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31823-2023</t>
        </is>
      </c>
      <c r="B8070" s="1" t="n">
        <v>45118</v>
      </c>
      <c r="C8070" s="1" t="n">
        <v>45344</v>
      </c>
      <c r="D8070" t="inlineStr">
        <is>
          <t>GÄVLEBORGS LÄN</t>
        </is>
      </c>
      <c r="E8070" t="inlineStr">
        <is>
          <t>HOFORS</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31876-2023</t>
        </is>
      </c>
      <c r="B8071" s="1" t="n">
        <v>45118</v>
      </c>
      <c r="C8071" s="1" t="n">
        <v>45344</v>
      </c>
      <c r="D8071" t="inlineStr">
        <is>
          <t>GÄVLEBORGS LÄN</t>
        </is>
      </c>
      <c r="E8071" t="inlineStr">
        <is>
          <t>HUDIKSVALL</t>
        </is>
      </c>
      <c r="G8071" t="n">
        <v>2.4</v>
      </c>
      <c r="H8071" t="n">
        <v>0</v>
      </c>
      <c r="I8071" t="n">
        <v>0</v>
      </c>
      <c r="J8071" t="n">
        <v>0</v>
      </c>
      <c r="K8071" t="n">
        <v>0</v>
      </c>
      <c r="L8071" t="n">
        <v>0</v>
      </c>
      <c r="M8071" t="n">
        <v>0</v>
      </c>
      <c r="N8071" t="n">
        <v>0</v>
      </c>
      <c r="O8071" t="n">
        <v>0</v>
      </c>
      <c r="P8071" t="n">
        <v>0</v>
      </c>
      <c r="Q8071" t="n">
        <v>0</v>
      </c>
      <c r="R8071" s="2" t="inlineStr"/>
    </row>
    <row r="8072" ht="15" customHeight="1">
      <c r="A8072" t="inlineStr">
        <is>
          <t>A 31892-2023</t>
        </is>
      </c>
      <c r="B8072" s="1" t="n">
        <v>45118</v>
      </c>
      <c r="C8072" s="1" t="n">
        <v>45344</v>
      </c>
      <c r="D8072" t="inlineStr">
        <is>
          <t>GÄVLEBORGS LÄN</t>
        </is>
      </c>
      <c r="E8072" t="inlineStr">
        <is>
          <t>LJUSDAL</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31830-2023</t>
        </is>
      </c>
      <c r="B8073" s="1" t="n">
        <v>45118</v>
      </c>
      <c r="C8073" s="1" t="n">
        <v>45344</v>
      </c>
      <c r="D8073" t="inlineStr">
        <is>
          <t>GÄVLEBORGS LÄN</t>
        </is>
      </c>
      <c r="E8073" t="inlineStr">
        <is>
          <t>HUDIKSVALL</t>
        </is>
      </c>
      <c r="G8073" t="n">
        <v>6.9</v>
      </c>
      <c r="H8073" t="n">
        <v>0</v>
      </c>
      <c r="I8073" t="n">
        <v>0</v>
      </c>
      <c r="J8073" t="n">
        <v>0</v>
      </c>
      <c r="K8073" t="n">
        <v>0</v>
      </c>
      <c r="L8073" t="n">
        <v>0</v>
      </c>
      <c r="M8073" t="n">
        <v>0</v>
      </c>
      <c r="N8073" t="n">
        <v>0</v>
      </c>
      <c r="O8073" t="n">
        <v>0</v>
      </c>
      <c r="P8073" t="n">
        <v>0</v>
      </c>
      <c r="Q8073" t="n">
        <v>0</v>
      </c>
      <c r="R8073" s="2" t="inlineStr"/>
    </row>
    <row r="8074" ht="15" customHeight="1">
      <c r="A8074" t="inlineStr">
        <is>
          <t>A 31871-2023</t>
        </is>
      </c>
      <c r="B8074" s="1" t="n">
        <v>45118</v>
      </c>
      <c r="C8074" s="1" t="n">
        <v>45344</v>
      </c>
      <c r="D8074" t="inlineStr">
        <is>
          <t>GÄVLEBORGS LÄN</t>
        </is>
      </c>
      <c r="E8074" t="inlineStr">
        <is>
          <t>HOFORS</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31875-2023</t>
        </is>
      </c>
      <c r="B8075" s="1" t="n">
        <v>45118</v>
      </c>
      <c r="C8075" s="1" t="n">
        <v>45344</v>
      </c>
      <c r="D8075" t="inlineStr">
        <is>
          <t>GÄVLEBORGS LÄN</t>
        </is>
      </c>
      <c r="E8075" t="inlineStr">
        <is>
          <t>OVANÅKER</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31890-2023</t>
        </is>
      </c>
      <c r="B8076" s="1" t="n">
        <v>45118</v>
      </c>
      <c r="C8076" s="1" t="n">
        <v>45344</v>
      </c>
      <c r="D8076" t="inlineStr">
        <is>
          <t>GÄVLEBORGS LÄN</t>
        </is>
      </c>
      <c r="E8076" t="inlineStr">
        <is>
          <t>LJUSDAL</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33485-2023</t>
        </is>
      </c>
      <c r="B8077" s="1" t="n">
        <v>45118</v>
      </c>
      <c r="C8077" s="1" t="n">
        <v>45344</v>
      </c>
      <c r="D8077" t="inlineStr">
        <is>
          <t>GÄVLEBORGS LÄN</t>
        </is>
      </c>
      <c r="E8077" t="inlineStr">
        <is>
          <t>HOFORS</t>
        </is>
      </c>
      <c r="F8077" t="inlineStr">
        <is>
          <t>Bergvik skog väst AB</t>
        </is>
      </c>
      <c r="G8077" t="n">
        <v>3.9</v>
      </c>
      <c r="H8077" t="n">
        <v>0</v>
      </c>
      <c r="I8077" t="n">
        <v>0</v>
      </c>
      <c r="J8077" t="n">
        <v>0</v>
      </c>
      <c r="K8077" t="n">
        <v>0</v>
      </c>
      <c r="L8077" t="n">
        <v>0</v>
      </c>
      <c r="M8077" t="n">
        <v>0</v>
      </c>
      <c r="N8077" t="n">
        <v>0</v>
      </c>
      <c r="O8077" t="n">
        <v>0</v>
      </c>
      <c r="P8077" t="n">
        <v>0</v>
      </c>
      <c r="Q8077" t="n">
        <v>0</v>
      </c>
      <c r="R8077" s="2" t="inlineStr"/>
    </row>
    <row r="8078" ht="15" customHeight="1">
      <c r="A8078" t="inlineStr">
        <is>
          <t>A 33483-2023</t>
        </is>
      </c>
      <c r="B8078" s="1" t="n">
        <v>45118</v>
      </c>
      <c r="C8078" s="1" t="n">
        <v>45344</v>
      </c>
      <c r="D8078" t="inlineStr">
        <is>
          <t>GÄVLEBORGS LÄN</t>
        </is>
      </c>
      <c r="E8078" t="inlineStr">
        <is>
          <t>HOFORS</t>
        </is>
      </c>
      <c r="F8078" t="inlineStr">
        <is>
          <t>Bergvik skog väst AB</t>
        </is>
      </c>
      <c r="G8078" t="n">
        <v>6.7</v>
      </c>
      <c r="H8078" t="n">
        <v>0</v>
      </c>
      <c r="I8078" t="n">
        <v>0</v>
      </c>
      <c r="J8078" t="n">
        <v>0</v>
      </c>
      <c r="K8078" t="n">
        <v>0</v>
      </c>
      <c r="L8078" t="n">
        <v>0</v>
      </c>
      <c r="M8078" t="n">
        <v>0</v>
      </c>
      <c r="N8078" t="n">
        <v>0</v>
      </c>
      <c r="O8078" t="n">
        <v>0</v>
      </c>
      <c r="P8078" t="n">
        <v>0</v>
      </c>
      <c r="Q8078" t="n">
        <v>0</v>
      </c>
      <c r="R8078" s="2" t="inlineStr"/>
    </row>
    <row r="8079" ht="15" customHeight="1">
      <c r="A8079" t="inlineStr">
        <is>
          <t>A 33495-2023</t>
        </is>
      </c>
      <c r="B8079" s="1" t="n">
        <v>45118</v>
      </c>
      <c r="C8079" s="1" t="n">
        <v>45344</v>
      </c>
      <c r="D8079" t="inlineStr">
        <is>
          <t>GÄVLEBORGS LÄN</t>
        </is>
      </c>
      <c r="E8079" t="inlineStr">
        <is>
          <t>HOFORS</t>
        </is>
      </c>
      <c r="F8079" t="inlineStr">
        <is>
          <t>Bergvik skog väst AB</t>
        </is>
      </c>
      <c r="G8079" t="n">
        <v>4.6</v>
      </c>
      <c r="H8079" t="n">
        <v>0</v>
      </c>
      <c r="I8079" t="n">
        <v>0</v>
      </c>
      <c r="J8079" t="n">
        <v>0</v>
      </c>
      <c r="K8079" t="n">
        <v>0</v>
      </c>
      <c r="L8079" t="n">
        <v>0</v>
      </c>
      <c r="M8079" t="n">
        <v>0</v>
      </c>
      <c r="N8079" t="n">
        <v>0</v>
      </c>
      <c r="O8079" t="n">
        <v>0</v>
      </c>
      <c r="P8079" t="n">
        <v>0</v>
      </c>
      <c r="Q8079" t="n">
        <v>0</v>
      </c>
      <c r="R8079" s="2" t="inlineStr"/>
    </row>
    <row r="8080" ht="15" customHeight="1">
      <c r="A8080" t="inlineStr">
        <is>
          <t>A 31982-2023</t>
        </is>
      </c>
      <c r="B8080" s="1" t="n">
        <v>45119</v>
      </c>
      <c r="C8080" s="1" t="n">
        <v>45344</v>
      </c>
      <c r="D8080" t="inlineStr">
        <is>
          <t>GÄVLEBORGS LÄN</t>
        </is>
      </c>
      <c r="E8080" t="inlineStr">
        <is>
          <t>HUDIKSVALL</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31992-2023</t>
        </is>
      </c>
      <c r="B8081" s="1" t="n">
        <v>45119</v>
      </c>
      <c r="C8081" s="1" t="n">
        <v>45344</v>
      </c>
      <c r="D8081" t="inlineStr">
        <is>
          <t>GÄVLEBORGS LÄN</t>
        </is>
      </c>
      <c r="E8081" t="inlineStr">
        <is>
          <t>LJUSDAL</t>
        </is>
      </c>
      <c r="F8081" t="inlineStr">
        <is>
          <t>Bergvik skog väst AB</t>
        </is>
      </c>
      <c r="G8081" t="n">
        <v>14.2</v>
      </c>
      <c r="H8081" t="n">
        <v>0</v>
      </c>
      <c r="I8081" t="n">
        <v>0</v>
      </c>
      <c r="J8081" t="n">
        <v>0</v>
      </c>
      <c r="K8081" t="n">
        <v>0</v>
      </c>
      <c r="L8081" t="n">
        <v>0</v>
      </c>
      <c r="M8081" t="n">
        <v>0</v>
      </c>
      <c r="N8081" t="n">
        <v>0</v>
      </c>
      <c r="O8081" t="n">
        <v>0</v>
      </c>
      <c r="P8081" t="n">
        <v>0</v>
      </c>
      <c r="Q8081" t="n">
        <v>0</v>
      </c>
      <c r="R8081" s="2" t="inlineStr"/>
    </row>
    <row r="8082" ht="15" customHeight="1">
      <c r="A8082" t="inlineStr">
        <is>
          <t>A 31976-2023</t>
        </is>
      </c>
      <c r="B8082" s="1" t="n">
        <v>45119</v>
      </c>
      <c r="C8082" s="1" t="n">
        <v>45344</v>
      </c>
      <c r="D8082" t="inlineStr">
        <is>
          <t>GÄVLEBORGS LÄN</t>
        </is>
      </c>
      <c r="E8082" t="inlineStr">
        <is>
          <t>LJUSDAL</t>
        </is>
      </c>
      <c r="F8082" t="inlineStr">
        <is>
          <t>Bergvik skog väst AB</t>
        </is>
      </c>
      <c r="G8082" t="n">
        <v>2.5</v>
      </c>
      <c r="H8082" t="n">
        <v>0</v>
      </c>
      <c r="I8082" t="n">
        <v>0</v>
      </c>
      <c r="J8082" t="n">
        <v>0</v>
      </c>
      <c r="K8082" t="n">
        <v>0</v>
      </c>
      <c r="L8082" t="n">
        <v>0</v>
      </c>
      <c r="M8082" t="n">
        <v>0</v>
      </c>
      <c r="N8082" t="n">
        <v>0</v>
      </c>
      <c r="O8082" t="n">
        <v>0</v>
      </c>
      <c r="P8082" t="n">
        <v>0</v>
      </c>
      <c r="Q8082" t="n">
        <v>0</v>
      </c>
      <c r="R8082" s="2" t="inlineStr"/>
    </row>
    <row r="8083" ht="15" customHeight="1">
      <c r="A8083" t="inlineStr">
        <is>
          <t>A 31990-2023</t>
        </is>
      </c>
      <c r="B8083" s="1" t="n">
        <v>45119</v>
      </c>
      <c r="C8083" s="1" t="n">
        <v>45344</v>
      </c>
      <c r="D8083" t="inlineStr">
        <is>
          <t>GÄVLEBORGS LÄN</t>
        </is>
      </c>
      <c r="E8083" t="inlineStr">
        <is>
          <t>HUDIKSVALL</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32098-2023</t>
        </is>
      </c>
      <c r="B8084" s="1" t="n">
        <v>45119</v>
      </c>
      <c r="C8084" s="1" t="n">
        <v>45344</v>
      </c>
      <c r="D8084" t="inlineStr">
        <is>
          <t>GÄVLEBORGS LÄN</t>
        </is>
      </c>
      <c r="E8084" t="inlineStr">
        <is>
          <t>LJUSDAL</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32062-2023</t>
        </is>
      </c>
      <c r="B8085" s="1" t="n">
        <v>45119</v>
      </c>
      <c r="C8085" s="1" t="n">
        <v>45344</v>
      </c>
      <c r="D8085" t="inlineStr">
        <is>
          <t>GÄVLEBORGS LÄN</t>
        </is>
      </c>
      <c r="E8085" t="inlineStr">
        <is>
          <t>BOLLNÄS</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32148-2023</t>
        </is>
      </c>
      <c r="B8086" s="1" t="n">
        <v>45119</v>
      </c>
      <c r="C8086" s="1" t="n">
        <v>45344</v>
      </c>
      <c r="D8086" t="inlineStr">
        <is>
          <t>GÄVLEBORGS LÄN</t>
        </is>
      </c>
      <c r="E8086" t="inlineStr">
        <is>
          <t>LJUSDAL</t>
        </is>
      </c>
      <c r="F8086" t="inlineStr">
        <is>
          <t>Bergvik skog väst AB</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31999-2023</t>
        </is>
      </c>
      <c r="B8087" s="1" t="n">
        <v>45119</v>
      </c>
      <c r="C8087" s="1" t="n">
        <v>45344</v>
      </c>
      <c r="D8087" t="inlineStr">
        <is>
          <t>GÄVLEBORGS LÄN</t>
        </is>
      </c>
      <c r="E8087" t="inlineStr">
        <is>
          <t>HUDIKSVALL</t>
        </is>
      </c>
      <c r="G8087" t="n">
        <v>3.2</v>
      </c>
      <c r="H8087" t="n">
        <v>0</v>
      </c>
      <c r="I8087" t="n">
        <v>0</v>
      </c>
      <c r="J8087" t="n">
        <v>0</v>
      </c>
      <c r="K8087" t="n">
        <v>0</v>
      </c>
      <c r="L8087" t="n">
        <v>0</v>
      </c>
      <c r="M8087" t="n">
        <v>0</v>
      </c>
      <c r="N8087" t="n">
        <v>0</v>
      </c>
      <c r="O8087" t="n">
        <v>0</v>
      </c>
      <c r="P8087" t="n">
        <v>0</v>
      </c>
      <c r="Q8087" t="n">
        <v>0</v>
      </c>
      <c r="R8087" s="2" t="inlineStr"/>
    </row>
    <row r="8088" ht="15" customHeight="1">
      <c r="A8088" t="inlineStr">
        <is>
          <t>A 32005-2023</t>
        </is>
      </c>
      <c r="B8088" s="1" t="n">
        <v>45119</v>
      </c>
      <c r="C8088" s="1" t="n">
        <v>45344</v>
      </c>
      <c r="D8088" t="inlineStr">
        <is>
          <t>GÄVLEBORGS LÄN</t>
        </is>
      </c>
      <c r="E8088" t="inlineStr">
        <is>
          <t>LJUSDAL</t>
        </is>
      </c>
      <c r="F8088" t="inlineStr">
        <is>
          <t>Bergvik skog väst AB</t>
        </is>
      </c>
      <c r="G8088" t="n">
        <v>17.7</v>
      </c>
      <c r="H8088" t="n">
        <v>0</v>
      </c>
      <c r="I8088" t="n">
        <v>0</v>
      </c>
      <c r="J8088" t="n">
        <v>0</v>
      </c>
      <c r="K8088" t="n">
        <v>0</v>
      </c>
      <c r="L8088" t="n">
        <v>0</v>
      </c>
      <c r="M8088" t="n">
        <v>0</v>
      </c>
      <c r="N8088" t="n">
        <v>0</v>
      </c>
      <c r="O8088" t="n">
        <v>0</v>
      </c>
      <c r="P8088" t="n">
        <v>0</v>
      </c>
      <c r="Q8088" t="n">
        <v>0</v>
      </c>
      <c r="R8088" s="2" t="inlineStr"/>
    </row>
    <row r="8089" ht="15" customHeight="1">
      <c r="A8089" t="inlineStr">
        <is>
          <t>A 32028-2023</t>
        </is>
      </c>
      <c r="B8089" s="1" t="n">
        <v>45119</v>
      </c>
      <c r="C8089" s="1" t="n">
        <v>45344</v>
      </c>
      <c r="D8089" t="inlineStr">
        <is>
          <t>GÄVLEBORGS LÄN</t>
        </is>
      </c>
      <c r="E8089" t="inlineStr">
        <is>
          <t>SANDVIKEN</t>
        </is>
      </c>
      <c r="F8089" t="inlineStr">
        <is>
          <t>Bergvik skog öst AB</t>
        </is>
      </c>
      <c r="G8089" t="n">
        <v>3.7</v>
      </c>
      <c r="H8089" t="n">
        <v>0</v>
      </c>
      <c r="I8089" t="n">
        <v>0</v>
      </c>
      <c r="J8089" t="n">
        <v>0</v>
      </c>
      <c r="K8089" t="n">
        <v>0</v>
      </c>
      <c r="L8089" t="n">
        <v>0</v>
      </c>
      <c r="M8089" t="n">
        <v>0</v>
      </c>
      <c r="N8089" t="n">
        <v>0</v>
      </c>
      <c r="O8089" t="n">
        <v>0</v>
      </c>
      <c r="P8089" t="n">
        <v>0</v>
      </c>
      <c r="Q8089" t="n">
        <v>0</v>
      </c>
      <c r="R8089" s="2" t="inlineStr"/>
    </row>
    <row r="8090" ht="15" customHeight="1">
      <c r="A8090" t="inlineStr">
        <is>
          <t>A 32056-2023</t>
        </is>
      </c>
      <c r="B8090" s="1" t="n">
        <v>45119</v>
      </c>
      <c r="C8090" s="1" t="n">
        <v>45344</v>
      </c>
      <c r="D8090" t="inlineStr">
        <is>
          <t>GÄVLEBORGS LÄN</t>
        </is>
      </c>
      <c r="E8090" t="inlineStr">
        <is>
          <t>BOLLNÄS</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32151-2023</t>
        </is>
      </c>
      <c r="B8091" s="1" t="n">
        <v>45119</v>
      </c>
      <c r="C8091" s="1" t="n">
        <v>45344</v>
      </c>
      <c r="D8091" t="inlineStr">
        <is>
          <t>GÄVLEBORGS LÄN</t>
        </is>
      </c>
      <c r="E8091" t="inlineStr">
        <is>
          <t>LJUSDAL</t>
        </is>
      </c>
      <c r="F8091" t="inlineStr">
        <is>
          <t>Bergvik skog väst AB</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32017-2023</t>
        </is>
      </c>
      <c r="B8092" s="1" t="n">
        <v>45119</v>
      </c>
      <c r="C8092" s="1" t="n">
        <v>45344</v>
      </c>
      <c r="D8092" t="inlineStr">
        <is>
          <t>GÄVLEBORGS LÄN</t>
        </is>
      </c>
      <c r="E8092" t="inlineStr">
        <is>
          <t>LJUSDAL</t>
        </is>
      </c>
      <c r="F8092" t="inlineStr">
        <is>
          <t>Bergvik skog väst AB</t>
        </is>
      </c>
      <c r="G8092" t="n">
        <v>3.5</v>
      </c>
      <c r="H8092" t="n">
        <v>0</v>
      </c>
      <c r="I8092" t="n">
        <v>0</v>
      </c>
      <c r="J8092" t="n">
        <v>0</v>
      </c>
      <c r="K8092" t="n">
        <v>0</v>
      </c>
      <c r="L8092" t="n">
        <v>0</v>
      </c>
      <c r="M8092" t="n">
        <v>0</v>
      </c>
      <c r="N8092" t="n">
        <v>0</v>
      </c>
      <c r="O8092" t="n">
        <v>0</v>
      </c>
      <c r="P8092" t="n">
        <v>0</v>
      </c>
      <c r="Q8092" t="n">
        <v>0</v>
      </c>
      <c r="R8092" s="2" t="inlineStr"/>
    </row>
    <row r="8093" ht="15" customHeight="1">
      <c r="A8093" t="inlineStr">
        <is>
          <t>A 32130-2023</t>
        </is>
      </c>
      <c r="B8093" s="1" t="n">
        <v>45119</v>
      </c>
      <c r="C8093" s="1" t="n">
        <v>45344</v>
      </c>
      <c r="D8093" t="inlineStr">
        <is>
          <t>GÄVLEBORGS LÄN</t>
        </is>
      </c>
      <c r="E8093" t="inlineStr">
        <is>
          <t>LJUSDAL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32150-2023</t>
        </is>
      </c>
      <c r="B8094" s="1" t="n">
        <v>45119</v>
      </c>
      <c r="C8094" s="1" t="n">
        <v>45344</v>
      </c>
      <c r="D8094" t="inlineStr">
        <is>
          <t>GÄVLEBORGS LÄN</t>
        </is>
      </c>
      <c r="E8094" t="inlineStr">
        <is>
          <t>BOLLNÄS</t>
        </is>
      </c>
      <c r="F8094" t="inlineStr">
        <is>
          <t>Bergvik skog väst AB</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32309-2023</t>
        </is>
      </c>
      <c r="B8095" s="1" t="n">
        <v>45120</v>
      </c>
      <c r="C8095" s="1" t="n">
        <v>45344</v>
      </c>
      <c r="D8095" t="inlineStr">
        <is>
          <t>GÄVLEBORGS LÄN</t>
        </is>
      </c>
      <c r="E8095" t="inlineStr">
        <is>
          <t>BOLLNÄS</t>
        </is>
      </c>
      <c r="G8095" t="n">
        <v>2.1</v>
      </c>
      <c r="H8095" t="n">
        <v>0</v>
      </c>
      <c r="I8095" t="n">
        <v>0</v>
      </c>
      <c r="J8095" t="n">
        <v>0</v>
      </c>
      <c r="K8095" t="n">
        <v>0</v>
      </c>
      <c r="L8095" t="n">
        <v>0</v>
      </c>
      <c r="M8095" t="n">
        <v>0</v>
      </c>
      <c r="N8095" t="n">
        <v>0</v>
      </c>
      <c r="O8095" t="n">
        <v>0</v>
      </c>
      <c r="P8095" t="n">
        <v>0</v>
      </c>
      <c r="Q8095" t="n">
        <v>0</v>
      </c>
      <c r="R8095" s="2" t="inlineStr"/>
    </row>
    <row r="8096" ht="15" customHeight="1">
      <c r="A8096" t="inlineStr">
        <is>
          <t>A 32318-2023</t>
        </is>
      </c>
      <c r="B8096" s="1" t="n">
        <v>45120</v>
      </c>
      <c r="C8096" s="1" t="n">
        <v>45344</v>
      </c>
      <c r="D8096" t="inlineStr">
        <is>
          <t>GÄVLEBORGS LÄN</t>
        </is>
      </c>
      <c r="E8096" t="inlineStr">
        <is>
          <t>OVANÅKER</t>
        </is>
      </c>
      <c r="F8096" t="inlineStr">
        <is>
          <t>Bergvik skog öst AB</t>
        </is>
      </c>
      <c r="G8096" t="n">
        <v>4.9</v>
      </c>
      <c r="H8096" t="n">
        <v>0</v>
      </c>
      <c r="I8096" t="n">
        <v>0</v>
      </c>
      <c r="J8096" t="n">
        <v>0</v>
      </c>
      <c r="K8096" t="n">
        <v>0</v>
      </c>
      <c r="L8096" t="n">
        <v>0</v>
      </c>
      <c r="M8096" t="n">
        <v>0</v>
      </c>
      <c r="N8096" t="n">
        <v>0</v>
      </c>
      <c r="O8096" t="n">
        <v>0</v>
      </c>
      <c r="P8096" t="n">
        <v>0</v>
      </c>
      <c r="Q8096" t="n">
        <v>0</v>
      </c>
      <c r="R8096" s="2" t="inlineStr"/>
    </row>
    <row r="8097" ht="15" customHeight="1">
      <c r="A8097" t="inlineStr">
        <is>
          <t>A 32330-2023</t>
        </is>
      </c>
      <c r="B8097" s="1" t="n">
        <v>45120</v>
      </c>
      <c r="C8097" s="1" t="n">
        <v>45344</v>
      </c>
      <c r="D8097" t="inlineStr">
        <is>
          <t>GÄVLEBORGS LÄN</t>
        </is>
      </c>
      <c r="E8097" t="inlineStr">
        <is>
          <t>OVANÅKER</t>
        </is>
      </c>
      <c r="F8097" t="inlineStr">
        <is>
          <t>Bergvik skog öst AB</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32258-2023</t>
        </is>
      </c>
      <c r="B8098" s="1" t="n">
        <v>45120</v>
      </c>
      <c r="C8098" s="1" t="n">
        <v>45344</v>
      </c>
      <c r="D8098" t="inlineStr">
        <is>
          <t>GÄVLEBORGS LÄN</t>
        </is>
      </c>
      <c r="E8098" t="inlineStr">
        <is>
          <t>SANDVIKEN</t>
        </is>
      </c>
      <c r="G8098" t="n">
        <v>5.8</v>
      </c>
      <c r="H8098" t="n">
        <v>0</v>
      </c>
      <c r="I8098" t="n">
        <v>0</v>
      </c>
      <c r="J8098" t="n">
        <v>0</v>
      </c>
      <c r="K8098" t="n">
        <v>0</v>
      </c>
      <c r="L8098" t="n">
        <v>0</v>
      </c>
      <c r="M8098" t="n">
        <v>0</v>
      </c>
      <c r="N8098" t="n">
        <v>0</v>
      </c>
      <c r="O8098" t="n">
        <v>0</v>
      </c>
      <c r="P8098" t="n">
        <v>0</v>
      </c>
      <c r="Q8098" t="n">
        <v>0</v>
      </c>
      <c r="R8098" s="2" t="inlineStr"/>
    </row>
    <row r="8099" ht="15" customHeight="1">
      <c r="A8099" t="inlineStr">
        <is>
          <t>A 32313-2023</t>
        </is>
      </c>
      <c r="B8099" s="1" t="n">
        <v>45120</v>
      </c>
      <c r="C8099" s="1" t="n">
        <v>45344</v>
      </c>
      <c r="D8099" t="inlineStr">
        <is>
          <t>GÄVLEBORGS LÄN</t>
        </is>
      </c>
      <c r="E8099" t="inlineStr">
        <is>
          <t>NORDANSTIG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32324-2023</t>
        </is>
      </c>
      <c r="B8100" s="1" t="n">
        <v>45120</v>
      </c>
      <c r="C8100" s="1" t="n">
        <v>45344</v>
      </c>
      <c r="D8100" t="inlineStr">
        <is>
          <t>GÄVLEBORGS LÄN</t>
        </is>
      </c>
      <c r="E8100" t="inlineStr">
        <is>
          <t>OCKELBO</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32365-2023</t>
        </is>
      </c>
      <c r="B8101" s="1" t="n">
        <v>45120</v>
      </c>
      <c r="C8101" s="1" t="n">
        <v>45344</v>
      </c>
      <c r="D8101" t="inlineStr">
        <is>
          <t>GÄVLEBORGS LÄN</t>
        </is>
      </c>
      <c r="E8101" t="inlineStr">
        <is>
          <t>LJUSDAL</t>
        </is>
      </c>
      <c r="F8101" t="inlineStr">
        <is>
          <t>Holmen skog AB</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32255-2023</t>
        </is>
      </c>
      <c r="B8102" s="1" t="n">
        <v>45120</v>
      </c>
      <c r="C8102" s="1" t="n">
        <v>45344</v>
      </c>
      <c r="D8102" t="inlineStr">
        <is>
          <t>GÄVLEBORGS LÄN</t>
        </is>
      </c>
      <c r="E8102" t="inlineStr">
        <is>
          <t>GÄVLE</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32260-2023</t>
        </is>
      </c>
      <c r="B8103" s="1" t="n">
        <v>45120</v>
      </c>
      <c r="C8103" s="1" t="n">
        <v>45344</v>
      </c>
      <c r="D8103" t="inlineStr">
        <is>
          <t>GÄVLEBORGS LÄN</t>
        </is>
      </c>
      <c r="E8103" t="inlineStr">
        <is>
          <t>SANDVIKEN</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32265-2023</t>
        </is>
      </c>
      <c r="B8104" s="1" t="n">
        <v>45120</v>
      </c>
      <c r="C8104" s="1" t="n">
        <v>45344</v>
      </c>
      <c r="D8104" t="inlineStr">
        <is>
          <t>GÄVLEBORGS LÄN</t>
        </is>
      </c>
      <c r="E8104" t="inlineStr">
        <is>
          <t>OVANÅKER</t>
        </is>
      </c>
      <c r="F8104" t="inlineStr">
        <is>
          <t>Sveaskog</t>
        </is>
      </c>
      <c r="G8104" t="n">
        <v>4.4</v>
      </c>
      <c r="H8104" t="n">
        <v>0</v>
      </c>
      <c r="I8104" t="n">
        <v>0</v>
      </c>
      <c r="J8104" t="n">
        <v>0</v>
      </c>
      <c r="K8104" t="n">
        <v>0</v>
      </c>
      <c r="L8104" t="n">
        <v>0</v>
      </c>
      <c r="M8104" t="n">
        <v>0</v>
      </c>
      <c r="N8104" t="n">
        <v>0</v>
      </c>
      <c r="O8104" t="n">
        <v>0</v>
      </c>
      <c r="P8104" t="n">
        <v>0</v>
      </c>
      <c r="Q8104" t="n">
        <v>0</v>
      </c>
      <c r="R8104" s="2" t="inlineStr"/>
    </row>
    <row r="8105" ht="15" customHeight="1">
      <c r="A8105" t="inlineStr">
        <is>
          <t>A 32333-2023</t>
        </is>
      </c>
      <c r="B8105" s="1" t="n">
        <v>45120</v>
      </c>
      <c r="C8105" s="1" t="n">
        <v>45344</v>
      </c>
      <c r="D8105" t="inlineStr">
        <is>
          <t>GÄVLEBORGS LÄN</t>
        </is>
      </c>
      <c r="E8105" t="inlineStr">
        <is>
          <t>OVANÅKER</t>
        </is>
      </c>
      <c r="F8105" t="inlineStr">
        <is>
          <t>Bergvik skog öst AB</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32306-2023</t>
        </is>
      </c>
      <c r="B8106" s="1" t="n">
        <v>45120</v>
      </c>
      <c r="C8106" s="1" t="n">
        <v>45344</v>
      </c>
      <c r="D8106" t="inlineStr">
        <is>
          <t>GÄVLEBORGS LÄN</t>
        </is>
      </c>
      <c r="E8106" t="inlineStr">
        <is>
          <t>OVANÅKER</t>
        </is>
      </c>
      <c r="F8106" t="inlineStr">
        <is>
          <t>Bergvik skog öst AB</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32310-2023</t>
        </is>
      </c>
      <c r="B8107" s="1" t="n">
        <v>45120</v>
      </c>
      <c r="C8107" s="1" t="n">
        <v>45344</v>
      </c>
      <c r="D8107" t="inlineStr">
        <is>
          <t>GÄVLEBORGS LÄN</t>
        </is>
      </c>
      <c r="E8107" t="inlineStr">
        <is>
          <t>OVANÅKER</t>
        </is>
      </c>
      <c r="F8107" t="inlineStr">
        <is>
          <t>Bergvik skog öst AB</t>
        </is>
      </c>
      <c r="G8107" t="n">
        <v>4.5</v>
      </c>
      <c r="H8107" t="n">
        <v>0</v>
      </c>
      <c r="I8107" t="n">
        <v>0</v>
      </c>
      <c r="J8107" t="n">
        <v>0</v>
      </c>
      <c r="K8107" t="n">
        <v>0</v>
      </c>
      <c r="L8107" t="n">
        <v>0</v>
      </c>
      <c r="M8107" t="n">
        <v>0</v>
      </c>
      <c r="N8107" t="n">
        <v>0</v>
      </c>
      <c r="O8107" t="n">
        <v>0</v>
      </c>
      <c r="P8107" t="n">
        <v>0</v>
      </c>
      <c r="Q8107" t="n">
        <v>0</v>
      </c>
      <c r="R8107" s="2" t="inlineStr"/>
    </row>
    <row r="8108" ht="15" customHeight="1">
      <c r="A8108" t="inlineStr">
        <is>
          <t>A 32315-2023</t>
        </is>
      </c>
      <c r="B8108" s="1" t="n">
        <v>45120</v>
      </c>
      <c r="C8108" s="1" t="n">
        <v>45344</v>
      </c>
      <c r="D8108" t="inlineStr">
        <is>
          <t>GÄVLEBORGS LÄN</t>
        </is>
      </c>
      <c r="E8108" t="inlineStr">
        <is>
          <t>NORDANSTIG</t>
        </is>
      </c>
      <c r="G8108" t="n">
        <v>3.8</v>
      </c>
      <c r="H8108" t="n">
        <v>0</v>
      </c>
      <c r="I8108" t="n">
        <v>0</v>
      </c>
      <c r="J8108" t="n">
        <v>0</v>
      </c>
      <c r="K8108" t="n">
        <v>0</v>
      </c>
      <c r="L8108" t="n">
        <v>0</v>
      </c>
      <c r="M8108" t="n">
        <v>0</v>
      </c>
      <c r="N8108" t="n">
        <v>0</v>
      </c>
      <c r="O8108" t="n">
        <v>0</v>
      </c>
      <c r="P8108" t="n">
        <v>0</v>
      </c>
      <c r="Q8108" t="n">
        <v>0</v>
      </c>
      <c r="R8108" s="2" t="inlineStr"/>
    </row>
    <row r="8109" ht="15" customHeight="1">
      <c r="A8109" t="inlineStr">
        <is>
          <t>A 32353-2023</t>
        </is>
      </c>
      <c r="B8109" s="1" t="n">
        <v>45120</v>
      </c>
      <c r="C8109" s="1" t="n">
        <v>45344</v>
      </c>
      <c r="D8109" t="inlineStr">
        <is>
          <t>GÄVLEBORGS LÄN</t>
        </is>
      </c>
      <c r="E8109" t="inlineStr">
        <is>
          <t>GÄVLE</t>
        </is>
      </c>
      <c r="G8109" t="n">
        <v>3.7</v>
      </c>
      <c r="H8109" t="n">
        <v>0</v>
      </c>
      <c r="I8109" t="n">
        <v>0</v>
      </c>
      <c r="J8109" t="n">
        <v>0</v>
      </c>
      <c r="K8109" t="n">
        <v>0</v>
      </c>
      <c r="L8109" t="n">
        <v>0</v>
      </c>
      <c r="M8109" t="n">
        <v>0</v>
      </c>
      <c r="N8109" t="n">
        <v>0</v>
      </c>
      <c r="O8109" t="n">
        <v>0</v>
      </c>
      <c r="P8109" t="n">
        <v>0</v>
      </c>
      <c r="Q8109" t="n">
        <v>0</v>
      </c>
      <c r="R8109" s="2" t="inlineStr"/>
    </row>
    <row r="8110" ht="15" customHeight="1">
      <c r="A8110" t="inlineStr">
        <is>
          <t>A 32335-2023</t>
        </is>
      </c>
      <c r="B8110" s="1" t="n">
        <v>45120</v>
      </c>
      <c r="C8110" s="1" t="n">
        <v>45344</v>
      </c>
      <c r="D8110" t="inlineStr">
        <is>
          <t>GÄVLEBORGS LÄN</t>
        </is>
      </c>
      <c r="E8110" t="inlineStr">
        <is>
          <t>LJUSDAL</t>
        </is>
      </c>
      <c r="F8110" t="inlineStr">
        <is>
          <t>Holmen skog AB</t>
        </is>
      </c>
      <c r="G8110" t="n">
        <v>2.6</v>
      </c>
      <c r="H8110" t="n">
        <v>0</v>
      </c>
      <c r="I8110" t="n">
        <v>0</v>
      </c>
      <c r="J8110" t="n">
        <v>0</v>
      </c>
      <c r="K8110" t="n">
        <v>0</v>
      </c>
      <c r="L8110" t="n">
        <v>0</v>
      </c>
      <c r="M8110" t="n">
        <v>0</v>
      </c>
      <c r="N8110" t="n">
        <v>0</v>
      </c>
      <c r="O8110" t="n">
        <v>0</v>
      </c>
      <c r="P8110" t="n">
        <v>0</v>
      </c>
      <c r="Q8110" t="n">
        <v>0</v>
      </c>
      <c r="R8110" s="2" t="inlineStr"/>
    </row>
    <row r="8111" ht="15" customHeight="1">
      <c r="A8111" t="inlineStr">
        <is>
          <t>A 32339-2023</t>
        </is>
      </c>
      <c r="B8111" s="1" t="n">
        <v>45120</v>
      </c>
      <c r="C8111" s="1" t="n">
        <v>45344</v>
      </c>
      <c r="D8111" t="inlineStr">
        <is>
          <t>GÄVLEBORGS LÄN</t>
        </is>
      </c>
      <c r="E8111" t="inlineStr">
        <is>
          <t>SANDVIKEN</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32470-2023</t>
        </is>
      </c>
      <c r="B8112" s="1" t="n">
        <v>45121</v>
      </c>
      <c r="C8112" s="1" t="n">
        <v>45344</v>
      </c>
      <c r="D8112" t="inlineStr">
        <is>
          <t>GÄVLEBORGS LÄN</t>
        </is>
      </c>
      <c r="E8112" t="inlineStr">
        <is>
          <t>NORDANSTIG</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32471-2023</t>
        </is>
      </c>
      <c r="B8113" s="1" t="n">
        <v>45121</v>
      </c>
      <c r="C8113" s="1" t="n">
        <v>45344</v>
      </c>
      <c r="D8113" t="inlineStr">
        <is>
          <t>GÄVLEBORGS LÄN</t>
        </is>
      </c>
      <c r="E8113" t="inlineStr">
        <is>
          <t>NORDANSTIG</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32581-2023</t>
        </is>
      </c>
      <c r="B8114" s="1" t="n">
        <v>45121</v>
      </c>
      <c r="C8114" s="1" t="n">
        <v>45344</v>
      </c>
      <c r="D8114" t="inlineStr">
        <is>
          <t>GÄVLEBORGS LÄN</t>
        </is>
      </c>
      <c r="E8114" t="inlineStr">
        <is>
          <t>LJUSDAL</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32659-2023</t>
        </is>
      </c>
      <c r="B8115" s="1" t="n">
        <v>45121</v>
      </c>
      <c r="C8115" s="1" t="n">
        <v>45344</v>
      </c>
      <c r="D8115" t="inlineStr">
        <is>
          <t>GÄVLEBORGS LÄN</t>
        </is>
      </c>
      <c r="E8115" t="inlineStr">
        <is>
          <t>HUDIKSVALL</t>
        </is>
      </c>
      <c r="G8115" t="n">
        <v>7.1</v>
      </c>
      <c r="H8115" t="n">
        <v>0</v>
      </c>
      <c r="I8115" t="n">
        <v>0</v>
      </c>
      <c r="J8115" t="n">
        <v>0</v>
      </c>
      <c r="K8115" t="n">
        <v>0</v>
      </c>
      <c r="L8115" t="n">
        <v>0</v>
      </c>
      <c r="M8115" t="n">
        <v>0</v>
      </c>
      <c r="N8115" t="n">
        <v>0</v>
      </c>
      <c r="O8115" t="n">
        <v>0</v>
      </c>
      <c r="P8115" t="n">
        <v>0</v>
      </c>
      <c r="Q8115" t="n">
        <v>0</v>
      </c>
      <c r="R8115" s="2" t="inlineStr"/>
    </row>
    <row r="8116" ht="15" customHeight="1">
      <c r="A8116" t="inlineStr">
        <is>
          <t>A 32520-2023</t>
        </is>
      </c>
      <c r="B8116" s="1" t="n">
        <v>45121</v>
      </c>
      <c r="C8116" s="1" t="n">
        <v>45344</v>
      </c>
      <c r="D8116" t="inlineStr">
        <is>
          <t>GÄVLEBORGS LÄN</t>
        </is>
      </c>
      <c r="E8116" t="inlineStr">
        <is>
          <t>SANDVIKEN</t>
        </is>
      </c>
      <c r="F8116" t="inlineStr">
        <is>
          <t>Bergvik skog öst AB</t>
        </is>
      </c>
      <c r="G8116" t="n">
        <v>5.2</v>
      </c>
      <c r="H8116" t="n">
        <v>0</v>
      </c>
      <c r="I8116" t="n">
        <v>0</v>
      </c>
      <c r="J8116" t="n">
        <v>0</v>
      </c>
      <c r="K8116" t="n">
        <v>0</v>
      </c>
      <c r="L8116" t="n">
        <v>0</v>
      </c>
      <c r="M8116" t="n">
        <v>0</v>
      </c>
      <c r="N8116" t="n">
        <v>0</v>
      </c>
      <c r="O8116" t="n">
        <v>0</v>
      </c>
      <c r="P8116" t="n">
        <v>0</v>
      </c>
      <c r="Q8116" t="n">
        <v>0</v>
      </c>
      <c r="R8116" s="2" t="inlineStr"/>
    </row>
    <row r="8117" ht="15" customHeight="1">
      <c r="A8117" t="inlineStr">
        <is>
          <t>A 32667-2023</t>
        </is>
      </c>
      <c r="B8117" s="1" t="n">
        <v>45121</v>
      </c>
      <c r="C8117" s="1" t="n">
        <v>45344</v>
      </c>
      <c r="D8117" t="inlineStr">
        <is>
          <t>GÄVLEBORGS LÄN</t>
        </is>
      </c>
      <c r="E8117" t="inlineStr">
        <is>
          <t>OCKELBO</t>
        </is>
      </c>
      <c r="F8117" t="inlineStr">
        <is>
          <t>Bergvik skog väst AB</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32652-2023</t>
        </is>
      </c>
      <c r="B8118" s="1" t="n">
        <v>45121</v>
      </c>
      <c r="C8118" s="1" t="n">
        <v>45344</v>
      </c>
      <c r="D8118" t="inlineStr">
        <is>
          <t>GÄVLEBORGS LÄN</t>
        </is>
      </c>
      <c r="E8118" t="inlineStr">
        <is>
          <t>NORDANSTIG</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32722-2023</t>
        </is>
      </c>
      <c r="B8119" s="1" t="n">
        <v>45122</v>
      </c>
      <c r="C8119" s="1" t="n">
        <v>45344</v>
      </c>
      <c r="D8119" t="inlineStr">
        <is>
          <t>GÄVLEBORGS LÄN</t>
        </is>
      </c>
      <c r="E8119" t="inlineStr">
        <is>
          <t>NORDANSTIG</t>
        </is>
      </c>
      <c r="G8119" t="n">
        <v>3.9</v>
      </c>
      <c r="H8119" t="n">
        <v>0</v>
      </c>
      <c r="I8119" t="n">
        <v>0</v>
      </c>
      <c r="J8119" t="n">
        <v>0</v>
      </c>
      <c r="K8119" t="n">
        <v>0</v>
      </c>
      <c r="L8119" t="n">
        <v>0</v>
      </c>
      <c r="M8119" t="n">
        <v>0</v>
      </c>
      <c r="N8119" t="n">
        <v>0</v>
      </c>
      <c r="O8119" t="n">
        <v>0</v>
      </c>
      <c r="P8119" t="n">
        <v>0</v>
      </c>
      <c r="Q8119" t="n">
        <v>0</v>
      </c>
      <c r="R8119" s="2" t="inlineStr"/>
    </row>
    <row r="8120" ht="15" customHeight="1">
      <c r="A8120" t="inlineStr">
        <is>
          <t>A 32548-2023</t>
        </is>
      </c>
      <c r="B8120" s="1" t="n">
        <v>45121</v>
      </c>
      <c r="C8120" s="1" t="n">
        <v>45344</v>
      </c>
      <c r="D8120" t="inlineStr">
        <is>
          <t>GÄVLEBORGS LÄN</t>
        </is>
      </c>
      <c r="E8120" t="inlineStr">
        <is>
          <t>BOLLNÄS</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32597-2023</t>
        </is>
      </c>
      <c r="B8121" s="1" t="n">
        <v>45121</v>
      </c>
      <c r="C8121" s="1" t="n">
        <v>45344</v>
      </c>
      <c r="D8121" t="inlineStr">
        <is>
          <t>GÄVLEBORGS LÄN</t>
        </is>
      </c>
      <c r="E8121" t="inlineStr">
        <is>
          <t>LJUSDAL</t>
        </is>
      </c>
      <c r="F8121" t="inlineStr">
        <is>
          <t>Allmännings- och besparingsskogar</t>
        </is>
      </c>
      <c r="G8121" t="n">
        <v>5.9</v>
      </c>
      <c r="H8121" t="n">
        <v>0</v>
      </c>
      <c r="I8121" t="n">
        <v>0</v>
      </c>
      <c r="J8121" t="n">
        <v>0</v>
      </c>
      <c r="K8121" t="n">
        <v>0</v>
      </c>
      <c r="L8121" t="n">
        <v>0</v>
      </c>
      <c r="M8121" t="n">
        <v>0</v>
      </c>
      <c r="N8121" t="n">
        <v>0</v>
      </c>
      <c r="O8121" t="n">
        <v>0</v>
      </c>
      <c r="P8121" t="n">
        <v>0</v>
      </c>
      <c r="Q8121" t="n">
        <v>0</v>
      </c>
      <c r="R8121" s="2" t="inlineStr"/>
    </row>
    <row r="8122" ht="15" customHeight="1">
      <c r="A8122" t="inlineStr">
        <is>
          <t>A 32609-2023</t>
        </is>
      </c>
      <c r="B8122" s="1" t="n">
        <v>45121</v>
      </c>
      <c r="C8122" s="1" t="n">
        <v>45344</v>
      </c>
      <c r="D8122" t="inlineStr">
        <is>
          <t>GÄVLEBORGS LÄN</t>
        </is>
      </c>
      <c r="E8122" t="inlineStr">
        <is>
          <t>SANDVIKEN</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32748-2023</t>
        </is>
      </c>
      <c r="B8123" s="1" t="n">
        <v>45122</v>
      </c>
      <c r="C8123" s="1" t="n">
        <v>45344</v>
      </c>
      <c r="D8123" t="inlineStr">
        <is>
          <t>GÄVLEBORGS LÄN</t>
        </is>
      </c>
      <c r="E8123" t="inlineStr">
        <is>
          <t>HUDIKSVALL</t>
        </is>
      </c>
      <c r="G8123" t="n">
        <v>3.3</v>
      </c>
      <c r="H8123" t="n">
        <v>0</v>
      </c>
      <c r="I8123" t="n">
        <v>0</v>
      </c>
      <c r="J8123" t="n">
        <v>0</v>
      </c>
      <c r="K8123" t="n">
        <v>0</v>
      </c>
      <c r="L8123" t="n">
        <v>0</v>
      </c>
      <c r="M8123" t="n">
        <v>0</v>
      </c>
      <c r="N8123" t="n">
        <v>0</v>
      </c>
      <c r="O8123" t="n">
        <v>0</v>
      </c>
      <c r="P8123" t="n">
        <v>0</v>
      </c>
      <c r="Q8123" t="n">
        <v>0</v>
      </c>
      <c r="R8123" s="2" t="inlineStr"/>
    </row>
    <row r="8124" ht="15" customHeight="1">
      <c r="A8124" t="inlineStr">
        <is>
          <t>A 32754-2023</t>
        </is>
      </c>
      <c r="B8124" s="1" t="n">
        <v>45123</v>
      </c>
      <c r="C8124" s="1" t="n">
        <v>45344</v>
      </c>
      <c r="D8124" t="inlineStr">
        <is>
          <t>GÄVLEBORGS LÄN</t>
        </is>
      </c>
      <c r="E8124" t="inlineStr">
        <is>
          <t>BOLLNÄS</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34040-2023</t>
        </is>
      </c>
      <c r="B8125" s="1" t="n">
        <v>45124</v>
      </c>
      <c r="C8125" s="1" t="n">
        <v>45344</v>
      </c>
      <c r="D8125" t="inlineStr">
        <is>
          <t>GÄVLEBORGS LÄN</t>
        </is>
      </c>
      <c r="E8125" t="inlineStr">
        <is>
          <t>LJUSDAL</t>
        </is>
      </c>
      <c r="F8125" t="inlineStr">
        <is>
          <t>SCA</t>
        </is>
      </c>
      <c r="G8125" t="n">
        <v>18.4</v>
      </c>
      <c r="H8125" t="n">
        <v>0</v>
      </c>
      <c r="I8125" t="n">
        <v>0</v>
      </c>
      <c r="J8125" t="n">
        <v>0</v>
      </c>
      <c r="K8125" t="n">
        <v>0</v>
      </c>
      <c r="L8125" t="n">
        <v>0</v>
      </c>
      <c r="M8125" t="n">
        <v>0</v>
      </c>
      <c r="N8125" t="n">
        <v>0</v>
      </c>
      <c r="O8125" t="n">
        <v>0</v>
      </c>
      <c r="P8125" t="n">
        <v>0</v>
      </c>
      <c r="Q8125" t="n">
        <v>0</v>
      </c>
      <c r="R8125" s="2" t="inlineStr"/>
    </row>
    <row r="8126" ht="15" customHeight="1">
      <c r="A8126" t="inlineStr">
        <is>
          <t>A 32827-2023</t>
        </is>
      </c>
      <c r="B8126" s="1" t="n">
        <v>45124</v>
      </c>
      <c r="C8126" s="1" t="n">
        <v>45344</v>
      </c>
      <c r="D8126" t="inlineStr">
        <is>
          <t>GÄVLEBORGS LÄN</t>
        </is>
      </c>
      <c r="E8126" t="inlineStr">
        <is>
          <t>NORDANSTIG</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33959-2023</t>
        </is>
      </c>
      <c r="B8127" s="1" t="n">
        <v>45124</v>
      </c>
      <c r="C8127" s="1" t="n">
        <v>45344</v>
      </c>
      <c r="D8127" t="inlineStr">
        <is>
          <t>GÄVLEBORGS LÄN</t>
        </is>
      </c>
      <c r="E8127" t="inlineStr">
        <is>
          <t>HUDIKSVALL</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32923-2023</t>
        </is>
      </c>
      <c r="B8128" s="1" t="n">
        <v>45125</v>
      </c>
      <c r="C8128" s="1" t="n">
        <v>45344</v>
      </c>
      <c r="D8128" t="inlineStr">
        <is>
          <t>GÄVLEBORGS LÄN</t>
        </is>
      </c>
      <c r="E8128" t="inlineStr">
        <is>
          <t>NORDANSTIG</t>
        </is>
      </c>
      <c r="F8128" t="inlineStr">
        <is>
          <t>Holmen skog AB</t>
        </is>
      </c>
      <c r="G8128" t="n">
        <v>5.9</v>
      </c>
      <c r="H8128" t="n">
        <v>0</v>
      </c>
      <c r="I8128" t="n">
        <v>0</v>
      </c>
      <c r="J8128" t="n">
        <v>0</v>
      </c>
      <c r="K8128" t="n">
        <v>0</v>
      </c>
      <c r="L8128" t="n">
        <v>0</v>
      </c>
      <c r="M8128" t="n">
        <v>0</v>
      </c>
      <c r="N8128" t="n">
        <v>0</v>
      </c>
      <c r="O8128" t="n">
        <v>0</v>
      </c>
      <c r="P8128" t="n">
        <v>0</v>
      </c>
      <c r="Q8128" t="n">
        <v>0</v>
      </c>
      <c r="R8128" s="2" t="inlineStr"/>
    </row>
    <row r="8129" ht="15" customHeight="1">
      <c r="A8129" t="inlineStr">
        <is>
          <t>A 32943-2023</t>
        </is>
      </c>
      <c r="B8129" s="1" t="n">
        <v>45125</v>
      </c>
      <c r="C8129" s="1" t="n">
        <v>45344</v>
      </c>
      <c r="D8129" t="inlineStr">
        <is>
          <t>GÄVLEBORGS LÄN</t>
        </is>
      </c>
      <c r="E8129" t="inlineStr">
        <is>
          <t>LJUSDAL</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32920-2023</t>
        </is>
      </c>
      <c r="B8130" s="1" t="n">
        <v>45125</v>
      </c>
      <c r="C8130" s="1" t="n">
        <v>45344</v>
      </c>
      <c r="D8130" t="inlineStr">
        <is>
          <t>GÄVLEBORGS LÄN</t>
        </is>
      </c>
      <c r="E8130" t="inlineStr">
        <is>
          <t>LJUSDAL</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32924-2023</t>
        </is>
      </c>
      <c r="B8131" s="1" t="n">
        <v>45125</v>
      </c>
      <c r="C8131" s="1" t="n">
        <v>45344</v>
      </c>
      <c r="D8131" t="inlineStr">
        <is>
          <t>GÄVLEBORGS LÄN</t>
        </is>
      </c>
      <c r="E8131" t="inlineStr">
        <is>
          <t>LJUSDAL</t>
        </is>
      </c>
      <c r="F8131" t="inlineStr">
        <is>
          <t>Holmen skog AB</t>
        </is>
      </c>
      <c r="G8131" t="n">
        <v>6</v>
      </c>
      <c r="H8131" t="n">
        <v>0</v>
      </c>
      <c r="I8131" t="n">
        <v>0</v>
      </c>
      <c r="J8131" t="n">
        <v>0</v>
      </c>
      <c r="K8131" t="n">
        <v>0</v>
      </c>
      <c r="L8131" t="n">
        <v>0</v>
      </c>
      <c r="M8131" t="n">
        <v>0</v>
      </c>
      <c r="N8131" t="n">
        <v>0</v>
      </c>
      <c r="O8131" t="n">
        <v>0</v>
      </c>
      <c r="P8131" t="n">
        <v>0</v>
      </c>
      <c r="Q8131" t="n">
        <v>0</v>
      </c>
      <c r="R8131" s="2" t="inlineStr"/>
    </row>
    <row r="8132" ht="15" customHeight="1">
      <c r="A8132" t="inlineStr">
        <is>
          <t>A 32980-2023</t>
        </is>
      </c>
      <c r="B8132" s="1" t="n">
        <v>45125</v>
      </c>
      <c r="C8132" s="1" t="n">
        <v>45344</v>
      </c>
      <c r="D8132" t="inlineStr">
        <is>
          <t>GÄVLEBORGS LÄN</t>
        </is>
      </c>
      <c r="E8132" t="inlineStr">
        <is>
          <t>HOFORS</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32986-2023</t>
        </is>
      </c>
      <c r="B8133" s="1" t="n">
        <v>45125</v>
      </c>
      <c r="C8133" s="1" t="n">
        <v>45344</v>
      </c>
      <c r="D8133" t="inlineStr">
        <is>
          <t>GÄVLEBORGS LÄN</t>
        </is>
      </c>
      <c r="E8133" t="inlineStr">
        <is>
          <t>LJUSDAL</t>
        </is>
      </c>
      <c r="F8133" t="inlineStr">
        <is>
          <t>Allmännings- och besparingsskogar</t>
        </is>
      </c>
      <c r="G8133" t="n">
        <v>15.1</v>
      </c>
      <c r="H8133" t="n">
        <v>0</v>
      </c>
      <c r="I8133" t="n">
        <v>0</v>
      </c>
      <c r="J8133" t="n">
        <v>0</v>
      </c>
      <c r="K8133" t="n">
        <v>0</v>
      </c>
      <c r="L8133" t="n">
        <v>0</v>
      </c>
      <c r="M8133" t="n">
        <v>0</v>
      </c>
      <c r="N8133" t="n">
        <v>0</v>
      </c>
      <c r="O8133" t="n">
        <v>0</v>
      </c>
      <c r="P8133" t="n">
        <v>0</v>
      </c>
      <c r="Q8133" t="n">
        <v>0</v>
      </c>
      <c r="R8133" s="2" t="inlineStr"/>
    </row>
    <row r="8134" ht="15" customHeight="1">
      <c r="A8134" t="inlineStr">
        <is>
          <t>A 33015-2023</t>
        </is>
      </c>
      <c r="B8134" s="1" t="n">
        <v>45125</v>
      </c>
      <c r="C8134" s="1" t="n">
        <v>45344</v>
      </c>
      <c r="D8134" t="inlineStr">
        <is>
          <t>GÄVLEBORGS LÄN</t>
        </is>
      </c>
      <c r="E8134" t="inlineStr">
        <is>
          <t>GÄVLE</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32925-2023</t>
        </is>
      </c>
      <c r="B8135" s="1" t="n">
        <v>45125</v>
      </c>
      <c r="C8135" s="1" t="n">
        <v>45344</v>
      </c>
      <c r="D8135" t="inlineStr">
        <is>
          <t>GÄVLEBORGS LÄN</t>
        </is>
      </c>
      <c r="E8135" t="inlineStr">
        <is>
          <t>NORDANSTIG</t>
        </is>
      </c>
      <c r="F8135" t="inlineStr">
        <is>
          <t>Holmen skog AB</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32941-2023</t>
        </is>
      </c>
      <c r="B8136" s="1" t="n">
        <v>45125</v>
      </c>
      <c r="C8136" s="1" t="n">
        <v>45344</v>
      </c>
      <c r="D8136" t="inlineStr">
        <is>
          <t>GÄVLEBORGS LÄN</t>
        </is>
      </c>
      <c r="E8136" t="inlineStr">
        <is>
          <t>LJUSDAL</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32918-2023</t>
        </is>
      </c>
      <c r="B8137" s="1" t="n">
        <v>45125</v>
      </c>
      <c r="C8137" s="1" t="n">
        <v>45344</v>
      </c>
      <c r="D8137" t="inlineStr">
        <is>
          <t>GÄVLEBORGS LÄN</t>
        </is>
      </c>
      <c r="E8137" t="inlineStr">
        <is>
          <t>LJUSDAL</t>
        </is>
      </c>
      <c r="F8137" t="inlineStr">
        <is>
          <t>Holmen skog AB</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32922-2023</t>
        </is>
      </c>
      <c r="B8138" s="1" t="n">
        <v>45125</v>
      </c>
      <c r="C8138" s="1" t="n">
        <v>45344</v>
      </c>
      <c r="D8138" t="inlineStr">
        <is>
          <t>GÄVLEBORGS LÄN</t>
        </is>
      </c>
      <c r="E8138" t="inlineStr">
        <is>
          <t>LJUSDAL</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32947-2023</t>
        </is>
      </c>
      <c r="B8139" s="1" t="n">
        <v>45125</v>
      </c>
      <c r="C8139" s="1" t="n">
        <v>45344</v>
      </c>
      <c r="D8139" t="inlineStr">
        <is>
          <t>GÄVLEBORGS LÄN</t>
        </is>
      </c>
      <c r="E8139" t="inlineStr">
        <is>
          <t>LJUSDAL</t>
        </is>
      </c>
      <c r="G8139" t="n">
        <v>11.5</v>
      </c>
      <c r="H8139" t="n">
        <v>0</v>
      </c>
      <c r="I8139" t="n">
        <v>0</v>
      </c>
      <c r="J8139" t="n">
        <v>0</v>
      </c>
      <c r="K8139" t="n">
        <v>0</v>
      </c>
      <c r="L8139" t="n">
        <v>0</v>
      </c>
      <c r="M8139" t="n">
        <v>0</v>
      </c>
      <c r="N8139" t="n">
        <v>0</v>
      </c>
      <c r="O8139" t="n">
        <v>0</v>
      </c>
      <c r="P8139" t="n">
        <v>0</v>
      </c>
      <c r="Q8139" t="n">
        <v>0</v>
      </c>
      <c r="R8139" s="2" t="inlineStr"/>
    </row>
    <row r="8140" ht="15" customHeight="1">
      <c r="A8140" t="inlineStr">
        <is>
          <t>A 33137-2023</t>
        </is>
      </c>
      <c r="B8140" s="1" t="n">
        <v>45126</v>
      </c>
      <c r="C8140" s="1" t="n">
        <v>45344</v>
      </c>
      <c r="D8140" t="inlineStr">
        <is>
          <t>GÄVLEBORGS LÄN</t>
        </is>
      </c>
      <c r="E8140" t="inlineStr">
        <is>
          <t>SANDVIKEN</t>
        </is>
      </c>
      <c r="G8140" t="n">
        <v>2.2</v>
      </c>
      <c r="H8140" t="n">
        <v>0</v>
      </c>
      <c r="I8140" t="n">
        <v>0</v>
      </c>
      <c r="J8140" t="n">
        <v>0</v>
      </c>
      <c r="K8140" t="n">
        <v>0</v>
      </c>
      <c r="L8140" t="n">
        <v>0</v>
      </c>
      <c r="M8140" t="n">
        <v>0</v>
      </c>
      <c r="N8140" t="n">
        <v>0</v>
      </c>
      <c r="O8140" t="n">
        <v>0</v>
      </c>
      <c r="P8140" t="n">
        <v>0</v>
      </c>
      <c r="Q8140" t="n">
        <v>0</v>
      </c>
      <c r="R8140" s="2" t="inlineStr"/>
    </row>
    <row r="8141" ht="15" customHeight="1">
      <c r="A8141" t="inlineStr">
        <is>
          <t>A 33133-2023</t>
        </is>
      </c>
      <c r="B8141" s="1" t="n">
        <v>45126</v>
      </c>
      <c r="C8141" s="1" t="n">
        <v>45344</v>
      </c>
      <c r="D8141" t="inlineStr">
        <is>
          <t>GÄVLEBORGS LÄN</t>
        </is>
      </c>
      <c r="E8141" t="inlineStr">
        <is>
          <t>SANDVIKEN</t>
        </is>
      </c>
      <c r="G8141" t="n">
        <v>4.6</v>
      </c>
      <c r="H8141" t="n">
        <v>0</v>
      </c>
      <c r="I8141" t="n">
        <v>0</v>
      </c>
      <c r="J8141" t="n">
        <v>0</v>
      </c>
      <c r="K8141" t="n">
        <v>0</v>
      </c>
      <c r="L8141" t="n">
        <v>0</v>
      </c>
      <c r="M8141" t="n">
        <v>0</v>
      </c>
      <c r="N8141" t="n">
        <v>0</v>
      </c>
      <c r="O8141" t="n">
        <v>0</v>
      </c>
      <c r="P8141" t="n">
        <v>0</v>
      </c>
      <c r="Q8141" t="n">
        <v>0</v>
      </c>
      <c r="R8141" s="2" t="inlineStr"/>
    </row>
    <row r="8142" ht="15" customHeight="1">
      <c r="A8142" t="inlineStr">
        <is>
          <t>A 33136-2023</t>
        </is>
      </c>
      <c r="B8142" s="1" t="n">
        <v>45126</v>
      </c>
      <c r="C8142" s="1" t="n">
        <v>45344</v>
      </c>
      <c r="D8142" t="inlineStr">
        <is>
          <t>GÄVLEBORGS LÄN</t>
        </is>
      </c>
      <c r="E8142" t="inlineStr">
        <is>
          <t>SANDVIKEN</t>
        </is>
      </c>
      <c r="G8142" t="n">
        <v>4.5</v>
      </c>
      <c r="H8142" t="n">
        <v>0</v>
      </c>
      <c r="I8142" t="n">
        <v>0</v>
      </c>
      <c r="J8142" t="n">
        <v>0</v>
      </c>
      <c r="K8142" t="n">
        <v>0</v>
      </c>
      <c r="L8142" t="n">
        <v>0</v>
      </c>
      <c r="M8142" t="n">
        <v>0</v>
      </c>
      <c r="N8142" t="n">
        <v>0</v>
      </c>
      <c r="O8142" t="n">
        <v>0</v>
      </c>
      <c r="P8142" t="n">
        <v>0</v>
      </c>
      <c r="Q8142" t="n">
        <v>0</v>
      </c>
      <c r="R8142" s="2" t="inlineStr"/>
    </row>
    <row r="8143" ht="15" customHeight="1">
      <c r="A8143" t="inlineStr">
        <is>
          <t>A 33200-2023</t>
        </is>
      </c>
      <c r="B8143" s="1" t="n">
        <v>45127</v>
      </c>
      <c r="C8143" s="1" t="n">
        <v>45344</v>
      </c>
      <c r="D8143" t="inlineStr">
        <is>
          <t>GÄVLEBORGS LÄN</t>
        </is>
      </c>
      <c r="E8143" t="inlineStr">
        <is>
          <t>LJUSDAL</t>
        </is>
      </c>
      <c r="F8143" t="inlineStr">
        <is>
          <t>Bergvik skog väst AB</t>
        </is>
      </c>
      <c r="G8143" t="n">
        <v>9.9</v>
      </c>
      <c r="H8143" t="n">
        <v>0</v>
      </c>
      <c r="I8143" t="n">
        <v>0</v>
      </c>
      <c r="J8143" t="n">
        <v>0</v>
      </c>
      <c r="K8143" t="n">
        <v>0</v>
      </c>
      <c r="L8143" t="n">
        <v>0</v>
      </c>
      <c r="M8143" t="n">
        <v>0</v>
      </c>
      <c r="N8143" t="n">
        <v>0</v>
      </c>
      <c r="O8143" t="n">
        <v>0</v>
      </c>
      <c r="P8143" t="n">
        <v>0</v>
      </c>
      <c r="Q8143" t="n">
        <v>0</v>
      </c>
      <c r="R8143" s="2" t="inlineStr"/>
    </row>
    <row r="8144" ht="15" customHeight="1">
      <c r="A8144" t="inlineStr">
        <is>
          <t>A 33225-2023</t>
        </is>
      </c>
      <c r="B8144" s="1" t="n">
        <v>45127</v>
      </c>
      <c r="C8144" s="1" t="n">
        <v>45344</v>
      </c>
      <c r="D8144" t="inlineStr">
        <is>
          <t>GÄVLEBORGS LÄN</t>
        </is>
      </c>
      <c r="E8144" t="inlineStr">
        <is>
          <t>OVANÅKER</t>
        </is>
      </c>
      <c r="F8144" t="inlineStr">
        <is>
          <t>Bergvik skog öst AB</t>
        </is>
      </c>
      <c r="G8144" t="n">
        <v>19.8</v>
      </c>
      <c r="H8144" t="n">
        <v>0</v>
      </c>
      <c r="I8144" t="n">
        <v>0</v>
      </c>
      <c r="J8144" t="n">
        <v>0</v>
      </c>
      <c r="K8144" t="n">
        <v>0</v>
      </c>
      <c r="L8144" t="n">
        <v>0</v>
      </c>
      <c r="M8144" t="n">
        <v>0</v>
      </c>
      <c r="N8144" t="n">
        <v>0</v>
      </c>
      <c r="O8144" t="n">
        <v>0</v>
      </c>
      <c r="P8144" t="n">
        <v>0</v>
      </c>
      <c r="Q8144" t="n">
        <v>0</v>
      </c>
      <c r="R8144" s="2" t="inlineStr"/>
    </row>
    <row r="8145" ht="15" customHeight="1">
      <c r="A8145" t="inlineStr">
        <is>
          <t>A 33198-2023</t>
        </is>
      </c>
      <c r="B8145" s="1" t="n">
        <v>45127</v>
      </c>
      <c r="C8145" s="1" t="n">
        <v>45344</v>
      </c>
      <c r="D8145" t="inlineStr">
        <is>
          <t>GÄVLEBORGS LÄN</t>
        </is>
      </c>
      <c r="E8145" t="inlineStr">
        <is>
          <t>LJUSDAL</t>
        </is>
      </c>
      <c r="F8145" t="inlineStr">
        <is>
          <t>Bergvik skog väst AB</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33199-2023</t>
        </is>
      </c>
      <c r="B8146" s="1" t="n">
        <v>45127</v>
      </c>
      <c r="C8146" s="1" t="n">
        <v>45344</v>
      </c>
      <c r="D8146" t="inlineStr">
        <is>
          <t>GÄVLEBORGS LÄN</t>
        </is>
      </c>
      <c r="E8146" t="inlineStr">
        <is>
          <t>LJUSDAL</t>
        </is>
      </c>
      <c r="F8146" t="inlineStr">
        <is>
          <t>Bergvik skog väst AB</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33193-2023</t>
        </is>
      </c>
      <c r="B8147" s="1" t="n">
        <v>45127</v>
      </c>
      <c r="C8147" s="1" t="n">
        <v>45344</v>
      </c>
      <c r="D8147" t="inlineStr">
        <is>
          <t>GÄVLEBORGS LÄN</t>
        </is>
      </c>
      <c r="E8147" t="inlineStr">
        <is>
          <t>LJUSDAL</t>
        </is>
      </c>
      <c r="F8147" t="inlineStr">
        <is>
          <t>Bergvik skog väst AB</t>
        </is>
      </c>
      <c r="G8147" t="n">
        <v>1.9</v>
      </c>
      <c r="H8147" t="n">
        <v>0</v>
      </c>
      <c r="I8147" t="n">
        <v>0</v>
      </c>
      <c r="J8147" t="n">
        <v>0</v>
      </c>
      <c r="K8147" t="n">
        <v>0</v>
      </c>
      <c r="L8147" t="n">
        <v>0</v>
      </c>
      <c r="M8147" t="n">
        <v>0</v>
      </c>
      <c r="N8147" t="n">
        <v>0</v>
      </c>
      <c r="O8147" t="n">
        <v>0</v>
      </c>
      <c r="P8147" t="n">
        <v>0</v>
      </c>
      <c r="Q8147" t="n">
        <v>0</v>
      </c>
      <c r="R8147" s="2" t="inlineStr"/>
    </row>
    <row r="8148" ht="15" customHeight="1">
      <c r="A8148" t="inlineStr">
        <is>
          <t>A 33231-2023</t>
        </is>
      </c>
      <c r="B8148" s="1" t="n">
        <v>45127</v>
      </c>
      <c r="C8148" s="1" t="n">
        <v>45344</v>
      </c>
      <c r="D8148" t="inlineStr">
        <is>
          <t>GÄVLEBORGS LÄN</t>
        </is>
      </c>
      <c r="E8148" t="inlineStr">
        <is>
          <t>OVANÅKER</t>
        </is>
      </c>
      <c r="F8148" t="inlineStr">
        <is>
          <t>Bergvik skog öst AB</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33296-2023</t>
        </is>
      </c>
      <c r="B8149" s="1" t="n">
        <v>45127</v>
      </c>
      <c r="C8149" s="1" t="n">
        <v>45344</v>
      </c>
      <c r="D8149" t="inlineStr">
        <is>
          <t>GÄVLEBORGS LÄN</t>
        </is>
      </c>
      <c r="E8149" t="inlineStr">
        <is>
          <t>HOFORS</t>
        </is>
      </c>
      <c r="F8149" t="inlineStr">
        <is>
          <t>Sveaskog</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34228-2023</t>
        </is>
      </c>
      <c r="B8150" s="1" t="n">
        <v>45127</v>
      </c>
      <c r="C8150" s="1" t="n">
        <v>45344</v>
      </c>
      <c r="D8150" t="inlineStr">
        <is>
          <t>GÄVLEBORGS LÄN</t>
        </is>
      </c>
      <c r="E8150" t="inlineStr">
        <is>
          <t>LJUSDAL</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34232-2023</t>
        </is>
      </c>
      <c r="B8151" s="1" t="n">
        <v>45127</v>
      </c>
      <c r="C8151" s="1" t="n">
        <v>45344</v>
      </c>
      <c r="D8151" t="inlineStr">
        <is>
          <t>GÄVLEBORGS LÄN</t>
        </is>
      </c>
      <c r="E8151" t="inlineStr">
        <is>
          <t>HOFORS</t>
        </is>
      </c>
      <c r="F8151" t="inlineStr">
        <is>
          <t>Bergvik skog väst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33381-2023</t>
        </is>
      </c>
      <c r="B8152" s="1" t="n">
        <v>45128</v>
      </c>
      <c r="C8152" s="1" t="n">
        <v>45344</v>
      </c>
      <c r="D8152" t="inlineStr">
        <is>
          <t>GÄVLEBORGS LÄN</t>
        </is>
      </c>
      <c r="E8152" t="inlineStr">
        <is>
          <t>OCKELBO</t>
        </is>
      </c>
      <c r="F8152" t="inlineStr">
        <is>
          <t>Bergvik skog väst AB</t>
        </is>
      </c>
      <c r="G8152" t="n">
        <v>6.6</v>
      </c>
      <c r="H8152" t="n">
        <v>0</v>
      </c>
      <c r="I8152" t="n">
        <v>0</v>
      </c>
      <c r="J8152" t="n">
        <v>0</v>
      </c>
      <c r="K8152" t="n">
        <v>0</v>
      </c>
      <c r="L8152" t="n">
        <v>0</v>
      </c>
      <c r="M8152" t="n">
        <v>0</v>
      </c>
      <c r="N8152" t="n">
        <v>0</v>
      </c>
      <c r="O8152" t="n">
        <v>0</v>
      </c>
      <c r="P8152" t="n">
        <v>0</v>
      </c>
      <c r="Q8152" t="n">
        <v>0</v>
      </c>
      <c r="R8152" s="2" t="inlineStr"/>
    </row>
    <row r="8153" ht="15" customHeight="1">
      <c r="A8153" t="inlineStr">
        <is>
          <t>A 33493-2023</t>
        </is>
      </c>
      <c r="B8153" s="1" t="n">
        <v>45131</v>
      </c>
      <c r="C8153" s="1" t="n">
        <v>45344</v>
      </c>
      <c r="D8153" t="inlineStr">
        <is>
          <t>GÄVLEBORGS LÄN</t>
        </is>
      </c>
      <c r="E8153" t="inlineStr">
        <is>
          <t>LJUSDAL</t>
        </is>
      </c>
      <c r="G8153" t="n">
        <v>1.8</v>
      </c>
      <c r="H8153" t="n">
        <v>0</v>
      </c>
      <c r="I8153" t="n">
        <v>0</v>
      </c>
      <c r="J8153" t="n">
        <v>0</v>
      </c>
      <c r="K8153" t="n">
        <v>0</v>
      </c>
      <c r="L8153" t="n">
        <v>0</v>
      </c>
      <c r="M8153" t="n">
        <v>0</v>
      </c>
      <c r="N8153" t="n">
        <v>0</v>
      </c>
      <c r="O8153" t="n">
        <v>0</v>
      </c>
      <c r="P8153" t="n">
        <v>0</v>
      </c>
      <c r="Q8153" t="n">
        <v>0</v>
      </c>
      <c r="R8153" s="2" t="inlineStr"/>
    </row>
    <row r="8154" ht="15" customHeight="1">
      <c r="A8154" t="inlineStr">
        <is>
          <t>A 33478-2023</t>
        </is>
      </c>
      <c r="B8154" s="1" t="n">
        <v>45131</v>
      </c>
      <c r="C8154" s="1" t="n">
        <v>45344</v>
      </c>
      <c r="D8154" t="inlineStr">
        <is>
          <t>GÄVLEBORGS LÄN</t>
        </is>
      </c>
      <c r="E8154" t="inlineStr">
        <is>
          <t>NORDANSTIG</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33583-2023</t>
        </is>
      </c>
      <c r="B8155" s="1" t="n">
        <v>45132</v>
      </c>
      <c r="C8155" s="1" t="n">
        <v>45344</v>
      </c>
      <c r="D8155" t="inlineStr">
        <is>
          <t>GÄVLEBORGS LÄN</t>
        </is>
      </c>
      <c r="E8155" t="inlineStr">
        <is>
          <t>SÖDERHAMN</t>
        </is>
      </c>
      <c r="G8155" t="n">
        <v>3</v>
      </c>
      <c r="H8155" t="n">
        <v>0</v>
      </c>
      <c r="I8155" t="n">
        <v>0</v>
      </c>
      <c r="J8155" t="n">
        <v>0</v>
      </c>
      <c r="K8155" t="n">
        <v>0</v>
      </c>
      <c r="L8155" t="n">
        <v>0</v>
      </c>
      <c r="M8155" t="n">
        <v>0</v>
      </c>
      <c r="N8155" t="n">
        <v>0</v>
      </c>
      <c r="O8155" t="n">
        <v>0</v>
      </c>
      <c r="P8155" t="n">
        <v>0</v>
      </c>
      <c r="Q8155" t="n">
        <v>0</v>
      </c>
      <c r="R8155" s="2" t="inlineStr"/>
    </row>
    <row r="8156" ht="15" customHeight="1">
      <c r="A8156" t="inlineStr">
        <is>
          <t>A 33593-2023</t>
        </is>
      </c>
      <c r="B8156" s="1" t="n">
        <v>45132</v>
      </c>
      <c r="C8156" s="1" t="n">
        <v>45344</v>
      </c>
      <c r="D8156" t="inlineStr">
        <is>
          <t>GÄVLEBORGS LÄN</t>
        </is>
      </c>
      <c r="E8156" t="inlineStr">
        <is>
          <t>BOLLNÄS</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33614-2023</t>
        </is>
      </c>
      <c r="B8157" s="1" t="n">
        <v>45132</v>
      </c>
      <c r="C8157" s="1" t="n">
        <v>45344</v>
      </c>
      <c r="D8157" t="inlineStr">
        <is>
          <t>GÄVLEBORGS LÄN</t>
        </is>
      </c>
      <c r="E8157" t="inlineStr">
        <is>
          <t>NORDANSTIG</t>
        </is>
      </c>
      <c r="F8157" t="inlineStr">
        <is>
          <t>Holmen skog AB</t>
        </is>
      </c>
      <c r="G8157" t="n">
        <v>5.5</v>
      </c>
      <c r="H8157" t="n">
        <v>0</v>
      </c>
      <c r="I8157" t="n">
        <v>0</v>
      </c>
      <c r="J8157" t="n">
        <v>0</v>
      </c>
      <c r="K8157" t="n">
        <v>0</v>
      </c>
      <c r="L8157" t="n">
        <v>0</v>
      </c>
      <c r="M8157" t="n">
        <v>0</v>
      </c>
      <c r="N8157" t="n">
        <v>0</v>
      </c>
      <c r="O8157" t="n">
        <v>0</v>
      </c>
      <c r="P8157" t="n">
        <v>0</v>
      </c>
      <c r="Q8157" t="n">
        <v>0</v>
      </c>
      <c r="R8157" s="2" t="inlineStr"/>
    </row>
    <row r="8158" ht="15" customHeight="1">
      <c r="A8158" t="inlineStr">
        <is>
          <t>A 33617-2023</t>
        </is>
      </c>
      <c r="B8158" s="1" t="n">
        <v>45132</v>
      </c>
      <c r="C8158" s="1" t="n">
        <v>45344</v>
      </c>
      <c r="D8158" t="inlineStr">
        <is>
          <t>GÄVLEBORGS LÄN</t>
        </is>
      </c>
      <c r="E8158" t="inlineStr">
        <is>
          <t>OCKELBO</t>
        </is>
      </c>
      <c r="F8158" t="inlineStr">
        <is>
          <t>Bergvik skog väst AB</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33688-2023</t>
        </is>
      </c>
      <c r="B8159" s="1" t="n">
        <v>45132</v>
      </c>
      <c r="C8159" s="1" t="n">
        <v>45344</v>
      </c>
      <c r="D8159" t="inlineStr">
        <is>
          <t>GÄVLEBORGS LÄN</t>
        </is>
      </c>
      <c r="E8159" t="inlineStr">
        <is>
          <t>LJUSDAL</t>
        </is>
      </c>
      <c r="G8159" t="n">
        <v>0.5</v>
      </c>
      <c r="H8159" t="n">
        <v>0</v>
      </c>
      <c r="I8159" t="n">
        <v>0</v>
      </c>
      <c r="J8159" t="n">
        <v>0</v>
      </c>
      <c r="K8159" t="n">
        <v>0</v>
      </c>
      <c r="L8159" t="n">
        <v>0</v>
      </c>
      <c r="M8159" t="n">
        <v>0</v>
      </c>
      <c r="N8159" t="n">
        <v>0</v>
      </c>
      <c r="O8159" t="n">
        <v>0</v>
      </c>
      <c r="P8159" t="n">
        <v>0</v>
      </c>
      <c r="Q8159" t="n">
        <v>0</v>
      </c>
      <c r="R8159" s="2" t="inlineStr"/>
    </row>
    <row r="8160" ht="15" customHeight="1">
      <c r="A8160" t="inlineStr">
        <is>
          <t>A 33704-2023</t>
        </is>
      </c>
      <c r="B8160" s="1" t="n">
        <v>45132</v>
      </c>
      <c r="C8160" s="1" t="n">
        <v>45344</v>
      </c>
      <c r="D8160" t="inlineStr">
        <is>
          <t>GÄVLEBORGS LÄN</t>
        </is>
      </c>
      <c r="E8160" t="inlineStr">
        <is>
          <t>HUDIKSVALL</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33748-2023</t>
        </is>
      </c>
      <c r="B8161" s="1" t="n">
        <v>45133</v>
      </c>
      <c r="C8161" s="1" t="n">
        <v>45344</v>
      </c>
      <c r="D8161" t="inlineStr">
        <is>
          <t>GÄVLEBORGS LÄN</t>
        </is>
      </c>
      <c r="E8161" t="inlineStr">
        <is>
          <t>OVANÅKER</t>
        </is>
      </c>
      <c r="F8161" t="inlineStr">
        <is>
          <t>Bergvik skog väst AB</t>
        </is>
      </c>
      <c r="G8161" t="n">
        <v>10.2</v>
      </c>
      <c r="H8161" t="n">
        <v>0</v>
      </c>
      <c r="I8161" t="n">
        <v>0</v>
      </c>
      <c r="J8161" t="n">
        <v>0</v>
      </c>
      <c r="K8161" t="n">
        <v>0</v>
      </c>
      <c r="L8161" t="n">
        <v>0</v>
      </c>
      <c r="M8161" t="n">
        <v>0</v>
      </c>
      <c r="N8161" t="n">
        <v>0</v>
      </c>
      <c r="O8161" t="n">
        <v>0</v>
      </c>
      <c r="P8161" t="n">
        <v>0</v>
      </c>
      <c r="Q8161" t="n">
        <v>0</v>
      </c>
      <c r="R8161" s="2" t="inlineStr"/>
    </row>
    <row r="8162" ht="15" customHeight="1">
      <c r="A8162" t="inlineStr">
        <is>
          <t>A 33786-2023</t>
        </is>
      </c>
      <c r="B8162" s="1" t="n">
        <v>45133</v>
      </c>
      <c r="C8162" s="1" t="n">
        <v>45344</v>
      </c>
      <c r="D8162" t="inlineStr">
        <is>
          <t>GÄVLEBORGS LÄN</t>
        </is>
      </c>
      <c r="E8162" t="inlineStr">
        <is>
          <t>GÄVLE</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33802-2023</t>
        </is>
      </c>
      <c r="B8163" s="1" t="n">
        <v>45133</v>
      </c>
      <c r="C8163" s="1" t="n">
        <v>45344</v>
      </c>
      <c r="D8163" t="inlineStr">
        <is>
          <t>GÄVLEBORGS LÄN</t>
        </is>
      </c>
      <c r="E8163" t="inlineStr">
        <is>
          <t>LJUSDAL</t>
        </is>
      </c>
      <c r="F8163" t="inlineStr">
        <is>
          <t>Bergvik skog väst AB</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33784-2023</t>
        </is>
      </c>
      <c r="B8164" s="1" t="n">
        <v>45133</v>
      </c>
      <c r="C8164" s="1" t="n">
        <v>45344</v>
      </c>
      <c r="D8164" t="inlineStr">
        <is>
          <t>GÄVLEBORGS LÄN</t>
        </is>
      </c>
      <c r="E8164" t="inlineStr">
        <is>
          <t>GÄVLE</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33790-2023</t>
        </is>
      </c>
      <c r="B8165" s="1" t="n">
        <v>45133</v>
      </c>
      <c r="C8165" s="1" t="n">
        <v>45344</v>
      </c>
      <c r="D8165" t="inlineStr">
        <is>
          <t>GÄVLEBORGS LÄN</t>
        </is>
      </c>
      <c r="E8165" t="inlineStr">
        <is>
          <t>GÄVLE</t>
        </is>
      </c>
      <c r="G8165" t="n">
        <v>5.2</v>
      </c>
      <c r="H8165" t="n">
        <v>0</v>
      </c>
      <c r="I8165" t="n">
        <v>0</v>
      </c>
      <c r="J8165" t="n">
        <v>0</v>
      </c>
      <c r="K8165" t="n">
        <v>0</v>
      </c>
      <c r="L8165" t="n">
        <v>0</v>
      </c>
      <c r="M8165" t="n">
        <v>0</v>
      </c>
      <c r="N8165" t="n">
        <v>0</v>
      </c>
      <c r="O8165" t="n">
        <v>0</v>
      </c>
      <c r="P8165" t="n">
        <v>0</v>
      </c>
      <c r="Q8165" t="n">
        <v>0</v>
      </c>
      <c r="R8165" s="2" t="inlineStr"/>
    </row>
    <row r="8166" ht="15" customHeight="1">
      <c r="A8166" t="inlineStr">
        <is>
          <t>A 33749-2023</t>
        </is>
      </c>
      <c r="B8166" s="1" t="n">
        <v>45133</v>
      </c>
      <c r="C8166" s="1" t="n">
        <v>45344</v>
      </c>
      <c r="D8166" t="inlineStr">
        <is>
          <t>GÄVLEBORGS LÄN</t>
        </is>
      </c>
      <c r="E8166" t="inlineStr">
        <is>
          <t>OVANÅKER</t>
        </is>
      </c>
      <c r="F8166" t="inlineStr">
        <is>
          <t>Bergvik skog väst AB</t>
        </is>
      </c>
      <c r="G8166" t="n">
        <v>12.3</v>
      </c>
      <c r="H8166" t="n">
        <v>0</v>
      </c>
      <c r="I8166" t="n">
        <v>0</v>
      </c>
      <c r="J8166" t="n">
        <v>0</v>
      </c>
      <c r="K8166" t="n">
        <v>0</v>
      </c>
      <c r="L8166" t="n">
        <v>0</v>
      </c>
      <c r="M8166" t="n">
        <v>0</v>
      </c>
      <c r="N8166" t="n">
        <v>0</v>
      </c>
      <c r="O8166" t="n">
        <v>0</v>
      </c>
      <c r="P8166" t="n">
        <v>0</v>
      </c>
      <c r="Q8166" t="n">
        <v>0</v>
      </c>
      <c r="R8166" s="2" t="inlineStr"/>
    </row>
    <row r="8167" ht="15" customHeight="1">
      <c r="A8167" t="inlineStr">
        <is>
          <t>A 33766-2023</t>
        </is>
      </c>
      <c r="B8167" s="1" t="n">
        <v>45133</v>
      </c>
      <c r="C8167" s="1" t="n">
        <v>45344</v>
      </c>
      <c r="D8167" t="inlineStr">
        <is>
          <t>GÄVLEBORGS LÄN</t>
        </is>
      </c>
      <c r="E8167" t="inlineStr">
        <is>
          <t>LJUSDAL</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33819-2023</t>
        </is>
      </c>
      <c r="B8168" s="1" t="n">
        <v>45133</v>
      </c>
      <c r="C8168" s="1" t="n">
        <v>45344</v>
      </c>
      <c r="D8168" t="inlineStr">
        <is>
          <t>GÄVLEBORGS LÄN</t>
        </is>
      </c>
      <c r="E8168" t="inlineStr">
        <is>
          <t>LJUSDAL</t>
        </is>
      </c>
      <c r="F8168" t="inlineStr">
        <is>
          <t>Holmen skog AB</t>
        </is>
      </c>
      <c r="G8168" t="n">
        <v>8</v>
      </c>
      <c r="H8168" t="n">
        <v>0</v>
      </c>
      <c r="I8168" t="n">
        <v>0</v>
      </c>
      <c r="J8168" t="n">
        <v>0</v>
      </c>
      <c r="K8168" t="n">
        <v>0</v>
      </c>
      <c r="L8168" t="n">
        <v>0</v>
      </c>
      <c r="M8168" t="n">
        <v>0</v>
      </c>
      <c r="N8168" t="n">
        <v>0</v>
      </c>
      <c r="O8168" t="n">
        <v>0</v>
      </c>
      <c r="P8168" t="n">
        <v>0</v>
      </c>
      <c r="Q8168" t="n">
        <v>0</v>
      </c>
      <c r="R8168" s="2" t="inlineStr"/>
    </row>
    <row r="8169" ht="15" customHeight="1">
      <c r="A8169" t="inlineStr">
        <is>
          <t>A 33853-2023</t>
        </is>
      </c>
      <c r="B8169" s="1" t="n">
        <v>45133</v>
      </c>
      <c r="C8169" s="1" t="n">
        <v>45344</v>
      </c>
      <c r="D8169" t="inlineStr">
        <is>
          <t>GÄVLEBORGS LÄN</t>
        </is>
      </c>
      <c r="E8169" t="inlineStr">
        <is>
          <t>SANDVIKEN</t>
        </is>
      </c>
      <c r="G8169" t="n">
        <v>1.9</v>
      </c>
      <c r="H8169" t="n">
        <v>0</v>
      </c>
      <c r="I8169" t="n">
        <v>0</v>
      </c>
      <c r="J8169" t="n">
        <v>0</v>
      </c>
      <c r="K8169" t="n">
        <v>0</v>
      </c>
      <c r="L8169" t="n">
        <v>0</v>
      </c>
      <c r="M8169" t="n">
        <v>0</v>
      </c>
      <c r="N8169" t="n">
        <v>0</v>
      </c>
      <c r="O8169" t="n">
        <v>0</v>
      </c>
      <c r="P8169" t="n">
        <v>0</v>
      </c>
      <c r="Q8169" t="n">
        <v>0</v>
      </c>
      <c r="R8169" s="2" t="inlineStr"/>
    </row>
    <row r="8170" ht="15" customHeight="1">
      <c r="A8170" t="inlineStr">
        <is>
          <t>A 33850-2023</t>
        </is>
      </c>
      <c r="B8170" s="1" t="n">
        <v>45133</v>
      </c>
      <c r="C8170" s="1" t="n">
        <v>45344</v>
      </c>
      <c r="D8170" t="inlineStr">
        <is>
          <t>GÄVLEBORGS LÄN</t>
        </is>
      </c>
      <c r="E8170" t="inlineStr">
        <is>
          <t>LJUSDAL</t>
        </is>
      </c>
      <c r="F8170" t="inlineStr">
        <is>
          <t>Holmen skog AB</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33795-2023</t>
        </is>
      </c>
      <c r="B8171" s="1" t="n">
        <v>45133</v>
      </c>
      <c r="C8171" s="1" t="n">
        <v>45344</v>
      </c>
      <c r="D8171" t="inlineStr">
        <is>
          <t>GÄVLEBORGS LÄN</t>
        </is>
      </c>
      <c r="E8171" t="inlineStr">
        <is>
          <t>LJUSDAL</t>
        </is>
      </c>
      <c r="F8171" t="inlineStr">
        <is>
          <t>Bergvik skog väst AB</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33881-2023</t>
        </is>
      </c>
      <c r="B8172" s="1" t="n">
        <v>45134</v>
      </c>
      <c r="C8172" s="1" t="n">
        <v>45344</v>
      </c>
      <c r="D8172" t="inlineStr">
        <is>
          <t>GÄVLEBORGS LÄN</t>
        </is>
      </c>
      <c r="E8172" t="inlineStr">
        <is>
          <t>OCKELBO</t>
        </is>
      </c>
      <c r="F8172" t="inlineStr">
        <is>
          <t>Bergvik skog väst AB</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33880-2023</t>
        </is>
      </c>
      <c r="B8173" s="1" t="n">
        <v>45134</v>
      </c>
      <c r="C8173" s="1" t="n">
        <v>45344</v>
      </c>
      <c r="D8173" t="inlineStr">
        <is>
          <t>GÄVLEBORGS LÄN</t>
        </is>
      </c>
      <c r="E8173" t="inlineStr">
        <is>
          <t>OCKELBO</t>
        </is>
      </c>
      <c r="F8173" t="inlineStr">
        <is>
          <t>Bergvik skog väst AB</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33882-2023</t>
        </is>
      </c>
      <c r="B8174" s="1" t="n">
        <v>45134</v>
      </c>
      <c r="C8174" s="1" t="n">
        <v>45344</v>
      </c>
      <c r="D8174" t="inlineStr">
        <is>
          <t>GÄVLEBORGS LÄN</t>
        </is>
      </c>
      <c r="E8174" t="inlineStr">
        <is>
          <t>OCKELBO</t>
        </is>
      </c>
      <c r="F8174" t="inlineStr">
        <is>
          <t>Bergvik skog väst AB</t>
        </is>
      </c>
      <c r="G8174" t="n">
        <v>10.1</v>
      </c>
      <c r="H8174" t="n">
        <v>0</v>
      </c>
      <c r="I8174" t="n">
        <v>0</v>
      </c>
      <c r="J8174" t="n">
        <v>0</v>
      </c>
      <c r="K8174" t="n">
        <v>0</v>
      </c>
      <c r="L8174" t="n">
        <v>0</v>
      </c>
      <c r="M8174" t="n">
        <v>0</v>
      </c>
      <c r="N8174" t="n">
        <v>0</v>
      </c>
      <c r="O8174" t="n">
        <v>0</v>
      </c>
      <c r="P8174" t="n">
        <v>0</v>
      </c>
      <c r="Q8174" t="n">
        <v>0</v>
      </c>
      <c r="R8174" s="2" t="inlineStr"/>
    </row>
    <row r="8175" ht="15" customHeight="1">
      <c r="A8175" t="inlineStr">
        <is>
          <t>A 33895-2023</t>
        </is>
      </c>
      <c r="B8175" s="1" t="n">
        <v>45134</v>
      </c>
      <c r="C8175" s="1" t="n">
        <v>45344</v>
      </c>
      <c r="D8175" t="inlineStr">
        <is>
          <t>GÄVLEBORGS LÄN</t>
        </is>
      </c>
      <c r="E8175" t="inlineStr">
        <is>
          <t>OCKELBO</t>
        </is>
      </c>
      <c r="G8175" t="n">
        <v>12.6</v>
      </c>
      <c r="H8175" t="n">
        <v>0</v>
      </c>
      <c r="I8175" t="n">
        <v>0</v>
      </c>
      <c r="J8175" t="n">
        <v>0</v>
      </c>
      <c r="K8175" t="n">
        <v>0</v>
      </c>
      <c r="L8175" t="n">
        <v>0</v>
      </c>
      <c r="M8175" t="n">
        <v>0</v>
      </c>
      <c r="N8175" t="n">
        <v>0</v>
      </c>
      <c r="O8175" t="n">
        <v>0</v>
      </c>
      <c r="P8175" t="n">
        <v>0</v>
      </c>
      <c r="Q8175" t="n">
        <v>0</v>
      </c>
      <c r="R8175" s="2" t="inlineStr"/>
    </row>
    <row r="8176" ht="15" customHeight="1">
      <c r="A8176" t="inlineStr">
        <is>
          <t>A 33879-2023</t>
        </is>
      </c>
      <c r="B8176" s="1" t="n">
        <v>45134</v>
      </c>
      <c r="C8176" s="1" t="n">
        <v>45344</v>
      </c>
      <c r="D8176" t="inlineStr">
        <is>
          <t>GÄVLEBORGS LÄN</t>
        </is>
      </c>
      <c r="E8176" t="inlineStr">
        <is>
          <t>OCKELBO</t>
        </is>
      </c>
      <c r="F8176" t="inlineStr">
        <is>
          <t>Bergvik skog väst AB</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33928-2023</t>
        </is>
      </c>
      <c r="B8177" s="1" t="n">
        <v>45134</v>
      </c>
      <c r="C8177" s="1" t="n">
        <v>45344</v>
      </c>
      <c r="D8177" t="inlineStr">
        <is>
          <t>GÄVLEBORGS LÄN</t>
        </is>
      </c>
      <c r="E8177" t="inlineStr">
        <is>
          <t>SÖDERHAMN</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33985-2023</t>
        </is>
      </c>
      <c r="B8178" s="1" t="n">
        <v>45134</v>
      </c>
      <c r="C8178" s="1" t="n">
        <v>45344</v>
      </c>
      <c r="D8178" t="inlineStr">
        <is>
          <t>GÄVLEBORGS LÄN</t>
        </is>
      </c>
      <c r="E8178" t="inlineStr">
        <is>
          <t>OCKELBO</t>
        </is>
      </c>
      <c r="F8178" t="inlineStr">
        <is>
          <t>Bergvik skog väst AB</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33986-2023</t>
        </is>
      </c>
      <c r="B8179" s="1" t="n">
        <v>45134</v>
      </c>
      <c r="C8179" s="1" t="n">
        <v>45344</v>
      </c>
      <c r="D8179" t="inlineStr">
        <is>
          <t>GÄVLEBORGS LÄN</t>
        </is>
      </c>
      <c r="E8179" t="inlineStr">
        <is>
          <t>OCKELBO</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33987-2023</t>
        </is>
      </c>
      <c r="B8180" s="1" t="n">
        <v>45134</v>
      </c>
      <c r="C8180" s="1" t="n">
        <v>45344</v>
      </c>
      <c r="D8180" t="inlineStr">
        <is>
          <t>GÄVLEBORGS LÄN</t>
        </is>
      </c>
      <c r="E8180" t="inlineStr">
        <is>
          <t>OCKELBO</t>
        </is>
      </c>
      <c r="F8180" t="inlineStr">
        <is>
          <t>Bergvik skog väst AB</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34088-2023</t>
        </is>
      </c>
      <c r="B8181" s="1" t="n">
        <v>45135</v>
      </c>
      <c r="C8181" s="1" t="n">
        <v>45344</v>
      </c>
      <c r="D8181" t="inlineStr">
        <is>
          <t>GÄVLEBORGS LÄN</t>
        </is>
      </c>
      <c r="E8181" t="inlineStr">
        <is>
          <t>LJUSDAL</t>
        </is>
      </c>
      <c r="F8181" t="inlineStr">
        <is>
          <t>Holmen skog AB</t>
        </is>
      </c>
      <c r="G8181" t="n">
        <v>1.4</v>
      </c>
      <c r="H8181" t="n">
        <v>0</v>
      </c>
      <c r="I8181" t="n">
        <v>0</v>
      </c>
      <c r="J8181" t="n">
        <v>0</v>
      </c>
      <c r="K8181" t="n">
        <v>0</v>
      </c>
      <c r="L8181" t="n">
        <v>0</v>
      </c>
      <c r="M8181" t="n">
        <v>0</v>
      </c>
      <c r="N8181" t="n">
        <v>0</v>
      </c>
      <c r="O8181" t="n">
        <v>0</v>
      </c>
      <c r="P8181" t="n">
        <v>0</v>
      </c>
      <c r="Q8181" t="n">
        <v>0</v>
      </c>
      <c r="R8181" s="2" t="inlineStr"/>
    </row>
    <row r="8182" ht="15" customHeight="1">
      <c r="A8182" t="inlineStr">
        <is>
          <t>A 34094-2023</t>
        </is>
      </c>
      <c r="B8182" s="1" t="n">
        <v>45135</v>
      </c>
      <c r="C8182" s="1" t="n">
        <v>45344</v>
      </c>
      <c r="D8182" t="inlineStr">
        <is>
          <t>GÄVLEBORGS LÄN</t>
        </is>
      </c>
      <c r="E8182" t="inlineStr">
        <is>
          <t>LJUSDAL</t>
        </is>
      </c>
      <c r="F8182" t="inlineStr">
        <is>
          <t>Holmen skog AB</t>
        </is>
      </c>
      <c r="G8182" t="n">
        <v>1.7</v>
      </c>
      <c r="H8182" t="n">
        <v>0</v>
      </c>
      <c r="I8182" t="n">
        <v>0</v>
      </c>
      <c r="J8182" t="n">
        <v>0</v>
      </c>
      <c r="K8182" t="n">
        <v>0</v>
      </c>
      <c r="L8182" t="n">
        <v>0</v>
      </c>
      <c r="M8182" t="n">
        <v>0</v>
      </c>
      <c r="N8182" t="n">
        <v>0</v>
      </c>
      <c r="O8182" t="n">
        <v>0</v>
      </c>
      <c r="P8182" t="n">
        <v>0</v>
      </c>
      <c r="Q8182" t="n">
        <v>0</v>
      </c>
      <c r="R8182" s="2" t="inlineStr"/>
    </row>
    <row r="8183" ht="15" customHeight="1">
      <c r="A8183" t="inlineStr">
        <is>
          <t>A 34103-2023</t>
        </is>
      </c>
      <c r="B8183" s="1" t="n">
        <v>45135</v>
      </c>
      <c r="C8183" s="1" t="n">
        <v>45344</v>
      </c>
      <c r="D8183" t="inlineStr">
        <is>
          <t>GÄVLEBORGS LÄN</t>
        </is>
      </c>
      <c r="E8183" t="inlineStr">
        <is>
          <t>LJUSDAL</t>
        </is>
      </c>
      <c r="F8183" t="inlineStr">
        <is>
          <t>Holmen skog AB</t>
        </is>
      </c>
      <c r="G8183" t="n">
        <v>4.4</v>
      </c>
      <c r="H8183" t="n">
        <v>0</v>
      </c>
      <c r="I8183" t="n">
        <v>0</v>
      </c>
      <c r="J8183" t="n">
        <v>0</v>
      </c>
      <c r="K8183" t="n">
        <v>0</v>
      </c>
      <c r="L8183" t="n">
        <v>0</v>
      </c>
      <c r="M8183" t="n">
        <v>0</v>
      </c>
      <c r="N8183" t="n">
        <v>0</v>
      </c>
      <c r="O8183" t="n">
        <v>0</v>
      </c>
      <c r="P8183" t="n">
        <v>0</v>
      </c>
      <c r="Q8183" t="n">
        <v>0</v>
      </c>
      <c r="R8183" s="2" t="inlineStr"/>
    </row>
    <row r="8184" ht="15" customHeight="1">
      <c r="A8184" t="inlineStr">
        <is>
          <t>A 34110-2023</t>
        </is>
      </c>
      <c r="B8184" s="1" t="n">
        <v>45135</v>
      </c>
      <c r="C8184" s="1" t="n">
        <v>45344</v>
      </c>
      <c r="D8184" t="inlineStr">
        <is>
          <t>GÄVLEBORGS LÄN</t>
        </is>
      </c>
      <c r="E8184" t="inlineStr">
        <is>
          <t>OCKELBO</t>
        </is>
      </c>
      <c r="G8184" t="n">
        <v>4.2</v>
      </c>
      <c r="H8184" t="n">
        <v>0</v>
      </c>
      <c r="I8184" t="n">
        <v>0</v>
      </c>
      <c r="J8184" t="n">
        <v>0</v>
      </c>
      <c r="K8184" t="n">
        <v>0</v>
      </c>
      <c r="L8184" t="n">
        <v>0</v>
      </c>
      <c r="M8184" t="n">
        <v>0</v>
      </c>
      <c r="N8184" t="n">
        <v>0</v>
      </c>
      <c r="O8184" t="n">
        <v>0</v>
      </c>
      <c r="P8184" t="n">
        <v>0</v>
      </c>
      <c r="Q8184" t="n">
        <v>0</v>
      </c>
      <c r="R8184" s="2" t="inlineStr"/>
    </row>
    <row r="8185" ht="15" customHeight="1">
      <c r="A8185" t="inlineStr">
        <is>
          <t>A 34113-2023</t>
        </is>
      </c>
      <c r="B8185" s="1" t="n">
        <v>45135</v>
      </c>
      <c r="C8185" s="1" t="n">
        <v>45344</v>
      </c>
      <c r="D8185" t="inlineStr">
        <is>
          <t>GÄVLEBORGS LÄN</t>
        </is>
      </c>
      <c r="E8185" t="inlineStr">
        <is>
          <t>LJUSDAL</t>
        </is>
      </c>
      <c r="F8185" t="inlineStr">
        <is>
          <t>Holmen skog AB</t>
        </is>
      </c>
      <c r="G8185" t="n">
        <v>6.6</v>
      </c>
      <c r="H8185" t="n">
        <v>0</v>
      </c>
      <c r="I8185" t="n">
        <v>0</v>
      </c>
      <c r="J8185" t="n">
        <v>0</v>
      </c>
      <c r="K8185" t="n">
        <v>0</v>
      </c>
      <c r="L8185" t="n">
        <v>0</v>
      </c>
      <c r="M8185" t="n">
        <v>0</v>
      </c>
      <c r="N8185" t="n">
        <v>0</v>
      </c>
      <c r="O8185" t="n">
        <v>0</v>
      </c>
      <c r="P8185" t="n">
        <v>0</v>
      </c>
      <c r="Q8185" t="n">
        <v>0</v>
      </c>
      <c r="R8185" s="2" t="inlineStr"/>
    </row>
    <row r="8186" ht="15" customHeight="1">
      <c r="A8186" t="inlineStr">
        <is>
          <t>A 34235-2023</t>
        </is>
      </c>
      <c r="B8186" s="1" t="n">
        <v>45138</v>
      </c>
      <c r="C8186" s="1" t="n">
        <v>45344</v>
      </c>
      <c r="D8186" t="inlineStr">
        <is>
          <t>GÄVLEBORGS LÄN</t>
        </is>
      </c>
      <c r="E8186" t="inlineStr">
        <is>
          <t>GÄVLE</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34217-2023</t>
        </is>
      </c>
      <c r="B8187" s="1" t="n">
        <v>45138</v>
      </c>
      <c r="C8187" s="1" t="n">
        <v>45344</v>
      </c>
      <c r="D8187" t="inlineStr">
        <is>
          <t>GÄVLEBORGS LÄN</t>
        </is>
      </c>
      <c r="E8187" t="inlineStr">
        <is>
          <t>HOFORS</t>
        </is>
      </c>
      <c r="G8187" t="n">
        <v>2</v>
      </c>
      <c r="H8187" t="n">
        <v>0</v>
      </c>
      <c r="I8187" t="n">
        <v>0</v>
      </c>
      <c r="J8187" t="n">
        <v>0</v>
      </c>
      <c r="K8187" t="n">
        <v>0</v>
      </c>
      <c r="L8187" t="n">
        <v>0</v>
      </c>
      <c r="M8187" t="n">
        <v>0</v>
      </c>
      <c r="N8187" t="n">
        <v>0</v>
      </c>
      <c r="O8187" t="n">
        <v>0</v>
      </c>
      <c r="P8187" t="n">
        <v>0</v>
      </c>
      <c r="Q8187" t="n">
        <v>0</v>
      </c>
      <c r="R8187" s="2" t="inlineStr"/>
    </row>
    <row r="8188" ht="15" customHeight="1">
      <c r="A8188" t="inlineStr">
        <is>
          <t>A 34242-2023</t>
        </is>
      </c>
      <c r="B8188" s="1" t="n">
        <v>45138</v>
      </c>
      <c r="C8188" s="1" t="n">
        <v>45344</v>
      </c>
      <c r="D8188" t="inlineStr">
        <is>
          <t>GÄVLEBORGS LÄN</t>
        </is>
      </c>
      <c r="E8188" t="inlineStr">
        <is>
          <t>HOFORS</t>
        </is>
      </c>
      <c r="F8188" t="inlineStr">
        <is>
          <t>Sveaskog</t>
        </is>
      </c>
      <c r="G8188" t="n">
        <v>7</v>
      </c>
      <c r="H8188" t="n">
        <v>0</v>
      </c>
      <c r="I8188" t="n">
        <v>0</v>
      </c>
      <c r="J8188" t="n">
        <v>0</v>
      </c>
      <c r="K8188" t="n">
        <v>0</v>
      </c>
      <c r="L8188" t="n">
        <v>0</v>
      </c>
      <c r="M8188" t="n">
        <v>0</v>
      </c>
      <c r="N8188" t="n">
        <v>0</v>
      </c>
      <c r="O8188" t="n">
        <v>0</v>
      </c>
      <c r="P8188" t="n">
        <v>0</v>
      </c>
      <c r="Q8188" t="n">
        <v>0</v>
      </c>
      <c r="R8188" s="2" t="inlineStr"/>
    </row>
    <row r="8189" ht="15" customHeight="1">
      <c r="A8189" t="inlineStr">
        <is>
          <t>A 34246-2023</t>
        </is>
      </c>
      <c r="B8189" s="1" t="n">
        <v>45138</v>
      </c>
      <c r="C8189" s="1" t="n">
        <v>45344</v>
      </c>
      <c r="D8189" t="inlineStr">
        <is>
          <t>GÄVLEBORGS LÄN</t>
        </is>
      </c>
      <c r="E8189" t="inlineStr">
        <is>
          <t>HOFORS</t>
        </is>
      </c>
      <c r="F8189" t="inlineStr">
        <is>
          <t>Sveaskog</t>
        </is>
      </c>
      <c r="G8189" t="n">
        <v>5.6</v>
      </c>
      <c r="H8189" t="n">
        <v>0</v>
      </c>
      <c r="I8189" t="n">
        <v>0</v>
      </c>
      <c r="J8189" t="n">
        <v>0</v>
      </c>
      <c r="K8189" t="n">
        <v>0</v>
      </c>
      <c r="L8189" t="n">
        <v>0</v>
      </c>
      <c r="M8189" t="n">
        <v>0</v>
      </c>
      <c r="N8189" t="n">
        <v>0</v>
      </c>
      <c r="O8189" t="n">
        <v>0</v>
      </c>
      <c r="P8189" t="n">
        <v>0</v>
      </c>
      <c r="Q8189" t="n">
        <v>0</v>
      </c>
      <c r="R8189" s="2" t="inlineStr"/>
    </row>
    <row r="8190" ht="15" customHeight="1">
      <c r="A8190" t="inlineStr">
        <is>
          <t>A 34168-2023</t>
        </is>
      </c>
      <c r="B8190" s="1" t="n">
        <v>45138</v>
      </c>
      <c r="C8190" s="1" t="n">
        <v>45344</v>
      </c>
      <c r="D8190" t="inlineStr">
        <is>
          <t>GÄVLEBORGS LÄN</t>
        </is>
      </c>
      <c r="E8190" t="inlineStr">
        <is>
          <t>LJUSDAL</t>
        </is>
      </c>
      <c r="F8190" t="inlineStr">
        <is>
          <t>Allmännings- och besparingsskogar</t>
        </is>
      </c>
      <c r="G8190" t="n">
        <v>3.2</v>
      </c>
      <c r="H8190" t="n">
        <v>0</v>
      </c>
      <c r="I8190" t="n">
        <v>0</v>
      </c>
      <c r="J8190" t="n">
        <v>0</v>
      </c>
      <c r="K8190" t="n">
        <v>0</v>
      </c>
      <c r="L8190" t="n">
        <v>0</v>
      </c>
      <c r="M8190" t="n">
        <v>0</v>
      </c>
      <c r="N8190" t="n">
        <v>0</v>
      </c>
      <c r="O8190" t="n">
        <v>0</v>
      </c>
      <c r="P8190" t="n">
        <v>0</v>
      </c>
      <c r="Q8190" t="n">
        <v>0</v>
      </c>
      <c r="R8190" s="2" t="inlineStr"/>
    </row>
    <row r="8191" ht="15" customHeight="1">
      <c r="A8191" t="inlineStr">
        <is>
          <t>A 34245-2023</t>
        </is>
      </c>
      <c r="B8191" s="1" t="n">
        <v>45138</v>
      </c>
      <c r="C8191" s="1" t="n">
        <v>45344</v>
      </c>
      <c r="D8191" t="inlineStr">
        <is>
          <t>GÄVLEBORGS LÄN</t>
        </is>
      </c>
      <c r="E8191" t="inlineStr">
        <is>
          <t>HOFORS</t>
        </is>
      </c>
      <c r="F8191" t="inlineStr">
        <is>
          <t>Sveaskog</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34233-2023</t>
        </is>
      </c>
      <c r="B8192" s="1" t="n">
        <v>45138</v>
      </c>
      <c r="C8192" s="1" t="n">
        <v>45344</v>
      </c>
      <c r="D8192" t="inlineStr">
        <is>
          <t>GÄVLEBORGS LÄN</t>
        </is>
      </c>
      <c r="E8192" t="inlineStr">
        <is>
          <t>GÄVLE</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34247-2023</t>
        </is>
      </c>
      <c r="B8193" s="1" t="n">
        <v>45138</v>
      </c>
      <c r="C8193" s="1" t="n">
        <v>45344</v>
      </c>
      <c r="D8193" t="inlineStr">
        <is>
          <t>GÄVLEBORGS LÄN</t>
        </is>
      </c>
      <c r="E8193" t="inlineStr">
        <is>
          <t>HOFORS</t>
        </is>
      </c>
      <c r="F8193" t="inlineStr">
        <is>
          <t>Sveaskog</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34302-2023</t>
        </is>
      </c>
      <c r="B8194" s="1" t="n">
        <v>45138</v>
      </c>
      <c r="C8194" s="1" t="n">
        <v>45344</v>
      </c>
      <c r="D8194" t="inlineStr">
        <is>
          <t>GÄVLEBORGS LÄN</t>
        </is>
      </c>
      <c r="E8194" t="inlineStr">
        <is>
          <t>BOLLNÄS</t>
        </is>
      </c>
      <c r="G8194" t="n">
        <v>22.3</v>
      </c>
      <c r="H8194" t="n">
        <v>0</v>
      </c>
      <c r="I8194" t="n">
        <v>0</v>
      </c>
      <c r="J8194" t="n">
        <v>0</v>
      </c>
      <c r="K8194" t="n">
        <v>0</v>
      </c>
      <c r="L8194" t="n">
        <v>0</v>
      </c>
      <c r="M8194" t="n">
        <v>0</v>
      </c>
      <c r="N8194" t="n">
        <v>0</v>
      </c>
      <c r="O8194" t="n">
        <v>0</v>
      </c>
      <c r="P8194" t="n">
        <v>0</v>
      </c>
      <c r="Q8194" t="n">
        <v>0</v>
      </c>
      <c r="R8194" s="2" t="inlineStr"/>
    </row>
    <row r="8195" ht="15" customHeight="1">
      <c r="A8195" t="inlineStr">
        <is>
          <t>A 34303-2023</t>
        </is>
      </c>
      <c r="B8195" s="1" t="n">
        <v>45138</v>
      </c>
      <c r="C8195" s="1" t="n">
        <v>45344</v>
      </c>
      <c r="D8195" t="inlineStr">
        <is>
          <t>GÄVLEBORGS LÄN</t>
        </is>
      </c>
      <c r="E8195" t="inlineStr">
        <is>
          <t>BOLLNÄS</t>
        </is>
      </c>
      <c r="G8195" t="n">
        <v>7.7</v>
      </c>
      <c r="H8195" t="n">
        <v>0</v>
      </c>
      <c r="I8195" t="n">
        <v>0</v>
      </c>
      <c r="J8195" t="n">
        <v>0</v>
      </c>
      <c r="K8195" t="n">
        <v>0</v>
      </c>
      <c r="L8195" t="n">
        <v>0</v>
      </c>
      <c r="M8195" t="n">
        <v>0</v>
      </c>
      <c r="N8195" t="n">
        <v>0</v>
      </c>
      <c r="O8195" t="n">
        <v>0</v>
      </c>
      <c r="P8195" t="n">
        <v>0</v>
      </c>
      <c r="Q8195" t="n">
        <v>0</v>
      </c>
      <c r="R8195" s="2" t="inlineStr"/>
    </row>
    <row r="8196" ht="15" customHeight="1">
      <c r="A8196" t="inlineStr">
        <is>
          <t>A 34339-2023</t>
        </is>
      </c>
      <c r="B8196" s="1" t="n">
        <v>45139</v>
      </c>
      <c r="C8196" s="1" t="n">
        <v>45344</v>
      </c>
      <c r="D8196" t="inlineStr">
        <is>
          <t>GÄVLEBORGS LÄN</t>
        </is>
      </c>
      <c r="E8196" t="inlineStr">
        <is>
          <t>NORDANSTIG</t>
        </is>
      </c>
      <c r="F8196" t="inlineStr">
        <is>
          <t>Holmen skog AB</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34363-2023</t>
        </is>
      </c>
      <c r="B8197" s="1" t="n">
        <v>45139</v>
      </c>
      <c r="C8197" s="1" t="n">
        <v>45344</v>
      </c>
      <c r="D8197" t="inlineStr">
        <is>
          <t>GÄVLEBORGS LÄN</t>
        </is>
      </c>
      <c r="E8197" t="inlineStr">
        <is>
          <t>LJUSDAL</t>
        </is>
      </c>
      <c r="G8197" t="n">
        <v>3.6</v>
      </c>
      <c r="H8197" t="n">
        <v>0</v>
      </c>
      <c r="I8197" t="n">
        <v>0</v>
      </c>
      <c r="J8197" t="n">
        <v>0</v>
      </c>
      <c r="K8197" t="n">
        <v>0</v>
      </c>
      <c r="L8197" t="n">
        <v>0</v>
      </c>
      <c r="M8197" t="n">
        <v>0</v>
      </c>
      <c r="N8197" t="n">
        <v>0</v>
      </c>
      <c r="O8197" t="n">
        <v>0</v>
      </c>
      <c r="P8197" t="n">
        <v>0</v>
      </c>
      <c r="Q8197" t="n">
        <v>0</v>
      </c>
      <c r="R8197" s="2" t="inlineStr"/>
    </row>
    <row r="8198" ht="15" customHeight="1">
      <c r="A8198" t="inlineStr">
        <is>
          <t>A 34338-2023</t>
        </is>
      </c>
      <c r="B8198" s="1" t="n">
        <v>45139</v>
      </c>
      <c r="C8198" s="1" t="n">
        <v>45344</v>
      </c>
      <c r="D8198" t="inlineStr">
        <is>
          <t>GÄVLEBORGS LÄN</t>
        </is>
      </c>
      <c r="E8198" t="inlineStr">
        <is>
          <t>OVANÅKER</t>
        </is>
      </c>
      <c r="F8198" t="inlineStr">
        <is>
          <t>Bergvik skog väst AB</t>
        </is>
      </c>
      <c r="G8198" t="n">
        <v>1.7</v>
      </c>
      <c r="H8198" t="n">
        <v>0</v>
      </c>
      <c r="I8198" t="n">
        <v>0</v>
      </c>
      <c r="J8198" t="n">
        <v>0</v>
      </c>
      <c r="K8198" t="n">
        <v>0</v>
      </c>
      <c r="L8198" t="n">
        <v>0</v>
      </c>
      <c r="M8198" t="n">
        <v>0</v>
      </c>
      <c r="N8198" t="n">
        <v>0</v>
      </c>
      <c r="O8198" t="n">
        <v>0</v>
      </c>
      <c r="P8198" t="n">
        <v>0</v>
      </c>
      <c r="Q8198" t="n">
        <v>0</v>
      </c>
      <c r="R8198" s="2" t="inlineStr"/>
    </row>
    <row r="8199" ht="15" customHeight="1">
      <c r="A8199" t="inlineStr">
        <is>
          <t>A 34440-2023</t>
        </is>
      </c>
      <c r="B8199" s="1" t="n">
        <v>45139</v>
      </c>
      <c r="C8199" s="1" t="n">
        <v>45344</v>
      </c>
      <c r="D8199" t="inlineStr">
        <is>
          <t>GÄVLEBORGS LÄN</t>
        </is>
      </c>
      <c r="E8199" t="inlineStr">
        <is>
          <t>OCKELBO</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34444-2023</t>
        </is>
      </c>
      <c r="B8200" s="1" t="n">
        <v>45139</v>
      </c>
      <c r="C8200" s="1" t="n">
        <v>45344</v>
      </c>
      <c r="D8200" t="inlineStr">
        <is>
          <t>GÄVLEBORGS LÄN</t>
        </is>
      </c>
      <c r="E8200" t="inlineStr">
        <is>
          <t>OCKELBO</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34449-2023</t>
        </is>
      </c>
      <c r="B8201" s="1" t="n">
        <v>45139</v>
      </c>
      <c r="C8201" s="1" t="n">
        <v>45344</v>
      </c>
      <c r="D8201" t="inlineStr">
        <is>
          <t>GÄVLEBORGS LÄN</t>
        </is>
      </c>
      <c r="E8201" t="inlineStr">
        <is>
          <t>OCKELBO</t>
        </is>
      </c>
      <c r="G8201" t="n">
        <v>3.4</v>
      </c>
      <c r="H8201" t="n">
        <v>0</v>
      </c>
      <c r="I8201" t="n">
        <v>0</v>
      </c>
      <c r="J8201" t="n">
        <v>0</v>
      </c>
      <c r="K8201" t="n">
        <v>0</v>
      </c>
      <c r="L8201" t="n">
        <v>0</v>
      </c>
      <c r="M8201" t="n">
        <v>0</v>
      </c>
      <c r="N8201" t="n">
        <v>0</v>
      </c>
      <c r="O8201" t="n">
        <v>0</v>
      </c>
      <c r="P8201" t="n">
        <v>0</v>
      </c>
      <c r="Q8201" t="n">
        <v>0</v>
      </c>
      <c r="R8201" s="2" t="inlineStr"/>
    </row>
    <row r="8202" ht="15" customHeight="1">
      <c r="A8202" t="inlineStr">
        <is>
          <t>A 34499-2023</t>
        </is>
      </c>
      <c r="B8202" s="1" t="n">
        <v>45140</v>
      </c>
      <c r="C8202" s="1" t="n">
        <v>45344</v>
      </c>
      <c r="D8202" t="inlineStr">
        <is>
          <t>GÄVLEBORGS LÄN</t>
        </is>
      </c>
      <c r="E8202" t="inlineStr">
        <is>
          <t>NORDANSTIG</t>
        </is>
      </c>
      <c r="G8202" t="n">
        <v>0.9</v>
      </c>
      <c r="H8202" t="n">
        <v>0</v>
      </c>
      <c r="I8202" t="n">
        <v>0</v>
      </c>
      <c r="J8202" t="n">
        <v>0</v>
      </c>
      <c r="K8202" t="n">
        <v>0</v>
      </c>
      <c r="L8202" t="n">
        <v>0</v>
      </c>
      <c r="M8202" t="n">
        <v>0</v>
      </c>
      <c r="N8202" t="n">
        <v>0</v>
      </c>
      <c r="O8202" t="n">
        <v>0</v>
      </c>
      <c r="P8202" t="n">
        <v>0</v>
      </c>
      <c r="Q8202" t="n">
        <v>0</v>
      </c>
      <c r="R8202" s="2" t="inlineStr"/>
    </row>
    <row r="8203" ht="15" customHeight="1">
      <c r="A8203" t="inlineStr">
        <is>
          <t>A 34560-2023</t>
        </is>
      </c>
      <c r="B8203" s="1" t="n">
        <v>45140</v>
      </c>
      <c r="C8203" s="1" t="n">
        <v>45344</v>
      </c>
      <c r="D8203" t="inlineStr">
        <is>
          <t>GÄVLEBORGS LÄN</t>
        </is>
      </c>
      <c r="E8203" t="inlineStr">
        <is>
          <t>NORDANSTIG</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34523-2023</t>
        </is>
      </c>
      <c r="B8204" s="1" t="n">
        <v>45140</v>
      </c>
      <c r="C8204" s="1" t="n">
        <v>45344</v>
      </c>
      <c r="D8204" t="inlineStr">
        <is>
          <t>GÄVLEBORGS LÄN</t>
        </is>
      </c>
      <c r="E8204" t="inlineStr">
        <is>
          <t>BOLLNÄS</t>
        </is>
      </c>
      <c r="G8204" t="n">
        <v>2.8</v>
      </c>
      <c r="H8204" t="n">
        <v>0</v>
      </c>
      <c r="I8204" t="n">
        <v>0</v>
      </c>
      <c r="J8204" t="n">
        <v>0</v>
      </c>
      <c r="K8204" t="n">
        <v>0</v>
      </c>
      <c r="L8204" t="n">
        <v>0</v>
      </c>
      <c r="M8204" t="n">
        <v>0</v>
      </c>
      <c r="N8204" t="n">
        <v>0</v>
      </c>
      <c r="O8204" t="n">
        <v>0</v>
      </c>
      <c r="P8204" t="n">
        <v>0</v>
      </c>
      <c r="Q8204" t="n">
        <v>0</v>
      </c>
      <c r="R8204" s="2" t="inlineStr"/>
    </row>
    <row r="8205" ht="15" customHeight="1">
      <c r="A8205" t="inlineStr">
        <is>
          <t>A 34557-2023</t>
        </is>
      </c>
      <c r="B8205" s="1" t="n">
        <v>45140</v>
      </c>
      <c r="C8205" s="1" t="n">
        <v>45344</v>
      </c>
      <c r="D8205" t="inlineStr">
        <is>
          <t>GÄVLEBORGS LÄN</t>
        </is>
      </c>
      <c r="E8205" t="inlineStr">
        <is>
          <t>NORDANSTIG</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34757-2023</t>
        </is>
      </c>
      <c r="B8206" s="1" t="n">
        <v>45141</v>
      </c>
      <c r="C8206" s="1" t="n">
        <v>45344</v>
      </c>
      <c r="D8206" t="inlineStr">
        <is>
          <t>GÄVLEBORGS LÄN</t>
        </is>
      </c>
      <c r="E8206" t="inlineStr">
        <is>
          <t>HUDIKSVALL</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34790-2023</t>
        </is>
      </c>
      <c r="B8207" s="1" t="n">
        <v>45141</v>
      </c>
      <c r="C8207" s="1" t="n">
        <v>45344</v>
      </c>
      <c r="D8207" t="inlineStr">
        <is>
          <t>GÄVLEBORGS LÄN</t>
        </is>
      </c>
      <c r="E8207" t="inlineStr">
        <is>
          <t>GÄVLE</t>
        </is>
      </c>
      <c r="G8207" t="n">
        <v>2</v>
      </c>
      <c r="H8207" t="n">
        <v>0</v>
      </c>
      <c r="I8207" t="n">
        <v>0</v>
      </c>
      <c r="J8207" t="n">
        <v>0</v>
      </c>
      <c r="K8207" t="n">
        <v>0</v>
      </c>
      <c r="L8207" t="n">
        <v>0</v>
      </c>
      <c r="M8207" t="n">
        <v>0</v>
      </c>
      <c r="N8207" t="n">
        <v>0</v>
      </c>
      <c r="O8207" t="n">
        <v>0</v>
      </c>
      <c r="P8207" t="n">
        <v>0</v>
      </c>
      <c r="Q8207" t="n">
        <v>0</v>
      </c>
      <c r="R8207" s="2" t="inlineStr"/>
    </row>
    <row r="8208" ht="15" customHeight="1">
      <c r="A8208" t="inlineStr">
        <is>
          <t>A 34786-2023</t>
        </is>
      </c>
      <c r="B8208" s="1" t="n">
        <v>45141</v>
      </c>
      <c r="C8208" s="1" t="n">
        <v>45344</v>
      </c>
      <c r="D8208" t="inlineStr">
        <is>
          <t>GÄVLEBORGS LÄN</t>
        </is>
      </c>
      <c r="E8208" t="inlineStr">
        <is>
          <t>GÄVLE</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34814-2023</t>
        </is>
      </c>
      <c r="B8209" s="1" t="n">
        <v>45141</v>
      </c>
      <c r="C8209" s="1" t="n">
        <v>45344</v>
      </c>
      <c r="D8209" t="inlineStr">
        <is>
          <t>GÄVLEBORGS LÄN</t>
        </is>
      </c>
      <c r="E8209" t="inlineStr">
        <is>
          <t>LJUSDAL</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34842-2023</t>
        </is>
      </c>
      <c r="B8210" s="1" t="n">
        <v>45142</v>
      </c>
      <c r="C8210" s="1" t="n">
        <v>45344</v>
      </c>
      <c r="D8210" t="inlineStr">
        <is>
          <t>GÄVLEBORGS LÄN</t>
        </is>
      </c>
      <c r="E8210" t="inlineStr">
        <is>
          <t>NORDANSTIG</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34913-2023</t>
        </is>
      </c>
      <c r="B8211" s="1" t="n">
        <v>45142</v>
      </c>
      <c r="C8211" s="1" t="n">
        <v>45344</v>
      </c>
      <c r="D8211" t="inlineStr">
        <is>
          <t>GÄVLEBORGS LÄN</t>
        </is>
      </c>
      <c r="E8211" t="inlineStr">
        <is>
          <t>NORDANSTIG</t>
        </is>
      </c>
      <c r="F8211" t="inlineStr">
        <is>
          <t>Holmen skog AB</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34918-2023</t>
        </is>
      </c>
      <c r="B8212" s="1" t="n">
        <v>45142</v>
      </c>
      <c r="C8212" s="1" t="n">
        <v>45344</v>
      </c>
      <c r="D8212" t="inlineStr">
        <is>
          <t>GÄVLEBORGS LÄN</t>
        </is>
      </c>
      <c r="E8212" t="inlineStr">
        <is>
          <t>NORDANSTIG</t>
        </is>
      </c>
      <c r="F8212" t="inlineStr">
        <is>
          <t>Holmen skog AB</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34896-2023</t>
        </is>
      </c>
      <c r="B8213" s="1" t="n">
        <v>45142</v>
      </c>
      <c r="C8213" s="1" t="n">
        <v>45344</v>
      </c>
      <c r="D8213" t="inlineStr">
        <is>
          <t>GÄVLEBORGS LÄN</t>
        </is>
      </c>
      <c r="E8213" t="inlineStr">
        <is>
          <t>NORDANSTIG</t>
        </is>
      </c>
      <c r="F8213" t="inlineStr">
        <is>
          <t>Holmen skog AB</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35001-2023</t>
        </is>
      </c>
      <c r="B8214" s="1" t="n">
        <v>45143</v>
      </c>
      <c r="C8214" s="1" t="n">
        <v>45344</v>
      </c>
      <c r="D8214" t="inlineStr">
        <is>
          <t>GÄVLEBORGS LÄN</t>
        </is>
      </c>
      <c r="E8214" t="inlineStr">
        <is>
          <t>HUDIKSVALL</t>
        </is>
      </c>
      <c r="G8214" t="n">
        <v>4.1</v>
      </c>
      <c r="H8214" t="n">
        <v>0</v>
      </c>
      <c r="I8214" t="n">
        <v>0</v>
      </c>
      <c r="J8214" t="n">
        <v>0</v>
      </c>
      <c r="K8214" t="n">
        <v>0</v>
      </c>
      <c r="L8214" t="n">
        <v>0</v>
      </c>
      <c r="M8214" t="n">
        <v>0</v>
      </c>
      <c r="N8214" t="n">
        <v>0</v>
      </c>
      <c r="O8214" t="n">
        <v>0</v>
      </c>
      <c r="P8214" t="n">
        <v>0</v>
      </c>
      <c r="Q8214" t="n">
        <v>0</v>
      </c>
      <c r="R8214" s="2" t="inlineStr"/>
    </row>
    <row r="8215" ht="15" customHeight="1">
      <c r="A8215" t="inlineStr">
        <is>
          <t>A 34974-2023</t>
        </is>
      </c>
      <c r="B8215" s="1" t="n">
        <v>45142</v>
      </c>
      <c r="C8215" s="1" t="n">
        <v>45344</v>
      </c>
      <c r="D8215" t="inlineStr">
        <is>
          <t>GÄVLEBORGS LÄN</t>
        </is>
      </c>
      <c r="E8215" t="inlineStr">
        <is>
          <t>LJUSDAL</t>
        </is>
      </c>
      <c r="G8215" t="n">
        <v>7.2</v>
      </c>
      <c r="H8215" t="n">
        <v>0</v>
      </c>
      <c r="I8215" t="n">
        <v>0</v>
      </c>
      <c r="J8215" t="n">
        <v>0</v>
      </c>
      <c r="K8215" t="n">
        <v>0</v>
      </c>
      <c r="L8215" t="n">
        <v>0</v>
      </c>
      <c r="M8215" t="n">
        <v>0</v>
      </c>
      <c r="N8215" t="n">
        <v>0</v>
      </c>
      <c r="O8215" t="n">
        <v>0</v>
      </c>
      <c r="P8215" t="n">
        <v>0</v>
      </c>
      <c r="Q8215" t="n">
        <v>0</v>
      </c>
      <c r="R8215" s="2" t="inlineStr"/>
    </row>
    <row r="8216" ht="15" customHeight="1">
      <c r="A8216" t="inlineStr">
        <is>
          <t>A 35002-2023</t>
        </is>
      </c>
      <c r="B8216" s="1" t="n">
        <v>45142</v>
      </c>
      <c r="C8216" s="1" t="n">
        <v>45344</v>
      </c>
      <c r="D8216" t="inlineStr">
        <is>
          <t>GÄVLEBORGS LÄN</t>
        </is>
      </c>
      <c r="E8216" t="inlineStr">
        <is>
          <t>HUDIKSVALL</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34973-2023</t>
        </is>
      </c>
      <c r="B8217" s="1" t="n">
        <v>45142</v>
      </c>
      <c r="C8217" s="1" t="n">
        <v>45344</v>
      </c>
      <c r="D8217" t="inlineStr">
        <is>
          <t>GÄVLEBORGS LÄN</t>
        </is>
      </c>
      <c r="E8217" t="inlineStr">
        <is>
          <t>NORDANSTIG</t>
        </is>
      </c>
      <c r="F8217" t="inlineStr">
        <is>
          <t>Holmen skog AB</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34978-2023</t>
        </is>
      </c>
      <c r="B8218" s="1" t="n">
        <v>45142</v>
      </c>
      <c r="C8218" s="1" t="n">
        <v>45344</v>
      </c>
      <c r="D8218" t="inlineStr">
        <is>
          <t>GÄVLEBORGS LÄN</t>
        </is>
      </c>
      <c r="E8218" t="inlineStr">
        <is>
          <t>NORDANSTIG</t>
        </is>
      </c>
      <c r="F8218" t="inlineStr">
        <is>
          <t>Holmen skog AB</t>
        </is>
      </c>
      <c r="G8218" t="n">
        <v>6.3</v>
      </c>
      <c r="H8218" t="n">
        <v>0</v>
      </c>
      <c r="I8218" t="n">
        <v>0</v>
      </c>
      <c r="J8218" t="n">
        <v>0</v>
      </c>
      <c r="K8218" t="n">
        <v>0</v>
      </c>
      <c r="L8218" t="n">
        <v>0</v>
      </c>
      <c r="M8218" t="n">
        <v>0</v>
      </c>
      <c r="N8218" t="n">
        <v>0</v>
      </c>
      <c r="O8218" t="n">
        <v>0</v>
      </c>
      <c r="P8218" t="n">
        <v>0</v>
      </c>
      <c r="Q8218" t="n">
        <v>0</v>
      </c>
      <c r="R8218" s="2" t="inlineStr"/>
    </row>
    <row r="8219" ht="15" customHeight="1">
      <c r="A8219" t="inlineStr">
        <is>
          <t>A 34982-2023</t>
        </is>
      </c>
      <c r="B8219" s="1" t="n">
        <v>45142</v>
      </c>
      <c r="C8219" s="1" t="n">
        <v>45344</v>
      </c>
      <c r="D8219" t="inlineStr">
        <is>
          <t>GÄVLEBORGS LÄN</t>
        </is>
      </c>
      <c r="E8219" t="inlineStr">
        <is>
          <t>NORDANSTIG</t>
        </is>
      </c>
      <c r="F8219" t="inlineStr">
        <is>
          <t>Holmen skog AB</t>
        </is>
      </c>
      <c r="G8219" t="n">
        <v>2.2</v>
      </c>
      <c r="H8219" t="n">
        <v>0</v>
      </c>
      <c r="I8219" t="n">
        <v>0</v>
      </c>
      <c r="J8219" t="n">
        <v>0</v>
      </c>
      <c r="K8219" t="n">
        <v>0</v>
      </c>
      <c r="L8219" t="n">
        <v>0</v>
      </c>
      <c r="M8219" t="n">
        <v>0</v>
      </c>
      <c r="N8219" t="n">
        <v>0</v>
      </c>
      <c r="O8219" t="n">
        <v>0</v>
      </c>
      <c r="P8219" t="n">
        <v>0</v>
      </c>
      <c r="Q8219" t="n">
        <v>0</v>
      </c>
      <c r="R8219" s="2" t="inlineStr"/>
    </row>
    <row r="8220" ht="15" customHeight="1">
      <c r="A8220" t="inlineStr">
        <is>
          <t>A 35154-2023</t>
        </is>
      </c>
      <c r="B8220" s="1" t="n">
        <v>45145</v>
      </c>
      <c r="C8220" s="1" t="n">
        <v>45344</v>
      </c>
      <c r="D8220" t="inlineStr">
        <is>
          <t>GÄVLEBORGS LÄN</t>
        </is>
      </c>
      <c r="E8220" t="inlineStr">
        <is>
          <t>LJUSDAL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35073-2023</t>
        </is>
      </c>
      <c r="B8221" s="1" t="n">
        <v>45145</v>
      </c>
      <c r="C8221" s="1" t="n">
        <v>45344</v>
      </c>
      <c r="D8221" t="inlineStr">
        <is>
          <t>GÄVLEBORGS LÄN</t>
        </is>
      </c>
      <c r="E8221" t="inlineStr">
        <is>
          <t>BOLLNÄS</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35114-2023</t>
        </is>
      </c>
      <c r="B8222" s="1" t="n">
        <v>45145</v>
      </c>
      <c r="C8222" s="1" t="n">
        <v>45344</v>
      </c>
      <c r="D8222" t="inlineStr">
        <is>
          <t>GÄVLEBORGS LÄN</t>
        </is>
      </c>
      <c r="E8222" t="inlineStr">
        <is>
          <t>HOFORS</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35118-2023</t>
        </is>
      </c>
      <c r="B8223" s="1" t="n">
        <v>45145</v>
      </c>
      <c r="C8223" s="1" t="n">
        <v>45344</v>
      </c>
      <c r="D8223" t="inlineStr">
        <is>
          <t>GÄVLEBORGS LÄN</t>
        </is>
      </c>
      <c r="E8223" t="inlineStr">
        <is>
          <t>HOFORS</t>
        </is>
      </c>
      <c r="G8223" t="n">
        <v>3.2</v>
      </c>
      <c r="H8223" t="n">
        <v>0</v>
      </c>
      <c r="I8223" t="n">
        <v>0</v>
      </c>
      <c r="J8223" t="n">
        <v>0</v>
      </c>
      <c r="K8223" t="n">
        <v>0</v>
      </c>
      <c r="L8223" t="n">
        <v>0</v>
      </c>
      <c r="M8223" t="n">
        <v>0</v>
      </c>
      <c r="N8223" t="n">
        <v>0</v>
      </c>
      <c r="O8223" t="n">
        <v>0</v>
      </c>
      <c r="P8223" t="n">
        <v>0</v>
      </c>
      <c r="Q8223" t="n">
        <v>0</v>
      </c>
      <c r="R8223" s="2" t="inlineStr"/>
    </row>
    <row r="8224" ht="15" customHeight="1">
      <c r="A8224" t="inlineStr">
        <is>
          <t>A 35174-2023</t>
        </is>
      </c>
      <c r="B8224" s="1" t="n">
        <v>45145</v>
      </c>
      <c r="C8224" s="1" t="n">
        <v>45344</v>
      </c>
      <c r="D8224" t="inlineStr">
        <is>
          <t>GÄVLEBORGS LÄN</t>
        </is>
      </c>
      <c r="E8224" t="inlineStr">
        <is>
          <t>BOLLNÄS</t>
        </is>
      </c>
      <c r="F8224" t="inlineStr">
        <is>
          <t>Holmen skog AB</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35182-2023</t>
        </is>
      </c>
      <c r="B8225" s="1" t="n">
        <v>45145</v>
      </c>
      <c r="C8225" s="1" t="n">
        <v>45344</v>
      </c>
      <c r="D8225" t="inlineStr">
        <is>
          <t>GÄVLEBORGS LÄN</t>
        </is>
      </c>
      <c r="E8225" t="inlineStr">
        <is>
          <t>BOLLNÄS</t>
        </is>
      </c>
      <c r="F8225" t="inlineStr">
        <is>
          <t>Holmen skog AB</t>
        </is>
      </c>
      <c r="G8225" t="n">
        <v>2.4</v>
      </c>
      <c r="H8225" t="n">
        <v>0</v>
      </c>
      <c r="I8225" t="n">
        <v>0</v>
      </c>
      <c r="J8225" t="n">
        <v>0</v>
      </c>
      <c r="K8225" t="n">
        <v>0</v>
      </c>
      <c r="L8225" t="n">
        <v>0</v>
      </c>
      <c r="M8225" t="n">
        <v>0</v>
      </c>
      <c r="N8225" t="n">
        <v>0</v>
      </c>
      <c r="O8225" t="n">
        <v>0</v>
      </c>
      <c r="P8225" t="n">
        <v>0</v>
      </c>
      <c r="Q8225" t="n">
        <v>0</v>
      </c>
      <c r="R8225" s="2" t="inlineStr"/>
    </row>
    <row r="8226" ht="15" customHeight="1">
      <c r="A8226" t="inlineStr">
        <is>
          <t>A 35216-2023</t>
        </is>
      </c>
      <c r="B8226" s="1" t="n">
        <v>45145</v>
      </c>
      <c r="C8226" s="1" t="n">
        <v>45344</v>
      </c>
      <c r="D8226" t="inlineStr">
        <is>
          <t>GÄVLEBORGS LÄN</t>
        </is>
      </c>
      <c r="E8226" t="inlineStr">
        <is>
          <t>OVANÅKER</t>
        </is>
      </c>
      <c r="F8226" t="inlineStr">
        <is>
          <t>Bergvik skog väst AB</t>
        </is>
      </c>
      <c r="G8226" t="n">
        <v>3.9</v>
      </c>
      <c r="H8226" t="n">
        <v>0</v>
      </c>
      <c r="I8226" t="n">
        <v>0</v>
      </c>
      <c r="J8226" t="n">
        <v>0</v>
      </c>
      <c r="K8226" t="n">
        <v>0</v>
      </c>
      <c r="L8226" t="n">
        <v>0</v>
      </c>
      <c r="M8226" t="n">
        <v>0</v>
      </c>
      <c r="N8226" t="n">
        <v>0</v>
      </c>
      <c r="O8226" t="n">
        <v>0</v>
      </c>
      <c r="P8226" t="n">
        <v>0</v>
      </c>
      <c r="Q8226" t="n">
        <v>0</v>
      </c>
      <c r="R8226" s="2" t="inlineStr"/>
    </row>
    <row r="8227" ht="15" customHeight="1">
      <c r="A8227" t="inlineStr">
        <is>
          <t>A 35037-2023</t>
        </is>
      </c>
      <c r="B8227" s="1" t="n">
        <v>45145</v>
      </c>
      <c r="C8227" s="1" t="n">
        <v>45344</v>
      </c>
      <c r="D8227" t="inlineStr">
        <is>
          <t>GÄVLEBORGS LÄN</t>
        </is>
      </c>
      <c r="E8227" t="inlineStr">
        <is>
          <t>LJUSDAL</t>
        </is>
      </c>
      <c r="F8227" t="inlineStr">
        <is>
          <t>Holmen skog AB</t>
        </is>
      </c>
      <c r="G8227" t="n">
        <v>6.6</v>
      </c>
      <c r="H8227" t="n">
        <v>0</v>
      </c>
      <c r="I8227" t="n">
        <v>0</v>
      </c>
      <c r="J8227" t="n">
        <v>0</v>
      </c>
      <c r="K8227" t="n">
        <v>0</v>
      </c>
      <c r="L8227" t="n">
        <v>0</v>
      </c>
      <c r="M8227" t="n">
        <v>0</v>
      </c>
      <c r="N8227" t="n">
        <v>0</v>
      </c>
      <c r="O8227" t="n">
        <v>0</v>
      </c>
      <c r="P8227" t="n">
        <v>0</v>
      </c>
      <c r="Q8227" t="n">
        <v>0</v>
      </c>
      <c r="R8227" s="2" t="inlineStr"/>
    </row>
    <row r="8228" ht="15" customHeight="1">
      <c r="A8228" t="inlineStr">
        <is>
          <t>A 35067-2023</t>
        </is>
      </c>
      <c r="B8228" s="1" t="n">
        <v>45145</v>
      </c>
      <c r="C8228" s="1" t="n">
        <v>45344</v>
      </c>
      <c r="D8228" t="inlineStr">
        <is>
          <t>GÄVLEBORGS LÄN</t>
        </is>
      </c>
      <c r="E8228" t="inlineStr">
        <is>
          <t>BOLLNÄS</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35107-2023</t>
        </is>
      </c>
      <c r="B8229" s="1" t="n">
        <v>45145</v>
      </c>
      <c r="C8229" s="1" t="n">
        <v>45344</v>
      </c>
      <c r="D8229" t="inlineStr">
        <is>
          <t>GÄVLEBORGS LÄN</t>
        </is>
      </c>
      <c r="E8229" t="inlineStr">
        <is>
          <t>HOFORS</t>
        </is>
      </c>
      <c r="G8229" t="n">
        <v>8.4</v>
      </c>
      <c r="H8229" t="n">
        <v>0</v>
      </c>
      <c r="I8229" t="n">
        <v>0</v>
      </c>
      <c r="J8229" t="n">
        <v>0</v>
      </c>
      <c r="K8229" t="n">
        <v>0</v>
      </c>
      <c r="L8229" t="n">
        <v>0</v>
      </c>
      <c r="M8229" t="n">
        <v>0</v>
      </c>
      <c r="N8229" t="n">
        <v>0</v>
      </c>
      <c r="O8229" t="n">
        <v>0</v>
      </c>
      <c r="P8229" t="n">
        <v>0</v>
      </c>
      <c r="Q8229" t="n">
        <v>0</v>
      </c>
      <c r="R8229" s="2" t="inlineStr"/>
    </row>
    <row r="8230" ht="15" customHeight="1">
      <c r="A8230" t="inlineStr">
        <is>
          <t>A 35164-2023</t>
        </is>
      </c>
      <c r="B8230" s="1" t="n">
        <v>45145</v>
      </c>
      <c r="C8230" s="1" t="n">
        <v>45344</v>
      </c>
      <c r="D8230" t="inlineStr">
        <is>
          <t>GÄVLEBORGS LÄN</t>
        </is>
      </c>
      <c r="E8230" t="inlineStr">
        <is>
          <t>HUDIKSVALL</t>
        </is>
      </c>
      <c r="F8230" t="inlineStr">
        <is>
          <t>Holmen skog AB</t>
        </is>
      </c>
      <c r="G8230" t="n">
        <v>8.800000000000001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35172-2023</t>
        </is>
      </c>
      <c r="B8231" s="1" t="n">
        <v>45145</v>
      </c>
      <c r="C8231" s="1" t="n">
        <v>45344</v>
      </c>
      <c r="D8231" t="inlineStr">
        <is>
          <t>GÄVLEBORGS LÄN</t>
        </is>
      </c>
      <c r="E8231" t="inlineStr">
        <is>
          <t>HUDIKSVALL</t>
        </is>
      </c>
      <c r="F8231" t="inlineStr">
        <is>
          <t>Holmen skog AB</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35071-2023</t>
        </is>
      </c>
      <c r="B8232" s="1" t="n">
        <v>45145</v>
      </c>
      <c r="C8232" s="1" t="n">
        <v>45344</v>
      </c>
      <c r="D8232" t="inlineStr">
        <is>
          <t>GÄVLEBORGS LÄN</t>
        </is>
      </c>
      <c r="E8232" t="inlineStr">
        <is>
          <t>BOLLNÄS</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35373-2023</t>
        </is>
      </c>
      <c r="B8233" s="1" t="n">
        <v>45145</v>
      </c>
      <c r="C8233" s="1" t="n">
        <v>45344</v>
      </c>
      <c r="D8233" t="inlineStr">
        <is>
          <t>GÄVLEBORGS LÄN</t>
        </is>
      </c>
      <c r="E8233" t="inlineStr">
        <is>
          <t>LJUSDAL</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35136-2023</t>
        </is>
      </c>
      <c r="B8234" s="1" t="n">
        <v>45145</v>
      </c>
      <c r="C8234" s="1" t="n">
        <v>45344</v>
      </c>
      <c r="D8234" t="inlineStr">
        <is>
          <t>GÄVLEBORGS LÄN</t>
        </is>
      </c>
      <c r="E8234" t="inlineStr">
        <is>
          <t>HOFORS</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35181-2023</t>
        </is>
      </c>
      <c r="B8235" s="1" t="n">
        <v>45145</v>
      </c>
      <c r="C8235" s="1" t="n">
        <v>45344</v>
      </c>
      <c r="D8235" t="inlineStr">
        <is>
          <t>GÄVLEBORGS LÄN</t>
        </is>
      </c>
      <c r="E8235" t="inlineStr">
        <is>
          <t>BOLLNÄS</t>
        </is>
      </c>
      <c r="F8235" t="inlineStr">
        <is>
          <t>Holmen skog AB</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35222-2023</t>
        </is>
      </c>
      <c r="B8236" s="1" t="n">
        <v>45145</v>
      </c>
      <c r="C8236" s="1" t="n">
        <v>45344</v>
      </c>
      <c r="D8236" t="inlineStr">
        <is>
          <t>GÄVLEBORGS LÄN</t>
        </is>
      </c>
      <c r="E8236" t="inlineStr">
        <is>
          <t>OVANÅKER</t>
        </is>
      </c>
      <c r="F8236" t="inlineStr">
        <is>
          <t>Bergvik skog väst AB</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35303-2023</t>
        </is>
      </c>
      <c r="B8237" s="1" t="n">
        <v>45146</v>
      </c>
      <c r="C8237" s="1" t="n">
        <v>45344</v>
      </c>
      <c r="D8237" t="inlineStr">
        <is>
          <t>GÄVLEBORGS LÄN</t>
        </is>
      </c>
      <c r="E8237" t="inlineStr">
        <is>
          <t>HUDIKSVALL</t>
        </is>
      </c>
      <c r="F8237" t="inlineStr">
        <is>
          <t>Holmen skog AB</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35304-2023</t>
        </is>
      </c>
      <c r="B8238" s="1" t="n">
        <v>45146</v>
      </c>
      <c r="C8238" s="1" t="n">
        <v>45344</v>
      </c>
      <c r="D8238" t="inlineStr">
        <is>
          <t>GÄVLEBORGS LÄN</t>
        </is>
      </c>
      <c r="E8238" t="inlineStr">
        <is>
          <t>HUDIKSVALL</t>
        </is>
      </c>
      <c r="F8238" t="inlineStr">
        <is>
          <t>Holmen skog AB</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35363-2023</t>
        </is>
      </c>
      <c r="B8239" s="1" t="n">
        <v>45146</v>
      </c>
      <c r="C8239" s="1" t="n">
        <v>45344</v>
      </c>
      <c r="D8239" t="inlineStr">
        <is>
          <t>GÄVLEBORGS LÄN</t>
        </is>
      </c>
      <c r="E8239" t="inlineStr">
        <is>
          <t>HOFORS</t>
        </is>
      </c>
      <c r="F8239" t="inlineStr">
        <is>
          <t>Sveaskog</t>
        </is>
      </c>
      <c r="G8239" t="n">
        <v>4.9</v>
      </c>
      <c r="H8239" t="n">
        <v>0</v>
      </c>
      <c r="I8239" t="n">
        <v>0</v>
      </c>
      <c r="J8239" t="n">
        <v>0</v>
      </c>
      <c r="K8239" t="n">
        <v>0</v>
      </c>
      <c r="L8239" t="n">
        <v>0</v>
      </c>
      <c r="M8239" t="n">
        <v>0</v>
      </c>
      <c r="N8239" t="n">
        <v>0</v>
      </c>
      <c r="O8239" t="n">
        <v>0</v>
      </c>
      <c r="P8239" t="n">
        <v>0</v>
      </c>
      <c r="Q8239" t="n">
        <v>0</v>
      </c>
      <c r="R8239" s="2" t="inlineStr"/>
    </row>
    <row r="8240" ht="15" customHeight="1">
      <c r="A8240" t="inlineStr">
        <is>
          <t>A 35335-2023</t>
        </is>
      </c>
      <c r="B8240" s="1" t="n">
        <v>45146</v>
      </c>
      <c r="C8240" s="1" t="n">
        <v>45344</v>
      </c>
      <c r="D8240" t="inlineStr">
        <is>
          <t>GÄVLEBORGS LÄN</t>
        </is>
      </c>
      <c r="E8240" t="inlineStr">
        <is>
          <t>NORDANSTIG</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35387-2023</t>
        </is>
      </c>
      <c r="B8241" s="1" t="n">
        <v>45146</v>
      </c>
      <c r="C8241" s="1" t="n">
        <v>45344</v>
      </c>
      <c r="D8241" t="inlineStr">
        <is>
          <t>GÄVLEBORGS LÄN</t>
        </is>
      </c>
      <c r="E8241" t="inlineStr">
        <is>
          <t>LJUSDAL</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35419-2023</t>
        </is>
      </c>
      <c r="B8242" s="1" t="n">
        <v>45146</v>
      </c>
      <c r="C8242" s="1" t="n">
        <v>45344</v>
      </c>
      <c r="D8242" t="inlineStr">
        <is>
          <t>GÄVLEBORGS LÄN</t>
        </is>
      </c>
      <c r="E8242" t="inlineStr">
        <is>
          <t>BOLLNÄS</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35431-2023</t>
        </is>
      </c>
      <c r="B8243" s="1" t="n">
        <v>45146</v>
      </c>
      <c r="C8243" s="1" t="n">
        <v>45344</v>
      </c>
      <c r="D8243" t="inlineStr">
        <is>
          <t>GÄVLEBORGS LÄN</t>
        </is>
      </c>
      <c r="E8243" t="inlineStr">
        <is>
          <t>BOLLNÄS</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35365-2023</t>
        </is>
      </c>
      <c r="B8244" s="1" t="n">
        <v>45146</v>
      </c>
      <c r="C8244" s="1" t="n">
        <v>45344</v>
      </c>
      <c r="D8244" t="inlineStr">
        <is>
          <t>GÄVLEBORGS LÄN</t>
        </is>
      </c>
      <c r="E8244" t="inlineStr">
        <is>
          <t>HUDIKSVALL</t>
        </is>
      </c>
      <c r="G8244" t="n">
        <v>6.4</v>
      </c>
      <c r="H8244" t="n">
        <v>0</v>
      </c>
      <c r="I8244" t="n">
        <v>0</v>
      </c>
      <c r="J8244" t="n">
        <v>0</v>
      </c>
      <c r="K8244" t="n">
        <v>0</v>
      </c>
      <c r="L8244" t="n">
        <v>0</v>
      </c>
      <c r="M8244" t="n">
        <v>0</v>
      </c>
      <c r="N8244" t="n">
        <v>0</v>
      </c>
      <c r="O8244" t="n">
        <v>0</v>
      </c>
      <c r="P8244" t="n">
        <v>0</v>
      </c>
      <c r="Q8244" t="n">
        <v>0</v>
      </c>
      <c r="R8244" s="2" t="inlineStr"/>
    </row>
    <row r="8245" ht="15" customHeight="1">
      <c r="A8245" t="inlineStr">
        <is>
          <t>A 35302-2023</t>
        </is>
      </c>
      <c r="B8245" s="1" t="n">
        <v>45146</v>
      </c>
      <c r="C8245" s="1" t="n">
        <v>45344</v>
      </c>
      <c r="D8245" t="inlineStr">
        <is>
          <t>GÄVLEBORGS LÄN</t>
        </is>
      </c>
      <c r="E8245" t="inlineStr">
        <is>
          <t>HUDIKSVALL</t>
        </is>
      </c>
      <c r="F8245" t="inlineStr">
        <is>
          <t>Holmen skog AB</t>
        </is>
      </c>
      <c r="G8245" t="n">
        <v>2.8</v>
      </c>
      <c r="H8245" t="n">
        <v>0</v>
      </c>
      <c r="I8245" t="n">
        <v>0</v>
      </c>
      <c r="J8245" t="n">
        <v>0</v>
      </c>
      <c r="K8245" t="n">
        <v>0</v>
      </c>
      <c r="L8245" t="n">
        <v>0</v>
      </c>
      <c r="M8245" t="n">
        <v>0</v>
      </c>
      <c r="N8245" t="n">
        <v>0</v>
      </c>
      <c r="O8245" t="n">
        <v>0</v>
      </c>
      <c r="P8245" t="n">
        <v>0</v>
      </c>
      <c r="Q8245" t="n">
        <v>0</v>
      </c>
      <c r="R8245" s="2" t="inlineStr"/>
    </row>
    <row r="8246" ht="15" customHeight="1">
      <c r="A8246" t="inlineStr">
        <is>
          <t>A 35442-2023</t>
        </is>
      </c>
      <c r="B8246" s="1" t="n">
        <v>45146</v>
      </c>
      <c r="C8246" s="1" t="n">
        <v>45344</v>
      </c>
      <c r="D8246" t="inlineStr">
        <is>
          <t>GÄVLEBORGS LÄN</t>
        </is>
      </c>
      <c r="E8246" t="inlineStr">
        <is>
          <t>HUDIKSVALL</t>
        </is>
      </c>
      <c r="F8246" t="inlineStr">
        <is>
          <t>Holmen skog AB</t>
        </is>
      </c>
      <c r="G8246" t="n">
        <v>1.2</v>
      </c>
      <c r="H8246" t="n">
        <v>0</v>
      </c>
      <c r="I8246" t="n">
        <v>0</v>
      </c>
      <c r="J8246" t="n">
        <v>0</v>
      </c>
      <c r="K8246" t="n">
        <v>0</v>
      </c>
      <c r="L8246" t="n">
        <v>0</v>
      </c>
      <c r="M8246" t="n">
        <v>0</v>
      </c>
      <c r="N8246" t="n">
        <v>0</v>
      </c>
      <c r="O8246" t="n">
        <v>0</v>
      </c>
      <c r="P8246" t="n">
        <v>0</v>
      </c>
      <c r="Q8246" t="n">
        <v>0</v>
      </c>
      <c r="R8246" s="2" t="inlineStr"/>
    </row>
    <row r="8247" ht="15" customHeight="1">
      <c r="A8247" t="inlineStr">
        <is>
          <t>A 35440-2023</t>
        </is>
      </c>
      <c r="B8247" s="1" t="n">
        <v>45146</v>
      </c>
      <c r="C8247" s="1" t="n">
        <v>45344</v>
      </c>
      <c r="D8247" t="inlineStr">
        <is>
          <t>GÄVLEBORGS LÄN</t>
        </is>
      </c>
      <c r="E8247" t="inlineStr">
        <is>
          <t>GÄVLE</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35448-2023</t>
        </is>
      </c>
      <c r="B8248" s="1" t="n">
        <v>45146</v>
      </c>
      <c r="C8248" s="1" t="n">
        <v>45344</v>
      </c>
      <c r="D8248" t="inlineStr">
        <is>
          <t>GÄVLEBORGS LÄN</t>
        </is>
      </c>
      <c r="E8248" t="inlineStr">
        <is>
          <t>LJUSDAL</t>
        </is>
      </c>
      <c r="F8248" t="inlineStr">
        <is>
          <t>Sveaskog</t>
        </is>
      </c>
      <c r="G8248" t="n">
        <v>7.9</v>
      </c>
      <c r="H8248" t="n">
        <v>0</v>
      </c>
      <c r="I8248" t="n">
        <v>0</v>
      </c>
      <c r="J8248" t="n">
        <v>0</v>
      </c>
      <c r="K8248" t="n">
        <v>0</v>
      </c>
      <c r="L8248" t="n">
        <v>0</v>
      </c>
      <c r="M8248" t="n">
        <v>0</v>
      </c>
      <c r="N8248" t="n">
        <v>0</v>
      </c>
      <c r="O8248" t="n">
        <v>0</v>
      </c>
      <c r="P8248" t="n">
        <v>0</v>
      </c>
      <c r="Q8248" t="n">
        <v>0</v>
      </c>
      <c r="R8248" s="2" t="inlineStr"/>
    </row>
    <row r="8249" ht="15" customHeight="1">
      <c r="A8249" t="inlineStr">
        <is>
          <t>A 35445-2023</t>
        </is>
      </c>
      <c r="B8249" s="1" t="n">
        <v>45146</v>
      </c>
      <c r="C8249" s="1" t="n">
        <v>45344</v>
      </c>
      <c r="D8249" t="inlineStr">
        <is>
          <t>GÄVLEBORGS LÄN</t>
        </is>
      </c>
      <c r="E8249" t="inlineStr">
        <is>
          <t>GÄVLE</t>
        </is>
      </c>
      <c r="G8249" t="n">
        <v>6.2</v>
      </c>
      <c r="H8249" t="n">
        <v>0</v>
      </c>
      <c r="I8249" t="n">
        <v>0</v>
      </c>
      <c r="J8249" t="n">
        <v>0</v>
      </c>
      <c r="K8249" t="n">
        <v>0</v>
      </c>
      <c r="L8249" t="n">
        <v>0</v>
      </c>
      <c r="M8249" t="n">
        <v>0</v>
      </c>
      <c r="N8249" t="n">
        <v>0</v>
      </c>
      <c r="O8249" t="n">
        <v>0</v>
      </c>
      <c r="P8249" t="n">
        <v>0</v>
      </c>
      <c r="Q8249" t="n">
        <v>0</v>
      </c>
      <c r="R8249" s="2" t="inlineStr"/>
    </row>
    <row r="8250" ht="15" customHeight="1">
      <c r="A8250" t="inlineStr">
        <is>
          <t>A 35593-2023</t>
        </is>
      </c>
      <c r="B8250" s="1" t="n">
        <v>45147</v>
      </c>
      <c r="C8250" s="1" t="n">
        <v>45344</v>
      </c>
      <c r="D8250" t="inlineStr">
        <is>
          <t>GÄVLEBORGS LÄN</t>
        </is>
      </c>
      <c r="E8250" t="inlineStr">
        <is>
          <t>HUDIKSVALL</t>
        </is>
      </c>
      <c r="F8250" t="inlineStr">
        <is>
          <t>Holmen skog AB</t>
        </is>
      </c>
      <c r="G8250" t="n">
        <v>4.8</v>
      </c>
      <c r="H8250" t="n">
        <v>0</v>
      </c>
      <c r="I8250" t="n">
        <v>0</v>
      </c>
      <c r="J8250" t="n">
        <v>0</v>
      </c>
      <c r="K8250" t="n">
        <v>0</v>
      </c>
      <c r="L8250" t="n">
        <v>0</v>
      </c>
      <c r="M8250" t="n">
        <v>0</v>
      </c>
      <c r="N8250" t="n">
        <v>0</v>
      </c>
      <c r="O8250" t="n">
        <v>0</v>
      </c>
      <c r="P8250" t="n">
        <v>0</v>
      </c>
      <c r="Q8250" t="n">
        <v>0</v>
      </c>
      <c r="R8250" s="2" t="inlineStr"/>
    </row>
    <row r="8251" ht="15" customHeight="1">
      <c r="A8251" t="inlineStr">
        <is>
          <t>A 35527-2023</t>
        </is>
      </c>
      <c r="B8251" s="1" t="n">
        <v>45147</v>
      </c>
      <c r="C8251" s="1" t="n">
        <v>45344</v>
      </c>
      <c r="D8251" t="inlineStr">
        <is>
          <t>GÄVLEBORGS LÄN</t>
        </is>
      </c>
      <c r="E8251" t="inlineStr">
        <is>
          <t>BOLLNÄS</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35714-2023</t>
        </is>
      </c>
      <c r="B8252" s="1" t="n">
        <v>45147</v>
      </c>
      <c r="C8252" s="1" t="n">
        <v>45344</v>
      </c>
      <c r="D8252" t="inlineStr">
        <is>
          <t>GÄVLEBORGS LÄN</t>
        </is>
      </c>
      <c r="E8252" t="inlineStr">
        <is>
          <t>LJUSDAL</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35718-2023</t>
        </is>
      </c>
      <c r="B8253" s="1" t="n">
        <v>45147</v>
      </c>
      <c r="C8253" s="1" t="n">
        <v>45344</v>
      </c>
      <c r="D8253" t="inlineStr">
        <is>
          <t>GÄVLEBORGS LÄN</t>
        </is>
      </c>
      <c r="E8253" t="inlineStr">
        <is>
          <t>LJUSDAL</t>
        </is>
      </c>
      <c r="G8253" t="n">
        <v>3.5</v>
      </c>
      <c r="H8253" t="n">
        <v>0</v>
      </c>
      <c r="I8253" t="n">
        <v>0</v>
      </c>
      <c r="J8253" t="n">
        <v>0</v>
      </c>
      <c r="K8253" t="n">
        <v>0</v>
      </c>
      <c r="L8253" t="n">
        <v>0</v>
      </c>
      <c r="M8253" t="n">
        <v>0</v>
      </c>
      <c r="N8253" t="n">
        <v>0</v>
      </c>
      <c r="O8253" t="n">
        <v>0</v>
      </c>
      <c r="P8253" t="n">
        <v>0</v>
      </c>
      <c r="Q8253" t="n">
        <v>0</v>
      </c>
      <c r="R8253" s="2" t="inlineStr"/>
    </row>
    <row r="8254" ht="15" customHeight="1">
      <c r="A8254" t="inlineStr">
        <is>
          <t>A 35590-2023</t>
        </is>
      </c>
      <c r="B8254" s="1" t="n">
        <v>45147</v>
      </c>
      <c r="C8254" s="1" t="n">
        <v>45344</v>
      </c>
      <c r="D8254" t="inlineStr">
        <is>
          <t>GÄVLEBORGS LÄN</t>
        </is>
      </c>
      <c r="E8254" t="inlineStr">
        <is>
          <t>HUDIKSVALL</t>
        </is>
      </c>
      <c r="F8254" t="inlineStr">
        <is>
          <t>Holmen skog AB</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35612-2023</t>
        </is>
      </c>
      <c r="B8255" s="1" t="n">
        <v>45147</v>
      </c>
      <c r="C8255" s="1" t="n">
        <v>45344</v>
      </c>
      <c r="D8255" t="inlineStr">
        <is>
          <t>GÄVLEBORGS LÄN</t>
        </is>
      </c>
      <c r="E8255" t="inlineStr">
        <is>
          <t>HOFORS</t>
        </is>
      </c>
      <c r="G8255" t="n">
        <v>4.2</v>
      </c>
      <c r="H8255" t="n">
        <v>0</v>
      </c>
      <c r="I8255" t="n">
        <v>0</v>
      </c>
      <c r="J8255" t="n">
        <v>0</v>
      </c>
      <c r="K8255" t="n">
        <v>0</v>
      </c>
      <c r="L8255" t="n">
        <v>0</v>
      </c>
      <c r="M8255" t="n">
        <v>0</v>
      </c>
      <c r="N8255" t="n">
        <v>0</v>
      </c>
      <c r="O8255" t="n">
        <v>0</v>
      </c>
      <c r="P8255" t="n">
        <v>0</v>
      </c>
      <c r="Q8255" t="n">
        <v>0</v>
      </c>
      <c r="R8255" s="2" t="inlineStr"/>
    </row>
    <row r="8256" ht="15" customHeight="1">
      <c r="A8256" t="inlineStr">
        <is>
          <t>A 35586-2023</t>
        </is>
      </c>
      <c r="B8256" s="1" t="n">
        <v>45147</v>
      </c>
      <c r="C8256" s="1" t="n">
        <v>45344</v>
      </c>
      <c r="D8256" t="inlineStr">
        <is>
          <t>GÄVLEBORGS LÄN</t>
        </is>
      </c>
      <c r="E8256" t="inlineStr">
        <is>
          <t>OCKELBO</t>
        </is>
      </c>
      <c r="G8256" t="n">
        <v>3.9</v>
      </c>
      <c r="H8256" t="n">
        <v>0</v>
      </c>
      <c r="I8256" t="n">
        <v>0</v>
      </c>
      <c r="J8256" t="n">
        <v>0</v>
      </c>
      <c r="K8256" t="n">
        <v>0</v>
      </c>
      <c r="L8256" t="n">
        <v>0</v>
      </c>
      <c r="M8256" t="n">
        <v>0</v>
      </c>
      <c r="N8256" t="n">
        <v>0</v>
      </c>
      <c r="O8256" t="n">
        <v>0</v>
      </c>
      <c r="P8256" t="n">
        <v>0</v>
      </c>
      <c r="Q8256" t="n">
        <v>0</v>
      </c>
      <c r="R8256" s="2" t="inlineStr"/>
    </row>
    <row r="8257" ht="15" customHeight="1">
      <c r="A8257" t="inlineStr">
        <is>
          <t>A 35599-2023</t>
        </is>
      </c>
      <c r="B8257" s="1" t="n">
        <v>45147</v>
      </c>
      <c r="C8257" s="1" t="n">
        <v>45344</v>
      </c>
      <c r="D8257" t="inlineStr">
        <is>
          <t>GÄVLEBORGS LÄN</t>
        </is>
      </c>
      <c r="E8257" t="inlineStr">
        <is>
          <t>HUDIKSVALL</t>
        </is>
      </c>
      <c r="F8257" t="inlineStr">
        <is>
          <t>Holmen skog AB</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35607-2023</t>
        </is>
      </c>
      <c r="B8258" s="1" t="n">
        <v>45147</v>
      </c>
      <c r="C8258" s="1" t="n">
        <v>45344</v>
      </c>
      <c r="D8258" t="inlineStr">
        <is>
          <t>GÄVLEBORGS LÄN</t>
        </is>
      </c>
      <c r="E8258" t="inlineStr">
        <is>
          <t>HOFORS</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35679-2023</t>
        </is>
      </c>
      <c r="B8259" s="1" t="n">
        <v>45147</v>
      </c>
      <c r="C8259" s="1" t="n">
        <v>45344</v>
      </c>
      <c r="D8259" t="inlineStr">
        <is>
          <t>GÄVLEBORGS LÄN</t>
        </is>
      </c>
      <c r="E8259" t="inlineStr">
        <is>
          <t>HUDIKSVALL</t>
        </is>
      </c>
      <c r="F8259" t="inlineStr">
        <is>
          <t>Holmen skog AB</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35683-2023</t>
        </is>
      </c>
      <c r="B8260" s="1" t="n">
        <v>45147</v>
      </c>
      <c r="C8260" s="1" t="n">
        <v>45344</v>
      </c>
      <c r="D8260" t="inlineStr">
        <is>
          <t>GÄVLEBORGS LÄN</t>
        </is>
      </c>
      <c r="E8260" t="inlineStr">
        <is>
          <t>LJUSDAL</t>
        </is>
      </c>
      <c r="G8260" t="n">
        <v>2.9</v>
      </c>
      <c r="H8260" t="n">
        <v>0</v>
      </c>
      <c r="I8260" t="n">
        <v>0</v>
      </c>
      <c r="J8260" t="n">
        <v>0</v>
      </c>
      <c r="K8260" t="n">
        <v>0</v>
      </c>
      <c r="L8260" t="n">
        <v>0</v>
      </c>
      <c r="M8260" t="n">
        <v>0</v>
      </c>
      <c r="N8260" t="n">
        <v>0</v>
      </c>
      <c r="O8260" t="n">
        <v>0</v>
      </c>
      <c r="P8260" t="n">
        <v>0</v>
      </c>
      <c r="Q8260" t="n">
        <v>0</v>
      </c>
      <c r="R8260" s="2" t="inlineStr"/>
    </row>
    <row r="8261" ht="15" customHeight="1">
      <c r="A8261" t="inlineStr">
        <is>
          <t>A 35618-2023</t>
        </is>
      </c>
      <c r="B8261" s="1" t="n">
        <v>45147</v>
      </c>
      <c r="C8261" s="1" t="n">
        <v>45344</v>
      </c>
      <c r="D8261" t="inlineStr">
        <is>
          <t>GÄVLEBORGS LÄN</t>
        </is>
      </c>
      <c r="E8261" t="inlineStr">
        <is>
          <t>HUDIKSVALL</t>
        </is>
      </c>
      <c r="F8261" t="inlineStr">
        <is>
          <t>Holmen skog AB</t>
        </is>
      </c>
      <c r="G8261" t="n">
        <v>8</v>
      </c>
      <c r="H8261" t="n">
        <v>0</v>
      </c>
      <c r="I8261" t="n">
        <v>0</v>
      </c>
      <c r="J8261" t="n">
        <v>0</v>
      </c>
      <c r="K8261" t="n">
        <v>0</v>
      </c>
      <c r="L8261" t="n">
        <v>0</v>
      </c>
      <c r="M8261" t="n">
        <v>0</v>
      </c>
      <c r="N8261" t="n">
        <v>0</v>
      </c>
      <c r="O8261" t="n">
        <v>0</v>
      </c>
      <c r="P8261" t="n">
        <v>0</v>
      </c>
      <c r="Q8261" t="n">
        <v>0</v>
      </c>
      <c r="R8261" s="2" t="inlineStr"/>
    </row>
    <row r="8262" ht="15" customHeight="1">
      <c r="A8262" t="inlineStr">
        <is>
          <t>A 35622-2023</t>
        </is>
      </c>
      <c r="B8262" s="1" t="n">
        <v>45147</v>
      </c>
      <c r="C8262" s="1" t="n">
        <v>45344</v>
      </c>
      <c r="D8262" t="inlineStr">
        <is>
          <t>GÄVLEBORGS LÄN</t>
        </is>
      </c>
      <c r="E8262" t="inlineStr">
        <is>
          <t>HUDIKSVALL</t>
        </is>
      </c>
      <c r="F8262" t="inlineStr">
        <is>
          <t>Holmen skog AB</t>
        </is>
      </c>
      <c r="G8262" t="n">
        <v>5.3</v>
      </c>
      <c r="H8262" t="n">
        <v>0</v>
      </c>
      <c r="I8262" t="n">
        <v>0</v>
      </c>
      <c r="J8262" t="n">
        <v>0</v>
      </c>
      <c r="K8262" t="n">
        <v>0</v>
      </c>
      <c r="L8262" t="n">
        <v>0</v>
      </c>
      <c r="M8262" t="n">
        <v>0</v>
      </c>
      <c r="N8262" t="n">
        <v>0</v>
      </c>
      <c r="O8262" t="n">
        <v>0</v>
      </c>
      <c r="P8262" t="n">
        <v>0</v>
      </c>
      <c r="Q8262" t="n">
        <v>0</v>
      </c>
      <c r="R8262" s="2" t="inlineStr"/>
    </row>
    <row r="8263" ht="15" customHeight="1">
      <c r="A8263" t="inlineStr">
        <is>
          <t>A 35739-2023</t>
        </is>
      </c>
      <c r="B8263" s="1" t="n">
        <v>45147</v>
      </c>
      <c r="C8263" s="1" t="n">
        <v>45344</v>
      </c>
      <c r="D8263" t="inlineStr">
        <is>
          <t>GÄVLEBORGS LÄN</t>
        </is>
      </c>
      <c r="E8263" t="inlineStr">
        <is>
          <t>HUDIKSVALL</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35623-2023</t>
        </is>
      </c>
      <c r="B8264" s="1" t="n">
        <v>45147</v>
      </c>
      <c r="C8264" s="1" t="n">
        <v>45344</v>
      </c>
      <c r="D8264" t="inlineStr">
        <is>
          <t>GÄVLEBORGS LÄN</t>
        </is>
      </c>
      <c r="E8264" t="inlineStr">
        <is>
          <t>HUDIKSVALL</t>
        </is>
      </c>
      <c r="F8264" t="inlineStr">
        <is>
          <t>Holmen skog AB</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35737-2023</t>
        </is>
      </c>
      <c r="B8265" s="1" t="n">
        <v>45147</v>
      </c>
      <c r="C8265" s="1" t="n">
        <v>45344</v>
      </c>
      <c r="D8265" t="inlineStr">
        <is>
          <t>GÄVLEBORGS LÄN</t>
        </is>
      </c>
      <c r="E8265" t="inlineStr">
        <is>
          <t>HUDIKSVALL</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35826-2023</t>
        </is>
      </c>
      <c r="B8266" s="1" t="n">
        <v>45148</v>
      </c>
      <c r="C8266" s="1" t="n">
        <v>45344</v>
      </c>
      <c r="D8266" t="inlineStr">
        <is>
          <t>GÄVLEBORGS LÄN</t>
        </is>
      </c>
      <c r="E8266" t="inlineStr">
        <is>
          <t>LJUSDAL</t>
        </is>
      </c>
      <c r="F8266" t="inlineStr">
        <is>
          <t>Kommuner</t>
        </is>
      </c>
      <c r="G8266" t="n">
        <v>4.2</v>
      </c>
      <c r="H8266" t="n">
        <v>0</v>
      </c>
      <c r="I8266" t="n">
        <v>0</v>
      </c>
      <c r="J8266" t="n">
        <v>0</v>
      </c>
      <c r="K8266" t="n">
        <v>0</v>
      </c>
      <c r="L8266" t="n">
        <v>0</v>
      </c>
      <c r="M8266" t="n">
        <v>0</v>
      </c>
      <c r="N8266" t="n">
        <v>0</v>
      </c>
      <c r="O8266" t="n">
        <v>0</v>
      </c>
      <c r="P8266" t="n">
        <v>0</v>
      </c>
      <c r="Q8266" t="n">
        <v>0</v>
      </c>
      <c r="R8266" s="2" t="inlineStr"/>
    </row>
    <row r="8267" ht="15" customHeight="1">
      <c r="A8267" t="inlineStr">
        <is>
          <t>A 35877-2023</t>
        </is>
      </c>
      <c r="B8267" s="1" t="n">
        <v>45148</v>
      </c>
      <c r="C8267" s="1" t="n">
        <v>45344</v>
      </c>
      <c r="D8267" t="inlineStr">
        <is>
          <t>GÄVLEBORGS LÄN</t>
        </is>
      </c>
      <c r="E8267" t="inlineStr">
        <is>
          <t>LJUSDAL</t>
        </is>
      </c>
      <c r="G8267" t="n">
        <v>1.1</v>
      </c>
      <c r="H8267" t="n">
        <v>0</v>
      </c>
      <c r="I8267" t="n">
        <v>0</v>
      </c>
      <c r="J8267" t="n">
        <v>0</v>
      </c>
      <c r="K8267" t="n">
        <v>0</v>
      </c>
      <c r="L8267" t="n">
        <v>0</v>
      </c>
      <c r="M8267" t="n">
        <v>0</v>
      </c>
      <c r="N8267" t="n">
        <v>0</v>
      </c>
      <c r="O8267" t="n">
        <v>0</v>
      </c>
      <c r="P8267" t="n">
        <v>0</v>
      </c>
      <c r="Q8267" t="n">
        <v>0</v>
      </c>
      <c r="R8267" s="2" t="inlineStr"/>
    </row>
    <row r="8268" ht="15" customHeight="1">
      <c r="A8268" t="inlineStr">
        <is>
          <t>A 35931-2023</t>
        </is>
      </c>
      <c r="B8268" s="1" t="n">
        <v>45148</v>
      </c>
      <c r="C8268" s="1" t="n">
        <v>45344</v>
      </c>
      <c r="D8268" t="inlineStr">
        <is>
          <t>GÄVLEBORGS LÄN</t>
        </is>
      </c>
      <c r="E8268" t="inlineStr">
        <is>
          <t>NORDANSTIG</t>
        </is>
      </c>
      <c r="G8268" t="n">
        <v>1.5</v>
      </c>
      <c r="H8268" t="n">
        <v>0</v>
      </c>
      <c r="I8268" t="n">
        <v>0</v>
      </c>
      <c r="J8268" t="n">
        <v>0</v>
      </c>
      <c r="K8268" t="n">
        <v>0</v>
      </c>
      <c r="L8268" t="n">
        <v>0</v>
      </c>
      <c r="M8268" t="n">
        <v>0</v>
      </c>
      <c r="N8268" t="n">
        <v>0</v>
      </c>
      <c r="O8268" t="n">
        <v>0</v>
      </c>
      <c r="P8268" t="n">
        <v>0</v>
      </c>
      <c r="Q8268" t="n">
        <v>0</v>
      </c>
      <c r="R8268" s="2" t="inlineStr"/>
    </row>
    <row r="8269" ht="15" customHeight="1">
      <c r="A8269" t="inlineStr">
        <is>
          <t>A 35933-2023</t>
        </is>
      </c>
      <c r="B8269" s="1" t="n">
        <v>45148</v>
      </c>
      <c r="C8269" s="1" t="n">
        <v>45344</v>
      </c>
      <c r="D8269" t="inlineStr">
        <is>
          <t>GÄVLEBORGS LÄN</t>
        </is>
      </c>
      <c r="E8269" t="inlineStr">
        <is>
          <t>HUDIKSVALL</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35782-2023</t>
        </is>
      </c>
      <c r="B8270" s="1" t="n">
        <v>45148</v>
      </c>
      <c r="C8270" s="1" t="n">
        <v>45344</v>
      </c>
      <c r="D8270" t="inlineStr">
        <is>
          <t>GÄVLEBORGS LÄN</t>
        </is>
      </c>
      <c r="E8270" t="inlineStr">
        <is>
          <t>LJUSDAL</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35856-2023</t>
        </is>
      </c>
      <c r="B8271" s="1" t="n">
        <v>45148</v>
      </c>
      <c r="C8271" s="1" t="n">
        <v>45344</v>
      </c>
      <c r="D8271" t="inlineStr">
        <is>
          <t>GÄVLEBORGS LÄN</t>
        </is>
      </c>
      <c r="E8271" t="inlineStr">
        <is>
          <t>HOFORS</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35964-2023</t>
        </is>
      </c>
      <c r="B8272" s="1" t="n">
        <v>45148</v>
      </c>
      <c r="C8272" s="1" t="n">
        <v>45344</v>
      </c>
      <c r="D8272" t="inlineStr">
        <is>
          <t>GÄVLEBORGS LÄN</t>
        </is>
      </c>
      <c r="E8272" t="inlineStr">
        <is>
          <t>NORDANSTIG</t>
        </is>
      </c>
      <c r="F8272" t="inlineStr">
        <is>
          <t>Holmen skog AB</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35963-2023</t>
        </is>
      </c>
      <c r="B8273" s="1" t="n">
        <v>45148</v>
      </c>
      <c r="C8273" s="1" t="n">
        <v>45344</v>
      </c>
      <c r="D8273" t="inlineStr">
        <is>
          <t>GÄVLEBORGS LÄN</t>
        </is>
      </c>
      <c r="E8273" t="inlineStr">
        <is>
          <t>HUDIKSVALL</t>
        </is>
      </c>
      <c r="G8273" t="n">
        <v>9.699999999999999</v>
      </c>
      <c r="H8273" t="n">
        <v>0</v>
      </c>
      <c r="I8273" t="n">
        <v>0</v>
      </c>
      <c r="J8273" t="n">
        <v>0</v>
      </c>
      <c r="K8273" t="n">
        <v>0</v>
      </c>
      <c r="L8273" t="n">
        <v>0</v>
      </c>
      <c r="M8273" t="n">
        <v>0</v>
      </c>
      <c r="N8273" t="n">
        <v>0</v>
      </c>
      <c r="O8273" t="n">
        <v>0</v>
      </c>
      <c r="P8273" t="n">
        <v>0</v>
      </c>
      <c r="Q8273" t="n">
        <v>0</v>
      </c>
      <c r="R8273" s="2" t="inlineStr"/>
    </row>
    <row r="8274" ht="15" customHeight="1">
      <c r="A8274" t="inlineStr">
        <is>
          <t>A 35958-2023</t>
        </is>
      </c>
      <c r="B8274" s="1" t="n">
        <v>45148</v>
      </c>
      <c r="C8274" s="1" t="n">
        <v>45344</v>
      </c>
      <c r="D8274" t="inlineStr">
        <is>
          <t>GÄVLEBORGS LÄN</t>
        </is>
      </c>
      <c r="E8274" t="inlineStr">
        <is>
          <t>LJUSDAL</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35998-2023</t>
        </is>
      </c>
      <c r="B8275" s="1" t="n">
        <v>45149</v>
      </c>
      <c r="C8275" s="1" t="n">
        <v>45344</v>
      </c>
      <c r="D8275" t="inlineStr">
        <is>
          <t>GÄVLEBORGS LÄN</t>
        </is>
      </c>
      <c r="E8275" t="inlineStr">
        <is>
          <t>HUDIKSVALL</t>
        </is>
      </c>
      <c r="F8275" t="inlineStr">
        <is>
          <t>Holmen skog AB</t>
        </is>
      </c>
      <c r="G8275" t="n">
        <v>4.2</v>
      </c>
      <c r="H8275" t="n">
        <v>0</v>
      </c>
      <c r="I8275" t="n">
        <v>0</v>
      </c>
      <c r="J8275" t="n">
        <v>0</v>
      </c>
      <c r="K8275" t="n">
        <v>0</v>
      </c>
      <c r="L8275" t="n">
        <v>0</v>
      </c>
      <c r="M8275" t="n">
        <v>0</v>
      </c>
      <c r="N8275" t="n">
        <v>0</v>
      </c>
      <c r="O8275" t="n">
        <v>0</v>
      </c>
      <c r="P8275" t="n">
        <v>0</v>
      </c>
      <c r="Q8275" t="n">
        <v>0</v>
      </c>
      <c r="R8275" s="2" t="inlineStr"/>
    </row>
    <row r="8276" ht="15" customHeight="1">
      <c r="A8276" t="inlineStr">
        <is>
          <t>A 36025-2023</t>
        </is>
      </c>
      <c r="B8276" s="1" t="n">
        <v>45149</v>
      </c>
      <c r="C8276" s="1" t="n">
        <v>45344</v>
      </c>
      <c r="D8276" t="inlineStr">
        <is>
          <t>GÄVLEBORGS LÄN</t>
        </is>
      </c>
      <c r="E8276" t="inlineStr">
        <is>
          <t>NORDANSTIG</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36055-2023</t>
        </is>
      </c>
      <c r="B8277" s="1" t="n">
        <v>45149</v>
      </c>
      <c r="C8277" s="1" t="n">
        <v>45344</v>
      </c>
      <c r="D8277" t="inlineStr">
        <is>
          <t>GÄVLEBORGS LÄN</t>
        </is>
      </c>
      <c r="E8277" t="inlineStr">
        <is>
          <t>BOLLNÄS</t>
        </is>
      </c>
      <c r="G8277" t="n">
        <v>0.8</v>
      </c>
      <c r="H8277" t="n">
        <v>0</v>
      </c>
      <c r="I8277" t="n">
        <v>0</v>
      </c>
      <c r="J8277" t="n">
        <v>0</v>
      </c>
      <c r="K8277" t="n">
        <v>0</v>
      </c>
      <c r="L8277" t="n">
        <v>0</v>
      </c>
      <c r="M8277" t="n">
        <v>0</v>
      </c>
      <c r="N8277" t="n">
        <v>0</v>
      </c>
      <c r="O8277" t="n">
        <v>0</v>
      </c>
      <c r="P8277" t="n">
        <v>0</v>
      </c>
      <c r="Q8277" t="n">
        <v>0</v>
      </c>
      <c r="R8277" s="2" t="inlineStr"/>
    </row>
    <row r="8278" ht="15" customHeight="1">
      <c r="A8278" t="inlineStr">
        <is>
          <t>A 36059-2023</t>
        </is>
      </c>
      <c r="B8278" s="1" t="n">
        <v>45149</v>
      </c>
      <c r="C8278" s="1" t="n">
        <v>45344</v>
      </c>
      <c r="D8278" t="inlineStr">
        <is>
          <t>GÄVLEBORGS LÄN</t>
        </is>
      </c>
      <c r="E8278" t="inlineStr">
        <is>
          <t>SÖDERHAMN</t>
        </is>
      </c>
      <c r="G8278" t="n">
        <v>6.2</v>
      </c>
      <c r="H8278" t="n">
        <v>0</v>
      </c>
      <c r="I8278" t="n">
        <v>0</v>
      </c>
      <c r="J8278" t="n">
        <v>0</v>
      </c>
      <c r="K8278" t="n">
        <v>0</v>
      </c>
      <c r="L8278" t="n">
        <v>0</v>
      </c>
      <c r="M8278" t="n">
        <v>0</v>
      </c>
      <c r="N8278" t="n">
        <v>0</v>
      </c>
      <c r="O8278" t="n">
        <v>0</v>
      </c>
      <c r="P8278" t="n">
        <v>0</v>
      </c>
      <c r="Q8278" t="n">
        <v>0</v>
      </c>
      <c r="R8278" s="2" t="inlineStr"/>
    </row>
    <row r="8279" ht="15" customHeight="1">
      <c r="A8279" t="inlineStr">
        <is>
          <t>A 36088-2023</t>
        </is>
      </c>
      <c r="B8279" s="1" t="n">
        <v>45149</v>
      </c>
      <c r="C8279" s="1" t="n">
        <v>45344</v>
      </c>
      <c r="D8279" t="inlineStr">
        <is>
          <t>GÄVLEBORGS LÄN</t>
        </is>
      </c>
      <c r="E8279" t="inlineStr">
        <is>
          <t>OVANÅKER</t>
        </is>
      </c>
      <c r="G8279" t="n">
        <v>1.4</v>
      </c>
      <c r="H8279" t="n">
        <v>0</v>
      </c>
      <c r="I8279" t="n">
        <v>0</v>
      </c>
      <c r="J8279" t="n">
        <v>0</v>
      </c>
      <c r="K8279" t="n">
        <v>0</v>
      </c>
      <c r="L8279" t="n">
        <v>0</v>
      </c>
      <c r="M8279" t="n">
        <v>0</v>
      </c>
      <c r="N8279" t="n">
        <v>0</v>
      </c>
      <c r="O8279" t="n">
        <v>0</v>
      </c>
      <c r="P8279" t="n">
        <v>0</v>
      </c>
      <c r="Q8279" t="n">
        <v>0</v>
      </c>
      <c r="R8279" s="2" t="inlineStr"/>
    </row>
    <row r="8280" ht="15" customHeight="1">
      <c r="A8280" t="inlineStr">
        <is>
          <t>A 36125-2023</t>
        </is>
      </c>
      <c r="B8280" s="1" t="n">
        <v>45149</v>
      </c>
      <c r="C8280" s="1" t="n">
        <v>45344</v>
      </c>
      <c r="D8280" t="inlineStr">
        <is>
          <t>GÄVLEBORGS LÄN</t>
        </is>
      </c>
      <c r="E8280" t="inlineStr">
        <is>
          <t>HUDIKSVALL</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36051-2023</t>
        </is>
      </c>
      <c r="B8281" s="1" t="n">
        <v>45149</v>
      </c>
      <c r="C8281" s="1" t="n">
        <v>45344</v>
      </c>
      <c r="D8281" t="inlineStr">
        <is>
          <t>GÄVLEBORGS LÄN</t>
        </is>
      </c>
      <c r="E8281" t="inlineStr">
        <is>
          <t>BOLLNÄS</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36072-2023</t>
        </is>
      </c>
      <c r="B8282" s="1" t="n">
        <v>45149</v>
      </c>
      <c r="C8282" s="1" t="n">
        <v>45344</v>
      </c>
      <c r="D8282" t="inlineStr">
        <is>
          <t>GÄVLEBORGS LÄN</t>
        </is>
      </c>
      <c r="E8282" t="inlineStr">
        <is>
          <t>OVANÅKER</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35997-2023</t>
        </is>
      </c>
      <c r="B8283" s="1" t="n">
        <v>45149</v>
      </c>
      <c r="C8283" s="1" t="n">
        <v>45344</v>
      </c>
      <c r="D8283" t="inlineStr">
        <is>
          <t>GÄVLEBORGS LÄN</t>
        </is>
      </c>
      <c r="E8283" t="inlineStr">
        <is>
          <t>LJUSDAL</t>
        </is>
      </c>
      <c r="F8283" t="inlineStr">
        <is>
          <t>Holmen skog AB</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36085-2023</t>
        </is>
      </c>
      <c r="B8284" s="1" t="n">
        <v>45149</v>
      </c>
      <c r="C8284" s="1" t="n">
        <v>45344</v>
      </c>
      <c r="D8284" t="inlineStr">
        <is>
          <t>GÄVLEBORGS LÄN</t>
        </is>
      </c>
      <c r="E8284" t="inlineStr">
        <is>
          <t>OVANÅKER</t>
        </is>
      </c>
      <c r="G8284" t="n">
        <v>2.1</v>
      </c>
      <c r="H8284" t="n">
        <v>0</v>
      </c>
      <c r="I8284" t="n">
        <v>0</v>
      </c>
      <c r="J8284" t="n">
        <v>0</v>
      </c>
      <c r="K8284" t="n">
        <v>0</v>
      </c>
      <c r="L8284" t="n">
        <v>0</v>
      </c>
      <c r="M8284" t="n">
        <v>0</v>
      </c>
      <c r="N8284" t="n">
        <v>0</v>
      </c>
      <c r="O8284" t="n">
        <v>0</v>
      </c>
      <c r="P8284" t="n">
        <v>0</v>
      </c>
      <c r="Q8284" t="n">
        <v>0</v>
      </c>
      <c r="R8284" s="2" t="inlineStr"/>
    </row>
    <row r="8285" ht="15" customHeight="1">
      <c r="A8285" t="inlineStr">
        <is>
          <t>A 36053-2023</t>
        </is>
      </c>
      <c r="B8285" s="1" t="n">
        <v>45149</v>
      </c>
      <c r="C8285" s="1" t="n">
        <v>45344</v>
      </c>
      <c r="D8285" t="inlineStr">
        <is>
          <t>GÄVLEBORGS LÄN</t>
        </is>
      </c>
      <c r="E8285" t="inlineStr">
        <is>
          <t>BOLLNÄS</t>
        </is>
      </c>
      <c r="G8285" t="n">
        <v>1.2</v>
      </c>
      <c r="H8285" t="n">
        <v>0</v>
      </c>
      <c r="I8285" t="n">
        <v>0</v>
      </c>
      <c r="J8285" t="n">
        <v>0</v>
      </c>
      <c r="K8285" t="n">
        <v>0</v>
      </c>
      <c r="L8285" t="n">
        <v>0</v>
      </c>
      <c r="M8285" t="n">
        <v>0</v>
      </c>
      <c r="N8285" t="n">
        <v>0</v>
      </c>
      <c r="O8285" t="n">
        <v>0</v>
      </c>
      <c r="P8285" t="n">
        <v>0</v>
      </c>
      <c r="Q8285" t="n">
        <v>0</v>
      </c>
      <c r="R8285" s="2" t="inlineStr"/>
    </row>
    <row r="8286" ht="15" customHeight="1">
      <c r="A8286" t="inlineStr">
        <is>
          <t>A 36058-2023</t>
        </is>
      </c>
      <c r="B8286" s="1" t="n">
        <v>45149</v>
      </c>
      <c r="C8286" s="1" t="n">
        <v>45344</v>
      </c>
      <c r="D8286" t="inlineStr">
        <is>
          <t>GÄVLEBORGS LÄN</t>
        </is>
      </c>
      <c r="E8286" t="inlineStr">
        <is>
          <t>BOLLNÄS</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36087-2023</t>
        </is>
      </c>
      <c r="B8287" s="1" t="n">
        <v>45149</v>
      </c>
      <c r="C8287" s="1" t="n">
        <v>45344</v>
      </c>
      <c r="D8287" t="inlineStr">
        <is>
          <t>GÄVLEBORGS LÄN</t>
        </is>
      </c>
      <c r="E8287" t="inlineStr">
        <is>
          <t>BOLLNÄS</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36105-2023</t>
        </is>
      </c>
      <c r="B8288" s="1" t="n">
        <v>45149</v>
      </c>
      <c r="C8288" s="1" t="n">
        <v>45344</v>
      </c>
      <c r="D8288" t="inlineStr">
        <is>
          <t>GÄVLEBORGS LÄN</t>
        </is>
      </c>
      <c r="E8288" t="inlineStr">
        <is>
          <t>LJUSDAL</t>
        </is>
      </c>
      <c r="F8288" t="inlineStr">
        <is>
          <t>Sveaskog</t>
        </is>
      </c>
      <c r="G8288" t="n">
        <v>3.9</v>
      </c>
      <c r="H8288" t="n">
        <v>0</v>
      </c>
      <c r="I8288" t="n">
        <v>0</v>
      </c>
      <c r="J8288" t="n">
        <v>0</v>
      </c>
      <c r="K8288" t="n">
        <v>0</v>
      </c>
      <c r="L8288" t="n">
        <v>0</v>
      </c>
      <c r="M8288" t="n">
        <v>0</v>
      </c>
      <c r="N8288" t="n">
        <v>0</v>
      </c>
      <c r="O8288" t="n">
        <v>0</v>
      </c>
      <c r="P8288" t="n">
        <v>0</v>
      </c>
      <c r="Q8288" t="n">
        <v>0</v>
      </c>
      <c r="R8288" s="2" t="inlineStr"/>
    </row>
    <row r="8289" ht="15" customHeight="1">
      <c r="A8289" t="inlineStr">
        <is>
          <t>A 36156-2023</t>
        </is>
      </c>
      <c r="B8289" s="1" t="n">
        <v>45149</v>
      </c>
      <c r="C8289" s="1" t="n">
        <v>45344</v>
      </c>
      <c r="D8289" t="inlineStr">
        <is>
          <t>GÄVLEBORGS LÄN</t>
        </is>
      </c>
      <c r="E8289" t="inlineStr">
        <is>
          <t>OVANÅKER</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36134-2023</t>
        </is>
      </c>
      <c r="B8290" s="1" t="n">
        <v>45149</v>
      </c>
      <c r="C8290" s="1" t="n">
        <v>45344</v>
      </c>
      <c r="D8290" t="inlineStr">
        <is>
          <t>GÄVLEBORGS LÄN</t>
        </is>
      </c>
      <c r="E8290" t="inlineStr">
        <is>
          <t>HUDIKSVALL</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36138-2023</t>
        </is>
      </c>
      <c r="B8291" s="1" t="n">
        <v>45149</v>
      </c>
      <c r="C8291" s="1" t="n">
        <v>45344</v>
      </c>
      <c r="D8291" t="inlineStr">
        <is>
          <t>GÄVLEBORGS LÄN</t>
        </is>
      </c>
      <c r="E8291" t="inlineStr">
        <is>
          <t>HUDIKSVALL</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36176-2023</t>
        </is>
      </c>
      <c r="B8292" s="1" t="n">
        <v>45149</v>
      </c>
      <c r="C8292" s="1" t="n">
        <v>45344</v>
      </c>
      <c r="D8292" t="inlineStr">
        <is>
          <t>GÄVLEBORGS LÄN</t>
        </is>
      </c>
      <c r="E8292" t="inlineStr">
        <is>
          <t>OVANÅKER</t>
        </is>
      </c>
      <c r="G8292" t="n">
        <v>1.7</v>
      </c>
      <c r="H8292" t="n">
        <v>0</v>
      </c>
      <c r="I8292" t="n">
        <v>0</v>
      </c>
      <c r="J8292" t="n">
        <v>0</v>
      </c>
      <c r="K8292" t="n">
        <v>0</v>
      </c>
      <c r="L8292" t="n">
        <v>0</v>
      </c>
      <c r="M8292" t="n">
        <v>0</v>
      </c>
      <c r="N8292" t="n">
        <v>0</v>
      </c>
      <c r="O8292" t="n">
        <v>0</v>
      </c>
      <c r="P8292" t="n">
        <v>0</v>
      </c>
      <c r="Q8292" t="n">
        <v>0</v>
      </c>
      <c r="R8292" s="2" t="inlineStr"/>
    </row>
    <row r="8293" ht="15" customHeight="1">
      <c r="A8293" t="inlineStr">
        <is>
          <t>A 36170-2023</t>
        </is>
      </c>
      <c r="B8293" s="1" t="n">
        <v>45149</v>
      </c>
      <c r="C8293" s="1" t="n">
        <v>45344</v>
      </c>
      <c r="D8293" t="inlineStr">
        <is>
          <t>GÄVLEBORGS LÄN</t>
        </is>
      </c>
      <c r="E8293" t="inlineStr">
        <is>
          <t>LJUSDAL</t>
        </is>
      </c>
      <c r="F8293" t="inlineStr">
        <is>
          <t>Sveaskog</t>
        </is>
      </c>
      <c r="G8293" t="n">
        <v>9.4</v>
      </c>
      <c r="H8293" t="n">
        <v>0</v>
      </c>
      <c r="I8293" t="n">
        <v>0</v>
      </c>
      <c r="J8293" t="n">
        <v>0</v>
      </c>
      <c r="K8293" t="n">
        <v>0</v>
      </c>
      <c r="L8293" t="n">
        <v>0</v>
      </c>
      <c r="M8293" t="n">
        <v>0</v>
      </c>
      <c r="N8293" t="n">
        <v>0</v>
      </c>
      <c r="O8293" t="n">
        <v>0</v>
      </c>
      <c r="P8293" t="n">
        <v>0</v>
      </c>
      <c r="Q8293" t="n">
        <v>0</v>
      </c>
      <c r="R8293" s="2" t="inlineStr"/>
    </row>
    <row r="8294" ht="15" customHeight="1">
      <c r="A8294" t="inlineStr">
        <is>
          <t>A 36186-2023</t>
        </is>
      </c>
      <c r="B8294" s="1" t="n">
        <v>45149</v>
      </c>
      <c r="C8294" s="1" t="n">
        <v>45344</v>
      </c>
      <c r="D8294" t="inlineStr">
        <is>
          <t>GÄVLEBORGS LÄN</t>
        </is>
      </c>
      <c r="E8294" t="inlineStr">
        <is>
          <t>NORDANSTIG</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36061-2023</t>
        </is>
      </c>
      <c r="B8295" s="1" t="n">
        <v>45149</v>
      </c>
      <c r="C8295" s="1" t="n">
        <v>45344</v>
      </c>
      <c r="D8295" t="inlineStr">
        <is>
          <t>GÄVLEBORGS LÄN</t>
        </is>
      </c>
      <c r="E8295" t="inlineStr">
        <is>
          <t>BOLLNÄS</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36065-2023</t>
        </is>
      </c>
      <c r="B8296" s="1" t="n">
        <v>45149</v>
      </c>
      <c r="C8296" s="1" t="n">
        <v>45344</v>
      </c>
      <c r="D8296" t="inlineStr">
        <is>
          <t>GÄVLEBORGS LÄN</t>
        </is>
      </c>
      <c r="E8296" t="inlineStr">
        <is>
          <t>BOLLNÄS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36069-2023</t>
        </is>
      </c>
      <c r="B8297" s="1" t="n">
        <v>45149</v>
      </c>
      <c r="C8297" s="1" t="n">
        <v>45344</v>
      </c>
      <c r="D8297" t="inlineStr">
        <is>
          <t>GÄVLEBORGS LÄN</t>
        </is>
      </c>
      <c r="E8297" t="inlineStr">
        <is>
          <t>OVANÅKER</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36171-2023</t>
        </is>
      </c>
      <c r="B8298" s="1" t="n">
        <v>45149</v>
      </c>
      <c r="C8298" s="1" t="n">
        <v>45344</v>
      </c>
      <c r="D8298" t="inlineStr">
        <is>
          <t>GÄVLEBORGS LÄN</t>
        </is>
      </c>
      <c r="E8298" t="inlineStr">
        <is>
          <t>LJUSDAL</t>
        </is>
      </c>
      <c r="F8298" t="inlineStr">
        <is>
          <t>Sveaskog</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36284-2023</t>
        </is>
      </c>
      <c r="B8299" s="1" t="n">
        <v>45152</v>
      </c>
      <c r="C8299" s="1" t="n">
        <v>45344</v>
      </c>
      <c r="D8299" t="inlineStr">
        <is>
          <t>GÄVLEBORGS LÄN</t>
        </is>
      </c>
      <c r="E8299" t="inlineStr">
        <is>
          <t>OVANÅKER</t>
        </is>
      </c>
      <c r="G8299" t="n">
        <v>6.1</v>
      </c>
      <c r="H8299" t="n">
        <v>0</v>
      </c>
      <c r="I8299" t="n">
        <v>0</v>
      </c>
      <c r="J8299" t="n">
        <v>0</v>
      </c>
      <c r="K8299" t="n">
        <v>0</v>
      </c>
      <c r="L8299" t="n">
        <v>0</v>
      </c>
      <c r="M8299" t="n">
        <v>0</v>
      </c>
      <c r="N8299" t="n">
        <v>0</v>
      </c>
      <c r="O8299" t="n">
        <v>0</v>
      </c>
      <c r="P8299" t="n">
        <v>0</v>
      </c>
      <c r="Q8299" t="n">
        <v>0</v>
      </c>
      <c r="R8299" s="2" t="inlineStr"/>
    </row>
    <row r="8300" ht="15" customHeight="1">
      <c r="A8300" t="inlineStr">
        <is>
          <t>A 36316-2023</t>
        </is>
      </c>
      <c r="B8300" s="1" t="n">
        <v>45152</v>
      </c>
      <c r="C8300" s="1" t="n">
        <v>45344</v>
      </c>
      <c r="D8300" t="inlineStr">
        <is>
          <t>GÄVLEBORGS LÄN</t>
        </is>
      </c>
      <c r="E8300" t="inlineStr">
        <is>
          <t>OVANÅKER</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36321-2023</t>
        </is>
      </c>
      <c r="B8301" s="1" t="n">
        <v>45152</v>
      </c>
      <c r="C8301" s="1" t="n">
        <v>45344</v>
      </c>
      <c r="D8301" t="inlineStr">
        <is>
          <t>GÄVLEBORGS LÄN</t>
        </is>
      </c>
      <c r="E8301" t="inlineStr">
        <is>
          <t>LJUSDAL</t>
        </is>
      </c>
      <c r="G8301" t="n">
        <v>2.6</v>
      </c>
      <c r="H8301" t="n">
        <v>0</v>
      </c>
      <c r="I8301" t="n">
        <v>0</v>
      </c>
      <c r="J8301" t="n">
        <v>0</v>
      </c>
      <c r="K8301" t="n">
        <v>0</v>
      </c>
      <c r="L8301" t="n">
        <v>0</v>
      </c>
      <c r="M8301" t="n">
        <v>0</v>
      </c>
      <c r="N8301" t="n">
        <v>0</v>
      </c>
      <c r="O8301" t="n">
        <v>0</v>
      </c>
      <c r="P8301" t="n">
        <v>0</v>
      </c>
      <c r="Q8301" t="n">
        <v>0</v>
      </c>
      <c r="R8301" s="2" t="inlineStr"/>
    </row>
    <row r="8302" ht="15" customHeight="1">
      <c r="A8302" t="inlineStr">
        <is>
          <t>A 36330-2023</t>
        </is>
      </c>
      <c r="B8302" s="1" t="n">
        <v>45152</v>
      </c>
      <c r="C8302" s="1" t="n">
        <v>45344</v>
      </c>
      <c r="D8302" t="inlineStr">
        <is>
          <t>GÄVLEBORGS LÄN</t>
        </is>
      </c>
      <c r="E8302" t="inlineStr">
        <is>
          <t>NORDANSTIG</t>
        </is>
      </c>
      <c r="F8302" t="inlineStr">
        <is>
          <t>Holmen skog AB</t>
        </is>
      </c>
      <c r="G8302" t="n">
        <v>2.9</v>
      </c>
      <c r="H8302" t="n">
        <v>0</v>
      </c>
      <c r="I8302" t="n">
        <v>0</v>
      </c>
      <c r="J8302" t="n">
        <v>0</v>
      </c>
      <c r="K8302" t="n">
        <v>0</v>
      </c>
      <c r="L8302" t="n">
        <v>0</v>
      </c>
      <c r="M8302" t="n">
        <v>0</v>
      </c>
      <c r="N8302" t="n">
        <v>0</v>
      </c>
      <c r="O8302" t="n">
        <v>0</v>
      </c>
      <c r="P8302" t="n">
        <v>0</v>
      </c>
      <c r="Q8302" t="n">
        <v>0</v>
      </c>
      <c r="R8302" s="2" t="inlineStr"/>
    </row>
    <row r="8303" ht="15" customHeight="1">
      <c r="A8303" t="inlineStr">
        <is>
          <t>A 36428-2023</t>
        </is>
      </c>
      <c r="B8303" s="1" t="n">
        <v>45152</v>
      </c>
      <c r="C8303" s="1" t="n">
        <v>45344</v>
      </c>
      <c r="D8303" t="inlineStr">
        <is>
          <t>GÄVLEBORGS LÄN</t>
        </is>
      </c>
      <c r="E8303" t="inlineStr">
        <is>
          <t>SÖDERHAMN</t>
        </is>
      </c>
      <c r="G8303" t="n">
        <v>1</v>
      </c>
      <c r="H8303" t="n">
        <v>0</v>
      </c>
      <c r="I8303" t="n">
        <v>0</v>
      </c>
      <c r="J8303" t="n">
        <v>0</v>
      </c>
      <c r="K8303" t="n">
        <v>0</v>
      </c>
      <c r="L8303" t="n">
        <v>0</v>
      </c>
      <c r="M8303" t="n">
        <v>0</v>
      </c>
      <c r="N8303" t="n">
        <v>0</v>
      </c>
      <c r="O8303" t="n">
        <v>0</v>
      </c>
      <c r="P8303" t="n">
        <v>0</v>
      </c>
      <c r="Q8303" t="n">
        <v>0</v>
      </c>
      <c r="R8303" s="2" t="inlineStr"/>
    </row>
    <row r="8304" ht="15" customHeight="1">
      <c r="A8304" t="inlineStr">
        <is>
          <t>A 36315-2023</t>
        </is>
      </c>
      <c r="B8304" s="1" t="n">
        <v>45152</v>
      </c>
      <c r="C8304" s="1" t="n">
        <v>45344</v>
      </c>
      <c r="D8304" t="inlineStr">
        <is>
          <t>GÄVLEBORGS LÄN</t>
        </is>
      </c>
      <c r="E8304" t="inlineStr">
        <is>
          <t>OVANÅKER</t>
        </is>
      </c>
      <c r="G8304" t="n">
        <v>9.6</v>
      </c>
      <c r="H8304" t="n">
        <v>0</v>
      </c>
      <c r="I8304" t="n">
        <v>0</v>
      </c>
      <c r="J8304" t="n">
        <v>0</v>
      </c>
      <c r="K8304" t="n">
        <v>0</v>
      </c>
      <c r="L8304" t="n">
        <v>0</v>
      </c>
      <c r="M8304" t="n">
        <v>0</v>
      </c>
      <c r="N8304" t="n">
        <v>0</v>
      </c>
      <c r="O8304" t="n">
        <v>0</v>
      </c>
      <c r="P8304" t="n">
        <v>0</v>
      </c>
      <c r="Q8304" t="n">
        <v>0</v>
      </c>
      <c r="R8304" s="2" t="inlineStr"/>
    </row>
    <row r="8305" ht="15" customHeight="1">
      <c r="A8305" t="inlineStr">
        <is>
          <t>A 36310-2023</t>
        </is>
      </c>
      <c r="B8305" s="1" t="n">
        <v>45152</v>
      </c>
      <c r="C8305" s="1" t="n">
        <v>45344</v>
      </c>
      <c r="D8305" t="inlineStr">
        <is>
          <t>GÄVLEBORGS LÄN</t>
        </is>
      </c>
      <c r="E8305" t="inlineStr">
        <is>
          <t>NORDANSTIG</t>
        </is>
      </c>
      <c r="F8305" t="inlineStr">
        <is>
          <t>Holmen skog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36320-2023</t>
        </is>
      </c>
      <c r="B8306" s="1" t="n">
        <v>45152</v>
      </c>
      <c r="C8306" s="1" t="n">
        <v>45344</v>
      </c>
      <c r="D8306" t="inlineStr">
        <is>
          <t>GÄVLEBORGS LÄN</t>
        </is>
      </c>
      <c r="E8306" t="inlineStr">
        <is>
          <t>GÄVLE</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36341-2023</t>
        </is>
      </c>
      <c r="B8307" s="1" t="n">
        <v>45152</v>
      </c>
      <c r="C8307" s="1" t="n">
        <v>45344</v>
      </c>
      <c r="D8307" t="inlineStr">
        <is>
          <t>GÄVLEBORGS LÄN</t>
        </is>
      </c>
      <c r="E8307" t="inlineStr">
        <is>
          <t>OCKELBO</t>
        </is>
      </c>
      <c r="G8307" t="n">
        <v>0.9</v>
      </c>
      <c r="H8307" t="n">
        <v>0</v>
      </c>
      <c r="I8307" t="n">
        <v>0</v>
      </c>
      <c r="J8307" t="n">
        <v>0</v>
      </c>
      <c r="K8307" t="n">
        <v>0</v>
      </c>
      <c r="L8307" t="n">
        <v>0</v>
      </c>
      <c r="M8307" t="n">
        <v>0</v>
      </c>
      <c r="N8307" t="n">
        <v>0</v>
      </c>
      <c r="O8307" t="n">
        <v>0</v>
      </c>
      <c r="P8307" t="n">
        <v>0</v>
      </c>
      <c r="Q8307" t="n">
        <v>0</v>
      </c>
      <c r="R8307" s="2" t="inlineStr"/>
    </row>
    <row r="8308" ht="15" customHeight="1">
      <c r="A8308" t="inlineStr">
        <is>
          <t>A 36345-2023</t>
        </is>
      </c>
      <c r="B8308" s="1" t="n">
        <v>45152</v>
      </c>
      <c r="C8308" s="1" t="n">
        <v>45344</v>
      </c>
      <c r="D8308" t="inlineStr">
        <is>
          <t>GÄVLEBORGS LÄN</t>
        </is>
      </c>
      <c r="E8308" t="inlineStr">
        <is>
          <t>OCKELBO</t>
        </is>
      </c>
      <c r="G8308" t="n">
        <v>4.2</v>
      </c>
      <c r="H8308" t="n">
        <v>0</v>
      </c>
      <c r="I8308" t="n">
        <v>0</v>
      </c>
      <c r="J8308" t="n">
        <v>0</v>
      </c>
      <c r="K8308" t="n">
        <v>0</v>
      </c>
      <c r="L8308" t="n">
        <v>0</v>
      </c>
      <c r="M8308" t="n">
        <v>0</v>
      </c>
      <c r="N8308" t="n">
        <v>0</v>
      </c>
      <c r="O8308" t="n">
        <v>0</v>
      </c>
      <c r="P8308" t="n">
        <v>0</v>
      </c>
      <c r="Q8308" t="n">
        <v>0</v>
      </c>
      <c r="R8308" s="2" t="inlineStr"/>
    </row>
    <row r="8309" ht="15" customHeight="1">
      <c r="A8309" t="inlineStr">
        <is>
          <t>A 36353-2023</t>
        </is>
      </c>
      <c r="B8309" s="1" t="n">
        <v>45152</v>
      </c>
      <c r="C8309" s="1" t="n">
        <v>45344</v>
      </c>
      <c r="D8309" t="inlineStr">
        <is>
          <t>GÄVLEBORGS LÄN</t>
        </is>
      </c>
      <c r="E8309" t="inlineStr">
        <is>
          <t>GÄVLE</t>
        </is>
      </c>
      <c r="F8309" t="inlineStr">
        <is>
          <t>Bergvik skog öst AB</t>
        </is>
      </c>
      <c r="G8309" t="n">
        <v>9.9</v>
      </c>
      <c r="H8309" t="n">
        <v>0</v>
      </c>
      <c r="I8309" t="n">
        <v>0</v>
      </c>
      <c r="J8309" t="n">
        <v>0</v>
      </c>
      <c r="K8309" t="n">
        <v>0</v>
      </c>
      <c r="L8309" t="n">
        <v>0</v>
      </c>
      <c r="M8309" t="n">
        <v>0</v>
      </c>
      <c r="N8309" t="n">
        <v>0</v>
      </c>
      <c r="O8309" t="n">
        <v>0</v>
      </c>
      <c r="P8309" t="n">
        <v>0</v>
      </c>
      <c r="Q8309" t="n">
        <v>0</v>
      </c>
      <c r="R8309" s="2" t="inlineStr"/>
    </row>
    <row r="8310" ht="15" customHeight="1">
      <c r="A8310" t="inlineStr">
        <is>
          <t>A 36349-2023</t>
        </is>
      </c>
      <c r="B8310" s="1" t="n">
        <v>45152</v>
      </c>
      <c r="C8310" s="1" t="n">
        <v>45344</v>
      </c>
      <c r="D8310" t="inlineStr">
        <is>
          <t>GÄVLEBORGS LÄN</t>
        </is>
      </c>
      <c r="E8310" t="inlineStr">
        <is>
          <t>BOLLNÄS</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36356-2023</t>
        </is>
      </c>
      <c r="B8311" s="1" t="n">
        <v>45152</v>
      </c>
      <c r="C8311" s="1" t="n">
        <v>45344</v>
      </c>
      <c r="D8311" t="inlineStr">
        <is>
          <t>GÄVLEBORGS LÄN</t>
        </is>
      </c>
      <c r="E8311" t="inlineStr">
        <is>
          <t>BOLLNÄS</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36458-2023</t>
        </is>
      </c>
      <c r="B8312" s="1" t="n">
        <v>45152</v>
      </c>
      <c r="C8312" s="1" t="n">
        <v>45344</v>
      </c>
      <c r="D8312" t="inlineStr">
        <is>
          <t>GÄVLEBORGS LÄN</t>
        </is>
      </c>
      <c r="E8312" t="inlineStr">
        <is>
          <t>LJUSDAL</t>
        </is>
      </c>
      <c r="G8312" t="n">
        <v>2.1</v>
      </c>
      <c r="H8312" t="n">
        <v>0</v>
      </c>
      <c r="I8312" t="n">
        <v>0</v>
      </c>
      <c r="J8312" t="n">
        <v>0</v>
      </c>
      <c r="K8312" t="n">
        <v>0</v>
      </c>
      <c r="L8312" t="n">
        <v>0</v>
      </c>
      <c r="M8312" t="n">
        <v>0</v>
      </c>
      <c r="N8312" t="n">
        <v>0</v>
      </c>
      <c r="O8312" t="n">
        <v>0</v>
      </c>
      <c r="P8312" t="n">
        <v>0</v>
      </c>
      <c r="Q8312" t="n">
        <v>0</v>
      </c>
      <c r="R8312" s="2" t="inlineStr"/>
    </row>
    <row r="8313" ht="15" customHeight="1">
      <c r="A8313" t="inlineStr">
        <is>
          <t>A 36343-2023</t>
        </is>
      </c>
      <c r="B8313" s="1" t="n">
        <v>45152</v>
      </c>
      <c r="C8313" s="1" t="n">
        <v>45344</v>
      </c>
      <c r="D8313" t="inlineStr">
        <is>
          <t>GÄVLEBORGS LÄN</t>
        </is>
      </c>
      <c r="E8313" t="inlineStr">
        <is>
          <t>OCKELBO</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36487-2023</t>
        </is>
      </c>
      <c r="B8314" s="1" t="n">
        <v>45152</v>
      </c>
      <c r="C8314" s="1" t="n">
        <v>45344</v>
      </c>
      <c r="D8314" t="inlineStr">
        <is>
          <t>GÄVLEBORGS LÄN</t>
        </is>
      </c>
      <c r="E8314" t="inlineStr">
        <is>
          <t>HUDIKSVALL</t>
        </is>
      </c>
      <c r="F8314" t="inlineStr">
        <is>
          <t>Holmen skog AB</t>
        </is>
      </c>
      <c r="G8314" t="n">
        <v>10.4</v>
      </c>
      <c r="H8314" t="n">
        <v>0</v>
      </c>
      <c r="I8314" t="n">
        <v>0</v>
      </c>
      <c r="J8314" t="n">
        <v>0</v>
      </c>
      <c r="K8314" t="n">
        <v>0</v>
      </c>
      <c r="L8314" t="n">
        <v>0</v>
      </c>
      <c r="M8314" t="n">
        <v>0</v>
      </c>
      <c r="N8314" t="n">
        <v>0</v>
      </c>
      <c r="O8314" t="n">
        <v>0</v>
      </c>
      <c r="P8314" t="n">
        <v>0</v>
      </c>
      <c r="Q8314" t="n">
        <v>0</v>
      </c>
      <c r="R8314" s="2" t="inlineStr"/>
    </row>
    <row r="8315" ht="15" customHeight="1">
      <c r="A8315" t="inlineStr">
        <is>
          <t>A 36378-2023</t>
        </is>
      </c>
      <c r="B8315" s="1" t="n">
        <v>45152</v>
      </c>
      <c r="C8315" s="1" t="n">
        <v>45344</v>
      </c>
      <c r="D8315" t="inlineStr">
        <is>
          <t>GÄVLEBORGS LÄN</t>
        </is>
      </c>
      <c r="E8315" t="inlineStr">
        <is>
          <t>LJUSDAL</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36448-2023</t>
        </is>
      </c>
      <c r="B8316" s="1" t="n">
        <v>45152</v>
      </c>
      <c r="C8316" s="1" t="n">
        <v>45344</v>
      </c>
      <c r="D8316" t="inlineStr">
        <is>
          <t>GÄVLEBORGS LÄN</t>
        </is>
      </c>
      <c r="E8316" t="inlineStr">
        <is>
          <t>LJUSDAL</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36452-2023</t>
        </is>
      </c>
      <c r="B8317" s="1" t="n">
        <v>45152</v>
      </c>
      <c r="C8317" s="1" t="n">
        <v>45344</v>
      </c>
      <c r="D8317" t="inlineStr">
        <is>
          <t>GÄVLEBORGS LÄN</t>
        </is>
      </c>
      <c r="E8317" t="inlineStr">
        <is>
          <t>OVANÅKER</t>
        </is>
      </c>
      <c r="F8317" t="inlineStr">
        <is>
          <t>Sveaskog</t>
        </is>
      </c>
      <c r="G8317" t="n">
        <v>1.2</v>
      </c>
      <c r="H8317" t="n">
        <v>0</v>
      </c>
      <c r="I8317" t="n">
        <v>0</v>
      </c>
      <c r="J8317" t="n">
        <v>0</v>
      </c>
      <c r="K8317" t="n">
        <v>0</v>
      </c>
      <c r="L8317" t="n">
        <v>0</v>
      </c>
      <c r="M8317" t="n">
        <v>0</v>
      </c>
      <c r="N8317" t="n">
        <v>0</v>
      </c>
      <c r="O8317" t="n">
        <v>0</v>
      </c>
      <c r="P8317" t="n">
        <v>0</v>
      </c>
      <c r="Q8317" t="n">
        <v>0</v>
      </c>
      <c r="R8317" s="2" t="inlineStr"/>
    </row>
    <row r="8318" ht="15" customHeight="1">
      <c r="A8318" t="inlineStr">
        <is>
          <t>A 36563-2023</t>
        </is>
      </c>
      <c r="B8318" s="1" t="n">
        <v>45152</v>
      </c>
      <c r="C8318" s="1" t="n">
        <v>45344</v>
      </c>
      <c r="D8318" t="inlineStr">
        <is>
          <t>GÄVLEBORGS LÄN</t>
        </is>
      </c>
      <c r="E8318" t="inlineStr">
        <is>
          <t>OVANÅKER</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36566-2023</t>
        </is>
      </c>
      <c r="B8319" s="1" t="n">
        <v>45153</v>
      </c>
      <c r="C8319" s="1" t="n">
        <v>45344</v>
      </c>
      <c r="D8319" t="inlineStr">
        <is>
          <t>GÄVLEBORGS LÄN</t>
        </is>
      </c>
      <c r="E8319" t="inlineStr">
        <is>
          <t>LJUSDAL</t>
        </is>
      </c>
      <c r="F8319" t="inlineStr">
        <is>
          <t>Bergvik skog väst AB</t>
        </is>
      </c>
      <c r="G8319" t="n">
        <v>18.2</v>
      </c>
      <c r="H8319" t="n">
        <v>0</v>
      </c>
      <c r="I8319" t="n">
        <v>0</v>
      </c>
      <c r="J8319" t="n">
        <v>0</v>
      </c>
      <c r="K8319" t="n">
        <v>0</v>
      </c>
      <c r="L8319" t="n">
        <v>0</v>
      </c>
      <c r="M8319" t="n">
        <v>0</v>
      </c>
      <c r="N8319" t="n">
        <v>0</v>
      </c>
      <c r="O8319" t="n">
        <v>0</v>
      </c>
      <c r="P8319" t="n">
        <v>0</v>
      </c>
      <c r="Q8319" t="n">
        <v>0</v>
      </c>
      <c r="R8319" s="2" t="inlineStr"/>
    </row>
    <row r="8320" ht="15" customHeight="1">
      <c r="A8320" t="inlineStr">
        <is>
          <t>A 36558-2023</t>
        </is>
      </c>
      <c r="B8320" s="1" t="n">
        <v>45153</v>
      </c>
      <c r="C8320" s="1" t="n">
        <v>45344</v>
      </c>
      <c r="D8320" t="inlineStr">
        <is>
          <t>GÄVLEBORGS LÄN</t>
        </is>
      </c>
      <c r="E8320" t="inlineStr">
        <is>
          <t>LJUSDAL</t>
        </is>
      </c>
      <c r="F8320" t="inlineStr">
        <is>
          <t>Bergvik skog väst AB</t>
        </is>
      </c>
      <c r="G8320" t="n">
        <v>15.9</v>
      </c>
      <c r="H8320" t="n">
        <v>0</v>
      </c>
      <c r="I8320" t="n">
        <v>0</v>
      </c>
      <c r="J8320" t="n">
        <v>0</v>
      </c>
      <c r="K8320" t="n">
        <v>0</v>
      </c>
      <c r="L8320" t="n">
        <v>0</v>
      </c>
      <c r="M8320" t="n">
        <v>0</v>
      </c>
      <c r="N8320" t="n">
        <v>0</v>
      </c>
      <c r="O8320" t="n">
        <v>0</v>
      </c>
      <c r="P8320" t="n">
        <v>0</v>
      </c>
      <c r="Q8320" t="n">
        <v>0</v>
      </c>
      <c r="R8320" s="2" t="inlineStr"/>
    </row>
    <row r="8321" ht="15" customHeight="1">
      <c r="A8321" t="inlineStr">
        <is>
          <t>A 36665-2023</t>
        </is>
      </c>
      <c r="B8321" s="1" t="n">
        <v>45153</v>
      </c>
      <c r="C8321" s="1" t="n">
        <v>45344</v>
      </c>
      <c r="D8321" t="inlineStr">
        <is>
          <t>GÄVLEBORGS LÄN</t>
        </is>
      </c>
      <c r="E8321" t="inlineStr">
        <is>
          <t>SANDVIKEN</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36701-2023</t>
        </is>
      </c>
      <c r="B8322" s="1" t="n">
        <v>45153</v>
      </c>
      <c r="C8322" s="1" t="n">
        <v>45344</v>
      </c>
      <c r="D8322" t="inlineStr">
        <is>
          <t>GÄVLEBORGS LÄN</t>
        </is>
      </c>
      <c r="E8322" t="inlineStr">
        <is>
          <t>BOLLNÄS</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36710-2023</t>
        </is>
      </c>
      <c r="B8323" s="1" t="n">
        <v>45153</v>
      </c>
      <c r="C8323" s="1" t="n">
        <v>45344</v>
      </c>
      <c r="D8323" t="inlineStr">
        <is>
          <t>GÄVLEBORGS LÄN</t>
        </is>
      </c>
      <c r="E8323" t="inlineStr">
        <is>
          <t>BOLLNÄS</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36594-2023</t>
        </is>
      </c>
      <c r="B8324" s="1" t="n">
        <v>45153</v>
      </c>
      <c r="C8324" s="1" t="n">
        <v>45344</v>
      </c>
      <c r="D8324" t="inlineStr">
        <is>
          <t>GÄVLEBORGS LÄN</t>
        </is>
      </c>
      <c r="E8324" t="inlineStr">
        <is>
          <t>BOLLNÄS</t>
        </is>
      </c>
      <c r="G8324" t="n">
        <v>2.6</v>
      </c>
      <c r="H8324" t="n">
        <v>0</v>
      </c>
      <c r="I8324" t="n">
        <v>0</v>
      </c>
      <c r="J8324" t="n">
        <v>0</v>
      </c>
      <c r="K8324" t="n">
        <v>0</v>
      </c>
      <c r="L8324" t="n">
        <v>0</v>
      </c>
      <c r="M8324" t="n">
        <v>0</v>
      </c>
      <c r="N8324" t="n">
        <v>0</v>
      </c>
      <c r="O8324" t="n">
        <v>0</v>
      </c>
      <c r="P8324" t="n">
        <v>0</v>
      </c>
      <c r="Q8324" t="n">
        <v>0</v>
      </c>
      <c r="R8324" s="2" t="inlineStr"/>
    </row>
    <row r="8325" ht="15" customHeight="1">
      <c r="A8325" t="inlineStr">
        <is>
          <t>A 36581-2023</t>
        </is>
      </c>
      <c r="B8325" s="1" t="n">
        <v>45153</v>
      </c>
      <c r="C8325" s="1" t="n">
        <v>45344</v>
      </c>
      <c r="D8325" t="inlineStr">
        <is>
          <t>GÄVLEBORGS LÄN</t>
        </is>
      </c>
      <c r="E8325" t="inlineStr">
        <is>
          <t>BOLLNÄS</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36629-2023</t>
        </is>
      </c>
      <c r="B8326" s="1" t="n">
        <v>45153</v>
      </c>
      <c r="C8326" s="1" t="n">
        <v>45344</v>
      </c>
      <c r="D8326" t="inlineStr">
        <is>
          <t>GÄVLEBORGS LÄN</t>
        </is>
      </c>
      <c r="E8326" t="inlineStr">
        <is>
          <t>BOLLNÄS</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36584-2023</t>
        </is>
      </c>
      <c r="B8327" s="1" t="n">
        <v>45153</v>
      </c>
      <c r="C8327" s="1" t="n">
        <v>45344</v>
      </c>
      <c r="D8327" t="inlineStr">
        <is>
          <t>GÄVLEBORGS LÄN</t>
        </is>
      </c>
      <c r="E8327" t="inlineStr">
        <is>
          <t>BOLLNÄS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36588-2023</t>
        </is>
      </c>
      <c r="B8328" s="1" t="n">
        <v>45153</v>
      </c>
      <c r="C8328" s="1" t="n">
        <v>45344</v>
      </c>
      <c r="D8328" t="inlineStr">
        <is>
          <t>GÄVLEBORGS LÄN</t>
        </is>
      </c>
      <c r="E8328" t="inlineStr">
        <is>
          <t>BOLLNÄS</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36607-2023</t>
        </is>
      </c>
      <c r="B8329" s="1" t="n">
        <v>45153</v>
      </c>
      <c r="C8329" s="1" t="n">
        <v>45344</v>
      </c>
      <c r="D8329" t="inlineStr">
        <is>
          <t>GÄVLEBORGS LÄN</t>
        </is>
      </c>
      <c r="E8329" t="inlineStr">
        <is>
          <t>BOLLNÄS</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36671-2023</t>
        </is>
      </c>
      <c r="B8330" s="1" t="n">
        <v>45153</v>
      </c>
      <c r="C8330" s="1" t="n">
        <v>45344</v>
      </c>
      <c r="D8330" t="inlineStr">
        <is>
          <t>GÄVLEBORGS LÄN</t>
        </is>
      </c>
      <c r="E8330" t="inlineStr">
        <is>
          <t>SANDVIKEN</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36699-2023</t>
        </is>
      </c>
      <c r="B8331" s="1" t="n">
        <v>45153</v>
      </c>
      <c r="C8331" s="1" t="n">
        <v>45344</v>
      </c>
      <c r="D8331" t="inlineStr">
        <is>
          <t>GÄVLEBORGS LÄN</t>
        </is>
      </c>
      <c r="E8331" t="inlineStr">
        <is>
          <t>BOLLNÄS</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36707-2023</t>
        </is>
      </c>
      <c r="B8332" s="1" t="n">
        <v>45153</v>
      </c>
      <c r="C8332" s="1" t="n">
        <v>45344</v>
      </c>
      <c r="D8332" t="inlineStr">
        <is>
          <t>GÄVLEBORGS LÄN</t>
        </is>
      </c>
      <c r="E8332" t="inlineStr">
        <is>
          <t>BOLLNÄS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36719-2023</t>
        </is>
      </c>
      <c r="B8333" s="1" t="n">
        <v>45153</v>
      </c>
      <c r="C8333" s="1" t="n">
        <v>45344</v>
      </c>
      <c r="D8333" t="inlineStr">
        <is>
          <t>GÄVLEBORGS LÄN</t>
        </is>
      </c>
      <c r="E8333" t="inlineStr">
        <is>
          <t>HUDIKSVALL</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36656-2023</t>
        </is>
      </c>
      <c r="B8334" s="1" t="n">
        <v>45153</v>
      </c>
      <c r="C8334" s="1" t="n">
        <v>45344</v>
      </c>
      <c r="D8334" t="inlineStr">
        <is>
          <t>GÄVLEBORGS LÄN</t>
        </is>
      </c>
      <c r="E8334" t="inlineStr">
        <is>
          <t>SANDVIKEN</t>
        </is>
      </c>
      <c r="G8334" t="n">
        <v>3.2</v>
      </c>
      <c r="H8334" t="n">
        <v>0</v>
      </c>
      <c r="I8334" t="n">
        <v>0</v>
      </c>
      <c r="J8334" t="n">
        <v>0</v>
      </c>
      <c r="K8334" t="n">
        <v>0</v>
      </c>
      <c r="L8334" t="n">
        <v>0</v>
      </c>
      <c r="M8334" t="n">
        <v>0</v>
      </c>
      <c r="N8334" t="n">
        <v>0</v>
      </c>
      <c r="O8334" t="n">
        <v>0</v>
      </c>
      <c r="P8334" t="n">
        <v>0</v>
      </c>
      <c r="Q8334" t="n">
        <v>0</v>
      </c>
      <c r="R8334" s="2" t="inlineStr"/>
    </row>
    <row r="8335" ht="15" customHeight="1">
      <c r="A8335" t="inlineStr">
        <is>
          <t>A 36660-2023</t>
        </is>
      </c>
      <c r="B8335" s="1" t="n">
        <v>45153</v>
      </c>
      <c r="C8335" s="1" t="n">
        <v>45344</v>
      </c>
      <c r="D8335" t="inlineStr">
        <is>
          <t>GÄVLEBORGS LÄN</t>
        </is>
      </c>
      <c r="E8335" t="inlineStr">
        <is>
          <t>SANDVIKEN</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36668-2023</t>
        </is>
      </c>
      <c r="B8336" s="1" t="n">
        <v>45153</v>
      </c>
      <c r="C8336" s="1" t="n">
        <v>45344</v>
      </c>
      <c r="D8336" t="inlineStr">
        <is>
          <t>GÄVLEBORGS LÄN</t>
        </is>
      </c>
      <c r="E8336" t="inlineStr">
        <is>
          <t>LJUSDAL</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36700-2023</t>
        </is>
      </c>
      <c r="B8337" s="1" t="n">
        <v>45153</v>
      </c>
      <c r="C8337" s="1" t="n">
        <v>45344</v>
      </c>
      <c r="D8337" t="inlineStr">
        <is>
          <t>GÄVLEBORGS LÄN</t>
        </is>
      </c>
      <c r="E8337" t="inlineStr">
        <is>
          <t>LJUSDAL</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36841-2023</t>
        </is>
      </c>
      <c r="B8338" s="1" t="n">
        <v>45154</v>
      </c>
      <c r="C8338" s="1" t="n">
        <v>45344</v>
      </c>
      <c r="D8338" t="inlineStr">
        <is>
          <t>GÄVLEBORGS LÄN</t>
        </is>
      </c>
      <c r="E8338" t="inlineStr">
        <is>
          <t>SANDVIKEN</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36779-2023</t>
        </is>
      </c>
      <c r="B8339" s="1" t="n">
        <v>45154</v>
      </c>
      <c r="C8339" s="1" t="n">
        <v>45344</v>
      </c>
      <c r="D8339" t="inlineStr">
        <is>
          <t>GÄVLEBORGS LÄN</t>
        </is>
      </c>
      <c r="E8339" t="inlineStr">
        <is>
          <t>OCKELBO</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36794-2023</t>
        </is>
      </c>
      <c r="B8340" s="1" t="n">
        <v>45154</v>
      </c>
      <c r="C8340" s="1" t="n">
        <v>45344</v>
      </c>
      <c r="D8340" t="inlineStr">
        <is>
          <t>GÄVLEBORGS LÄN</t>
        </is>
      </c>
      <c r="E8340" t="inlineStr">
        <is>
          <t>OVANÅKER</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36927-2023</t>
        </is>
      </c>
      <c r="B8341" s="1" t="n">
        <v>45154</v>
      </c>
      <c r="C8341" s="1" t="n">
        <v>45344</v>
      </c>
      <c r="D8341" t="inlineStr">
        <is>
          <t>GÄVLEBORGS LÄN</t>
        </is>
      </c>
      <c r="E8341" t="inlineStr">
        <is>
          <t>NORDANSTIG</t>
        </is>
      </c>
      <c r="G8341" t="n">
        <v>3.5</v>
      </c>
      <c r="H8341" t="n">
        <v>0</v>
      </c>
      <c r="I8341" t="n">
        <v>0</v>
      </c>
      <c r="J8341" t="n">
        <v>0</v>
      </c>
      <c r="K8341" t="n">
        <v>0</v>
      </c>
      <c r="L8341" t="n">
        <v>0</v>
      </c>
      <c r="M8341" t="n">
        <v>0</v>
      </c>
      <c r="N8341" t="n">
        <v>0</v>
      </c>
      <c r="O8341" t="n">
        <v>0</v>
      </c>
      <c r="P8341" t="n">
        <v>0</v>
      </c>
      <c r="Q8341" t="n">
        <v>0</v>
      </c>
      <c r="R8341" s="2" t="inlineStr"/>
    </row>
    <row r="8342" ht="15" customHeight="1">
      <c r="A8342" t="inlineStr">
        <is>
          <t>A 36960-2023</t>
        </is>
      </c>
      <c r="B8342" s="1" t="n">
        <v>45154</v>
      </c>
      <c r="C8342" s="1" t="n">
        <v>45344</v>
      </c>
      <c r="D8342" t="inlineStr">
        <is>
          <t>GÄVLEBORGS LÄN</t>
        </is>
      </c>
      <c r="E8342" t="inlineStr">
        <is>
          <t>NORDANSTIG</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36799-2023</t>
        </is>
      </c>
      <c r="B8343" s="1" t="n">
        <v>45154</v>
      </c>
      <c r="C8343" s="1" t="n">
        <v>45344</v>
      </c>
      <c r="D8343" t="inlineStr">
        <is>
          <t>GÄVLEBORGS LÄN</t>
        </is>
      </c>
      <c r="E8343" t="inlineStr">
        <is>
          <t>OCKELBO</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37105-2023</t>
        </is>
      </c>
      <c r="B8344" s="1" t="n">
        <v>45155</v>
      </c>
      <c r="C8344" s="1" t="n">
        <v>45344</v>
      </c>
      <c r="D8344" t="inlineStr">
        <is>
          <t>GÄVLEBORGS LÄN</t>
        </is>
      </c>
      <c r="E8344" t="inlineStr">
        <is>
          <t>HUDIKSVALL</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37090-2023</t>
        </is>
      </c>
      <c r="B8345" s="1" t="n">
        <v>45155</v>
      </c>
      <c r="C8345" s="1" t="n">
        <v>45344</v>
      </c>
      <c r="D8345" t="inlineStr">
        <is>
          <t>GÄVLEBORGS LÄN</t>
        </is>
      </c>
      <c r="E8345" t="inlineStr">
        <is>
          <t>OVANÅKER</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37064-2023</t>
        </is>
      </c>
      <c r="B8346" s="1" t="n">
        <v>45155</v>
      </c>
      <c r="C8346" s="1" t="n">
        <v>45344</v>
      </c>
      <c r="D8346" t="inlineStr">
        <is>
          <t>GÄVLEBORGS LÄN</t>
        </is>
      </c>
      <c r="E8346" t="inlineStr">
        <is>
          <t>LJUSDAL</t>
        </is>
      </c>
      <c r="F8346" t="inlineStr">
        <is>
          <t>Övriga Aktiebolag</t>
        </is>
      </c>
      <c r="G8346" t="n">
        <v>9.699999999999999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37233-2023</t>
        </is>
      </c>
      <c r="B8347" s="1" t="n">
        <v>45155</v>
      </c>
      <c r="C8347" s="1" t="n">
        <v>45344</v>
      </c>
      <c r="D8347" t="inlineStr">
        <is>
          <t>GÄVLEBORGS LÄN</t>
        </is>
      </c>
      <c r="E8347" t="inlineStr">
        <is>
          <t>BOLLNÄS</t>
        </is>
      </c>
      <c r="G8347" t="n">
        <v>3.7</v>
      </c>
      <c r="H8347" t="n">
        <v>0</v>
      </c>
      <c r="I8347" t="n">
        <v>0</v>
      </c>
      <c r="J8347" t="n">
        <v>0</v>
      </c>
      <c r="K8347" t="n">
        <v>0</v>
      </c>
      <c r="L8347" t="n">
        <v>0</v>
      </c>
      <c r="M8347" t="n">
        <v>0</v>
      </c>
      <c r="N8347" t="n">
        <v>0</v>
      </c>
      <c r="O8347" t="n">
        <v>0</v>
      </c>
      <c r="P8347" t="n">
        <v>0</v>
      </c>
      <c r="Q8347" t="n">
        <v>0</v>
      </c>
      <c r="R8347" s="2" t="inlineStr"/>
    </row>
    <row r="8348" ht="15" customHeight="1">
      <c r="A8348" t="inlineStr">
        <is>
          <t>A 37170-2023</t>
        </is>
      </c>
      <c r="B8348" s="1" t="n">
        <v>45155</v>
      </c>
      <c r="C8348" s="1" t="n">
        <v>45344</v>
      </c>
      <c r="D8348" t="inlineStr">
        <is>
          <t>GÄVLEBORGS LÄN</t>
        </is>
      </c>
      <c r="E8348" t="inlineStr">
        <is>
          <t>BOLLNÄS</t>
        </is>
      </c>
      <c r="G8348" t="n">
        <v>8</v>
      </c>
      <c r="H8348" t="n">
        <v>0</v>
      </c>
      <c r="I8348" t="n">
        <v>0</v>
      </c>
      <c r="J8348" t="n">
        <v>0</v>
      </c>
      <c r="K8348" t="n">
        <v>0</v>
      </c>
      <c r="L8348" t="n">
        <v>0</v>
      </c>
      <c r="M8348" t="n">
        <v>0</v>
      </c>
      <c r="N8348" t="n">
        <v>0</v>
      </c>
      <c r="O8348" t="n">
        <v>0</v>
      </c>
      <c r="P8348" t="n">
        <v>0</v>
      </c>
      <c r="Q8348" t="n">
        <v>0</v>
      </c>
      <c r="R8348" s="2" t="inlineStr"/>
    </row>
    <row r="8349" ht="15" customHeight="1">
      <c r="A8349" t="inlineStr">
        <is>
          <t>A 37155-2023</t>
        </is>
      </c>
      <c r="B8349" s="1" t="n">
        <v>45155</v>
      </c>
      <c r="C8349" s="1" t="n">
        <v>45344</v>
      </c>
      <c r="D8349" t="inlineStr">
        <is>
          <t>GÄVLEBORGS LÄN</t>
        </is>
      </c>
      <c r="E8349" t="inlineStr">
        <is>
          <t>NORDANSTIG</t>
        </is>
      </c>
      <c r="G8349" t="n">
        <v>8.1</v>
      </c>
      <c r="H8349" t="n">
        <v>0</v>
      </c>
      <c r="I8349" t="n">
        <v>0</v>
      </c>
      <c r="J8349" t="n">
        <v>0</v>
      </c>
      <c r="K8349" t="n">
        <v>0</v>
      </c>
      <c r="L8349" t="n">
        <v>0</v>
      </c>
      <c r="M8349" t="n">
        <v>0</v>
      </c>
      <c r="N8349" t="n">
        <v>0</v>
      </c>
      <c r="O8349" t="n">
        <v>0</v>
      </c>
      <c r="P8349" t="n">
        <v>0</v>
      </c>
      <c r="Q8349" t="n">
        <v>0</v>
      </c>
      <c r="R8349" s="2" t="inlineStr"/>
    </row>
    <row r="8350" ht="15" customHeight="1">
      <c r="A8350" t="inlineStr">
        <is>
          <t>A 37202-2023</t>
        </is>
      </c>
      <c r="B8350" s="1" t="n">
        <v>45155</v>
      </c>
      <c r="C8350" s="1" t="n">
        <v>45344</v>
      </c>
      <c r="D8350" t="inlineStr">
        <is>
          <t>GÄVLEBORGS LÄN</t>
        </is>
      </c>
      <c r="E8350" t="inlineStr">
        <is>
          <t>LJUSDAL</t>
        </is>
      </c>
      <c r="F8350" t="inlineStr">
        <is>
          <t>Sveaskog</t>
        </is>
      </c>
      <c r="G8350" t="n">
        <v>7.1</v>
      </c>
      <c r="H8350" t="n">
        <v>0</v>
      </c>
      <c r="I8350" t="n">
        <v>0</v>
      </c>
      <c r="J8350" t="n">
        <v>0</v>
      </c>
      <c r="K8350" t="n">
        <v>0</v>
      </c>
      <c r="L8350" t="n">
        <v>0</v>
      </c>
      <c r="M8350" t="n">
        <v>0</v>
      </c>
      <c r="N8350" t="n">
        <v>0</v>
      </c>
      <c r="O8350" t="n">
        <v>0</v>
      </c>
      <c r="P8350" t="n">
        <v>0</v>
      </c>
      <c r="Q8350" t="n">
        <v>0</v>
      </c>
      <c r="R8350" s="2" t="inlineStr"/>
    </row>
    <row r="8351" ht="15" customHeight="1">
      <c r="A8351" t="inlineStr">
        <is>
          <t>A 37194-2023</t>
        </is>
      </c>
      <c r="B8351" s="1" t="n">
        <v>45155</v>
      </c>
      <c r="C8351" s="1" t="n">
        <v>45344</v>
      </c>
      <c r="D8351" t="inlineStr">
        <is>
          <t>GÄVLEBORGS LÄN</t>
        </is>
      </c>
      <c r="E8351" t="inlineStr">
        <is>
          <t>BOLLNÄS</t>
        </is>
      </c>
      <c r="G8351" t="n">
        <v>2.7</v>
      </c>
      <c r="H8351" t="n">
        <v>0</v>
      </c>
      <c r="I8351" t="n">
        <v>0</v>
      </c>
      <c r="J8351" t="n">
        <v>0</v>
      </c>
      <c r="K8351" t="n">
        <v>0</v>
      </c>
      <c r="L8351" t="n">
        <v>0</v>
      </c>
      <c r="M8351" t="n">
        <v>0</v>
      </c>
      <c r="N8351" t="n">
        <v>0</v>
      </c>
      <c r="O8351" t="n">
        <v>0</v>
      </c>
      <c r="P8351" t="n">
        <v>0</v>
      </c>
      <c r="Q8351" t="n">
        <v>0</v>
      </c>
      <c r="R8351" s="2" t="inlineStr"/>
    </row>
    <row r="8352" ht="15" customHeight="1">
      <c r="A8352" t="inlineStr">
        <is>
          <t>A 37203-2023</t>
        </is>
      </c>
      <c r="B8352" s="1" t="n">
        <v>45155</v>
      </c>
      <c r="C8352" s="1" t="n">
        <v>45344</v>
      </c>
      <c r="D8352" t="inlineStr">
        <is>
          <t>GÄVLEBORGS LÄN</t>
        </is>
      </c>
      <c r="E8352" t="inlineStr">
        <is>
          <t>LJUSDAL</t>
        </is>
      </c>
      <c r="F8352" t="inlineStr">
        <is>
          <t>Sveaskog</t>
        </is>
      </c>
      <c r="G8352" t="n">
        <v>3.7</v>
      </c>
      <c r="H8352" t="n">
        <v>0</v>
      </c>
      <c r="I8352" t="n">
        <v>0</v>
      </c>
      <c r="J8352" t="n">
        <v>0</v>
      </c>
      <c r="K8352" t="n">
        <v>0</v>
      </c>
      <c r="L8352" t="n">
        <v>0</v>
      </c>
      <c r="M8352" t="n">
        <v>0</v>
      </c>
      <c r="N8352" t="n">
        <v>0</v>
      </c>
      <c r="O8352" t="n">
        <v>0</v>
      </c>
      <c r="P8352" t="n">
        <v>0</v>
      </c>
      <c r="Q8352" t="n">
        <v>0</v>
      </c>
      <c r="R8352" s="2" t="inlineStr"/>
    </row>
    <row r="8353" ht="15" customHeight="1">
      <c r="A8353" t="inlineStr">
        <is>
          <t>A 37227-2023</t>
        </is>
      </c>
      <c r="B8353" s="1" t="n">
        <v>45155</v>
      </c>
      <c r="C8353" s="1" t="n">
        <v>45344</v>
      </c>
      <c r="D8353" t="inlineStr">
        <is>
          <t>GÄVLEBORGS LÄN</t>
        </is>
      </c>
      <c r="E8353" t="inlineStr">
        <is>
          <t>LJUSDAL</t>
        </is>
      </c>
      <c r="G8353" t="n">
        <v>2.9</v>
      </c>
      <c r="H8353" t="n">
        <v>0</v>
      </c>
      <c r="I8353" t="n">
        <v>0</v>
      </c>
      <c r="J8353" t="n">
        <v>0</v>
      </c>
      <c r="K8353" t="n">
        <v>0</v>
      </c>
      <c r="L8353" t="n">
        <v>0</v>
      </c>
      <c r="M8353" t="n">
        <v>0</v>
      </c>
      <c r="N8353" t="n">
        <v>0</v>
      </c>
      <c r="O8353" t="n">
        <v>0</v>
      </c>
      <c r="P8353" t="n">
        <v>0</v>
      </c>
      <c r="Q8353" t="n">
        <v>0</v>
      </c>
      <c r="R8353" s="2" t="inlineStr"/>
    </row>
    <row r="8354" ht="15" customHeight="1">
      <c r="A8354" t="inlineStr">
        <is>
          <t>A 37274-2023</t>
        </is>
      </c>
      <c r="B8354" s="1" t="n">
        <v>45156</v>
      </c>
      <c r="C8354" s="1" t="n">
        <v>45344</v>
      </c>
      <c r="D8354" t="inlineStr">
        <is>
          <t>GÄVLEBORGS LÄN</t>
        </is>
      </c>
      <c r="E8354" t="inlineStr">
        <is>
          <t>LJUSDAL</t>
        </is>
      </c>
      <c r="G8354" t="n">
        <v>7.8</v>
      </c>
      <c r="H8354" t="n">
        <v>0</v>
      </c>
      <c r="I8354" t="n">
        <v>0</v>
      </c>
      <c r="J8354" t="n">
        <v>0</v>
      </c>
      <c r="K8354" t="n">
        <v>0</v>
      </c>
      <c r="L8354" t="n">
        <v>0</v>
      </c>
      <c r="M8354" t="n">
        <v>0</v>
      </c>
      <c r="N8354" t="n">
        <v>0</v>
      </c>
      <c r="O8354" t="n">
        <v>0</v>
      </c>
      <c r="P8354" t="n">
        <v>0</v>
      </c>
      <c r="Q8354" t="n">
        <v>0</v>
      </c>
      <c r="R8354" s="2" t="inlineStr"/>
    </row>
    <row r="8355" ht="15" customHeight="1">
      <c r="A8355" t="inlineStr">
        <is>
          <t>A 37291-2023</t>
        </is>
      </c>
      <c r="B8355" s="1" t="n">
        <v>45156</v>
      </c>
      <c r="C8355" s="1" t="n">
        <v>45344</v>
      </c>
      <c r="D8355" t="inlineStr">
        <is>
          <t>GÄVLEBORGS LÄN</t>
        </is>
      </c>
      <c r="E8355" t="inlineStr">
        <is>
          <t>LJUSDAL</t>
        </is>
      </c>
      <c r="F8355" t="inlineStr">
        <is>
          <t>Bergvik skog väst AB</t>
        </is>
      </c>
      <c r="G8355" t="n">
        <v>29.4</v>
      </c>
      <c r="H8355" t="n">
        <v>0</v>
      </c>
      <c r="I8355" t="n">
        <v>0</v>
      </c>
      <c r="J8355" t="n">
        <v>0</v>
      </c>
      <c r="K8355" t="n">
        <v>0</v>
      </c>
      <c r="L8355" t="n">
        <v>0</v>
      </c>
      <c r="M8355" t="n">
        <v>0</v>
      </c>
      <c r="N8355" t="n">
        <v>0</v>
      </c>
      <c r="O8355" t="n">
        <v>0</v>
      </c>
      <c r="P8355" t="n">
        <v>0</v>
      </c>
      <c r="Q8355" t="n">
        <v>0</v>
      </c>
      <c r="R8355" s="2" t="inlineStr"/>
    </row>
    <row r="8356" ht="15" customHeight="1">
      <c r="A8356" t="inlineStr">
        <is>
          <t>A 37302-2023</t>
        </is>
      </c>
      <c r="B8356" s="1" t="n">
        <v>45156</v>
      </c>
      <c r="C8356" s="1" t="n">
        <v>45344</v>
      </c>
      <c r="D8356" t="inlineStr">
        <is>
          <t>GÄVLEBORGS LÄN</t>
        </is>
      </c>
      <c r="E8356" t="inlineStr">
        <is>
          <t>OVANÅKER</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37307-2023</t>
        </is>
      </c>
      <c r="B8357" s="1" t="n">
        <v>45156</v>
      </c>
      <c r="C8357" s="1" t="n">
        <v>45344</v>
      </c>
      <c r="D8357" t="inlineStr">
        <is>
          <t>GÄVLEBORGS LÄN</t>
        </is>
      </c>
      <c r="E8357" t="inlineStr">
        <is>
          <t>OVANÅKER</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37316-2023</t>
        </is>
      </c>
      <c r="B8358" s="1" t="n">
        <v>45156</v>
      </c>
      <c r="C8358" s="1" t="n">
        <v>45344</v>
      </c>
      <c r="D8358" t="inlineStr">
        <is>
          <t>GÄVLEBORGS LÄN</t>
        </is>
      </c>
      <c r="E8358" t="inlineStr">
        <is>
          <t>BOLLNÄS</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37341-2023</t>
        </is>
      </c>
      <c r="B8359" s="1" t="n">
        <v>45156</v>
      </c>
      <c r="C8359" s="1" t="n">
        <v>45344</v>
      </c>
      <c r="D8359" t="inlineStr">
        <is>
          <t>GÄVLEBORGS LÄN</t>
        </is>
      </c>
      <c r="E8359" t="inlineStr">
        <is>
          <t>GÄVLE</t>
        </is>
      </c>
      <c r="F8359" t="inlineStr">
        <is>
          <t>Kyrkan</t>
        </is>
      </c>
      <c r="G8359" t="n">
        <v>3.9</v>
      </c>
      <c r="H8359" t="n">
        <v>0</v>
      </c>
      <c r="I8359" t="n">
        <v>0</v>
      </c>
      <c r="J8359" t="n">
        <v>0</v>
      </c>
      <c r="K8359" t="n">
        <v>0</v>
      </c>
      <c r="L8359" t="n">
        <v>0</v>
      </c>
      <c r="M8359" t="n">
        <v>0</v>
      </c>
      <c r="N8359" t="n">
        <v>0</v>
      </c>
      <c r="O8359" t="n">
        <v>0</v>
      </c>
      <c r="P8359" t="n">
        <v>0</v>
      </c>
      <c r="Q8359" t="n">
        <v>0</v>
      </c>
      <c r="R8359" s="2" t="inlineStr"/>
    </row>
    <row r="8360" ht="15" customHeight="1">
      <c r="A8360" t="inlineStr">
        <is>
          <t>A 37275-2023</t>
        </is>
      </c>
      <c r="B8360" s="1" t="n">
        <v>45156</v>
      </c>
      <c r="C8360" s="1" t="n">
        <v>45344</v>
      </c>
      <c r="D8360" t="inlineStr">
        <is>
          <t>GÄVLEBORGS LÄN</t>
        </is>
      </c>
      <c r="E8360" t="inlineStr">
        <is>
          <t>LJUSDAL</t>
        </is>
      </c>
      <c r="G8360" t="n">
        <v>5.3</v>
      </c>
      <c r="H8360" t="n">
        <v>0</v>
      </c>
      <c r="I8360" t="n">
        <v>0</v>
      </c>
      <c r="J8360" t="n">
        <v>0</v>
      </c>
      <c r="K8360" t="n">
        <v>0</v>
      </c>
      <c r="L8360" t="n">
        <v>0</v>
      </c>
      <c r="M8360" t="n">
        <v>0</v>
      </c>
      <c r="N8360" t="n">
        <v>0</v>
      </c>
      <c r="O8360" t="n">
        <v>0</v>
      </c>
      <c r="P8360" t="n">
        <v>0</v>
      </c>
      <c r="Q8360" t="n">
        <v>0</v>
      </c>
      <c r="R8360" s="2" t="inlineStr"/>
    </row>
    <row r="8361" ht="15" customHeight="1">
      <c r="A8361" t="inlineStr">
        <is>
          <t>A 37292-2023</t>
        </is>
      </c>
      <c r="B8361" s="1" t="n">
        <v>45156</v>
      </c>
      <c r="C8361" s="1" t="n">
        <v>45344</v>
      </c>
      <c r="D8361" t="inlineStr">
        <is>
          <t>GÄVLEBORGS LÄN</t>
        </is>
      </c>
      <c r="E8361" t="inlineStr">
        <is>
          <t>OVANÅKER</t>
        </is>
      </c>
      <c r="G8361" t="n">
        <v>4.2</v>
      </c>
      <c r="H8361" t="n">
        <v>0</v>
      </c>
      <c r="I8361" t="n">
        <v>0</v>
      </c>
      <c r="J8361" t="n">
        <v>0</v>
      </c>
      <c r="K8361" t="n">
        <v>0</v>
      </c>
      <c r="L8361" t="n">
        <v>0</v>
      </c>
      <c r="M8361" t="n">
        <v>0</v>
      </c>
      <c r="N8361" t="n">
        <v>0</v>
      </c>
      <c r="O8361" t="n">
        <v>0</v>
      </c>
      <c r="P8361" t="n">
        <v>0</v>
      </c>
      <c r="Q8361" t="n">
        <v>0</v>
      </c>
      <c r="R8361" s="2" t="inlineStr"/>
    </row>
    <row r="8362" ht="15" customHeight="1">
      <c r="A8362" t="inlineStr">
        <is>
          <t>A 37386-2023</t>
        </is>
      </c>
      <c r="B8362" s="1" t="n">
        <v>45156</v>
      </c>
      <c r="C8362" s="1" t="n">
        <v>45344</v>
      </c>
      <c r="D8362" t="inlineStr">
        <is>
          <t>GÄVLEBORGS LÄN</t>
        </is>
      </c>
      <c r="E8362" t="inlineStr">
        <is>
          <t>OCKELBO</t>
        </is>
      </c>
      <c r="F8362" t="inlineStr">
        <is>
          <t>Bergvik skog väst AB</t>
        </is>
      </c>
      <c r="G8362" t="n">
        <v>3.1</v>
      </c>
      <c r="H8362" t="n">
        <v>0</v>
      </c>
      <c r="I8362" t="n">
        <v>0</v>
      </c>
      <c r="J8362" t="n">
        <v>0</v>
      </c>
      <c r="K8362" t="n">
        <v>0</v>
      </c>
      <c r="L8362" t="n">
        <v>0</v>
      </c>
      <c r="M8362" t="n">
        <v>0</v>
      </c>
      <c r="N8362" t="n">
        <v>0</v>
      </c>
      <c r="O8362" t="n">
        <v>0</v>
      </c>
      <c r="P8362" t="n">
        <v>0</v>
      </c>
      <c r="Q8362" t="n">
        <v>0</v>
      </c>
      <c r="R8362" s="2" t="inlineStr"/>
    </row>
    <row r="8363" ht="15" customHeight="1">
      <c r="A8363" t="inlineStr">
        <is>
          <t>A 37308-2023</t>
        </is>
      </c>
      <c r="B8363" s="1" t="n">
        <v>45156</v>
      </c>
      <c r="C8363" s="1" t="n">
        <v>45344</v>
      </c>
      <c r="D8363" t="inlineStr">
        <is>
          <t>GÄVLEBORGS LÄN</t>
        </is>
      </c>
      <c r="E8363" t="inlineStr">
        <is>
          <t>BOLLNÄS</t>
        </is>
      </c>
      <c r="G8363" t="n">
        <v>3.6</v>
      </c>
      <c r="H8363" t="n">
        <v>0</v>
      </c>
      <c r="I8363" t="n">
        <v>0</v>
      </c>
      <c r="J8363" t="n">
        <v>0</v>
      </c>
      <c r="K8363" t="n">
        <v>0</v>
      </c>
      <c r="L8363" t="n">
        <v>0</v>
      </c>
      <c r="M8363" t="n">
        <v>0</v>
      </c>
      <c r="N8363" t="n">
        <v>0</v>
      </c>
      <c r="O8363" t="n">
        <v>0</v>
      </c>
      <c r="P8363" t="n">
        <v>0</v>
      </c>
      <c r="Q8363" t="n">
        <v>0</v>
      </c>
      <c r="R8363" s="2" t="inlineStr"/>
    </row>
    <row r="8364" ht="15" customHeight="1">
      <c r="A8364" t="inlineStr">
        <is>
          <t>A 37325-2023</t>
        </is>
      </c>
      <c r="B8364" s="1" t="n">
        <v>45156</v>
      </c>
      <c r="C8364" s="1" t="n">
        <v>45344</v>
      </c>
      <c r="D8364" t="inlineStr">
        <is>
          <t>GÄVLEBORGS LÄN</t>
        </is>
      </c>
      <c r="E8364" t="inlineStr">
        <is>
          <t>BOLLNÄS</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37391-2023</t>
        </is>
      </c>
      <c r="B8365" s="1" t="n">
        <v>45156</v>
      </c>
      <c r="C8365" s="1" t="n">
        <v>45344</v>
      </c>
      <c r="D8365" t="inlineStr">
        <is>
          <t>GÄVLEBORGS LÄN</t>
        </is>
      </c>
      <c r="E8365" t="inlineStr">
        <is>
          <t>OCKELBO</t>
        </is>
      </c>
      <c r="F8365" t="inlineStr">
        <is>
          <t>Bergvik skog väst AB</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37438-2023</t>
        </is>
      </c>
      <c r="B8366" s="1" t="n">
        <v>45156</v>
      </c>
      <c r="C8366" s="1" t="n">
        <v>45344</v>
      </c>
      <c r="D8366" t="inlineStr">
        <is>
          <t>GÄVLEBORGS LÄN</t>
        </is>
      </c>
      <c r="E8366" t="inlineStr">
        <is>
          <t>OCKELBO</t>
        </is>
      </c>
      <c r="F8366" t="inlineStr">
        <is>
          <t>Bergvik skog väst AB</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37362-2023</t>
        </is>
      </c>
      <c r="B8367" s="1" t="n">
        <v>45156</v>
      </c>
      <c r="C8367" s="1" t="n">
        <v>45344</v>
      </c>
      <c r="D8367" t="inlineStr">
        <is>
          <t>GÄVLEBORGS LÄN</t>
        </is>
      </c>
      <c r="E8367" t="inlineStr">
        <is>
          <t>GÄVLE</t>
        </is>
      </c>
      <c r="F8367" t="inlineStr">
        <is>
          <t>Bergvik skog väst AB</t>
        </is>
      </c>
      <c r="G8367" t="n">
        <v>7.4</v>
      </c>
      <c r="H8367" t="n">
        <v>0</v>
      </c>
      <c r="I8367" t="n">
        <v>0</v>
      </c>
      <c r="J8367" t="n">
        <v>0</v>
      </c>
      <c r="K8367" t="n">
        <v>0</v>
      </c>
      <c r="L8367" t="n">
        <v>0</v>
      </c>
      <c r="M8367" t="n">
        <v>0</v>
      </c>
      <c r="N8367" t="n">
        <v>0</v>
      </c>
      <c r="O8367" t="n">
        <v>0</v>
      </c>
      <c r="P8367" t="n">
        <v>0</v>
      </c>
      <c r="Q8367" t="n">
        <v>0</v>
      </c>
      <c r="R8367" s="2" t="inlineStr"/>
    </row>
    <row r="8368" ht="15" customHeight="1">
      <c r="A8368" t="inlineStr">
        <is>
          <t>A 37442-2023</t>
        </is>
      </c>
      <c r="B8368" s="1" t="n">
        <v>45156</v>
      </c>
      <c r="C8368" s="1" t="n">
        <v>45344</v>
      </c>
      <c r="D8368" t="inlineStr">
        <is>
          <t>GÄVLEBORGS LÄN</t>
        </is>
      </c>
      <c r="E8368" t="inlineStr">
        <is>
          <t>OCKELBO</t>
        </is>
      </c>
      <c r="F8368" t="inlineStr">
        <is>
          <t>Bergvik skog väst AB</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37763-2023</t>
        </is>
      </c>
      <c r="B8369" s="1" t="n">
        <v>45156</v>
      </c>
      <c r="C8369" s="1" t="n">
        <v>45344</v>
      </c>
      <c r="D8369" t="inlineStr">
        <is>
          <t>GÄVLEBORGS LÄN</t>
        </is>
      </c>
      <c r="E8369" t="inlineStr">
        <is>
          <t>HOFORS</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37385-2023</t>
        </is>
      </c>
      <c r="B8370" s="1" t="n">
        <v>45156</v>
      </c>
      <c r="C8370" s="1" t="n">
        <v>45344</v>
      </c>
      <c r="D8370" t="inlineStr">
        <is>
          <t>GÄVLEBORGS LÄN</t>
        </is>
      </c>
      <c r="E8370" t="inlineStr">
        <is>
          <t>OCKELBO</t>
        </is>
      </c>
      <c r="F8370" t="inlineStr">
        <is>
          <t>Bergvik skog väst AB</t>
        </is>
      </c>
      <c r="G8370" t="n">
        <v>3.5</v>
      </c>
      <c r="H8370" t="n">
        <v>0</v>
      </c>
      <c r="I8370" t="n">
        <v>0</v>
      </c>
      <c r="J8370" t="n">
        <v>0</v>
      </c>
      <c r="K8370" t="n">
        <v>0</v>
      </c>
      <c r="L8370" t="n">
        <v>0</v>
      </c>
      <c r="M8370" t="n">
        <v>0</v>
      </c>
      <c r="N8370" t="n">
        <v>0</v>
      </c>
      <c r="O8370" t="n">
        <v>0</v>
      </c>
      <c r="P8370" t="n">
        <v>0</v>
      </c>
      <c r="Q8370" t="n">
        <v>0</v>
      </c>
      <c r="R8370" s="2" t="inlineStr"/>
    </row>
    <row r="8371" ht="15" customHeight="1">
      <c r="A8371" t="inlineStr">
        <is>
          <t>A 37418-2023</t>
        </is>
      </c>
      <c r="B8371" s="1" t="n">
        <v>45156</v>
      </c>
      <c r="C8371" s="1" t="n">
        <v>45344</v>
      </c>
      <c r="D8371" t="inlineStr">
        <is>
          <t>GÄVLEBORGS LÄN</t>
        </is>
      </c>
      <c r="E8371" t="inlineStr">
        <is>
          <t>OCKELBO</t>
        </is>
      </c>
      <c r="F8371" t="inlineStr">
        <is>
          <t>Bergvik skog väst AB</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37534-2023</t>
        </is>
      </c>
      <c r="B8372" s="1" t="n">
        <v>45159</v>
      </c>
      <c r="C8372" s="1" t="n">
        <v>45344</v>
      </c>
      <c r="D8372" t="inlineStr">
        <is>
          <t>GÄVLEBORGS LÄN</t>
        </is>
      </c>
      <c r="E8372" t="inlineStr">
        <is>
          <t>GÄVLE</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37538-2023</t>
        </is>
      </c>
      <c r="B8373" s="1" t="n">
        <v>45159</v>
      </c>
      <c r="C8373" s="1" t="n">
        <v>45344</v>
      </c>
      <c r="D8373" t="inlineStr">
        <is>
          <t>GÄVLEBORGS LÄN</t>
        </is>
      </c>
      <c r="E8373" t="inlineStr">
        <is>
          <t>GÄVLE</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37592-2023</t>
        </is>
      </c>
      <c r="B8374" s="1" t="n">
        <v>45159</v>
      </c>
      <c r="C8374" s="1" t="n">
        <v>45344</v>
      </c>
      <c r="D8374" t="inlineStr">
        <is>
          <t>GÄVLEBORGS LÄN</t>
        </is>
      </c>
      <c r="E8374" t="inlineStr">
        <is>
          <t>GÄVLE</t>
        </is>
      </c>
      <c r="G8374" t="n">
        <v>3.4</v>
      </c>
      <c r="H8374" t="n">
        <v>0</v>
      </c>
      <c r="I8374" t="n">
        <v>0</v>
      </c>
      <c r="J8374" t="n">
        <v>0</v>
      </c>
      <c r="K8374" t="n">
        <v>0</v>
      </c>
      <c r="L8374" t="n">
        <v>0</v>
      </c>
      <c r="M8374" t="n">
        <v>0</v>
      </c>
      <c r="N8374" t="n">
        <v>0</v>
      </c>
      <c r="O8374" t="n">
        <v>0</v>
      </c>
      <c r="P8374" t="n">
        <v>0</v>
      </c>
      <c r="Q8374" t="n">
        <v>0</v>
      </c>
      <c r="R8374" s="2" t="inlineStr"/>
    </row>
    <row r="8375" ht="15" customHeight="1">
      <c r="A8375" t="inlineStr">
        <is>
          <t>A 37663-2023</t>
        </is>
      </c>
      <c r="B8375" s="1" t="n">
        <v>45159</v>
      </c>
      <c r="C8375" s="1" t="n">
        <v>45344</v>
      </c>
      <c r="D8375" t="inlineStr">
        <is>
          <t>GÄVLEBORGS LÄN</t>
        </is>
      </c>
      <c r="E8375" t="inlineStr">
        <is>
          <t>LJUSDAL</t>
        </is>
      </c>
      <c r="F8375" t="inlineStr">
        <is>
          <t>Sveaskog</t>
        </is>
      </c>
      <c r="G8375" t="n">
        <v>4.8</v>
      </c>
      <c r="H8375" t="n">
        <v>0</v>
      </c>
      <c r="I8375" t="n">
        <v>0</v>
      </c>
      <c r="J8375" t="n">
        <v>0</v>
      </c>
      <c r="K8375" t="n">
        <v>0</v>
      </c>
      <c r="L8375" t="n">
        <v>0</v>
      </c>
      <c r="M8375" t="n">
        <v>0</v>
      </c>
      <c r="N8375" t="n">
        <v>0</v>
      </c>
      <c r="O8375" t="n">
        <v>0</v>
      </c>
      <c r="P8375" t="n">
        <v>0</v>
      </c>
      <c r="Q8375" t="n">
        <v>0</v>
      </c>
      <c r="R8375" s="2" t="inlineStr"/>
    </row>
    <row r="8376" ht="15" customHeight="1">
      <c r="A8376" t="inlineStr">
        <is>
          <t>A 37718-2023</t>
        </is>
      </c>
      <c r="B8376" s="1" t="n">
        <v>45159</v>
      </c>
      <c r="C8376" s="1" t="n">
        <v>45344</v>
      </c>
      <c r="D8376" t="inlineStr">
        <is>
          <t>GÄVLEBORGS LÄN</t>
        </is>
      </c>
      <c r="E8376" t="inlineStr">
        <is>
          <t>OVANÅKER</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37728-2023</t>
        </is>
      </c>
      <c r="B8377" s="1" t="n">
        <v>45159</v>
      </c>
      <c r="C8377" s="1" t="n">
        <v>45344</v>
      </c>
      <c r="D8377" t="inlineStr">
        <is>
          <t>GÄVLEBORGS LÄN</t>
        </is>
      </c>
      <c r="E8377" t="inlineStr">
        <is>
          <t>GÄVLE</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37599-2023</t>
        </is>
      </c>
      <c r="B8378" s="1" t="n">
        <v>45159</v>
      </c>
      <c r="C8378" s="1" t="n">
        <v>45344</v>
      </c>
      <c r="D8378" t="inlineStr">
        <is>
          <t>GÄVLEBORGS LÄN</t>
        </is>
      </c>
      <c r="E8378" t="inlineStr">
        <is>
          <t>LJUSDAL</t>
        </is>
      </c>
      <c r="F8378" t="inlineStr">
        <is>
          <t>Holmen skog AB</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37697-2023</t>
        </is>
      </c>
      <c r="B8379" s="1" t="n">
        <v>45159</v>
      </c>
      <c r="C8379" s="1" t="n">
        <v>45344</v>
      </c>
      <c r="D8379" t="inlineStr">
        <is>
          <t>GÄVLEBORGS LÄN</t>
        </is>
      </c>
      <c r="E8379" t="inlineStr">
        <is>
          <t>BOLLNÄS</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37706-2023</t>
        </is>
      </c>
      <c r="B8380" s="1" t="n">
        <v>45159</v>
      </c>
      <c r="C8380" s="1" t="n">
        <v>45344</v>
      </c>
      <c r="D8380" t="inlineStr">
        <is>
          <t>GÄVLEBORGS LÄN</t>
        </is>
      </c>
      <c r="E8380" t="inlineStr">
        <is>
          <t>OVANÅKER</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37724-2023</t>
        </is>
      </c>
      <c r="B8381" s="1" t="n">
        <v>45159</v>
      </c>
      <c r="C8381" s="1" t="n">
        <v>45344</v>
      </c>
      <c r="D8381" t="inlineStr">
        <is>
          <t>GÄVLEBORGS LÄN</t>
        </is>
      </c>
      <c r="E8381" t="inlineStr">
        <is>
          <t>LJUSDAL</t>
        </is>
      </c>
      <c r="F8381" t="inlineStr">
        <is>
          <t>Holmen skog AB</t>
        </is>
      </c>
      <c r="G8381" t="n">
        <v>12.4</v>
      </c>
      <c r="H8381" t="n">
        <v>0</v>
      </c>
      <c r="I8381" t="n">
        <v>0</v>
      </c>
      <c r="J8381" t="n">
        <v>0</v>
      </c>
      <c r="K8381" t="n">
        <v>0</v>
      </c>
      <c r="L8381" t="n">
        <v>0</v>
      </c>
      <c r="M8381" t="n">
        <v>0</v>
      </c>
      <c r="N8381" t="n">
        <v>0</v>
      </c>
      <c r="O8381" t="n">
        <v>0</v>
      </c>
      <c r="P8381" t="n">
        <v>0</v>
      </c>
      <c r="Q8381" t="n">
        <v>0</v>
      </c>
      <c r="R8381" s="2" t="inlineStr"/>
    </row>
    <row r="8382" ht="15" customHeight="1">
      <c r="A8382" t="inlineStr">
        <is>
          <t>A 37633-2023</t>
        </is>
      </c>
      <c r="B8382" s="1" t="n">
        <v>45159</v>
      </c>
      <c r="C8382" s="1" t="n">
        <v>45344</v>
      </c>
      <c r="D8382" t="inlineStr">
        <is>
          <t>GÄVLEBORGS LÄN</t>
        </is>
      </c>
      <c r="E8382" t="inlineStr">
        <is>
          <t>LJUSDAL</t>
        </is>
      </c>
      <c r="F8382" t="inlineStr">
        <is>
          <t>Holmen skog AB</t>
        </is>
      </c>
      <c r="G8382" t="n">
        <v>13.6</v>
      </c>
      <c r="H8382" t="n">
        <v>0</v>
      </c>
      <c r="I8382" t="n">
        <v>0</v>
      </c>
      <c r="J8382" t="n">
        <v>0</v>
      </c>
      <c r="K8382" t="n">
        <v>0</v>
      </c>
      <c r="L8382" t="n">
        <v>0</v>
      </c>
      <c r="M8382" t="n">
        <v>0</v>
      </c>
      <c r="N8382" t="n">
        <v>0</v>
      </c>
      <c r="O8382" t="n">
        <v>0</v>
      </c>
      <c r="P8382" t="n">
        <v>0</v>
      </c>
      <c r="Q8382" t="n">
        <v>0</v>
      </c>
      <c r="R8382" s="2" t="inlineStr"/>
    </row>
    <row r="8383" ht="15" customHeight="1">
      <c r="A8383" t="inlineStr">
        <is>
          <t>A 37776-2023</t>
        </is>
      </c>
      <c r="B8383" s="1" t="n">
        <v>45159</v>
      </c>
      <c r="C8383" s="1" t="n">
        <v>45344</v>
      </c>
      <c r="D8383" t="inlineStr">
        <is>
          <t>GÄVLEBORGS LÄN</t>
        </is>
      </c>
      <c r="E8383" t="inlineStr">
        <is>
          <t>OVANÅKER</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37689-2023</t>
        </is>
      </c>
      <c r="B8384" s="1" t="n">
        <v>45159</v>
      </c>
      <c r="C8384" s="1" t="n">
        <v>45344</v>
      </c>
      <c r="D8384" t="inlineStr">
        <is>
          <t>GÄVLEBORGS LÄN</t>
        </is>
      </c>
      <c r="E8384" t="inlineStr">
        <is>
          <t>HOFORS</t>
        </is>
      </c>
      <c r="G8384" t="n">
        <v>2.2</v>
      </c>
      <c r="H8384" t="n">
        <v>0</v>
      </c>
      <c r="I8384" t="n">
        <v>0</v>
      </c>
      <c r="J8384" t="n">
        <v>0</v>
      </c>
      <c r="K8384" t="n">
        <v>0</v>
      </c>
      <c r="L8384" t="n">
        <v>0</v>
      </c>
      <c r="M8384" t="n">
        <v>0</v>
      </c>
      <c r="N8384" t="n">
        <v>0</v>
      </c>
      <c r="O8384" t="n">
        <v>0</v>
      </c>
      <c r="P8384" t="n">
        <v>0</v>
      </c>
      <c r="Q8384" t="n">
        <v>0</v>
      </c>
      <c r="R8384" s="2" t="inlineStr"/>
    </row>
    <row r="8385" ht="15" customHeight="1">
      <c r="A8385" t="inlineStr">
        <is>
          <t>A 37693-2023</t>
        </is>
      </c>
      <c r="B8385" s="1" t="n">
        <v>45159</v>
      </c>
      <c r="C8385" s="1" t="n">
        <v>45344</v>
      </c>
      <c r="D8385" t="inlineStr">
        <is>
          <t>GÄVLEBORGS LÄN</t>
        </is>
      </c>
      <c r="E8385" t="inlineStr">
        <is>
          <t>HOFORS</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37741-2023</t>
        </is>
      </c>
      <c r="B8386" s="1" t="n">
        <v>45159</v>
      </c>
      <c r="C8386" s="1" t="n">
        <v>45344</v>
      </c>
      <c r="D8386" t="inlineStr">
        <is>
          <t>GÄVLEBORGS LÄN</t>
        </is>
      </c>
      <c r="E8386" t="inlineStr">
        <is>
          <t>SANDVIKEN</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37871-2023</t>
        </is>
      </c>
      <c r="B8387" s="1" t="n">
        <v>45160</v>
      </c>
      <c r="C8387" s="1" t="n">
        <v>45344</v>
      </c>
      <c r="D8387" t="inlineStr">
        <is>
          <t>GÄVLEBORGS LÄN</t>
        </is>
      </c>
      <c r="E8387" t="inlineStr">
        <is>
          <t>HUDIKSVALL</t>
        </is>
      </c>
      <c r="G8387" t="n">
        <v>5.5</v>
      </c>
      <c r="H8387" t="n">
        <v>0</v>
      </c>
      <c r="I8387" t="n">
        <v>0</v>
      </c>
      <c r="J8387" t="n">
        <v>0</v>
      </c>
      <c r="K8387" t="n">
        <v>0</v>
      </c>
      <c r="L8387" t="n">
        <v>0</v>
      </c>
      <c r="M8387" t="n">
        <v>0</v>
      </c>
      <c r="N8387" t="n">
        <v>0</v>
      </c>
      <c r="O8387" t="n">
        <v>0</v>
      </c>
      <c r="P8387" t="n">
        <v>0</v>
      </c>
      <c r="Q8387" t="n">
        <v>0</v>
      </c>
      <c r="R8387" s="2" t="inlineStr"/>
    </row>
    <row r="8388" ht="15" customHeight="1">
      <c r="A8388" t="inlineStr">
        <is>
          <t>A 37881-2023</t>
        </is>
      </c>
      <c r="B8388" s="1" t="n">
        <v>45160</v>
      </c>
      <c r="C8388" s="1" t="n">
        <v>45344</v>
      </c>
      <c r="D8388" t="inlineStr">
        <is>
          <t>GÄVLEBORGS LÄN</t>
        </is>
      </c>
      <c r="E8388" t="inlineStr">
        <is>
          <t>HUDIKSVALL</t>
        </is>
      </c>
      <c r="G8388" t="n">
        <v>10.7</v>
      </c>
      <c r="H8388" t="n">
        <v>0</v>
      </c>
      <c r="I8388" t="n">
        <v>0</v>
      </c>
      <c r="J8388" t="n">
        <v>0</v>
      </c>
      <c r="K8388" t="n">
        <v>0</v>
      </c>
      <c r="L8388" t="n">
        <v>0</v>
      </c>
      <c r="M8388" t="n">
        <v>0</v>
      </c>
      <c r="N8388" t="n">
        <v>0</v>
      </c>
      <c r="O8388" t="n">
        <v>0</v>
      </c>
      <c r="P8388" t="n">
        <v>0</v>
      </c>
      <c r="Q8388" t="n">
        <v>0</v>
      </c>
      <c r="R8388" s="2" t="inlineStr"/>
    </row>
    <row r="8389" ht="15" customHeight="1">
      <c r="A8389" t="inlineStr">
        <is>
          <t>A 37876-2023</t>
        </is>
      </c>
      <c r="B8389" s="1" t="n">
        <v>45160</v>
      </c>
      <c r="C8389" s="1" t="n">
        <v>45344</v>
      </c>
      <c r="D8389" t="inlineStr">
        <is>
          <t>GÄVLEBORGS LÄN</t>
        </is>
      </c>
      <c r="E8389" t="inlineStr">
        <is>
          <t>HUDIKSVALL</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37892-2023</t>
        </is>
      </c>
      <c r="B8390" s="1" t="n">
        <v>45160</v>
      </c>
      <c r="C8390" s="1" t="n">
        <v>45344</v>
      </c>
      <c r="D8390" t="inlineStr">
        <is>
          <t>GÄVLEBORGS LÄN</t>
        </is>
      </c>
      <c r="E8390" t="inlineStr">
        <is>
          <t>LJUSDAL</t>
        </is>
      </c>
      <c r="F8390" t="inlineStr">
        <is>
          <t>Sveaskog</t>
        </is>
      </c>
      <c r="G8390" t="n">
        <v>1.6</v>
      </c>
      <c r="H8390" t="n">
        <v>0</v>
      </c>
      <c r="I8390" t="n">
        <v>0</v>
      </c>
      <c r="J8390" t="n">
        <v>0</v>
      </c>
      <c r="K8390" t="n">
        <v>0</v>
      </c>
      <c r="L8390" t="n">
        <v>0</v>
      </c>
      <c r="M8390" t="n">
        <v>0</v>
      </c>
      <c r="N8390" t="n">
        <v>0</v>
      </c>
      <c r="O8390" t="n">
        <v>0</v>
      </c>
      <c r="P8390" t="n">
        <v>0</v>
      </c>
      <c r="Q8390" t="n">
        <v>0</v>
      </c>
      <c r="R8390" s="2" t="inlineStr"/>
    </row>
    <row r="8391" ht="15" customHeight="1">
      <c r="A8391" t="inlineStr">
        <is>
          <t>A 37965-2023</t>
        </is>
      </c>
      <c r="B8391" s="1" t="n">
        <v>45160</v>
      </c>
      <c r="C8391" s="1" t="n">
        <v>45344</v>
      </c>
      <c r="D8391" t="inlineStr">
        <is>
          <t>GÄVLEBORGS LÄN</t>
        </is>
      </c>
      <c r="E8391" t="inlineStr">
        <is>
          <t>OVANÅKER</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38014-2023</t>
        </is>
      </c>
      <c r="B8392" s="1" t="n">
        <v>45160</v>
      </c>
      <c r="C8392" s="1" t="n">
        <v>45344</v>
      </c>
      <c r="D8392" t="inlineStr">
        <is>
          <t>GÄVLEBORGS LÄN</t>
        </is>
      </c>
      <c r="E8392" t="inlineStr">
        <is>
          <t>LJUSDAL</t>
        </is>
      </c>
      <c r="F8392" t="inlineStr">
        <is>
          <t>Holmen skog AB</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37967-2023</t>
        </is>
      </c>
      <c r="B8393" s="1" t="n">
        <v>45160</v>
      </c>
      <c r="C8393" s="1" t="n">
        <v>45344</v>
      </c>
      <c r="D8393" t="inlineStr">
        <is>
          <t>GÄVLEBORGS LÄN</t>
        </is>
      </c>
      <c r="E8393" t="inlineStr">
        <is>
          <t>OVANÅKER</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37985-2023</t>
        </is>
      </c>
      <c r="B8394" s="1" t="n">
        <v>45160</v>
      </c>
      <c r="C8394" s="1" t="n">
        <v>45344</v>
      </c>
      <c r="D8394" t="inlineStr">
        <is>
          <t>GÄVLEBORGS LÄN</t>
        </is>
      </c>
      <c r="E8394" t="inlineStr">
        <is>
          <t>OCKELBO</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38004-2023</t>
        </is>
      </c>
      <c r="B8395" s="1" t="n">
        <v>45160</v>
      </c>
      <c r="C8395" s="1" t="n">
        <v>45344</v>
      </c>
      <c r="D8395" t="inlineStr">
        <is>
          <t>GÄVLEBORGS LÄN</t>
        </is>
      </c>
      <c r="E8395" t="inlineStr">
        <is>
          <t>LJUSDAL</t>
        </is>
      </c>
      <c r="F8395" t="inlineStr">
        <is>
          <t>Holmen skog AB</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38027-2023</t>
        </is>
      </c>
      <c r="B8396" s="1" t="n">
        <v>45160</v>
      </c>
      <c r="C8396" s="1" t="n">
        <v>45344</v>
      </c>
      <c r="D8396" t="inlineStr">
        <is>
          <t>GÄVLEBORGS LÄN</t>
        </is>
      </c>
      <c r="E8396" t="inlineStr">
        <is>
          <t>LJUSDAL</t>
        </is>
      </c>
      <c r="F8396" t="inlineStr">
        <is>
          <t>Holmen skog AB</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38144-2023</t>
        </is>
      </c>
      <c r="B8397" s="1" t="n">
        <v>45161</v>
      </c>
      <c r="C8397" s="1" t="n">
        <v>45344</v>
      </c>
      <c r="D8397" t="inlineStr">
        <is>
          <t>GÄVLEBORGS LÄN</t>
        </is>
      </c>
      <c r="E8397" t="inlineStr">
        <is>
          <t>OVANÅKER</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38150-2023</t>
        </is>
      </c>
      <c r="B8398" s="1" t="n">
        <v>45161</v>
      </c>
      <c r="C8398" s="1" t="n">
        <v>45344</v>
      </c>
      <c r="D8398" t="inlineStr">
        <is>
          <t>GÄVLEBORGS LÄN</t>
        </is>
      </c>
      <c r="E8398" t="inlineStr">
        <is>
          <t>BOLLNÄS</t>
        </is>
      </c>
      <c r="F8398" t="inlineStr">
        <is>
          <t>Bergvik skog väst AB</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38155-2023</t>
        </is>
      </c>
      <c r="B8399" s="1" t="n">
        <v>45161</v>
      </c>
      <c r="C8399" s="1" t="n">
        <v>45344</v>
      </c>
      <c r="D8399" t="inlineStr">
        <is>
          <t>GÄVLEBORGS LÄN</t>
        </is>
      </c>
      <c r="E8399" t="inlineStr">
        <is>
          <t>BOLLNÄS</t>
        </is>
      </c>
      <c r="F8399" t="inlineStr">
        <is>
          <t>Bergvik skog väst AB</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38242-2023</t>
        </is>
      </c>
      <c r="B8400" s="1" t="n">
        <v>45161</v>
      </c>
      <c r="C8400" s="1" t="n">
        <v>45344</v>
      </c>
      <c r="D8400" t="inlineStr">
        <is>
          <t>GÄVLEBORGS LÄN</t>
        </is>
      </c>
      <c r="E8400" t="inlineStr">
        <is>
          <t>NORDANSTIG</t>
        </is>
      </c>
      <c r="F8400" t="inlineStr">
        <is>
          <t>Holmen skog AB</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38215-2023</t>
        </is>
      </c>
      <c r="B8401" s="1" t="n">
        <v>45161</v>
      </c>
      <c r="C8401" s="1" t="n">
        <v>45344</v>
      </c>
      <c r="D8401" t="inlineStr">
        <is>
          <t>GÄVLEBORGS LÄN</t>
        </is>
      </c>
      <c r="E8401" t="inlineStr">
        <is>
          <t>SANDVIKEN</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38321-2023</t>
        </is>
      </c>
      <c r="B8402" s="1" t="n">
        <v>45161</v>
      </c>
      <c r="C8402" s="1" t="n">
        <v>45344</v>
      </c>
      <c r="D8402" t="inlineStr">
        <is>
          <t>GÄVLEBORGS LÄN</t>
        </is>
      </c>
      <c r="E8402" t="inlineStr">
        <is>
          <t>NORDANSTIG</t>
        </is>
      </c>
      <c r="F8402" t="inlineStr">
        <is>
          <t>Holmen skog AB</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38102-2023</t>
        </is>
      </c>
      <c r="B8403" s="1" t="n">
        <v>45161</v>
      </c>
      <c r="C8403" s="1" t="n">
        <v>45344</v>
      </c>
      <c r="D8403" t="inlineStr">
        <is>
          <t>GÄVLEBORGS LÄN</t>
        </is>
      </c>
      <c r="E8403" t="inlineStr">
        <is>
          <t>OVANÅKER</t>
        </is>
      </c>
      <c r="G8403" t="n">
        <v>2.7</v>
      </c>
      <c r="H8403" t="n">
        <v>0</v>
      </c>
      <c r="I8403" t="n">
        <v>0</v>
      </c>
      <c r="J8403" t="n">
        <v>0</v>
      </c>
      <c r="K8403" t="n">
        <v>0</v>
      </c>
      <c r="L8403" t="n">
        <v>0</v>
      </c>
      <c r="M8403" t="n">
        <v>0</v>
      </c>
      <c r="N8403" t="n">
        <v>0</v>
      </c>
      <c r="O8403" t="n">
        <v>0</v>
      </c>
      <c r="P8403" t="n">
        <v>0</v>
      </c>
      <c r="Q8403" t="n">
        <v>0</v>
      </c>
      <c r="R8403" s="2" t="inlineStr"/>
    </row>
    <row r="8404" ht="15" customHeight="1">
      <c r="A8404" t="inlineStr">
        <is>
          <t>A 38282-2023</t>
        </is>
      </c>
      <c r="B8404" s="1" t="n">
        <v>45161</v>
      </c>
      <c r="C8404" s="1" t="n">
        <v>45344</v>
      </c>
      <c r="D8404" t="inlineStr">
        <is>
          <t>GÄVLEBORGS LÄN</t>
        </is>
      </c>
      <c r="E8404" t="inlineStr">
        <is>
          <t>LJUSDAL</t>
        </is>
      </c>
      <c r="F8404" t="inlineStr">
        <is>
          <t>Allmännings- och besparingsskogar</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38146-2023</t>
        </is>
      </c>
      <c r="B8405" s="1" t="n">
        <v>45161</v>
      </c>
      <c r="C8405" s="1" t="n">
        <v>45344</v>
      </c>
      <c r="D8405" t="inlineStr">
        <is>
          <t>GÄVLEBORGS LÄN</t>
        </is>
      </c>
      <c r="E8405" t="inlineStr">
        <is>
          <t>BOLLNÄS</t>
        </is>
      </c>
      <c r="F8405" t="inlineStr">
        <is>
          <t>Bergvik skog väst AB</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38235-2023</t>
        </is>
      </c>
      <c r="B8406" s="1" t="n">
        <v>45161</v>
      </c>
      <c r="C8406" s="1" t="n">
        <v>45344</v>
      </c>
      <c r="D8406" t="inlineStr">
        <is>
          <t>GÄVLEBORGS LÄN</t>
        </is>
      </c>
      <c r="E8406" t="inlineStr">
        <is>
          <t>GÄVLE</t>
        </is>
      </c>
      <c r="F8406" t="inlineStr">
        <is>
          <t>Bergvik skog väst AB</t>
        </is>
      </c>
      <c r="G8406" t="n">
        <v>6</v>
      </c>
      <c r="H8406" t="n">
        <v>0</v>
      </c>
      <c r="I8406" t="n">
        <v>0</v>
      </c>
      <c r="J8406" t="n">
        <v>0</v>
      </c>
      <c r="K8406" t="n">
        <v>0</v>
      </c>
      <c r="L8406" t="n">
        <v>0</v>
      </c>
      <c r="M8406" t="n">
        <v>0</v>
      </c>
      <c r="N8406" t="n">
        <v>0</v>
      </c>
      <c r="O8406" t="n">
        <v>0</v>
      </c>
      <c r="P8406" t="n">
        <v>0</v>
      </c>
      <c r="Q8406" t="n">
        <v>0</v>
      </c>
      <c r="R8406" s="2" t="inlineStr"/>
    </row>
    <row r="8407" ht="15" customHeight="1">
      <c r="A8407" t="inlineStr">
        <is>
          <t>A 38255-2023</t>
        </is>
      </c>
      <c r="B8407" s="1" t="n">
        <v>45161</v>
      </c>
      <c r="C8407" s="1" t="n">
        <v>45344</v>
      </c>
      <c r="D8407" t="inlineStr">
        <is>
          <t>GÄVLEBORGS LÄN</t>
        </is>
      </c>
      <c r="E8407" t="inlineStr">
        <is>
          <t>GÄVLE</t>
        </is>
      </c>
      <c r="F8407" t="inlineStr">
        <is>
          <t>Bergvik skog väst AB</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38268-2023</t>
        </is>
      </c>
      <c r="B8408" s="1" t="n">
        <v>45161</v>
      </c>
      <c r="C8408" s="1" t="n">
        <v>45344</v>
      </c>
      <c r="D8408" t="inlineStr">
        <is>
          <t>GÄVLEBORGS LÄN</t>
        </is>
      </c>
      <c r="E8408" t="inlineStr">
        <is>
          <t>BOLLNÄS</t>
        </is>
      </c>
      <c r="G8408" t="n">
        <v>2.2</v>
      </c>
      <c r="H8408" t="n">
        <v>0</v>
      </c>
      <c r="I8408" t="n">
        <v>0</v>
      </c>
      <c r="J8408" t="n">
        <v>0</v>
      </c>
      <c r="K8408" t="n">
        <v>0</v>
      </c>
      <c r="L8408" t="n">
        <v>0</v>
      </c>
      <c r="M8408" t="n">
        <v>0</v>
      </c>
      <c r="N8408" t="n">
        <v>0</v>
      </c>
      <c r="O8408" t="n">
        <v>0</v>
      </c>
      <c r="P8408" t="n">
        <v>0</v>
      </c>
      <c r="Q8408" t="n">
        <v>0</v>
      </c>
      <c r="R8408" s="2" t="inlineStr"/>
    </row>
    <row r="8409" ht="15" customHeight="1">
      <c r="A8409" t="inlineStr">
        <is>
          <t>A 38425-2023</t>
        </is>
      </c>
      <c r="B8409" s="1" t="n">
        <v>45162</v>
      </c>
      <c r="C8409" s="1" t="n">
        <v>45344</v>
      </c>
      <c r="D8409" t="inlineStr">
        <is>
          <t>GÄVLEBORGS LÄN</t>
        </is>
      </c>
      <c r="E8409" t="inlineStr">
        <is>
          <t>LJUSDAL</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38492-2023</t>
        </is>
      </c>
      <c r="B8410" s="1" t="n">
        <v>45162</v>
      </c>
      <c r="C8410" s="1" t="n">
        <v>45344</v>
      </c>
      <c r="D8410" t="inlineStr">
        <is>
          <t>GÄVLEBORGS LÄN</t>
        </is>
      </c>
      <c r="E8410" t="inlineStr">
        <is>
          <t>OCKELBO</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38451-2023</t>
        </is>
      </c>
      <c r="B8411" s="1" t="n">
        <v>45162</v>
      </c>
      <c r="C8411" s="1" t="n">
        <v>45344</v>
      </c>
      <c r="D8411" t="inlineStr">
        <is>
          <t>GÄVLEBORGS LÄN</t>
        </is>
      </c>
      <c r="E8411" t="inlineStr">
        <is>
          <t>HUDIKSVALL</t>
        </is>
      </c>
      <c r="F8411" t="inlineStr">
        <is>
          <t>Holmen skog AB</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38398-2023</t>
        </is>
      </c>
      <c r="B8412" s="1" t="n">
        <v>45162</v>
      </c>
      <c r="C8412" s="1" t="n">
        <v>45344</v>
      </c>
      <c r="D8412" t="inlineStr">
        <is>
          <t>GÄVLEBORGS LÄN</t>
        </is>
      </c>
      <c r="E8412" t="inlineStr">
        <is>
          <t>OCKELBO</t>
        </is>
      </c>
      <c r="F8412" t="inlineStr">
        <is>
          <t>Bergvik skog väst AB</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38428-2023</t>
        </is>
      </c>
      <c r="B8413" s="1" t="n">
        <v>45162</v>
      </c>
      <c r="C8413" s="1" t="n">
        <v>45344</v>
      </c>
      <c r="D8413" t="inlineStr">
        <is>
          <t>GÄVLEBORGS LÄN</t>
        </is>
      </c>
      <c r="E8413" t="inlineStr">
        <is>
          <t>SANDVIKEN</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38570-2023</t>
        </is>
      </c>
      <c r="B8414" s="1" t="n">
        <v>45162</v>
      </c>
      <c r="C8414" s="1" t="n">
        <v>45344</v>
      </c>
      <c r="D8414" t="inlineStr">
        <is>
          <t>GÄVLEBORGS LÄN</t>
        </is>
      </c>
      <c r="E8414" t="inlineStr">
        <is>
          <t>SANDVIKEN</t>
        </is>
      </c>
      <c r="G8414" t="n">
        <v>6.3</v>
      </c>
      <c r="H8414" t="n">
        <v>0</v>
      </c>
      <c r="I8414" t="n">
        <v>0</v>
      </c>
      <c r="J8414" t="n">
        <v>0</v>
      </c>
      <c r="K8414" t="n">
        <v>0</v>
      </c>
      <c r="L8414" t="n">
        <v>0</v>
      </c>
      <c r="M8414" t="n">
        <v>0</v>
      </c>
      <c r="N8414" t="n">
        <v>0</v>
      </c>
      <c r="O8414" t="n">
        <v>0</v>
      </c>
      <c r="P8414" t="n">
        <v>0</v>
      </c>
      <c r="Q8414" t="n">
        <v>0</v>
      </c>
      <c r="R8414" s="2" t="inlineStr"/>
    </row>
    <row r="8415" ht="15" customHeight="1">
      <c r="A8415" t="inlineStr">
        <is>
          <t>A 38502-2023</t>
        </is>
      </c>
      <c r="B8415" s="1" t="n">
        <v>45162</v>
      </c>
      <c r="C8415" s="1" t="n">
        <v>45344</v>
      </c>
      <c r="D8415" t="inlineStr">
        <is>
          <t>GÄVLEBORGS LÄN</t>
        </is>
      </c>
      <c r="E8415" t="inlineStr">
        <is>
          <t>SANDVIKEN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38597-2023</t>
        </is>
      </c>
      <c r="B8416" s="1" t="n">
        <v>45162</v>
      </c>
      <c r="C8416" s="1" t="n">
        <v>45344</v>
      </c>
      <c r="D8416" t="inlineStr">
        <is>
          <t>GÄVLEBORGS LÄN</t>
        </is>
      </c>
      <c r="E8416" t="inlineStr">
        <is>
          <t>SANDVIKEN</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38495-2023</t>
        </is>
      </c>
      <c r="B8417" s="1" t="n">
        <v>45162</v>
      </c>
      <c r="C8417" s="1" t="n">
        <v>45344</v>
      </c>
      <c r="D8417" t="inlineStr">
        <is>
          <t>GÄVLEBORGS LÄN</t>
        </is>
      </c>
      <c r="E8417" t="inlineStr">
        <is>
          <t>GÄVLE</t>
        </is>
      </c>
      <c r="G8417" t="n">
        <v>1.6</v>
      </c>
      <c r="H8417" t="n">
        <v>0</v>
      </c>
      <c r="I8417" t="n">
        <v>0</v>
      </c>
      <c r="J8417" t="n">
        <v>0</v>
      </c>
      <c r="K8417" t="n">
        <v>0</v>
      </c>
      <c r="L8417" t="n">
        <v>0</v>
      </c>
      <c r="M8417" t="n">
        <v>0</v>
      </c>
      <c r="N8417" t="n">
        <v>0</v>
      </c>
      <c r="O8417" t="n">
        <v>0</v>
      </c>
      <c r="P8417" t="n">
        <v>0</v>
      </c>
      <c r="Q8417" t="n">
        <v>0</v>
      </c>
      <c r="R8417" s="2" t="inlineStr"/>
    </row>
    <row r="8418" ht="15" customHeight="1">
      <c r="A8418" t="inlineStr">
        <is>
          <t>A 38401-2023</t>
        </is>
      </c>
      <c r="B8418" s="1" t="n">
        <v>45162</v>
      </c>
      <c r="C8418" s="1" t="n">
        <v>45344</v>
      </c>
      <c r="D8418" t="inlineStr">
        <is>
          <t>GÄVLEBORGS LÄN</t>
        </is>
      </c>
      <c r="E8418" t="inlineStr">
        <is>
          <t>OCKELBO</t>
        </is>
      </c>
      <c r="F8418" t="inlineStr">
        <is>
          <t>Bergvik skog väst AB</t>
        </is>
      </c>
      <c r="G8418" t="n">
        <v>3</v>
      </c>
      <c r="H8418" t="n">
        <v>0</v>
      </c>
      <c r="I8418" t="n">
        <v>0</v>
      </c>
      <c r="J8418" t="n">
        <v>0</v>
      </c>
      <c r="K8418" t="n">
        <v>0</v>
      </c>
      <c r="L8418" t="n">
        <v>0</v>
      </c>
      <c r="M8418" t="n">
        <v>0</v>
      </c>
      <c r="N8418" t="n">
        <v>0</v>
      </c>
      <c r="O8418" t="n">
        <v>0</v>
      </c>
      <c r="P8418" t="n">
        <v>0</v>
      </c>
      <c r="Q8418" t="n">
        <v>0</v>
      </c>
      <c r="R8418" s="2" t="inlineStr"/>
    </row>
    <row r="8419" ht="15" customHeight="1">
      <c r="A8419" t="inlineStr">
        <is>
          <t>A 38431-2023</t>
        </is>
      </c>
      <c r="B8419" s="1" t="n">
        <v>45162</v>
      </c>
      <c r="C8419" s="1" t="n">
        <v>45344</v>
      </c>
      <c r="D8419" t="inlineStr">
        <is>
          <t>GÄVLEBORGS LÄN</t>
        </is>
      </c>
      <c r="E8419" t="inlineStr">
        <is>
          <t>SANDVIKEN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38449-2023</t>
        </is>
      </c>
      <c r="B8420" s="1" t="n">
        <v>45162</v>
      </c>
      <c r="C8420" s="1" t="n">
        <v>45344</v>
      </c>
      <c r="D8420" t="inlineStr">
        <is>
          <t>GÄVLEBORGS LÄN</t>
        </is>
      </c>
      <c r="E8420" t="inlineStr">
        <is>
          <t>SANDVIKEN</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38546-2023</t>
        </is>
      </c>
      <c r="B8421" s="1" t="n">
        <v>45162</v>
      </c>
      <c r="C8421" s="1" t="n">
        <v>45344</v>
      </c>
      <c r="D8421" t="inlineStr">
        <is>
          <t>GÄVLEBORGS LÄN</t>
        </is>
      </c>
      <c r="E8421" t="inlineStr">
        <is>
          <t>OVANÅKER</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38481-2023</t>
        </is>
      </c>
      <c r="B8422" s="1" t="n">
        <v>45162</v>
      </c>
      <c r="C8422" s="1" t="n">
        <v>45344</v>
      </c>
      <c r="D8422" t="inlineStr">
        <is>
          <t>GÄVLEBORGS LÄN</t>
        </is>
      </c>
      <c r="E8422" t="inlineStr">
        <is>
          <t>BOLLNÄS</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38518-2023</t>
        </is>
      </c>
      <c r="B8423" s="1" t="n">
        <v>45162</v>
      </c>
      <c r="C8423" s="1" t="n">
        <v>45344</v>
      </c>
      <c r="D8423" t="inlineStr">
        <is>
          <t>GÄVLEBORGS LÄN</t>
        </is>
      </c>
      <c r="E8423" t="inlineStr">
        <is>
          <t>LJUSDAL</t>
        </is>
      </c>
      <c r="G8423" t="n">
        <v>4.7</v>
      </c>
      <c r="H8423" t="n">
        <v>0</v>
      </c>
      <c r="I8423" t="n">
        <v>0</v>
      </c>
      <c r="J8423" t="n">
        <v>0</v>
      </c>
      <c r="K8423" t="n">
        <v>0</v>
      </c>
      <c r="L8423" t="n">
        <v>0</v>
      </c>
      <c r="M8423" t="n">
        <v>0</v>
      </c>
      <c r="N8423" t="n">
        <v>0</v>
      </c>
      <c r="O8423" t="n">
        <v>0</v>
      </c>
      <c r="P8423" t="n">
        <v>0</v>
      </c>
      <c r="Q8423" t="n">
        <v>0</v>
      </c>
      <c r="R8423" s="2" t="inlineStr"/>
    </row>
    <row r="8424" ht="15" customHeight="1">
      <c r="A8424" t="inlineStr">
        <is>
          <t>A 38535-2023</t>
        </is>
      </c>
      <c r="B8424" s="1" t="n">
        <v>45162</v>
      </c>
      <c r="C8424" s="1" t="n">
        <v>45344</v>
      </c>
      <c r="D8424" t="inlineStr">
        <is>
          <t>GÄVLEBORGS LÄN</t>
        </is>
      </c>
      <c r="E8424" t="inlineStr">
        <is>
          <t>HUDIKSVALL</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38564-2023</t>
        </is>
      </c>
      <c r="B8425" s="1" t="n">
        <v>45162</v>
      </c>
      <c r="C8425" s="1" t="n">
        <v>45344</v>
      </c>
      <c r="D8425" t="inlineStr">
        <is>
          <t>GÄVLEBORGS LÄN</t>
        </is>
      </c>
      <c r="E8425" t="inlineStr">
        <is>
          <t>SANDVIKEN</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38558-2023</t>
        </is>
      </c>
      <c r="B8426" s="1" t="n">
        <v>45162</v>
      </c>
      <c r="C8426" s="1" t="n">
        <v>45344</v>
      </c>
      <c r="D8426" t="inlineStr">
        <is>
          <t>GÄVLEBORGS LÄN</t>
        </is>
      </c>
      <c r="E8426" t="inlineStr">
        <is>
          <t>GÄVLE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38667-2023</t>
        </is>
      </c>
      <c r="B8427" s="1" t="n">
        <v>45162</v>
      </c>
      <c r="C8427" s="1" t="n">
        <v>45344</v>
      </c>
      <c r="D8427" t="inlineStr">
        <is>
          <t>GÄVLEBORGS LÄN</t>
        </is>
      </c>
      <c r="E8427" t="inlineStr">
        <is>
          <t>HUDIKSVALL</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38634-2023</t>
        </is>
      </c>
      <c r="B8428" s="1" t="n">
        <v>45162</v>
      </c>
      <c r="C8428" s="1" t="n">
        <v>45344</v>
      </c>
      <c r="D8428" t="inlineStr">
        <is>
          <t>GÄVLEBORGS LÄN</t>
        </is>
      </c>
      <c r="E8428" t="inlineStr">
        <is>
          <t>LJUSDAL</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38673-2023</t>
        </is>
      </c>
      <c r="B8429" s="1" t="n">
        <v>45163</v>
      </c>
      <c r="C8429" s="1" t="n">
        <v>45344</v>
      </c>
      <c r="D8429" t="inlineStr">
        <is>
          <t>GÄVLEBORGS LÄN</t>
        </is>
      </c>
      <c r="E8429" t="inlineStr">
        <is>
          <t>HUDIKSVALL</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38669-2023</t>
        </is>
      </c>
      <c r="B8430" s="1" t="n">
        <v>45163</v>
      </c>
      <c r="C8430" s="1" t="n">
        <v>45344</v>
      </c>
      <c r="D8430" t="inlineStr">
        <is>
          <t>GÄVLEBORGS LÄN</t>
        </is>
      </c>
      <c r="E8430" t="inlineStr">
        <is>
          <t>HUDIKSVALL</t>
        </is>
      </c>
      <c r="G8430" t="n">
        <v>5.3</v>
      </c>
      <c r="H8430" t="n">
        <v>0</v>
      </c>
      <c r="I8430" t="n">
        <v>0</v>
      </c>
      <c r="J8430" t="n">
        <v>0</v>
      </c>
      <c r="K8430" t="n">
        <v>0</v>
      </c>
      <c r="L8430" t="n">
        <v>0</v>
      </c>
      <c r="M8430" t="n">
        <v>0</v>
      </c>
      <c r="N8430" t="n">
        <v>0</v>
      </c>
      <c r="O8430" t="n">
        <v>0</v>
      </c>
      <c r="P8430" t="n">
        <v>0</v>
      </c>
      <c r="Q8430" t="n">
        <v>0</v>
      </c>
      <c r="R8430" s="2" t="inlineStr"/>
    </row>
    <row r="8431" ht="15" customHeight="1">
      <c r="A8431" t="inlineStr">
        <is>
          <t>A 38658-2023</t>
        </is>
      </c>
      <c r="B8431" s="1" t="n">
        <v>45162</v>
      </c>
      <c r="C8431" s="1" t="n">
        <v>45344</v>
      </c>
      <c r="D8431" t="inlineStr">
        <is>
          <t>GÄVLEBORGS LÄN</t>
        </is>
      </c>
      <c r="E8431" t="inlineStr">
        <is>
          <t>NORDANSTIG</t>
        </is>
      </c>
      <c r="F8431" t="inlineStr">
        <is>
          <t>Holmen skog AB</t>
        </is>
      </c>
      <c r="G8431" t="n">
        <v>5.2</v>
      </c>
      <c r="H8431" t="n">
        <v>0</v>
      </c>
      <c r="I8431" t="n">
        <v>0</v>
      </c>
      <c r="J8431" t="n">
        <v>0</v>
      </c>
      <c r="K8431" t="n">
        <v>0</v>
      </c>
      <c r="L8431" t="n">
        <v>0</v>
      </c>
      <c r="M8431" t="n">
        <v>0</v>
      </c>
      <c r="N8431" t="n">
        <v>0</v>
      </c>
      <c r="O8431" t="n">
        <v>0</v>
      </c>
      <c r="P8431" t="n">
        <v>0</v>
      </c>
      <c r="Q8431" t="n">
        <v>0</v>
      </c>
      <c r="R8431" s="2" t="inlineStr"/>
    </row>
    <row r="8432" ht="15" customHeight="1">
      <c r="A8432" t="inlineStr">
        <is>
          <t>A 38670-2023</t>
        </is>
      </c>
      <c r="B8432" s="1" t="n">
        <v>45162</v>
      </c>
      <c r="C8432" s="1" t="n">
        <v>45344</v>
      </c>
      <c r="D8432" t="inlineStr">
        <is>
          <t>GÄVLEBORGS LÄN</t>
        </is>
      </c>
      <c r="E8432" t="inlineStr">
        <is>
          <t>HUDIKSVALL</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38872-2023</t>
        </is>
      </c>
      <c r="B8433" s="1" t="n">
        <v>45163</v>
      </c>
      <c r="C8433" s="1" t="n">
        <v>45344</v>
      </c>
      <c r="D8433" t="inlineStr">
        <is>
          <t>GÄVLEBORGS LÄN</t>
        </is>
      </c>
      <c r="E8433" t="inlineStr">
        <is>
          <t>NORDANSTIG</t>
        </is>
      </c>
      <c r="F8433" t="inlineStr">
        <is>
          <t>Holmen skog AB</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39012-2023</t>
        </is>
      </c>
      <c r="B8434" s="1" t="n">
        <v>45163</v>
      </c>
      <c r="C8434" s="1" t="n">
        <v>45344</v>
      </c>
      <c r="D8434" t="inlineStr">
        <is>
          <t>GÄVLEBORGS LÄN</t>
        </is>
      </c>
      <c r="E8434" t="inlineStr">
        <is>
          <t>LJUSDAL</t>
        </is>
      </c>
      <c r="G8434" t="n">
        <v>16.3</v>
      </c>
      <c r="H8434" t="n">
        <v>0</v>
      </c>
      <c r="I8434" t="n">
        <v>0</v>
      </c>
      <c r="J8434" t="n">
        <v>0</v>
      </c>
      <c r="K8434" t="n">
        <v>0</v>
      </c>
      <c r="L8434" t="n">
        <v>0</v>
      </c>
      <c r="M8434" t="n">
        <v>0</v>
      </c>
      <c r="N8434" t="n">
        <v>0</v>
      </c>
      <c r="O8434" t="n">
        <v>0</v>
      </c>
      <c r="P8434" t="n">
        <v>0</v>
      </c>
      <c r="Q8434" t="n">
        <v>0</v>
      </c>
      <c r="R8434" s="2" t="inlineStr"/>
    </row>
    <row r="8435" ht="15" customHeight="1">
      <c r="A8435" t="inlineStr">
        <is>
          <t>A 39045-2023</t>
        </is>
      </c>
      <c r="B8435" s="1" t="n">
        <v>45163</v>
      </c>
      <c r="C8435" s="1" t="n">
        <v>45344</v>
      </c>
      <c r="D8435" t="inlineStr">
        <is>
          <t>GÄVLEBORGS LÄN</t>
        </is>
      </c>
      <c r="E8435" t="inlineStr">
        <is>
          <t>HUDIKSVALL</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39069-2023</t>
        </is>
      </c>
      <c r="B8436" s="1" t="n">
        <v>45163</v>
      </c>
      <c r="C8436" s="1" t="n">
        <v>45344</v>
      </c>
      <c r="D8436" t="inlineStr">
        <is>
          <t>GÄVLEBORGS LÄN</t>
        </is>
      </c>
      <c r="E8436" t="inlineStr">
        <is>
          <t>NORDANSTIG</t>
        </is>
      </c>
      <c r="F8436" t="inlineStr">
        <is>
          <t>SCA</t>
        </is>
      </c>
      <c r="G8436" t="n">
        <v>11.5</v>
      </c>
      <c r="H8436" t="n">
        <v>0</v>
      </c>
      <c r="I8436" t="n">
        <v>0</v>
      </c>
      <c r="J8436" t="n">
        <v>0</v>
      </c>
      <c r="K8436" t="n">
        <v>0</v>
      </c>
      <c r="L8436" t="n">
        <v>0</v>
      </c>
      <c r="M8436" t="n">
        <v>0</v>
      </c>
      <c r="N8436" t="n">
        <v>0</v>
      </c>
      <c r="O8436" t="n">
        <v>0</v>
      </c>
      <c r="P8436" t="n">
        <v>0</v>
      </c>
      <c r="Q8436" t="n">
        <v>0</v>
      </c>
      <c r="R8436" s="2" t="inlineStr"/>
    </row>
    <row r="8437" ht="15" customHeight="1">
      <c r="A8437" t="inlineStr">
        <is>
          <t>A 38710-2023</t>
        </is>
      </c>
      <c r="B8437" s="1" t="n">
        <v>45163</v>
      </c>
      <c r="C8437" s="1" t="n">
        <v>45344</v>
      </c>
      <c r="D8437" t="inlineStr">
        <is>
          <t>GÄVLEBORGS LÄN</t>
        </is>
      </c>
      <c r="E8437" t="inlineStr">
        <is>
          <t>NORDANSTIG</t>
        </is>
      </c>
      <c r="G8437" t="n">
        <v>1.2</v>
      </c>
      <c r="H8437" t="n">
        <v>0</v>
      </c>
      <c r="I8437" t="n">
        <v>0</v>
      </c>
      <c r="J8437" t="n">
        <v>0</v>
      </c>
      <c r="K8437" t="n">
        <v>0</v>
      </c>
      <c r="L8437" t="n">
        <v>0</v>
      </c>
      <c r="M8437" t="n">
        <v>0</v>
      </c>
      <c r="N8437" t="n">
        <v>0</v>
      </c>
      <c r="O8437" t="n">
        <v>0</v>
      </c>
      <c r="P8437" t="n">
        <v>0</v>
      </c>
      <c r="Q8437" t="n">
        <v>0</v>
      </c>
      <c r="R8437" s="2" t="inlineStr"/>
    </row>
    <row r="8438" ht="15" customHeight="1">
      <c r="A8438" t="inlineStr">
        <is>
          <t>A 38937-2023</t>
        </is>
      </c>
      <c r="B8438" s="1" t="n">
        <v>45163</v>
      </c>
      <c r="C8438" s="1" t="n">
        <v>45344</v>
      </c>
      <c r="D8438" t="inlineStr">
        <is>
          <t>GÄVLEBORGS LÄN</t>
        </is>
      </c>
      <c r="E8438" t="inlineStr">
        <is>
          <t>BOLLNÄS</t>
        </is>
      </c>
      <c r="G8438" t="n">
        <v>5.1</v>
      </c>
      <c r="H8438" t="n">
        <v>0</v>
      </c>
      <c r="I8438" t="n">
        <v>0</v>
      </c>
      <c r="J8438" t="n">
        <v>0</v>
      </c>
      <c r="K8438" t="n">
        <v>0</v>
      </c>
      <c r="L8438" t="n">
        <v>0</v>
      </c>
      <c r="M8438" t="n">
        <v>0</v>
      </c>
      <c r="N8438" t="n">
        <v>0</v>
      </c>
      <c r="O8438" t="n">
        <v>0</v>
      </c>
      <c r="P8438" t="n">
        <v>0</v>
      </c>
      <c r="Q8438" t="n">
        <v>0</v>
      </c>
      <c r="R8438" s="2" t="inlineStr"/>
    </row>
    <row r="8439" ht="15" customHeight="1">
      <c r="A8439" t="inlineStr">
        <is>
          <t>A 39067-2023</t>
        </is>
      </c>
      <c r="B8439" s="1" t="n">
        <v>45163</v>
      </c>
      <c r="C8439" s="1" t="n">
        <v>45344</v>
      </c>
      <c r="D8439" t="inlineStr">
        <is>
          <t>GÄVLEBORGS LÄN</t>
        </is>
      </c>
      <c r="E8439" t="inlineStr">
        <is>
          <t>NORDANSTIG</t>
        </is>
      </c>
      <c r="F8439" t="inlineStr">
        <is>
          <t>SCA</t>
        </is>
      </c>
      <c r="G8439" t="n">
        <v>8.800000000000001</v>
      </c>
      <c r="H8439" t="n">
        <v>0</v>
      </c>
      <c r="I8439" t="n">
        <v>0</v>
      </c>
      <c r="J8439" t="n">
        <v>0</v>
      </c>
      <c r="K8439" t="n">
        <v>0</v>
      </c>
      <c r="L8439" t="n">
        <v>0</v>
      </c>
      <c r="M8439" t="n">
        <v>0</v>
      </c>
      <c r="N8439" t="n">
        <v>0</v>
      </c>
      <c r="O8439" t="n">
        <v>0</v>
      </c>
      <c r="P8439" t="n">
        <v>0</v>
      </c>
      <c r="Q8439" t="n">
        <v>0</v>
      </c>
      <c r="R8439" s="2" t="inlineStr"/>
    </row>
    <row r="8440" ht="15" customHeight="1">
      <c r="A8440" t="inlineStr">
        <is>
          <t>A 39068-2023</t>
        </is>
      </c>
      <c r="B8440" s="1" t="n">
        <v>45163</v>
      </c>
      <c r="C8440" s="1" t="n">
        <v>45344</v>
      </c>
      <c r="D8440" t="inlineStr">
        <is>
          <t>GÄVLEBORGS LÄN</t>
        </is>
      </c>
      <c r="E8440" t="inlineStr">
        <is>
          <t>NORDANSTIG</t>
        </is>
      </c>
      <c r="F8440" t="inlineStr">
        <is>
          <t>SCA</t>
        </is>
      </c>
      <c r="G8440" t="n">
        <v>11.8</v>
      </c>
      <c r="H8440" t="n">
        <v>0</v>
      </c>
      <c r="I8440" t="n">
        <v>0</v>
      </c>
      <c r="J8440" t="n">
        <v>0</v>
      </c>
      <c r="K8440" t="n">
        <v>0</v>
      </c>
      <c r="L8440" t="n">
        <v>0</v>
      </c>
      <c r="M8440" t="n">
        <v>0</v>
      </c>
      <c r="N8440" t="n">
        <v>0</v>
      </c>
      <c r="O8440" t="n">
        <v>0</v>
      </c>
      <c r="P8440" t="n">
        <v>0</v>
      </c>
      <c r="Q8440" t="n">
        <v>0</v>
      </c>
      <c r="R8440" s="2" t="inlineStr"/>
    </row>
    <row r="8441" ht="15" customHeight="1">
      <c r="A8441" t="inlineStr">
        <is>
          <t>A 38768-2023</t>
        </is>
      </c>
      <c r="B8441" s="1" t="n">
        <v>45163</v>
      </c>
      <c r="C8441" s="1" t="n">
        <v>45344</v>
      </c>
      <c r="D8441" t="inlineStr">
        <is>
          <t>GÄVLEBORGS LÄN</t>
        </is>
      </c>
      <c r="E8441" t="inlineStr">
        <is>
          <t>NORDANSTIG</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38778-2023</t>
        </is>
      </c>
      <c r="B8442" s="1" t="n">
        <v>45163</v>
      </c>
      <c r="C8442" s="1" t="n">
        <v>45344</v>
      </c>
      <c r="D8442" t="inlineStr">
        <is>
          <t>GÄVLEBORGS LÄN</t>
        </is>
      </c>
      <c r="E8442" t="inlineStr">
        <is>
          <t>LJUSDAL</t>
        </is>
      </c>
      <c r="G8442" t="n">
        <v>2.5</v>
      </c>
      <c r="H8442" t="n">
        <v>0</v>
      </c>
      <c r="I8442" t="n">
        <v>0</v>
      </c>
      <c r="J8442" t="n">
        <v>0</v>
      </c>
      <c r="K8442" t="n">
        <v>0</v>
      </c>
      <c r="L8442" t="n">
        <v>0</v>
      </c>
      <c r="M8442" t="n">
        <v>0</v>
      </c>
      <c r="N8442" t="n">
        <v>0</v>
      </c>
      <c r="O8442" t="n">
        <v>0</v>
      </c>
      <c r="P8442" t="n">
        <v>0</v>
      </c>
      <c r="Q8442" t="n">
        <v>0</v>
      </c>
      <c r="R8442" s="2" t="inlineStr"/>
    </row>
    <row r="8443" ht="15" customHeight="1">
      <c r="A8443" t="inlineStr">
        <is>
          <t>A 38780-2023</t>
        </is>
      </c>
      <c r="B8443" s="1" t="n">
        <v>45163</v>
      </c>
      <c r="C8443" s="1" t="n">
        <v>45344</v>
      </c>
      <c r="D8443" t="inlineStr">
        <is>
          <t>GÄVLEBORGS LÄN</t>
        </is>
      </c>
      <c r="E8443" t="inlineStr">
        <is>
          <t>OVANÅKER</t>
        </is>
      </c>
      <c r="F8443" t="inlineStr">
        <is>
          <t>Kyrkan</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39116-2023</t>
        </is>
      </c>
      <c r="B8444" s="1" t="n">
        <v>45165</v>
      </c>
      <c r="C8444" s="1" t="n">
        <v>45344</v>
      </c>
      <c r="D8444" t="inlineStr">
        <is>
          <t>GÄVLEBORGS LÄN</t>
        </is>
      </c>
      <c r="E8444" t="inlineStr">
        <is>
          <t>SÖDERHAMN</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39137-2023</t>
        </is>
      </c>
      <c r="B8445" s="1" t="n">
        <v>45165</v>
      </c>
      <c r="C8445" s="1" t="n">
        <v>45344</v>
      </c>
      <c r="D8445" t="inlineStr">
        <is>
          <t>GÄVLEBORGS LÄN</t>
        </is>
      </c>
      <c r="E8445" t="inlineStr">
        <is>
          <t>SÖDERHAMN</t>
        </is>
      </c>
      <c r="G8445" t="n">
        <v>5.2</v>
      </c>
      <c r="H8445" t="n">
        <v>0</v>
      </c>
      <c r="I8445" t="n">
        <v>0</v>
      </c>
      <c r="J8445" t="n">
        <v>0</v>
      </c>
      <c r="K8445" t="n">
        <v>0</v>
      </c>
      <c r="L8445" t="n">
        <v>0</v>
      </c>
      <c r="M8445" t="n">
        <v>0</v>
      </c>
      <c r="N8445" t="n">
        <v>0</v>
      </c>
      <c r="O8445" t="n">
        <v>0</v>
      </c>
      <c r="P8445" t="n">
        <v>0</v>
      </c>
      <c r="Q8445" t="n">
        <v>0</v>
      </c>
      <c r="R8445" s="2" t="inlineStr"/>
    </row>
    <row r="8446" ht="15" customHeight="1">
      <c r="A8446" t="inlineStr">
        <is>
          <t>A 39119-2023</t>
        </is>
      </c>
      <c r="B8446" s="1" t="n">
        <v>45165</v>
      </c>
      <c r="C8446" s="1" t="n">
        <v>45344</v>
      </c>
      <c r="D8446" t="inlineStr">
        <is>
          <t>GÄVLEBORGS LÄN</t>
        </is>
      </c>
      <c r="E8446" t="inlineStr">
        <is>
          <t>BOLLNÄS</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39139-2023</t>
        </is>
      </c>
      <c r="B8447" s="1" t="n">
        <v>45165</v>
      </c>
      <c r="C8447" s="1" t="n">
        <v>45344</v>
      </c>
      <c r="D8447" t="inlineStr">
        <is>
          <t>GÄVLEBORGS LÄN</t>
        </is>
      </c>
      <c r="E8447" t="inlineStr">
        <is>
          <t>BOLLNÄS</t>
        </is>
      </c>
      <c r="G8447" t="n">
        <v>2.5</v>
      </c>
      <c r="H8447" t="n">
        <v>0</v>
      </c>
      <c r="I8447" t="n">
        <v>0</v>
      </c>
      <c r="J8447" t="n">
        <v>0</v>
      </c>
      <c r="K8447" t="n">
        <v>0</v>
      </c>
      <c r="L8447" t="n">
        <v>0</v>
      </c>
      <c r="M8447" t="n">
        <v>0</v>
      </c>
      <c r="N8447" t="n">
        <v>0</v>
      </c>
      <c r="O8447" t="n">
        <v>0</v>
      </c>
      <c r="P8447" t="n">
        <v>0</v>
      </c>
      <c r="Q8447" t="n">
        <v>0</v>
      </c>
      <c r="R8447" s="2" t="inlineStr"/>
    </row>
    <row r="8448" ht="15" customHeight="1">
      <c r="A8448" t="inlineStr">
        <is>
          <t>A 39138-2023</t>
        </is>
      </c>
      <c r="B8448" s="1" t="n">
        <v>45165</v>
      </c>
      <c r="C8448" s="1" t="n">
        <v>45344</v>
      </c>
      <c r="D8448" t="inlineStr">
        <is>
          <t>GÄVLEBORGS LÄN</t>
        </is>
      </c>
      <c r="E8448" t="inlineStr">
        <is>
          <t>SÖDERHAMN</t>
        </is>
      </c>
      <c r="G8448" t="n">
        <v>3</v>
      </c>
      <c r="H8448" t="n">
        <v>0</v>
      </c>
      <c r="I8448" t="n">
        <v>0</v>
      </c>
      <c r="J8448" t="n">
        <v>0</v>
      </c>
      <c r="K8448" t="n">
        <v>0</v>
      </c>
      <c r="L8448" t="n">
        <v>0</v>
      </c>
      <c r="M8448" t="n">
        <v>0</v>
      </c>
      <c r="N8448" t="n">
        <v>0</v>
      </c>
      <c r="O8448" t="n">
        <v>0</v>
      </c>
      <c r="P8448" t="n">
        <v>0</v>
      </c>
      <c r="Q8448" t="n">
        <v>0</v>
      </c>
      <c r="R8448" s="2" t="inlineStr"/>
    </row>
    <row r="8449" ht="15" customHeight="1">
      <c r="A8449" t="inlineStr">
        <is>
          <t>A 39192-2023</t>
        </is>
      </c>
      <c r="B8449" s="1" t="n">
        <v>45166</v>
      </c>
      <c r="C8449" s="1" t="n">
        <v>45344</v>
      </c>
      <c r="D8449" t="inlineStr">
        <is>
          <t>GÄVLEBORGS LÄN</t>
        </is>
      </c>
      <c r="E8449" t="inlineStr">
        <is>
          <t>NORDANSTIG</t>
        </is>
      </c>
      <c r="F8449" t="inlineStr">
        <is>
          <t>Holmen skog AB</t>
        </is>
      </c>
      <c r="G8449" t="n">
        <v>12.2</v>
      </c>
      <c r="H8449" t="n">
        <v>0</v>
      </c>
      <c r="I8449" t="n">
        <v>0</v>
      </c>
      <c r="J8449" t="n">
        <v>0</v>
      </c>
      <c r="K8449" t="n">
        <v>0</v>
      </c>
      <c r="L8449" t="n">
        <v>0</v>
      </c>
      <c r="M8449" t="n">
        <v>0</v>
      </c>
      <c r="N8449" t="n">
        <v>0</v>
      </c>
      <c r="O8449" t="n">
        <v>0</v>
      </c>
      <c r="P8449" t="n">
        <v>0</v>
      </c>
      <c r="Q8449" t="n">
        <v>0</v>
      </c>
      <c r="R8449" s="2" t="inlineStr"/>
    </row>
    <row r="8450" ht="15" customHeight="1">
      <c r="A8450" t="inlineStr">
        <is>
          <t>A 39181-2023</t>
        </is>
      </c>
      <c r="B8450" s="1" t="n">
        <v>45166</v>
      </c>
      <c r="C8450" s="1" t="n">
        <v>45344</v>
      </c>
      <c r="D8450" t="inlineStr">
        <is>
          <t>GÄVLEBORGS LÄN</t>
        </is>
      </c>
      <c r="E8450" t="inlineStr">
        <is>
          <t>BOLLNÄS</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39186-2023</t>
        </is>
      </c>
      <c r="B8451" s="1" t="n">
        <v>45166</v>
      </c>
      <c r="C8451" s="1" t="n">
        <v>45344</v>
      </c>
      <c r="D8451" t="inlineStr">
        <is>
          <t>GÄVLEBORGS LÄN</t>
        </is>
      </c>
      <c r="E8451" t="inlineStr">
        <is>
          <t>BOLLNÄS</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39207-2023</t>
        </is>
      </c>
      <c r="B8452" s="1" t="n">
        <v>45166</v>
      </c>
      <c r="C8452" s="1" t="n">
        <v>45344</v>
      </c>
      <c r="D8452" t="inlineStr">
        <is>
          <t>GÄVLEBORGS LÄN</t>
        </is>
      </c>
      <c r="E8452" t="inlineStr">
        <is>
          <t>NORDANSTIG</t>
        </is>
      </c>
      <c r="F8452" t="inlineStr">
        <is>
          <t>Holmen skog AB</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39232-2023</t>
        </is>
      </c>
      <c r="B8453" s="1" t="n">
        <v>45166</v>
      </c>
      <c r="C8453" s="1" t="n">
        <v>45344</v>
      </c>
      <c r="D8453" t="inlineStr">
        <is>
          <t>GÄVLEBORGS LÄN</t>
        </is>
      </c>
      <c r="E8453" t="inlineStr">
        <is>
          <t>BOLLNÄS</t>
        </is>
      </c>
      <c r="G8453" t="n">
        <v>2.7</v>
      </c>
      <c r="H8453" t="n">
        <v>0</v>
      </c>
      <c r="I8453" t="n">
        <v>0</v>
      </c>
      <c r="J8453" t="n">
        <v>0</v>
      </c>
      <c r="K8453" t="n">
        <v>0</v>
      </c>
      <c r="L8453" t="n">
        <v>0</v>
      </c>
      <c r="M8453" t="n">
        <v>0</v>
      </c>
      <c r="N8453" t="n">
        <v>0</v>
      </c>
      <c r="O8453" t="n">
        <v>0</v>
      </c>
      <c r="P8453" t="n">
        <v>0</v>
      </c>
      <c r="Q8453" t="n">
        <v>0</v>
      </c>
      <c r="R8453" s="2" t="inlineStr"/>
    </row>
    <row r="8454" ht="15" customHeight="1">
      <c r="A8454" t="inlineStr">
        <is>
          <t>A 39377-2023</t>
        </is>
      </c>
      <c r="B8454" s="1" t="n">
        <v>45166</v>
      </c>
      <c r="C8454" s="1" t="n">
        <v>45344</v>
      </c>
      <c r="D8454" t="inlineStr">
        <is>
          <t>GÄVLEBORGS LÄN</t>
        </is>
      </c>
      <c r="E8454" t="inlineStr">
        <is>
          <t>OVANÅKER</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39382-2023</t>
        </is>
      </c>
      <c r="B8455" s="1" t="n">
        <v>45166</v>
      </c>
      <c r="C8455" s="1" t="n">
        <v>45344</v>
      </c>
      <c r="D8455" t="inlineStr">
        <is>
          <t>GÄVLEBORGS LÄN</t>
        </is>
      </c>
      <c r="E8455" t="inlineStr">
        <is>
          <t>OVANÅKER</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39326-2023</t>
        </is>
      </c>
      <c r="B8456" s="1" t="n">
        <v>45166</v>
      </c>
      <c r="C8456" s="1" t="n">
        <v>45344</v>
      </c>
      <c r="D8456" t="inlineStr">
        <is>
          <t>GÄVLEBORGS LÄN</t>
        </is>
      </c>
      <c r="E8456" t="inlineStr">
        <is>
          <t>SÖDERHAMN</t>
        </is>
      </c>
      <c r="F8456" t="inlineStr">
        <is>
          <t>Bergvik skog väst AB</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39314-2023</t>
        </is>
      </c>
      <c r="B8457" s="1" t="n">
        <v>45166</v>
      </c>
      <c r="C8457" s="1" t="n">
        <v>45344</v>
      </c>
      <c r="D8457" t="inlineStr">
        <is>
          <t>GÄVLEBORGS LÄN</t>
        </is>
      </c>
      <c r="E8457" t="inlineStr">
        <is>
          <t>BOLLNÄS</t>
        </is>
      </c>
      <c r="G8457" t="n">
        <v>5.4</v>
      </c>
      <c r="H8457" t="n">
        <v>0</v>
      </c>
      <c r="I8457" t="n">
        <v>0</v>
      </c>
      <c r="J8457" t="n">
        <v>0</v>
      </c>
      <c r="K8457" t="n">
        <v>0</v>
      </c>
      <c r="L8457" t="n">
        <v>0</v>
      </c>
      <c r="M8457" t="n">
        <v>0</v>
      </c>
      <c r="N8457" t="n">
        <v>0</v>
      </c>
      <c r="O8457" t="n">
        <v>0</v>
      </c>
      <c r="P8457" t="n">
        <v>0</v>
      </c>
      <c r="Q8457" t="n">
        <v>0</v>
      </c>
      <c r="R8457" s="2" t="inlineStr"/>
    </row>
    <row r="8458" ht="15" customHeight="1">
      <c r="A8458" t="inlineStr">
        <is>
          <t>A 39413-2023</t>
        </is>
      </c>
      <c r="B8458" s="1" t="n">
        <v>45166</v>
      </c>
      <c r="C8458" s="1" t="n">
        <v>45344</v>
      </c>
      <c r="D8458" t="inlineStr">
        <is>
          <t>GÄVLEBORGS LÄN</t>
        </is>
      </c>
      <c r="E8458" t="inlineStr">
        <is>
          <t>LJUSDAL</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39327-2023</t>
        </is>
      </c>
      <c r="B8459" s="1" t="n">
        <v>45166</v>
      </c>
      <c r="C8459" s="1" t="n">
        <v>45344</v>
      </c>
      <c r="D8459" t="inlineStr">
        <is>
          <t>GÄVLEBORGS LÄN</t>
        </is>
      </c>
      <c r="E8459" t="inlineStr">
        <is>
          <t>BOLLNÄS</t>
        </is>
      </c>
      <c r="G8459" t="n">
        <v>5.8</v>
      </c>
      <c r="H8459" t="n">
        <v>0</v>
      </c>
      <c r="I8459" t="n">
        <v>0</v>
      </c>
      <c r="J8459" t="n">
        <v>0</v>
      </c>
      <c r="K8459" t="n">
        <v>0</v>
      </c>
      <c r="L8459" t="n">
        <v>0</v>
      </c>
      <c r="M8459" t="n">
        <v>0</v>
      </c>
      <c r="N8459" t="n">
        <v>0</v>
      </c>
      <c r="O8459" t="n">
        <v>0</v>
      </c>
      <c r="P8459" t="n">
        <v>0</v>
      </c>
      <c r="Q8459" t="n">
        <v>0</v>
      </c>
      <c r="R8459" s="2" t="inlineStr"/>
    </row>
    <row r="8460" ht="15" customHeight="1">
      <c r="A8460" t="inlineStr">
        <is>
          <t>A 39384-2023</t>
        </is>
      </c>
      <c r="B8460" s="1" t="n">
        <v>45166</v>
      </c>
      <c r="C8460" s="1" t="n">
        <v>45344</v>
      </c>
      <c r="D8460" t="inlineStr">
        <is>
          <t>GÄVLEBORGS LÄN</t>
        </is>
      </c>
      <c r="E8460" t="inlineStr">
        <is>
          <t>OVANÅKER</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39392-2023</t>
        </is>
      </c>
      <c r="B8461" s="1" t="n">
        <v>45166</v>
      </c>
      <c r="C8461" s="1" t="n">
        <v>45344</v>
      </c>
      <c r="D8461" t="inlineStr">
        <is>
          <t>GÄVLEBORGS LÄN</t>
        </is>
      </c>
      <c r="E8461" t="inlineStr">
        <is>
          <t>NORDANSTIG</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39552-2023</t>
        </is>
      </c>
      <c r="B8462" s="1" t="n">
        <v>45167</v>
      </c>
      <c r="C8462" s="1" t="n">
        <v>45344</v>
      </c>
      <c r="D8462" t="inlineStr">
        <is>
          <t>GÄVLEBORGS LÄN</t>
        </is>
      </c>
      <c r="E8462" t="inlineStr">
        <is>
          <t>NORDANSTIG</t>
        </is>
      </c>
      <c r="F8462" t="inlineStr">
        <is>
          <t>Holmen skog AB</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39662-2023</t>
        </is>
      </c>
      <c r="B8463" s="1" t="n">
        <v>45167</v>
      </c>
      <c r="C8463" s="1" t="n">
        <v>45344</v>
      </c>
      <c r="D8463" t="inlineStr">
        <is>
          <t>GÄVLEBORGS LÄN</t>
        </is>
      </c>
      <c r="E8463" t="inlineStr">
        <is>
          <t>OVANÅKER</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39738-2023</t>
        </is>
      </c>
      <c r="B8464" s="1" t="n">
        <v>45167</v>
      </c>
      <c r="C8464" s="1" t="n">
        <v>45344</v>
      </c>
      <c r="D8464" t="inlineStr">
        <is>
          <t>GÄVLEBORGS LÄN</t>
        </is>
      </c>
      <c r="E8464" t="inlineStr">
        <is>
          <t>LJUSDAL</t>
        </is>
      </c>
      <c r="G8464" t="n">
        <v>3.1</v>
      </c>
      <c r="H8464" t="n">
        <v>0</v>
      </c>
      <c r="I8464" t="n">
        <v>0</v>
      </c>
      <c r="J8464" t="n">
        <v>0</v>
      </c>
      <c r="K8464" t="n">
        <v>0</v>
      </c>
      <c r="L8464" t="n">
        <v>0</v>
      </c>
      <c r="M8464" t="n">
        <v>0</v>
      </c>
      <c r="N8464" t="n">
        <v>0</v>
      </c>
      <c r="O8464" t="n">
        <v>0</v>
      </c>
      <c r="P8464" t="n">
        <v>0</v>
      </c>
      <c r="Q8464" t="n">
        <v>0</v>
      </c>
      <c r="R8464" s="2" t="inlineStr"/>
    </row>
    <row r="8465" ht="15" customHeight="1">
      <c r="A8465" t="inlineStr">
        <is>
          <t>A 39742-2023</t>
        </is>
      </c>
      <c r="B8465" s="1" t="n">
        <v>45167</v>
      </c>
      <c r="C8465" s="1" t="n">
        <v>45344</v>
      </c>
      <c r="D8465" t="inlineStr">
        <is>
          <t>GÄVLEBORGS LÄN</t>
        </is>
      </c>
      <c r="E8465" t="inlineStr">
        <is>
          <t>LJUSDAL</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39568-2023</t>
        </is>
      </c>
      <c r="B8466" s="1" t="n">
        <v>45167</v>
      </c>
      <c r="C8466" s="1" t="n">
        <v>45344</v>
      </c>
      <c r="D8466" t="inlineStr">
        <is>
          <t>GÄVLEBORGS LÄN</t>
        </is>
      </c>
      <c r="E8466" t="inlineStr">
        <is>
          <t>NORDANSTIG</t>
        </is>
      </c>
      <c r="F8466" t="inlineStr">
        <is>
          <t>Holmen skog AB</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39615-2023</t>
        </is>
      </c>
      <c r="B8467" s="1" t="n">
        <v>45167</v>
      </c>
      <c r="C8467" s="1" t="n">
        <v>45344</v>
      </c>
      <c r="D8467" t="inlineStr">
        <is>
          <t>GÄVLEBORGS LÄN</t>
        </is>
      </c>
      <c r="E8467" t="inlineStr">
        <is>
          <t>HUDIKSVALL</t>
        </is>
      </c>
      <c r="F8467" t="inlineStr">
        <is>
          <t>Holmen skog AB</t>
        </is>
      </c>
      <c r="G8467" t="n">
        <v>5.8</v>
      </c>
      <c r="H8467" t="n">
        <v>0</v>
      </c>
      <c r="I8467" t="n">
        <v>0</v>
      </c>
      <c r="J8467" t="n">
        <v>0</v>
      </c>
      <c r="K8467" t="n">
        <v>0</v>
      </c>
      <c r="L8467" t="n">
        <v>0</v>
      </c>
      <c r="M8467" t="n">
        <v>0</v>
      </c>
      <c r="N8467" t="n">
        <v>0</v>
      </c>
      <c r="O8467" t="n">
        <v>0</v>
      </c>
      <c r="P8467" t="n">
        <v>0</v>
      </c>
      <c r="Q8467" t="n">
        <v>0</v>
      </c>
      <c r="R8467" s="2" t="inlineStr"/>
    </row>
    <row r="8468" ht="15" customHeight="1">
      <c r="A8468" t="inlineStr">
        <is>
          <t>A 39526-2023</t>
        </is>
      </c>
      <c r="B8468" s="1" t="n">
        <v>45167</v>
      </c>
      <c r="C8468" s="1" t="n">
        <v>45344</v>
      </c>
      <c r="D8468" t="inlineStr">
        <is>
          <t>GÄVLEBORGS LÄN</t>
        </is>
      </c>
      <c r="E8468" t="inlineStr">
        <is>
          <t>LJUSDAL</t>
        </is>
      </c>
      <c r="G8468" t="n">
        <v>6.1</v>
      </c>
      <c r="H8468" t="n">
        <v>0</v>
      </c>
      <c r="I8468" t="n">
        <v>0</v>
      </c>
      <c r="J8468" t="n">
        <v>0</v>
      </c>
      <c r="K8468" t="n">
        <v>0</v>
      </c>
      <c r="L8468" t="n">
        <v>0</v>
      </c>
      <c r="M8468" t="n">
        <v>0</v>
      </c>
      <c r="N8468" t="n">
        <v>0</v>
      </c>
      <c r="O8468" t="n">
        <v>0</v>
      </c>
      <c r="P8468" t="n">
        <v>0</v>
      </c>
      <c r="Q8468" t="n">
        <v>0</v>
      </c>
      <c r="R8468" s="2" t="inlineStr"/>
    </row>
    <row r="8469" ht="15" customHeight="1">
      <c r="A8469" t="inlineStr">
        <is>
          <t>A 39664-2023</t>
        </is>
      </c>
      <c r="B8469" s="1" t="n">
        <v>45167</v>
      </c>
      <c r="C8469" s="1" t="n">
        <v>45344</v>
      </c>
      <c r="D8469" t="inlineStr">
        <is>
          <t>GÄVLEBORGS LÄN</t>
        </is>
      </c>
      <c r="E8469" t="inlineStr">
        <is>
          <t>OVANÅKER</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39735-2023</t>
        </is>
      </c>
      <c r="B8470" s="1" t="n">
        <v>45167</v>
      </c>
      <c r="C8470" s="1" t="n">
        <v>45344</v>
      </c>
      <c r="D8470" t="inlineStr">
        <is>
          <t>GÄVLEBORGS LÄN</t>
        </is>
      </c>
      <c r="E8470" t="inlineStr">
        <is>
          <t>HUDIKSVALL</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39710-2023</t>
        </is>
      </c>
      <c r="B8471" s="1" t="n">
        <v>45167</v>
      </c>
      <c r="C8471" s="1" t="n">
        <v>45344</v>
      </c>
      <c r="D8471" t="inlineStr">
        <is>
          <t>GÄVLEBORGS LÄN</t>
        </is>
      </c>
      <c r="E8471" t="inlineStr">
        <is>
          <t>OCKELBO</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39858-2023</t>
        </is>
      </c>
      <c r="B8472" s="1" t="n">
        <v>45168</v>
      </c>
      <c r="C8472" s="1" t="n">
        <v>45344</v>
      </c>
      <c r="D8472" t="inlineStr">
        <is>
          <t>GÄVLEBORGS LÄN</t>
        </is>
      </c>
      <c r="E8472" t="inlineStr">
        <is>
          <t>HUDIKSVALL</t>
        </is>
      </c>
      <c r="F8472" t="inlineStr">
        <is>
          <t>Holmen skog AB</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39862-2023</t>
        </is>
      </c>
      <c r="B8473" s="1" t="n">
        <v>45168</v>
      </c>
      <c r="C8473" s="1" t="n">
        <v>45344</v>
      </c>
      <c r="D8473" t="inlineStr">
        <is>
          <t>GÄVLEBORGS LÄN</t>
        </is>
      </c>
      <c r="E8473" t="inlineStr">
        <is>
          <t>OVANÅKER</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39883-2023</t>
        </is>
      </c>
      <c r="B8474" s="1" t="n">
        <v>45168</v>
      </c>
      <c r="C8474" s="1" t="n">
        <v>45344</v>
      </c>
      <c r="D8474" t="inlineStr">
        <is>
          <t>GÄVLEBORGS LÄN</t>
        </is>
      </c>
      <c r="E8474" t="inlineStr">
        <is>
          <t>LJUSDAL</t>
        </is>
      </c>
      <c r="F8474" t="inlineStr">
        <is>
          <t>Holmen skog AB</t>
        </is>
      </c>
      <c r="G8474" t="n">
        <v>13.9</v>
      </c>
      <c r="H8474" t="n">
        <v>0</v>
      </c>
      <c r="I8474" t="n">
        <v>0</v>
      </c>
      <c r="J8474" t="n">
        <v>0</v>
      </c>
      <c r="K8474" t="n">
        <v>0</v>
      </c>
      <c r="L8474" t="n">
        <v>0</v>
      </c>
      <c r="M8474" t="n">
        <v>0</v>
      </c>
      <c r="N8474" t="n">
        <v>0</v>
      </c>
      <c r="O8474" t="n">
        <v>0</v>
      </c>
      <c r="P8474" t="n">
        <v>0</v>
      </c>
      <c r="Q8474" t="n">
        <v>0</v>
      </c>
      <c r="R8474" s="2" t="inlineStr"/>
    </row>
    <row r="8475" ht="15" customHeight="1">
      <c r="A8475" t="inlineStr">
        <is>
          <t>A 39931-2023</t>
        </is>
      </c>
      <c r="B8475" s="1" t="n">
        <v>45168</v>
      </c>
      <c r="C8475" s="1" t="n">
        <v>45344</v>
      </c>
      <c r="D8475" t="inlineStr">
        <is>
          <t>GÄVLEBORGS LÄN</t>
        </is>
      </c>
      <c r="E8475" t="inlineStr">
        <is>
          <t>GÄVLE</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40073-2023</t>
        </is>
      </c>
      <c r="B8476" s="1" t="n">
        <v>45168</v>
      </c>
      <c r="C8476" s="1" t="n">
        <v>45344</v>
      </c>
      <c r="D8476" t="inlineStr">
        <is>
          <t>GÄVLEBORGS LÄN</t>
        </is>
      </c>
      <c r="E8476" t="inlineStr">
        <is>
          <t>NORDANSTIG</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39850-2023</t>
        </is>
      </c>
      <c r="B8477" s="1" t="n">
        <v>45168</v>
      </c>
      <c r="C8477" s="1" t="n">
        <v>45344</v>
      </c>
      <c r="D8477" t="inlineStr">
        <is>
          <t>GÄVLEBORGS LÄN</t>
        </is>
      </c>
      <c r="E8477" t="inlineStr">
        <is>
          <t>OVANÅKER</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39923-2023</t>
        </is>
      </c>
      <c r="B8478" s="1" t="n">
        <v>45168</v>
      </c>
      <c r="C8478" s="1" t="n">
        <v>45344</v>
      </c>
      <c r="D8478" t="inlineStr">
        <is>
          <t>GÄVLEBORGS LÄN</t>
        </is>
      </c>
      <c r="E8478" t="inlineStr">
        <is>
          <t>LJUSDAL</t>
        </is>
      </c>
      <c r="F8478" t="inlineStr">
        <is>
          <t>Allmännings- och besparingsskogar</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39968-2023</t>
        </is>
      </c>
      <c r="B8479" s="1" t="n">
        <v>45168</v>
      </c>
      <c r="C8479" s="1" t="n">
        <v>45344</v>
      </c>
      <c r="D8479" t="inlineStr">
        <is>
          <t>GÄVLEBORGS LÄN</t>
        </is>
      </c>
      <c r="E8479" t="inlineStr">
        <is>
          <t>OCKELBO</t>
        </is>
      </c>
      <c r="F8479" t="inlineStr">
        <is>
          <t>Bergvik skog väst AB</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39916-2023</t>
        </is>
      </c>
      <c r="B8480" s="1" t="n">
        <v>45168</v>
      </c>
      <c r="C8480" s="1" t="n">
        <v>45344</v>
      </c>
      <c r="D8480" t="inlineStr">
        <is>
          <t>GÄVLEBORGS LÄN</t>
        </is>
      </c>
      <c r="E8480" t="inlineStr">
        <is>
          <t>OVANÅKER</t>
        </is>
      </c>
      <c r="F8480" t="inlineStr">
        <is>
          <t>Kyrkan</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39932-2023</t>
        </is>
      </c>
      <c r="B8481" s="1" t="n">
        <v>45168</v>
      </c>
      <c r="C8481" s="1" t="n">
        <v>45344</v>
      </c>
      <c r="D8481" t="inlineStr">
        <is>
          <t>GÄVLEBORGS LÄN</t>
        </is>
      </c>
      <c r="E8481" t="inlineStr">
        <is>
          <t>LJUSDAL</t>
        </is>
      </c>
      <c r="F8481" t="inlineStr">
        <is>
          <t>Bergvik skog väst AB</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39950-2023</t>
        </is>
      </c>
      <c r="B8482" s="1" t="n">
        <v>45168</v>
      </c>
      <c r="C8482" s="1" t="n">
        <v>45344</v>
      </c>
      <c r="D8482" t="inlineStr">
        <is>
          <t>GÄVLEBORGS LÄN</t>
        </is>
      </c>
      <c r="E8482" t="inlineStr">
        <is>
          <t>HUDIKSVALL</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40018-2023</t>
        </is>
      </c>
      <c r="B8483" s="1" t="n">
        <v>45168</v>
      </c>
      <c r="C8483" s="1" t="n">
        <v>45344</v>
      </c>
      <c r="D8483" t="inlineStr">
        <is>
          <t>GÄVLEBORGS LÄN</t>
        </is>
      </c>
      <c r="E8483" t="inlineStr">
        <is>
          <t>BOLLNÄS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40039-2023</t>
        </is>
      </c>
      <c r="B8484" s="1" t="n">
        <v>45168</v>
      </c>
      <c r="C8484" s="1" t="n">
        <v>45344</v>
      </c>
      <c r="D8484" t="inlineStr">
        <is>
          <t>GÄVLEBORGS LÄN</t>
        </is>
      </c>
      <c r="E8484" t="inlineStr">
        <is>
          <t>NORDANSTIG</t>
        </is>
      </c>
      <c r="G8484" t="n">
        <v>6.9</v>
      </c>
      <c r="H8484" t="n">
        <v>0</v>
      </c>
      <c r="I8484" t="n">
        <v>0</v>
      </c>
      <c r="J8484" t="n">
        <v>0</v>
      </c>
      <c r="K8484" t="n">
        <v>0</v>
      </c>
      <c r="L8484" t="n">
        <v>0</v>
      </c>
      <c r="M8484" t="n">
        <v>0</v>
      </c>
      <c r="N8484" t="n">
        <v>0</v>
      </c>
      <c r="O8484" t="n">
        <v>0</v>
      </c>
      <c r="P8484" t="n">
        <v>0</v>
      </c>
      <c r="Q8484" t="n">
        <v>0</v>
      </c>
      <c r="R8484" s="2" t="inlineStr"/>
    </row>
    <row r="8485" ht="15" customHeight="1">
      <c r="A8485" t="inlineStr">
        <is>
          <t>A 40091-2023</t>
        </is>
      </c>
      <c r="B8485" s="1" t="n">
        <v>45169</v>
      </c>
      <c r="C8485" s="1" t="n">
        <v>45344</v>
      </c>
      <c r="D8485" t="inlineStr">
        <is>
          <t>GÄVLEBORGS LÄN</t>
        </is>
      </c>
      <c r="E8485" t="inlineStr">
        <is>
          <t>GÄVLE</t>
        </is>
      </c>
      <c r="F8485" t="inlineStr">
        <is>
          <t>Bergvik skog väst AB</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40116-2023</t>
        </is>
      </c>
      <c r="B8486" s="1" t="n">
        <v>45169</v>
      </c>
      <c r="C8486" s="1" t="n">
        <v>45344</v>
      </c>
      <c r="D8486" t="inlineStr">
        <is>
          <t>GÄVLEBORGS LÄN</t>
        </is>
      </c>
      <c r="E8486" t="inlineStr">
        <is>
          <t>GÄVLE</t>
        </is>
      </c>
      <c r="G8486" t="n">
        <v>2.5</v>
      </c>
      <c r="H8486" t="n">
        <v>0</v>
      </c>
      <c r="I8486" t="n">
        <v>0</v>
      </c>
      <c r="J8486" t="n">
        <v>0</v>
      </c>
      <c r="K8486" t="n">
        <v>0</v>
      </c>
      <c r="L8486" t="n">
        <v>0</v>
      </c>
      <c r="M8486" t="n">
        <v>0</v>
      </c>
      <c r="N8486" t="n">
        <v>0</v>
      </c>
      <c r="O8486" t="n">
        <v>0</v>
      </c>
      <c r="P8486" t="n">
        <v>0</v>
      </c>
      <c r="Q8486" t="n">
        <v>0</v>
      </c>
      <c r="R8486" s="2" t="inlineStr"/>
    </row>
    <row r="8487" ht="15" customHeight="1">
      <c r="A8487" t="inlineStr">
        <is>
          <t>A 40070-2023</t>
        </is>
      </c>
      <c r="B8487" s="1" t="n">
        <v>45168</v>
      </c>
      <c r="C8487" s="1" t="n">
        <v>45344</v>
      </c>
      <c r="D8487" t="inlineStr">
        <is>
          <t>GÄVLEBORGS LÄN</t>
        </is>
      </c>
      <c r="E8487" t="inlineStr">
        <is>
          <t>SÖDERHAMN</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39877-2023</t>
        </is>
      </c>
      <c r="B8488" s="1" t="n">
        <v>45168</v>
      </c>
      <c r="C8488" s="1" t="n">
        <v>45344</v>
      </c>
      <c r="D8488" t="inlineStr">
        <is>
          <t>GÄVLEBORGS LÄN</t>
        </is>
      </c>
      <c r="E8488" t="inlineStr">
        <is>
          <t>OVANÅKER</t>
        </is>
      </c>
      <c r="F8488" t="inlineStr">
        <is>
          <t>Kyrkan</t>
        </is>
      </c>
      <c r="G8488" t="n">
        <v>9.800000000000001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39957-2023</t>
        </is>
      </c>
      <c r="B8489" s="1" t="n">
        <v>45168</v>
      </c>
      <c r="C8489" s="1" t="n">
        <v>45344</v>
      </c>
      <c r="D8489" t="inlineStr">
        <is>
          <t>GÄVLEBORGS LÄN</t>
        </is>
      </c>
      <c r="E8489" t="inlineStr">
        <is>
          <t>SANDVIKEN</t>
        </is>
      </c>
      <c r="G8489" t="n">
        <v>7</v>
      </c>
      <c r="H8489" t="n">
        <v>0</v>
      </c>
      <c r="I8489" t="n">
        <v>0</v>
      </c>
      <c r="J8489" t="n">
        <v>0</v>
      </c>
      <c r="K8489" t="n">
        <v>0</v>
      </c>
      <c r="L8489" t="n">
        <v>0</v>
      </c>
      <c r="M8489" t="n">
        <v>0</v>
      </c>
      <c r="N8489" t="n">
        <v>0</v>
      </c>
      <c r="O8489" t="n">
        <v>0</v>
      </c>
      <c r="P8489" t="n">
        <v>0</v>
      </c>
      <c r="Q8489" t="n">
        <v>0</v>
      </c>
      <c r="R8489" s="2" t="inlineStr"/>
    </row>
    <row r="8490" ht="15" customHeight="1">
      <c r="A8490" t="inlineStr">
        <is>
          <t>A 39990-2023</t>
        </is>
      </c>
      <c r="B8490" s="1" t="n">
        <v>45168</v>
      </c>
      <c r="C8490" s="1" t="n">
        <v>45344</v>
      </c>
      <c r="D8490" t="inlineStr">
        <is>
          <t>GÄVLEBORGS LÄN</t>
        </is>
      </c>
      <c r="E8490" t="inlineStr">
        <is>
          <t>OCKELBO</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40060-2023</t>
        </is>
      </c>
      <c r="B8491" s="1" t="n">
        <v>45168</v>
      </c>
      <c r="C8491" s="1" t="n">
        <v>45344</v>
      </c>
      <c r="D8491" t="inlineStr">
        <is>
          <t>GÄVLEBORGS LÄN</t>
        </is>
      </c>
      <c r="E8491" t="inlineStr">
        <is>
          <t>HUDIKSVALL</t>
        </is>
      </c>
      <c r="F8491" t="inlineStr">
        <is>
          <t>Holmen skog AB</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40092-2023</t>
        </is>
      </c>
      <c r="B8492" s="1" t="n">
        <v>45169</v>
      </c>
      <c r="C8492" s="1" t="n">
        <v>45344</v>
      </c>
      <c r="D8492" t="inlineStr">
        <is>
          <t>GÄVLEBORGS LÄN</t>
        </is>
      </c>
      <c r="E8492" t="inlineStr">
        <is>
          <t>GÄVLE</t>
        </is>
      </c>
      <c r="F8492" t="inlineStr">
        <is>
          <t>Bergvik skog väst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40225-2023</t>
        </is>
      </c>
      <c r="B8493" s="1" t="n">
        <v>45169</v>
      </c>
      <c r="C8493" s="1" t="n">
        <v>45344</v>
      </c>
      <c r="D8493" t="inlineStr">
        <is>
          <t>GÄVLEBORGS LÄN</t>
        </is>
      </c>
      <c r="E8493" t="inlineStr">
        <is>
          <t>LJUSDAL</t>
        </is>
      </c>
      <c r="F8493" t="inlineStr">
        <is>
          <t>Allmännings- och besparingsskogar</t>
        </is>
      </c>
      <c r="G8493" t="n">
        <v>36.4</v>
      </c>
      <c r="H8493" t="n">
        <v>0</v>
      </c>
      <c r="I8493" t="n">
        <v>0</v>
      </c>
      <c r="J8493" t="n">
        <v>0</v>
      </c>
      <c r="K8493" t="n">
        <v>0</v>
      </c>
      <c r="L8493" t="n">
        <v>0</v>
      </c>
      <c r="M8493" t="n">
        <v>0</v>
      </c>
      <c r="N8493" t="n">
        <v>0</v>
      </c>
      <c r="O8493" t="n">
        <v>0</v>
      </c>
      <c r="P8493" t="n">
        <v>0</v>
      </c>
      <c r="Q8493" t="n">
        <v>0</v>
      </c>
      <c r="R8493" s="2" t="inlineStr"/>
    </row>
    <row r="8494" ht="15" customHeight="1">
      <c r="A8494" t="inlineStr">
        <is>
          <t>A 40253-2023</t>
        </is>
      </c>
      <c r="B8494" s="1" t="n">
        <v>45169</v>
      </c>
      <c r="C8494" s="1" t="n">
        <v>45344</v>
      </c>
      <c r="D8494" t="inlineStr">
        <is>
          <t>GÄVLEBORGS LÄN</t>
        </is>
      </c>
      <c r="E8494" t="inlineStr">
        <is>
          <t>LJUSDAL</t>
        </is>
      </c>
      <c r="G8494" t="n">
        <v>9.300000000000001</v>
      </c>
      <c r="H8494" t="n">
        <v>0</v>
      </c>
      <c r="I8494" t="n">
        <v>0</v>
      </c>
      <c r="J8494" t="n">
        <v>0</v>
      </c>
      <c r="K8494" t="n">
        <v>0</v>
      </c>
      <c r="L8494" t="n">
        <v>0</v>
      </c>
      <c r="M8494" t="n">
        <v>0</v>
      </c>
      <c r="N8494" t="n">
        <v>0</v>
      </c>
      <c r="O8494" t="n">
        <v>0</v>
      </c>
      <c r="P8494" t="n">
        <v>0</v>
      </c>
      <c r="Q8494" t="n">
        <v>0</v>
      </c>
      <c r="R8494" s="2" t="inlineStr"/>
    </row>
    <row r="8495" ht="15" customHeight="1">
      <c r="A8495" t="inlineStr">
        <is>
          <t>A 40261-2023</t>
        </is>
      </c>
      <c r="B8495" s="1" t="n">
        <v>45169</v>
      </c>
      <c r="C8495" s="1" t="n">
        <v>45344</v>
      </c>
      <c r="D8495" t="inlineStr">
        <is>
          <t>GÄVLEBORGS LÄN</t>
        </is>
      </c>
      <c r="E8495" t="inlineStr">
        <is>
          <t>NORDANSTIG</t>
        </is>
      </c>
      <c r="F8495" t="inlineStr">
        <is>
          <t>Holmen skog AB</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40269-2023</t>
        </is>
      </c>
      <c r="B8496" s="1" t="n">
        <v>45169</v>
      </c>
      <c r="C8496" s="1" t="n">
        <v>45344</v>
      </c>
      <c r="D8496" t="inlineStr">
        <is>
          <t>GÄVLEBORGS LÄN</t>
        </is>
      </c>
      <c r="E8496" t="inlineStr">
        <is>
          <t>NORDANSTIG</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40281-2023</t>
        </is>
      </c>
      <c r="B8497" s="1" t="n">
        <v>45169</v>
      </c>
      <c r="C8497" s="1" t="n">
        <v>45344</v>
      </c>
      <c r="D8497" t="inlineStr">
        <is>
          <t>GÄVLEBORGS LÄN</t>
        </is>
      </c>
      <c r="E8497" t="inlineStr">
        <is>
          <t>LJUSDAL</t>
        </is>
      </c>
      <c r="F8497" t="inlineStr">
        <is>
          <t>Sveaskog</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40233-2023</t>
        </is>
      </c>
      <c r="B8498" s="1" t="n">
        <v>45169</v>
      </c>
      <c r="C8498" s="1" t="n">
        <v>45344</v>
      </c>
      <c r="D8498" t="inlineStr">
        <is>
          <t>GÄVLEBORGS LÄN</t>
        </is>
      </c>
      <c r="E8498" t="inlineStr">
        <is>
          <t>NORDANSTIG</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40242-2023</t>
        </is>
      </c>
      <c r="B8499" s="1" t="n">
        <v>45169</v>
      </c>
      <c r="C8499" s="1" t="n">
        <v>45344</v>
      </c>
      <c r="D8499" t="inlineStr">
        <is>
          <t>GÄVLEBORGS LÄN</t>
        </is>
      </c>
      <c r="E8499" t="inlineStr">
        <is>
          <t>NORDANSTIG</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40260-2023</t>
        </is>
      </c>
      <c r="B8500" s="1" t="n">
        <v>45169</v>
      </c>
      <c r="C8500" s="1" t="n">
        <v>45344</v>
      </c>
      <c r="D8500" t="inlineStr">
        <is>
          <t>GÄVLEBORGS LÄN</t>
        </is>
      </c>
      <c r="E8500" t="inlineStr">
        <is>
          <t>LJUSDAL</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40268-2023</t>
        </is>
      </c>
      <c r="B8501" s="1" t="n">
        <v>45169</v>
      </c>
      <c r="C8501" s="1" t="n">
        <v>45344</v>
      </c>
      <c r="D8501" t="inlineStr">
        <is>
          <t>GÄVLEBORGS LÄN</t>
        </is>
      </c>
      <c r="E8501" t="inlineStr">
        <is>
          <t>GÄVLE</t>
        </is>
      </c>
      <c r="F8501" t="inlineStr">
        <is>
          <t>Bergvik skog öst AB</t>
        </is>
      </c>
      <c r="G8501" t="n">
        <v>2.2</v>
      </c>
      <c r="H8501" t="n">
        <v>0</v>
      </c>
      <c r="I8501" t="n">
        <v>0</v>
      </c>
      <c r="J8501" t="n">
        <v>0</v>
      </c>
      <c r="K8501" t="n">
        <v>0</v>
      </c>
      <c r="L8501" t="n">
        <v>0</v>
      </c>
      <c r="M8501" t="n">
        <v>0</v>
      </c>
      <c r="N8501" t="n">
        <v>0</v>
      </c>
      <c r="O8501" t="n">
        <v>0</v>
      </c>
      <c r="P8501" t="n">
        <v>0</v>
      </c>
      <c r="Q8501" t="n">
        <v>0</v>
      </c>
      <c r="R8501" s="2" t="inlineStr"/>
    </row>
    <row r="8502" ht="15" customHeight="1">
      <c r="A8502" t="inlineStr">
        <is>
          <t>A 40272-2023</t>
        </is>
      </c>
      <c r="B8502" s="1" t="n">
        <v>45169</v>
      </c>
      <c r="C8502" s="1" t="n">
        <v>45344</v>
      </c>
      <c r="D8502" t="inlineStr">
        <is>
          <t>GÄVLEBORGS LÄN</t>
        </is>
      </c>
      <c r="E8502" t="inlineStr">
        <is>
          <t>NORDANSTIG</t>
        </is>
      </c>
      <c r="F8502" t="inlineStr">
        <is>
          <t>Holmen skog AB</t>
        </is>
      </c>
      <c r="G8502" t="n">
        <v>2.3</v>
      </c>
      <c r="H8502" t="n">
        <v>0</v>
      </c>
      <c r="I8502" t="n">
        <v>0</v>
      </c>
      <c r="J8502" t="n">
        <v>0</v>
      </c>
      <c r="K8502" t="n">
        <v>0</v>
      </c>
      <c r="L8502" t="n">
        <v>0</v>
      </c>
      <c r="M8502" t="n">
        <v>0</v>
      </c>
      <c r="N8502" t="n">
        <v>0</v>
      </c>
      <c r="O8502" t="n">
        <v>0</v>
      </c>
      <c r="P8502" t="n">
        <v>0</v>
      </c>
      <c r="Q8502" t="n">
        <v>0</v>
      </c>
      <c r="R8502" s="2" t="inlineStr"/>
    </row>
    <row r="8503" ht="15" customHeight="1">
      <c r="A8503" t="inlineStr">
        <is>
          <t>A 40276-2023</t>
        </is>
      </c>
      <c r="B8503" s="1" t="n">
        <v>45169</v>
      </c>
      <c r="C8503" s="1" t="n">
        <v>45344</v>
      </c>
      <c r="D8503" t="inlineStr">
        <is>
          <t>GÄVLEBORGS LÄN</t>
        </is>
      </c>
      <c r="E8503" t="inlineStr">
        <is>
          <t>LJUSDAL</t>
        </is>
      </c>
      <c r="F8503" t="inlineStr">
        <is>
          <t>Sveaskog</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40280-2023</t>
        </is>
      </c>
      <c r="B8504" s="1" t="n">
        <v>45169</v>
      </c>
      <c r="C8504" s="1" t="n">
        <v>45344</v>
      </c>
      <c r="D8504" t="inlineStr">
        <is>
          <t>GÄVLEBORGS LÄN</t>
        </is>
      </c>
      <c r="E8504" t="inlineStr">
        <is>
          <t>LJUSDAL</t>
        </is>
      </c>
      <c r="F8504" t="inlineStr">
        <is>
          <t>Sveaskog</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40300-2023</t>
        </is>
      </c>
      <c r="B8505" s="1" t="n">
        <v>45169</v>
      </c>
      <c r="C8505" s="1" t="n">
        <v>45344</v>
      </c>
      <c r="D8505" t="inlineStr">
        <is>
          <t>GÄVLEBORGS LÄN</t>
        </is>
      </c>
      <c r="E8505" t="inlineStr">
        <is>
          <t>BOLLNÄS</t>
        </is>
      </c>
      <c r="G8505" t="n">
        <v>6.8</v>
      </c>
      <c r="H8505" t="n">
        <v>0</v>
      </c>
      <c r="I8505" t="n">
        <v>0</v>
      </c>
      <c r="J8505" t="n">
        <v>0</v>
      </c>
      <c r="K8505" t="n">
        <v>0</v>
      </c>
      <c r="L8505" t="n">
        <v>0</v>
      </c>
      <c r="M8505" t="n">
        <v>0</v>
      </c>
      <c r="N8505" t="n">
        <v>0</v>
      </c>
      <c r="O8505" t="n">
        <v>0</v>
      </c>
      <c r="P8505" t="n">
        <v>0</v>
      </c>
      <c r="Q8505" t="n">
        <v>0</v>
      </c>
      <c r="R8505" s="2" t="inlineStr"/>
    </row>
    <row r="8506" ht="15" customHeight="1">
      <c r="A8506" t="inlineStr">
        <is>
          <t>A 40377-2023</t>
        </is>
      </c>
      <c r="B8506" s="1" t="n">
        <v>45169</v>
      </c>
      <c r="C8506" s="1" t="n">
        <v>45344</v>
      </c>
      <c r="D8506" t="inlineStr">
        <is>
          <t>GÄVLEBORGS LÄN</t>
        </is>
      </c>
      <c r="E8506" t="inlineStr">
        <is>
          <t>SÖDERHAMN</t>
        </is>
      </c>
      <c r="G8506" t="n">
        <v>4.3</v>
      </c>
      <c r="H8506" t="n">
        <v>0</v>
      </c>
      <c r="I8506" t="n">
        <v>0</v>
      </c>
      <c r="J8506" t="n">
        <v>0</v>
      </c>
      <c r="K8506" t="n">
        <v>0</v>
      </c>
      <c r="L8506" t="n">
        <v>0</v>
      </c>
      <c r="M8506" t="n">
        <v>0</v>
      </c>
      <c r="N8506" t="n">
        <v>0</v>
      </c>
      <c r="O8506" t="n">
        <v>0</v>
      </c>
      <c r="P8506" t="n">
        <v>0</v>
      </c>
      <c r="Q8506" t="n">
        <v>0</v>
      </c>
      <c r="R8506" s="2" t="inlineStr"/>
    </row>
    <row r="8507" ht="15" customHeight="1">
      <c r="A8507" t="inlineStr">
        <is>
          <t>A 40136-2023</t>
        </is>
      </c>
      <c r="B8507" s="1" t="n">
        <v>45169</v>
      </c>
      <c r="C8507" s="1" t="n">
        <v>45344</v>
      </c>
      <c r="D8507" t="inlineStr">
        <is>
          <t>GÄVLEBORGS LÄN</t>
        </is>
      </c>
      <c r="E8507" t="inlineStr">
        <is>
          <t>HUDIKSVALL</t>
        </is>
      </c>
      <c r="F8507" t="inlineStr">
        <is>
          <t>Holmen skog AB</t>
        </is>
      </c>
      <c r="G8507" t="n">
        <v>6.3</v>
      </c>
      <c r="H8507" t="n">
        <v>0</v>
      </c>
      <c r="I8507" t="n">
        <v>0</v>
      </c>
      <c r="J8507" t="n">
        <v>0</v>
      </c>
      <c r="K8507" t="n">
        <v>0</v>
      </c>
      <c r="L8507" t="n">
        <v>0</v>
      </c>
      <c r="M8507" t="n">
        <v>0</v>
      </c>
      <c r="N8507" t="n">
        <v>0</v>
      </c>
      <c r="O8507" t="n">
        <v>0</v>
      </c>
      <c r="P8507" t="n">
        <v>0</v>
      </c>
      <c r="Q8507" t="n">
        <v>0</v>
      </c>
      <c r="R8507" s="2" t="inlineStr"/>
    </row>
    <row r="8508" ht="15" customHeight="1">
      <c r="A8508" t="inlineStr">
        <is>
          <t>A 40170-2023</t>
        </is>
      </c>
      <c r="B8508" s="1" t="n">
        <v>45169</v>
      </c>
      <c r="C8508" s="1" t="n">
        <v>45344</v>
      </c>
      <c r="D8508" t="inlineStr">
        <is>
          <t>GÄVLEBORGS LÄN</t>
        </is>
      </c>
      <c r="E8508" t="inlineStr">
        <is>
          <t>NORDANSTIG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40195-2023</t>
        </is>
      </c>
      <c r="B8509" s="1" t="n">
        <v>45169</v>
      </c>
      <c r="C8509" s="1" t="n">
        <v>45344</v>
      </c>
      <c r="D8509" t="inlineStr">
        <is>
          <t>GÄVLEBORGS LÄN</t>
        </is>
      </c>
      <c r="E8509" t="inlineStr">
        <is>
          <t>OCKELBO</t>
        </is>
      </c>
      <c r="G8509" t="n">
        <v>15.1</v>
      </c>
      <c r="H8509" t="n">
        <v>0</v>
      </c>
      <c r="I8509" t="n">
        <v>0</v>
      </c>
      <c r="J8509" t="n">
        <v>0</v>
      </c>
      <c r="K8509" t="n">
        <v>0</v>
      </c>
      <c r="L8509" t="n">
        <v>0</v>
      </c>
      <c r="M8509" t="n">
        <v>0</v>
      </c>
      <c r="N8509" t="n">
        <v>0</v>
      </c>
      <c r="O8509" t="n">
        <v>0</v>
      </c>
      <c r="P8509" t="n">
        <v>0</v>
      </c>
      <c r="Q8509" t="n">
        <v>0</v>
      </c>
      <c r="R8509" s="2" t="inlineStr"/>
    </row>
    <row r="8510" ht="15" customHeight="1">
      <c r="A8510" t="inlineStr">
        <is>
          <t>A 40209-2023</t>
        </is>
      </c>
      <c r="B8510" s="1" t="n">
        <v>45169</v>
      </c>
      <c r="C8510" s="1" t="n">
        <v>45344</v>
      </c>
      <c r="D8510" t="inlineStr">
        <is>
          <t>GÄVLEBORGS LÄN</t>
        </is>
      </c>
      <c r="E8510" t="inlineStr">
        <is>
          <t>SANDVIKEN</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40653-2023</t>
        </is>
      </c>
      <c r="B8511" s="1" t="n">
        <v>45169</v>
      </c>
      <c r="C8511" s="1" t="n">
        <v>45344</v>
      </c>
      <c r="D8511" t="inlineStr">
        <is>
          <t>GÄVLEBORGS LÄN</t>
        </is>
      </c>
      <c r="E8511" t="inlineStr">
        <is>
          <t>BOLLNÄS</t>
        </is>
      </c>
      <c r="G8511" t="n">
        <v>3.5</v>
      </c>
      <c r="H8511" t="n">
        <v>0</v>
      </c>
      <c r="I8511" t="n">
        <v>0</v>
      </c>
      <c r="J8511" t="n">
        <v>0</v>
      </c>
      <c r="K8511" t="n">
        <v>0</v>
      </c>
      <c r="L8511" t="n">
        <v>0</v>
      </c>
      <c r="M8511" t="n">
        <v>0</v>
      </c>
      <c r="N8511" t="n">
        <v>0</v>
      </c>
      <c r="O8511" t="n">
        <v>0</v>
      </c>
      <c r="P8511" t="n">
        <v>0</v>
      </c>
      <c r="Q8511" t="n">
        <v>0</v>
      </c>
      <c r="R8511" s="2" t="inlineStr"/>
    </row>
    <row r="8512" ht="15" customHeight="1">
      <c r="A8512" t="inlineStr">
        <is>
          <t>A 40363-2023</t>
        </is>
      </c>
      <c r="B8512" s="1" t="n">
        <v>45169</v>
      </c>
      <c r="C8512" s="1" t="n">
        <v>45344</v>
      </c>
      <c r="D8512" t="inlineStr">
        <is>
          <t>GÄVLEBORGS LÄN</t>
        </is>
      </c>
      <c r="E8512" t="inlineStr">
        <is>
          <t>SANDVIKEN</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40146-2023</t>
        </is>
      </c>
      <c r="B8513" s="1" t="n">
        <v>45169</v>
      </c>
      <c r="C8513" s="1" t="n">
        <v>45344</v>
      </c>
      <c r="D8513" t="inlineStr">
        <is>
          <t>GÄVLEBORGS LÄN</t>
        </is>
      </c>
      <c r="E8513" t="inlineStr">
        <is>
          <t>LJUSDAL</t>
        </is>
      </c>
      <c r="G8513" t="n">
        <v>2.9</v>
      </c>
      <c r="H8513" t="n">
        <v>0</v>
      </c>
      <c r="I8513" t="n">
        <v>0</v>
      </c>
      <c r="J8513" t="n">
        <v>0</v>
      </c>
      <c r="K8513" t="n">
        <v>0</v>
      </c>
      <c r="L8513" t="n">
        <v>0</v>
      </c>
      <c r="M8513" t="n">
        <v>0</v>
      </c>
      <c r="N8513" t="n">
        <v>0</v>
      </c>
      <c r="O8513" t="n">
        <v>0</v>
      </c>
      <c r="P8513" t="n">
        <v>0</v>
      </c>
      <c r="Q8513" t="n">
        <v>0</v>
      </c>
      <c r="R8513" s="2" t="inlineStr"/>
    </row>
    <row r="8514" ht="15" customHeight="1">
      <c r="A8514" t="inlineStr">
        <is>
          <t>A 40191-2023</t>
        </is>
      </c>
      <c r="B8514" s="1" t="n">
        <v>45169</v>
      </c>
      <c r="C8514" s="1" t="n">
        <v>45344</v>
      </c>
      <c r="D8514" t="inlineStr">
        <is>
          <t>GÄVLEBORGS LÄN</t>
        </is>
      </c>
      <c r="E8514" t="inlineStr">
        <is>
          <t>LJUSDAL</t>
        </is>
      </c>
      <c r="F8514" t="inlineStr">
        <is>
          <t>Sveaskog</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40196-2023</t>
        </is>
      </c>
      <c r="B8515" s="1" t="n">
        <v>45169</v>
      </c>
      <c r="C8515" s="1" t="n">
        <v>45344</v>
      </c>
      <c r="D8515" t="inlineStr">
        <is>
          <t>GÄVLEBORGS LÄN</t>
        </is>
      </c>
      <c r="E8515" t="inlineStr">
        <is>
          <t>SANDVIKEN</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40218-2023</t>
        </is>
      </c>
      <c r="B8516" s="1" t="n">
        <v>45169</v>
      </c>
      <c r="C8516" s="1" t="n">
        <v>45344</v>
      </c>
      <c r="D8516" t="inlineStr">
        <is>
          <t>GÄVLEBORGS LÄN</t>
        </is>
      </c>
      <c r="E8516" t="inlineStr">
        <is>
          <t>OCKELBO</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40241-2023</t>
        </is>
      </c>
      <c r="B8517" s="1" t="n">
        <v>45169</v>
      </c>
      <c r="C8517" s="1" t="n">
        <v>45344</v>
      </c>
      <c r="D8517" t="inlineStr">
        <is>
          <t>GÄVLEBORGS LÄN</t>
        </is>
      </c>
      <c r="E8517" t="inlineStr">
        <is>
          <t>NORDANSTIG</t>
        </is>
      </c>
      <c r="F8517" t="inlineStr">
        <is>
          <t>Holmen skog AB</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40365-2023</t>
        </is>
      </c>
      <c r="B8518" s="1" t="n">
        <v>45169</v>
      </c>
      <c r="C8518" s="1" t="n">
        <v>45344</v>
      </c>
      <c r="D8518" t="inlineStr">
        <is>
          <t>GÄVLEBORGS LÄN</t>
        </is>
      </c>
      <c r="E8518" t="inlineStr">
        <is>
          <t>SANDVIKEN</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40384-2023</t>
        </is>
      </c>
      <c r="B8519" s="1" t="n">
        <v>45169</v>
      </c>
      <c r="C8519" s="1" t="n">
        <v>45344</v>
      </c>
      <c r="D8519" t="inlineStr">
        <is>
          <t>GÄVLEBORGS LÄN</t>
        </is>
      </c>
      <c r="E8519" t="inlineStr">
        <is>
          <t>LJUSDAL</t>
        </is>
      </c>
      <c r="G8519" t="n">
        <v>4.5</v>
      </c>
      <c r="H8519" t="n">
        <v>0</v>
      </c>
      <c r="I8519" t="n">
        <v>0</v>
      </c>
      <c r="J8519" t="n">
        <v>0</v>
      </c>
      <c r="K8519" t="n">
        <v>0</v>
      </c>
      <c r="L8519" t="n">
        <v>0</v>
      </c>
      <c r="M8519" t="n">
        <v>0</v>
      </c>
      <c r="N8519" t="n">
        <v>0</v>
      </c>
      <c r="O8519" t="n">
        <v>0</v>
      </c>
      <c r="P8519" t="n">
        <v>0</v>
      </c>
      <c r="Q8519" t="n">
        <v>0</v>
      </c>
      <c r="R8519" s="2" t="inlineStr"/>
    </row>
    <row r="8520" ht="15" customHeight="1">
      <c r="A8520" t="inlineStr">
        <is>
          <t>A 40480-2023</t>
        </is>
      </c>
      <c r="B8520" s="1" t="n">
        <v>45170</v>
      </c>
      <c r="C8520" s="1" t="n">
        <v>45344</v>
      </c>
      <c r="D8520" t="inlineStr">
        <is>
          <t>GÄVLEBORGS LÄN</t>
        </is>
      </c>
      <c r="E8520" t="inlineStr">
        <is>
          <t>BOLLNÄS</t>
        </is>
      </c>
      <c r="F8520" t="inlineStr">
        <is>
          <t>Bergvik skog väst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40500-2023</t>
        </is>
      </c>
      <c r="B8521" s="1" t="n">
        <v>45170</v>
      </c>
      <c r="C8521" s="1" t="n">
        <v>45344</v>
      </c>
      <c r="D8521" t="inlineStr">
        <is>
          <t>GÄVLEBORGS LÄN</t>
        </is>
      </c>
      <c r="E8521" t="inlineStr">
        <is>
          <t>NORDANSTIG</t>
        </is>
      </c>
      <c r="F8521" t="inlineStr">
        <is>
          <t>Holmen skog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40513-2023</t>
        </is>
      </c>
      <c r="B8522" s="1" t="n">
        <v>45170</v>
      </c>
      <c r="C8522" s="1" t="n">
        <v>45344</v>
      </c>
      <c r="D8522" t="inlineStr">
        <is>
          <t>GÄVLEBORGS LÄN</t>
        </is>
      </c>
      <c r="E8522" t="inlineStr">
        <is>
          <t>BOLLNÄS</t>
        </is>
      </c>
      <c r="F8522" t="inlineStr">
        <is>
          <t>Bergvik skog väst AB</t>
        </is>
      </c>
      <c r="G8522" t="n">
        <v>3</v>
      </c>
      <c r="H8522" t="n">
        <v>0</v>
      </c>
      <c r="I8522" t="n">
        <v>0</v>
      </c>
      <c r="J8522" t="n">
        <v>0</v>
      </c>
      <c r="K8522" t="n">
        <v>0</v>
      </c>
      <c r="L8522" t="n">
        <v>0</v>
      </c>
      <c r="M8522" t="n">
        <v>0</v>
      </c>
      <c r="N8522" t="n">
        <v>0</v>
      </c>
      <c r="O8522" t="n">
        <v>0</v>
      </c>
      <c r="P8522" t="n">
        <v>0</v>
      </c>
      <c r="Q8522" t="n">
        <v>0</v>
      </c>
      <c r="R8522" s="2" t="inlineStr"/>
    </row>
    <row r="8523" ht="15" customHeight="1">
      <c r="A8523" t="inlineStr">
        <is>
          <t>A 40475-2023</t>
        </is>
      </c>
      <c r="B8523" s="1" t="n">
        <v>45170</v>
      </c>
      <c r="C8523" s="1" t="n">
        <v>45344</v>
      </c>
      <c r="D8523" t="inlineStr">
        <is>
          <t>GÄVLEBORGS LÄN</t>
        </is>
      </c>
      <c r="E8523" t="inlineStr">
        <is>
          <t>BOLLNÄS</t>
        </is>
      </c>
      <c r="F8523" t="inlineStr">
        <is>
          <t>Bergvik skog väst AB</t>
        </is>
      </c>
      <c r="G8523" t="n">
        <v>9.699999999999999</v>
      </c>
      <c r="H8523" t="n">
        <v>0</v>
      </c>
      <c r="I8523" t="n">
        <v>0</v>
      </c>
      <c r="J8523" t="n">
        <v>0</v>
      </c>
      <c r="K8523" t="n">
        <v>0</v>
      </c>
      <c r="L8523" t="n">
        <v>0</v>
      </c>
      <c r="M8523" t="n">
        <v>0</v>
      </c>
      <c r="N8523" t="n">
        <v>0</v>
      </c>
      <c r="O8523" t="n">
        <v>0</v>
      </c>
      <c r="P8523" t="n">
        <v>0</v>
      </c>
      <c r="Q8523" t="n">
        <v>0</v>
      </c>
      <c r="R8523" s="2" t="inlineStr"/>
    </row>
    <row r="8524" ht="15" customHeight="1">
      <c r="A8524" t="inlineStr">
        <is>
          <t>A 40609-2023</t>
        </is>
      </c>
      <c r="B8524" s="1" t="n">
        <v>45170</v>
      </c>
      <c r="C8524" s="1" t="n">
        <v>45344</v>
      </c>
      <c r="D8524" t="inlineStr">
        <is>
          <t>GÄVLEBORGS LÄN</t>
        </is>
      </c>
      <c r="E8524" t="inlineStr">
        <is>
          <t>SANDVIKEN</t>
        </is>
      </c>
      <c r="F8524" t="inlineStr">
        <is>
          <t>Bergvik skog öst AB</t>
        </is>
      </c>
      <c r="G8524" t="n">
        <v>31.1</v>
      </c>
      <c r="H8524" t="n">
        <v>0</v>
      </c>
      <c r="I8524" t="n">
        <v>0</v>
      </c>
      <c r="J8524" t="n">
        <v>0</v>
      </c>
      <c r="K8524" t="n">
        <v>0</v>
      </c>
      <c r="L8524" t="n">
        <v>0</v>
      </c>
      <c r="M8524" t="n">
        <v>0</v>
      </c>
      <c r="N8524" t="n">
        <v>0</v>
      </c>
      <c r="O8524" t="n">
        <v>0</v>
      </c>
      <c r="P8524" t="n">
        <v>0</v>
      </c>
      <c r="Q8524" t="n">
        <v>0</v>
      </c>
      <c r="R8524" s="2" t="inlineStr"/>
    </row>
    <row r="8525" ht="15" customHeight="1">
      <c r="A8525" t="inlineStr">
        <is>
          <t>A 40613-2023</t>
        </is>
      </c>
      <c r="B8525" s="1" t="n">
        <v>45170</v>
      </c>
      <c r="C8525" s="1" t="n">
        <v>45344</v>
      </c>
      <c r="D8525" t="inlineStr">
        <is>
          <t>GÄVLEBORGS LÄN</t>
        </is>
      </c>
      <c r="E8525" t="inlineStr">
        <is>
          <t>NORDANSTIG</t>
        </is>
      </c>
      <c r="F8525" t="inlineStr">
        <is>
          <t>Holmen skog AB</t>
        </is>
      </c>
      <c r="G8525" t="n">
        <v>1.4</v>
      </c>
      <c r="H8525" t="n">
        <v>0</v>
      </c>
      <c r="I8525" t="n">
        <v>0</v>
      </c>
      <c r="J8525" t="n">
        <v>0</v>
      </c>
      <c r="K8525" t="n">
        <v>0</v>
      </c>
      <c r="L8525" t="n">
        <v>0</v>
      </c>
      <c r="M8525" t="n">
        <v>0</v>
      </c>
      <c r="N8525" t="n">
        <v>0</v>
      </c>
      <c r="O8525" t="n">
        <v>0</v>
      </c>
      <c r="P8525" t="n">
        <v>0</v>
      </c>
      <c r="Q8525" t="n">
        <v>0</v>
      </c>
      <c r="R8525" s="2" t="inlineStr"/>
    </row>
    <row r="8526" ht="15" customHeight="1">
      <c r="A8526" t="inlineStr">
        <is>
          <t>A 40525-2023</t>
        </is>
      </c>
      <c r="B8526" s="1" t="n">
        <v>45170</v>
      </c>
      <c r="C8526" s="1" t="n">
        <v>45344</v>
      </c>
      <c r="D8526" t="inlineStr">
        <is>
          <t>GÄVLEBORGS LÄN</t>
        </is>
      </c>
      <c r="E8526" t="inlineStr">
        <is>
          <t>BOLLNÄS</t>
        </is>
      </c>
      <c r="F8526" t="inlineStr">
        <is>
          <t>Bergvik skog väst AB</t>
        </is>
      </c>
      <c r="G8526" t="n">
        <v>1.5</v>
      </c>
      <c r="H8526" t="n">
        <v>0</v>
      </c>
      <c r="I8526" t="n">
        <v>0</v>
      </c>
      <c r="J8526" t="n">
        <v>0</v>
      </c>
      <c r="K8526" t="n">
        <v>0</v>
      </c>
      <c r="L8526" t="n">
        <v>0</v>
      </c>
      <c r="M8526" t="n">
        <v>0</v>
      </c>
      <c r="N8526" t="n">
        <v>0</v>
      </c>
      <c r="O8526" t="n">
        <v>0</v>
      </c>
      <c r="P8526" t="n">
        <v>0</v>
      </c>
      <c r="Q8526" t="n">
        <v>0</v>
      </c>
      <c r="R8526" s="2" t="inlineStr"/>
    </row>
    <row r="8527" ht="15" customHeight="1">
      <c r="A8527" t="inlineStr">
        <is>
          <t>A 40685-2023</t>
        </is>
      </c>
      <c r="B8527" s="1" t="n">
        <v>45170</v>
      </c>
      <c r="C8527" s="1" t="n">
        <v>45344</v>
      </c>
      <c r="D8527" t="inlineStr">
        <is>
          <t>GÄVLEBORGS LÄN</t>
        </is>
      </c>
      <c r="E8527" t="inlineStr">
        <is>
          <t>BOLLNÄS</t>
        </is>
      </c>
      <c r="G8527" t="n">
        <v>3.7</v>
      </c>
      <c r="H8527" t="n">
        <v>0</v>
      </c>
      <c r="I8527" t="n">
        <v>0</v>
      </c>
      <c r="J8527" t="n">
        <v>0</v>
      </c>
      <c r="K8527" t="n">
        <v>0</v>
      </c>
      <c r="L8527" t="n">
        <v>0</v>
      </c>
      <c r="M8527" t="n">
        <v>0</v>
      </c>
      <c r="N8527" t="n">
        <v>0</v>
      </c>
      <c r="O8527" t="n">
        <v>0</v>
      </c>
      <c r="P8527" t="n">
        <v>0</v>
      </c>
      <c r="Q8527" t="n">
        <v>0</v>
      </c>
      <c r="R8527" s="2" t="inlineStr"/>
    </row>
    <row r="8528" ht="15" customHeight="1">
      <c r="A8528" t="inlineStr">
        <is>
          <t>A 40695-2023</t>
        </is>
      </c>
      <c r="B8528" s="1" t="n">
        <v>45170</v>
      </c>
      <c r="C8528" s="1" t="n">
        <v>45344</v>
      </c>
      <c r="D8528" t="inlineStr">
        <is>
          <t>GÄVLEBORGS LÄN</t>
        </is>
      </c>
      <c r="E8528" t="inlineStr">
        <is>
          <t>LJUSDAL</t>
        </is>
      </c>
      <c r="F8528" t="inlineStr">
        <is>
          <t>Holmen skog AB</t>
        </is>
      </c>
      <c r="G8528" t="n">
        <v>1.8</v>
      </c>
      <c r="H8528" t="n">
        <v>0</v>
      </c>
      <c r="I8528" t="n">
        <v>0</v>
      </c>
      <c r="J8528" t="n">
        <v>0</v>
      </c>
      <c r="K8528" t="n">
        <v>0</v>
      </c>
      <c r="L8528" t="n">
        <v>0</v>
      </c>
      <c r="M8528" t="n">
        <v>0</v>
      </c>
      <c r="N8528" t="n">
        <v>0</v>
      </c>
      <c r="O8528" t="n">
        <v>0</v>
      </c>
      <c r="P8528" t="n">
        <v>0</v>
      </c>
      <c r="Q8528" t="n">
        <v>0</v>
      </c>
      <c r="R8528" s="2" t="inlineStr"/>
    </row>
    <row r="8529" ht="15" customHeight="1">
      <c r="A8529" t="inlineStr">
        <is>
          <t>A 40733-2023</t>
        </is>
      </c>
      <c r="B8529" s="1" t="n">
        <v>45170</v>
      </c>
      <c r="C8529" s="1" t="n">
        <v>45344</v>
      </c>
      <c r="D8529" t="inlineStr">
        <is>
          <t>GÄVLEBORGS LÄN</t>
        </is>
      </c>
      <c r="E8529" t="inlineStr">
        <is>
          <t>NORDANSTIG</t>
        </is>
      </c>
      <c r="F8529" t="inlineStr">
        <is>
          <t>Holmen skog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40745-2023</t>
        </is>
      </c>
      <c r="B8530" s="1" t="n">
        <v>45170</v>
      </c>
      <c r="C8530" s="1" t="n">
        <v>45344</v>
      </c>
      <c r="D8530" t="inlineStr">
        <is>
          <t>GÄVLEBORGS LÄN</t>
        </is>
      </c>
      <c r="E8530" t="inlineStr">
        <is>
          <t>SÖDERHAMN</t>
        </is>
      </c>
      <c r="G8530" t="n">
        <v>0.3</v>
      </c>
      <c r="H8530" t="n">
        <v>0</v>
      </c>
      <c r="I8530" t="n">
        <v>0</v>
      </c>
      <c r="J8530" t="n">
        <v>0</v>
      </c>
      <c r="K8530" t="n">
        <v>0</v>
      </c>
      <c r="L8530" t="n">
        <v>0</v>
      </c>
      <c r="M8530" t="n">
        <v>0</v>
      </c>
      <c r="N8530" t="n">
        <v>0</v>
      </c>
      <c r="O8530" t="n">
        <v>0</v>
      </c>
      <c r="P8530" t="n">
        <v>0</v>
      </c>
      <c r="Q8530" t="n">
        <v>0</v>
      </c>
      <c r="R8530" s="2" t="inlineStr"/>
    </row>
    <row r="8531" ht="15" customHeight="1">
      <c r="A8531" t="inlineStr">
        <is>
          <t>A 40628-2023</t>
        </is>
      </c>
      <c r="B8531" s="1" t="n">
        <v>45170</v>
      </c>
      <c r="C8531" s="1" t="n">
        <v>45344</v>
      </c>
      <c r="D8531" t="inlineStr">
        <is>
          <t>GÄVLEBORGS LÄN</t>
        </is>
      </c>
      <c r="E8531" t="inlineStr">
        <is>
          <t>OVANÅKER</t>
        </is>
      </c>
      <c r="G8531" t="n">
        <v>5.4</v>
      </c>
      <c r="H8531" t="n">
        <v>0</v>
      </c>
      <c r="I8531" t="n">
        <v>0</v>
      </c>
      <c r="J8531" t="n">
        <v>0</v>
      </c>
      <c r="K8531" t="n">
        <v>0</v>
      </c>
      <c r="L8531" t="n">
        <v>0</v>
      </c>
      <c r="M8531" t="n">
        <v>0</v>
      </c>
      <c r="N8531" t="n">
        <v>0</v>
      </c>
      <c r="O8531" t="n">
        <v>0</v>
      </c>
      <c r="P8531" t="n">
        <v>0</v>
      </c>
      <c r="Q8531" t="n">
        <v>0</v>
      </c>
      <c r="R8531" s="2" t="inlineStr"/>
    </row>
    <row r="8532" ht="15" customHeight="1">
      <c r="A8532" t="inlineStr">
        <is>
          <t>A 40738-2023</t>
        </is>
      </c>
      <c r="B8532" s="1" t="n">
        <v>45170</v>
      </c>
      <c r="C8532" s="1" t="n">
        <v>45344</v>
      </c>
      <c r="D8532" t="inlineStr">
        <is>
          <t>GÄVLEBORGS LÄN</t>
        </is>
      </c>
      <c r="E8532" t="inlineStr">
        <is>
          <t>NORDANSTIG</t>
        </is>
      </c>
      <c r="F8532" t="inlineStr">
        <is>
          <t>Holmen skog AB</t>
        </is>
      </c>
      <c r="G8532" t="n">
        <v>9.5</v>
      </c>
      <c r="H8532" t="n">
        <v>0</v>
      </c>
      <c r="I8532" t="n">
        <v>0</v>
      </c>
      <c r="J8532" t="n">
        <v>0</v>
      </c>
      <c r="K8532" t="n">
        <v>0</v>
      </c>
      <c r="L8532" t="n">
        <v>0</v>
      </c>
      <c r="M8532" t="n">
        <v>0</v>
      </c>
      <c r="N8532" t="n">
        <v>0</v>
      </c>
      <c r="O8532" t="n">
        <v>0</v>
      </c>
      <c r="P8532" t="n">
        <v>0</v>
      </c>
      <c r="Q8532" t="n">
        <v>0</v>
      </c>
      <c r="R8532" s="2" t="inlineStr"/>
    </row>
    <row r="8533" ht="15" customHeight="1">
      <c r="A8533" t="inlineStr">
        <is>
          <t>A 40699-2023</t>
        </is>
      </c>
      <c r="B8533" s="1" t="n">
        <v>45170</v>
      </c>
      <c r="C8533" s="1" t="n">
        <v>45344</v>
      </c>
      <c r="D8533" t="inlineStr">
        <is>
          <t>GÄVLEBORGS LÄN</t>
        </is>
      </c>
      <c r="E8533" t="inlineStr">
        <is>
          <t>SÖDERHAMN</t>
        </is>
      </c>
      <c r="F8533" t="inlineStr">
        <is>
          <t>Bergvik skog väst AB</t>
        </is>
      </c>
      <c r="G8533" t="n">
        <v>5.8</v>
      </c>
      <c r="H8533" t="n">
        <v>0</v>
      </c>
      <c r="I8533" t="n">
        <v>0</v>
      </c>
      <c r="J8533" t="n">
        <v>0</v>
      </c>
      <c r="K8533" t="n">
        <v>0</v>
      </c>
      <c r="L8533" t="n">
        <v>0</v>
      </c>
      <c r="M8533" t="n">
        <v>0</v>
      </c>
      <c r="N8533" t="n">
        <v>0</v>
      </c>
      <c r="O8533" t="n">
        <v>0</v>
      </c>
      <c r="P8533" t="n">
        <v>0</v>
      </c>
      <c r="Q8533" t="n">
        <v>0</v>
      </c>
      <c r="R8533" s="2" t="inlineStr"/>
    </row>
    <row r="8534" ht="15" customHeight="1">
      <c r="A8534" t="inlineStr">
        <is>
          <t>A 40740-2023</t>
        </is>
      </c>
      <c r="B8534" s="1" t="n">
        <v>45170</v>
      </c>
      <c r="C8534" s="1" t="n">
        <v>45344</v>
      </c>
      <c r="D8534" t="inlineStr">
        <is>
          <t>GÄVLEBORGS LÄN</t>
        </is>
      </c>
      <c r="E8534" t="inlineStr">
        <is>
          <t>SÖDERHAMN</t>
        </is>
      </c>
      <c r="G8534" t="n">
        <v>3.8</v>
      </c>
      <c r="H8534" t="n">
        <v>0</v>
      </c>
      <c r="I8534" t="n">
        <v>0</v>
      </c>
      <c r="J8534" t="n">
        <v>0</v>
      </c>
      <c r="K8534" t="n">
        <v>0</v>
      </c>
      <c r="L8534" t="n">
        <v>0</v>
      </c>
      <c r="M8534" t="n">
        <v>0</v>
      </c>
      <c r="N8534" t="n">
        <v>0</v>
      </c>
      <c r="O8534" t="n">
        <v>0</v>
      </c>
      <c r="P8534" t="n">
        <v>0</v>
      </c>
      <c r="Q8534" t="n">
        <v>0</v>
      </c>
      <c r="R8534" s="2" t="inlineStr"/>
    </row>
    <row r="8535" ht="15" customHeight="1">
      <c r="A8535" t="inlineStr">
        <is>
          <t>A 40744-2023</t>
        </is>
      </c>
      <c r="B8535" s="1" t="n">
        <v>45170</v>
      </c>
      <c r="C8535" s="1" t="n">
        <v>45344</v>
      </c>
      <c r="D8535" t="inlineStr">
        <is>
          <t>GÄVLEBORGS LÄN</t>
        </is>
      </c>
      <c r="E8535" t="inlineStr">
        <is>
          <t>LJUSDAL</t>
        </is>
      </c>
      <c r="F8535" t="inlineStr">
        <is>
          <t>Sveaskog</t>
        </is>
      </c>
      <c r="G8535" t="n">
        <v>14.1</v>
      </c>
      <c r="H8535" t="n">
        <v>0</v>
      </c>
      <c r="I8535" t="n">
        <v>0</v>
      </c>
      <c r="J8535" t="n">
        <v>0</v>
      </c>
      <c r="K8535" t="n">
        <v>0</v>
      </c>
      <c r="L8535" t="n">
        <v>0</v>
      </c>
      <c r="M8535" t="n">
        <v>0</v>
      </c>
      <c r="N8535" t="n">
        <v>0</v>
      </c>
      <c r="O8535" t="n">
        <v>0</v>
      </c>
      <c r="P8535" t="n">
        <v>0</v>
      </c>
      <c r="Q8535" t="n">
        <v>0</v>
      </c>
      <c r="R8535" s="2" t="inlineStr"/>
    </row>
    <row r="8536" ht="15" customHeight="1">
      <c r="A8536" t="inlineStr">
        <is>
          <t>A 40683-2023</t>
        </is>
      </c>
      <c r="B8536" s="1" t="n">
        <v>45170</v>
      </c>
      <c r="C8536" s="1" t="n">
        <v>45344</v>
      </c>
      <c r="D8536" t="inlineStr">
        <is>
          <t>GÄVLEBORGS LÄN</t>
        </is>
      </c>
      <c r="E8536" t="inlineStr">
        <is>
          <t>SÖDERHAMN</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40857-2023</t>
        </is>
      </c>
      <c r="B8537" s="1" t="n">
        <v>45173</v>
      </c>
      <c r="C8537" s="1" t="n">
        <v>45344</v>
      </c>
      <c r="D8537" t="inlineStr">
        <is>
          <t>GÄVLEBORGS LÄN</t>
        </is>
      </c>
      <c r="E8537" t="inlineStr">
        <is>
          <t>OVANÅKER</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40929-2023</t>
        </is>
      </c>
      <c r="B8538" s="1" t="n">
        <v>45173</v>
      </c>
      <c r="C8538" s="1" t="n">
        <v>45344</v>
      </c>
      <c r="D8538" t="inlineStr">
        <is>
          <t>GÄVLEBORGS LÄN</t>
        </is>
      </c>
      <c r="E8538" t="inlineStr">
        <is>
          <t>OVANÅKER</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40933-2023</t>
        </is>
      </c>
      <c r="B8539" s="1" t="n">
        <v>45173</v>
      </c>
      <c r="C8539" s="1" t="n">
        <v>45344</v>
      </c>
      <c r="D8539" t="inlineStr">
        <is>
          <t>GÄVLEBORGS LÄN</t>
        </is>
      </c>
      <c r="E8539" t="inlineStr">
        <is>
          <t>BOLLNÄS</t>
        </is>
      </c>
      <c r="F8539" t="inlineStr">
        <is>
          <t>Bergvik skog väst AB</t>
        </is>
      </c>
      <c r="G8539" t="n">
        <v>9.300000000000001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40941-2023</t>
        </is>
      </c>
      <c r="B8540" s="1" t="n">
        <v>45173</v>
      </c>
      <c r="C8540" s="1" t="n">
        <v>45344</v>
      </c>
      <c r="D8540" t="inlineStr">
        <is>
          <t>GÄVLEBORGS LÄN</t>
        </is>
      </c>
      <c r="E8540" t="inlineStr">
        <is>
          <t>HUDIKSVALL</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40965-2023</t>
        </is>
      </c>
      <c r="B8541" s="1" t="n">
        <v>45173</v>
      </c>
      <c r="C8541" s="1" t="n">
        <v>45344</v>
      </c>
      <c r="D8541" t="inlineStr">
        <is>
          <t>GÄVLEBORGS LÄN</t>
        </is>
      </c>
      <c r="E8541" t="inlineStr">
        <is>
          <t>HUDIKSVALL</t>
        </is>
      </c>
      <c r="F8541" t="inlineStr">
        <is>
          <t>Holmen skog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40989-2023</t>
        </is>
      </c>
      <c r="B8542" s="1" t="n">
        <v>45173</v>
      </c>
      <c r="C8542" s="1" t="n">
        <v>45344</v>
      </c>
      <c r="D8542" t="inlineStr">
        <is>
          <t>GÄVLEBORGS LÄN</t>
        </is>
      </c>
      <c r="E8542" t="inlineStr">
        <is>
          <t>SÖDERHAMN</t>
        </is>
      </c>
      <c r="F8542" t="inlineStr">
        <is>
          <t>Bergvik skog väst AB</t>
        </is>
      </c>
      <c r="G8542" t="n">
        <v>0.9</v>
      </c>
      <c r="H8542" t="n">
        <v>0</v>
      </c>
      <c r="I8542" t="n">
        <v>0</v>
      </c>
      <c r="J8542" t="n">
        <v>0</v>
      </c>
      <c r="K8542" t="n">
        <v>0</v>
      </c>
      <c r="L8542" t="n">
        <v>0</v>
      </c>
      <c r="M8542" t="n">
        <v>0</v>
      </c>
      <c r="N8542" t="n">
        <v>0</v>
      </c>
      <c r="O8542" t="n">
        <v>0</v>
      </c>
      <c r="P8542" t="n">
        <v>0</v>
      </c>
      <c r="Q8542" t="n">
        <v>0</v>
      </c>
      <c r="R8542" s="2" t="inlineStr"/>
    </row>
    <row r="8543" ht="15" customHeight="1">
      <c r="A8543" t="inlineStr">
        <is>
          <t>A 41020-2023</t>
        </is>
      </c>
      <c r="B8543" s="1" t="n">
        <v>45173</v>
      </c>
      <c r="C8543" s="1" t="n">
        <v>45344</v>
      </c>
      <c r="D8543" t="inlineStr">
        <is>
          <t>GÄVLEBORGS LÄN</t>
        </is>
      </c>
      <c r="E8543" t="inlineStr">
        <is>
          <t>HOFORS</t>
        </is>
      </c>
      <c r="F8543" t="inlineStr">
        <is>
          <t>Sveaskog</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41024-2023</t>
        </is>
      </c>
      <c r="B8544" s="1" t="n">
        <v>45173</v>
      </c>
      <c r="C8544" s="1" t="n">
        <v>45344</v>
      </c>
      <c r="D8544" t="inlineStr">
        <is>
          <t>GÄVLEBORGS LÄN</t>
        </is>
      </c>
      <c r="E8544" t="inlineStr">
        <is>
          <t>SANDVIKEN</t>
        </is>
      </c>
      <c r="F8544" t="inlineStr">
        <is>
          <t>Sveaskog</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40848-2023</t>
        </is>
      </c>
      <c r="B8545" s="1" t="n">
        <v>45173</v>
      </c>
      <c r="C8545" s="1" t="n">
        <v>45344</v>
      </c>
      <c r="D8545" t="inlineStr">
        <is>
          <t>GÄVLEBORGS LÄN</t>
        </is>
      </c>
      <c r="E8545" t="inlineStr">
        <is>
          <t>BOLLNÄS</t>
        </is>
      </c>
      <c r="G8545" t="n">
        <v>8.6</v>
      </c>
      <c r="H8545" t="n">
        <v>0</v>
      </c>
      <c r="I8545" t="n">
        <v>0</v>
      </c>
      <c r="J8545" t="n">
        <v>0</v>
      </c>
      <c r="K8545" t="n">
        <v>0</v>
      </c>
      <c r="L8545" t="n">
        <v>0</v>
      </c>
      <c r="M8545" t="n">
        <v>0</v>
      </c>
      <c r="N8545" t="n">
        <v>0</v>
      </c>
      <c r="O8545" t="n">
        <v>0</v>
      </c>
      <c r="P8545" t="n">
        <v>0</v>
      </c>
      <c r="Q8545" t="n">
        <v>0</v>
      </c>
      <c r="R8545" s="2" t="inlineStr"/>
    </row>
    <row r="8546" ht="15" customHeight="1">
      <c r="A8546" t="inlineStr">
        <is>
          <t>A 41048-2023</t>
        </is>
      </c>
      <c r="B8546" s="1" t="n">
        <v>45173</v>
      </c>
      <c r="C8546" s="1" t="n">
        <v>45344</v>
      </c>
      <c r="D8546" t="inlineStr">
        <is>
          <t>GÄVLEBORGS LÄN</t>
        </is>
      </c>
      <c r="E8546" t="inlineStr">
        <is>
          <t>LJUSDAL</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41097-2023</t>
        </is>
      </c>
      <c r="B8547" s="1" t="n">
        <v>45173</v>
      </c>
      <c r="C8547" s="1" t="n">
        <v>45344</v>
      </c>
      <c r="D8547" t="inlineStr">
        <is>
          <t>GÄVLEBORGS LÄN</t>
        </is>
      </c>
      <c r="E8547" t="inlineStr">
        <is>
          <t>SANDVIKEN</t>
        </is>
      </c>
      <c r="F8547" t="inlineStr">
        <is>
          <t>Sveaskog</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40969-2023</t>
        </is>
      </c>
      <c r="B8548" s="1" t="n">
        <v>45173</v>
      </c>
      <c r="C8548" s="1" t="n">
        <v>45344</v>
      </c>
      <c r="D8548" t="inlineStr">
        <is>
          <t>GÄVLEBORGS LÄN</t>
        </is>
      </c>
      <c r="E8548" t="inlineStr">
        <is>
          <t>HUDIKSVALL</t>
        </is>
      </c>
      <c r="F8548" t="inlineStr">
        <is>
          <t>Holmen skog AB</t>
        </is>
      </c>
      <c r="G8548" t="n">
        <v>15.8</v>
      </c>
      <c r="H8548" t="n">
        <v>0</v>
      </c>
      <c r="I8548" t="n">
        <v>0</v>
      </c>
      <c r="J8548" t="n">
        <v>0</v>
      </c>
      <c r="K8548" t="n">
        <v>0</v>
      </c>
      <c r="L8548" t="n">
        <v>0</v>
      </c>
      <c r="M8548" t="n">
        <v>0</v>
      </c>
      <c r="N8548" t="n">
        <v>0</v>
      </c>
      <c r="O8548" t="n">
        <v>0</v>
      </c>
      <c r="P8548" t="n">
        <v>0</v>
      </c>
      <c r="Q8548" t="n">
        <v>0</v>
      </c>
      <c r="R8548" s="2" t="inlineStr"/>
    </row>
    <row r="8549" ht="15" customHeight="1">
      <c r="A8549" t="inlineStr">
        <is>
          <t>A 41023-2023</t>
        </is>
      </c>
      <c r="B8549" s="1" t="n">
        <v>45173</v>
      </c>
      <c r="C8549" s="1" t="n">
        <v>45344</v>
      </c>
      <c r="D8549" t="inlineStr">
        <is>
          <t>GÄVLEBORGS LÄN</t>
        </is>
      </c>
      <c r="E8549" t="inlineStr">
        <is>
          <t>SANDVIKEN</t>
        </is>
      </c>
      <c r="F8549" t="inlineStr">
        <is>
          <t>Sveaskog</t>
        </is>
      </c>
      <c r="G8549" t="n">
        <v>5.2</v>
      </c>
      <c r="H8549" t="n">
        <v>0</v>
      </c>
      <c r="I8549" t="n">
        <v>0</v>
      </c>
      <c r="J8549" t="n">
        <v>0</v>
      </c>
      <c r="K8549" t="n">
        <v>0</v>
      </c>
      <c r="L8549" t="n">
        <v>0</v>
      </c>
      <c r="M8549" t="n">
        <v>0</v>
      </c>
      <c r="N8549" t="n">
        <v>0</v>
      </c>
      <c r="O8549" t="n">
        <v>0</v>
      </c>
      <c r="P8549" t="n">
        <v>0</v>
      </c>
      <c r="Q8549" t="n">
        <v>0</v>
      </c>
      <c r="R8549" s="2" t="inlineStr"/>
    </row>
    <row r="8550" ht="15" customHeight="1">
      <c r="A8550" t="inlineStr">
        <is>
          <t>A 41070-2023</t>
        </is>
      </c>
      <c r="B8550" s="1" t="n">
        <v>45173</v>
      </c>
      <c r="C8550" s="1" t="n">
        <v>45344</v>
      </c>
      <c r="D8550" t="inlineStr">
        <is>
          <t>GÄVLEBORGS LÄN</t>
        </is>
      </c>
      <c r="E8550" t="inlineStr">
        <is>
          <t>NORDANSTIG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41123-2023</t>
        </is>
      </c>
      <c r="B8551" s="1" t="n">
        <v>45173</v>
      </c>
      <c r="C8551" s="1" t="n">
        <v>45344</v>
      </c>
      <c r="D8551" t="inlineStr">
        <is>
          <t>GÄVLEBORGS LÄN</t>
        </is>
      </c>
      <c r="E8551" t="inlineStr">
        <is>
          <t>LJUSDAL</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41124-2023</t>
        </is>
      </c>
      <c r="B8552" s="1" t="n">
        <v>45173</v>
      </c>
      <c r="C8552" s="1" t="n">
        <v>45344</v>
      </c>
      <c r="D8552" t="inlineStr">
        <is>
          <t>GÄVLEBORGS LÄN</t>
        </is>
      </c>
      <c r="E8552" t="inlineStr">
        <is>
          <t>LJUSDAL</t>
        </is>
      </c>
      <c r="G8552" t="n">
        <v>5.8</v>
      </c>
      <c r="H8552" t="n">
        <v>0</v>
      </c>
      <c r="I8552" t="n">
        <v>0</v>
      </c>
      <c r="J8552" t="n">
        <v>0</v>
      </c>
      <c r="K8552" t="n">
        <v>0</v>
      </c>
      <c r="L8552" t="n">
        <v>0</v>
      </c>
      <c r="M8552" t="n">
        <v>0</v>
      </c>
      <c r="N8552" t="n">
        <v>0</v>
      </c>
      <c r="O8552" t="n">
        <v>0</v>
      </c>
      <c r="P8552" t="n">
        <v>0</v>
      </c>
      <c r="Q8552" t="n">
        <v>0</v>
      </c>
      <c r="R8552" s="2" t="inlineStr"/>
    </row>
    <row r="8553" ht="15" customHeight="1">
      <c r="A8553" t="inlineStr">
        <is>
          <t>A 40892-2023</t>
        </is>
      </c>
      <c r="B8553" s="1" t="n">
        <v>45173</v>
      </c>
      <c r="C8553" s="1" t="n">
        <v>45344</v>
      </c>
      <c r="D8553" t="inlineStr">
        <is>
          <t>GÄVLEBORGS LÄN</t>
        </is>
      </c>
      <c r="E8553" t="inlineStr">
        <is>
          <t>OVANÅKER</t>
        </is>
      </c>
      <c r="G8553" t="n">
        <v>5.4</v>
      </c>
      <c r="H8553" t="n">
        <v>0</v>
      </c>
      <c r="I8553" t="n">
        <v>0</v>
      </c>
      <c r="J8553" t="n">
        <v>0</v>
      </c>
      <c r="K8553" t="n">
        <v>0</v>
      </c>
      <c r="L8553" t="n">
        <v>0</v>
      </c>
      <c r="M8553" t="n">
        <v>0</v>
      </c>
      <c r="N8553" t="n">
        <v>0</v>
      </c>
      <c r="O8553" t="n">
        <v>0</v>
      </c>
      <c r="P8553" t="n">
        <v>0</v>
      </c>
      <c r="Q8553" t="n">
        <v>0</v>
      </c>
      <c r="R8553" s="2" t="inlineStr"/>
    </row>
    <row r="8554" ht="15" customHeight="1">
      <c r="A8554" t="inlineStr">
        <is>
          <t>A 40901-2023</t>
        </is>
      </c>
      <c r="B8554" s="1" t="n">
        <v>45173</v>
      </c>
      <c r="C8554" s="1" t="n">
        <v>45344</v>
      </c>
      <c r="D8554" t="inlineStr">
        <is>
          <t>GÄVLEBORGS LÄN</t>
        </is>
      </c>
      <c r="E8554" t="inlineStr">
        <is>
          <t>SÖDERHAMN</t>
        </is>
      </c>
      <c r="G8554" t="n">
        <v>8.199999999999999</v>
      </c>
      <c r="H8554" t="n">
        <v>0</v>
      </c>
      <c r="I8554" t="n">
        <v>0</v>
      </c>
      <c r="J8554" t="n">
        <v>0</v>
      </c>
      <c r="K8554" t="n">
        <v>0</v>
      </c>
      <c r="L8554" t="n">
        <v>0</v>
      </c>
      <c r="M8554" t="n">
        <v>0</v>
      </c>
      <c r="N8554" t="n">
        <v>0</v>
      </c>
      <c r="O8554" t="n">
        <v>0</v>
      </c>
      <c r="P8554" t="n">
        <v>0</v>
      </c>
      <c r="Q8554" t="n">
        <v>0</v>
      </c>
      <c r="R8554" s="2" t="inlineStr"/>
    </row>
    <row r="8555" ht="15" customHeight="1">
      <c r="A8555" t="inlineStr">
        <is>
          <t>A 40958-2023</t>
        </is>
      </c>
      <c r="B8555" s="1" t="n">
        <v>45173</v>
      </c>
      <c r="C8555" s="1" t="n">
        <v>45344</v>
      </c>
      <c r="D8555" t="inlineStr">
        <is>
          <t>GÄVLEBORGS LÄN</t>
        </is>
      </c>
      <c r="E8555" t="inlineStr">
        <is>
          <t>HUDIKSVALL</t>
        </is>
      </c>
      <c r="F8555" t="inlineStr">
        <is>
          <t>Holmen skog AB</t>
        </is>
      </c>
      <c r="G8555" t="n">
        <v>4.9</v>
      </c>
      <c r="H8555" t="n">
        <v>0</v>
      </c>
      <c r="I8555" t="n">
        <v>0</v>
      </c>
      <c r="J8555" t="n">
        <v>0</v>
      </c>
      <c r="K8555" t="n">
        <v>0</v>
      </c>
      <c r="L8555" t="n">
        <v>0</v>
      </c>
      <c r="M8555" t="n">
        <v>0</v>
      </c>
      <c r="N8555" t="n">
        <v>0</v>
      </c>
      <c r="O8555" t="n">
        <v>0</v>
      </c>
      <c r="P8555" t="n">
        <v>0</v>
      </c>
      <c r="Q8555" t="n">
        <v>0</v>
      </c>
      <c r="R8555" s="2" t="inlineStr"/>
    </row>
    <row r="8556" ht="15" customHeight="1">
      <c r="A8556" t="inlineStr">
        <is>
          <t>A 40987-2023</t>
        </is>
      </c>
      <c r="B8556" s="1" t="n">
        <v>45173</v>
      </c>
      <c r="C8556" s="1" t="n">
        <v>45344</v>
      </c>
      <c r="D8556" t="inlineStr">
        <is>
          <t>GÄVLEBORGS LÄN</t>
        </is>
      </c>
      <c r="E8556" t="inlineStr">
        <is>
          <t>SÖDERHAMN</t>
        </is>
      </c>
      <c r="F8556" t="inlineStr">
        <is>
          <t>Bergvik skog väst AB</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41074-2023</t>
        </is>
      </c>
      <c r="B8557" s="1" t="n">
        <v>45173</v>
      </c>
      <c r="C8557" s="1" t="n">
        <v>45344</v>
      </c>
      <c r="D8557" t="inlineStr">
        <is>
          <t>GÄVLEBORGS LÄN</t>
        </is>
      </c>
      <c r="E8557" t="inlineStr">
        <is>
          <t>NORDANSTIG</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41110-2023</t>
        </is>
      </c>
      <c r="B8558" s="1" t="n">
        <v>45173</v>
      </c>
      <c r="C8558" s="1" t="n">
        <v>45344</v>
      </c>
      <c r="D8558" t="inlineStr">
        <is>
          <t>GÄVLEBORGS LÄN</t>
        </is>
      </c>
      <c r="E8558" t="inlineStr">
        <is>
          <t>OCKELBO</t>
        </is>
      </c>
      <c r="G8558" t="n">
        <v>4.3</v>
      </c>
      <c r="H8558" t="n">
        <v>0</v>
      </c>
      <c r="I8558" t="n">
        <v>0</v>
      </c>
      <c r="J8558" t="n">
        <v>0</v>
      </c>
      <c r="K8558" t="n">
        <v>0</v>
      </c>
      <c r="L8558" t="n">
        <v>0</v>
      </c>
      <c r="M8558" t="n">
        <v>0</v>
      </c>
      <c r="N8558" t="n">
        <v>0</v>
      </c>
      <c r="O8558" t="n">
        <v>0</v>
      </c>
      <c r="P8558" t="n">
        <v>0</v>
      </c>
      <c r="Q8558" t="n">
        <v>0</v>
      </c>
      <c r="R8558" s="2" t="inlineStr"/>
    </row>
    <row r="8559" ht="15" customHeight="1">
      <c r="A8559" t="inlineStr">
        <is>
          <t>A 41280-2023</t>
        </is>
      </c>
      <c r="B8559" s="1" t="n">
        <v>45174</v>
      </c>
      <c r="C8559" s="1" t="n">
        <v>45344</v>
      </c>
      <c r="D8559" t="inlineStr">
        <is>
          <t>GÄVLEBORGS LÄN</t>
        </is>
      </c>
      <c r="E8559" t="inlineStr">
        <is>
          <t>HUDIKSVALL</t>
        </is>
      </c>
      <c r="F8559" t="inlineStr">
        <is>
          <t>Holmen skog AB</t>
        </is>
      </c>
      <c r="G8559" t="n">
        <v>8.800000000000001</v>
      </c>
      <c r="H8559" t="n">
        <v>0</v>
      </c>
      <c r="I8559" t="n">
        <v>0</v>
      </c>
      <c r="J8559" t="n">
        <v>0</v>
      </c>
      <c r="K8559" t="n">
        <v>0</v>
      </c>
      <c r="L8559" t="n">
        <v>0</v>
      </c>
      <c r="M8559" t="n">
        <v>0</v>
      </c>
      <c r="N8559" t="n">
        <v>0</v>
      </c>
      <c r="O8559" t="n">
        <v>0</v>
      </c>
      <c r="P8559" t="n">
        <v>0</v>
      </c>
      <c r="Q8559" t="n">
        <v>0</v>
      </c>
      <c r="R8559" s="2" t="inlineStr"/>
    </row>
    <row r="8560" ht="15" customHeight="1">
      <c r="A8560" t="inlineStr">
        <is>
          <t>A 41162-2023</t>
        </is>
      </c>
      <c r="B8560" s="1" t="n">
        <v>45174</v>
      </c>
      <c r="C8560" s="1" t="n">
        <v>45344</v>
      </c>
      <c r="D8560" t="inlineStr">
        <is>
          <t>GÄVLEBORGS LÄN</t>
        </is>
      </c>
      <c r="E8560" t="inlineStr">
        <is>
          <t>OVANÅKER</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41248-2023</t>
        </is>
      </c>
      <c r="B8561" s="1" t="n">
        <v>45174</v>
      </c>
      <c r="C8561" s="1" t="n">
        <v>45344</v>
      </c>
      <c r="D8561" t="inlineStr">
        <is>
          <t>GÄVLEBORGS LÄN</t>
        </is>
      </c>
      <c r="E8561" t="inlineStr">
        <is>
          <t>NORDANSTIG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41292-2023</t>
        </is>
      </c>
      <c r="B8562" s="1" t="n">
        <v>45174</v>
      </c>
      <c r="C8562" s="1" t="n">
        <v>45344</v>
      </c>
      <c r="D8562" t="inlineStr">
        <is>
          <t>GÄVLEBORGS LÄN</t>
        </is>
      </c>
      <c r="E8562" t="inlineStr">
        <is>
          <t>LJUSDAL</t>
        </is>
      </c>
      <c r="F8562" t="inlineStr">
        <is>
          <t>Sveaskog</t>
        </is>
      </c>
      <c r="G8562" t="n">
        <v>6.4</v>
      </c>
      <c r="H8562" t="n">
        <v>0</v>
      </c>
      <c r="I8562" t="n">
        <v>0</v>
      </c>
      <c r="J8562" t="n">
        <v>0</v>
      </c>
      <c r="K8562" t="n">
        <v>0</v>
      </c>
      <c r="L8562" t="n">
        <v>0</v>
      </c>
      <c r="M8562" t="n">
        <v>0</v>
      </c>
      <c r="N8562" t="n">
        <v>0</v>
      </c>
      <c r="O8562" t="n">
        <v>0</v>
      </c>
      <c r="P8562" t="n">
        <v>0</v>
      </c>
      <c r="Q8562" t="n">
        <v>0</v>
      </c>
      <c r="R8562" s="2" t="inlineStr"/>
    </row>
    <row r="8563" ht="15" customHeight="1">
      <c r="A8563" t="inlineStr">
        <is>
          <t>A 41299-2023</t>
        </is>
      </c>
      <c r="B8563" s="1" t="n">
        <v>45174</v>
      </c>
      <c r="C8563" s="1" t="n">
        <v>45344</v>
      </c>
      <c r="D8563" t="inlineStr">
        <is>
          <t>GÄVLEBORGS LÄN</t>
        </is>
      </c>
      <c r="E8563" t="inlineStr">
        <is>
          <t>SANDVIKEN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41312-2023</t>
        </is>
      </c>
      <c r="B8564" s="1" t="n">
        <v>45174</v>
      </c>
      <c r="C8564" s="1" t="n">
        <v>45344</v>
      </c>
      <c r="D8564" t="inlineStr">
        <is>
          <t>GÄVLEBORGS LÄN</t>
        </is>
      </c>
      <c r="E8564" t="inlineStr">
        <is>
          <t>SANDVIKEN</t>
        </is>
      </c>
      <c r="G8564" t="n">
        <v>0.6</v>
      </c>
      <c r="H8564" t="n">
        <v>0</v>
      </c>
      <c r="I8564" t="n">
        <v>0</v>
      </c>
      <c r="J8564" t="n">
        <v>0</v>
      </c>
      <c r="K8564" t="n">
        <v>0</v>
      </c>
      <c r="L8564" t="n">
        <v>0</v>
      </c>
      <c r="M8564" t="n">
        <v>0</v>
      </c>
      <c r="N8564" t="n">
        <v>0</v>
      </c>
      <c r="O8564" t="n">
        <v>0</v>
      </c>
      <c r="P8564" t="n">
        <v>0</v>
      </c>
      <c r="Q8564" t="n">
        <v>0</v>
      </c>
      <c r="R8564" s="2" t="inlineStr"/>
    </row>
    <row r="8565" ht="15" customHeight="1">
      <c r="A8565" t="inlineStr">
        <is>
          <t>A 41237-2023</t>
        </is>
      </c>
      <c r="B8565" s="1" t="n">
        <v>45174</v>
      </c>
      <c r="C8565" s="1" t="n">
        <v>45344</v>
      </c>
      <c r="D8565" t="inlineStr">
        <is>
          <t>GÄVLEBORGS LÄN</t>
        </is>
      </c>
      <c r="E8565" t="inlineStr">
        <is>
          <t>NORDANSTIG</t>
        </is>
      </c>
      <c r="F8565" t="inlineStr">
        <is>
          <t>Holmen skog AB</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41251-2023</t>
        </is>
      </c>
      <c r="B8566" s="1" t="n">
        <v>45174</v>
      </c>
      <c r="C8566" s="1" t="n">
        <v>45344</v>
      </c>
      <c r="D8566" t="inlineStr">
        <is>
          <t>GÄVLEBORGS LÄN</t>
        </is>
      </c>
      <c r="E8566" t="inlineStr">
        <is>
          <t>HUDIKSVALL</t>
        </is>
      </c>
      <c r="G8566" t="n">
        <v>4.1</v>
      </c>
      <c r="H8566" t="n">
        <v>0</v>
      </c>
      <c r="I8566" t="n">
        <v>0</v>
      </c>
      <c r="J8566" t="n">
        <v>0</v>
      </c>
      <c r="K8566" t="n">
        <v>0</v>
      </c>
      <c r="L8566" t="n">
        <v>0</v>
      </c>
      <c r="M8566" t="n">
        <v>0</v>
      </c>
      <c r="N8566" t="n">
        <v>0</v>
      </c>
      <c r="O8566" t="n">
        <v>0</v>
      </c>
      <c r="P8566" t="n">
        <v>0</v>
      </c>
      <c r="Q8566" t="n">
        <v>0</v>
      </c>
      <c r="R8566" s="2" t="inlineStr"/>
    </row>
    <row r="8567" ht="15" customHeight="1">
      <c r="A8567" t="inlineStr">
        <is>
          <t>A 41266-2023</t>
        </is>
      </c>
      <c r="B8567" s="1" t="n">
        <v>45174</v>
      </c>
      <c r="C8567" s="1" t="n">
        <v>45344</v>
      </c>
      <c r="D8567" t="inlineStr">
        <is>
          <t>GÄVLEBORGS LÄN</t>
        </is>
      </c>
      <c r="E8567" t="inlineStr">
        <is>
          <t>BOLLNÄS</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41274-2023</t>
        </is>
      </c>
      <c r="B8568" s="1" t="n">
        <v>45174</v>
      </c>
      <c r="C8568" s="1" t="n">
        <v>45344</v>
      </c>
      <c r="D8568" t="inlineStr">
        <is>
          <t>GÄVLEBORGS LÄN</t>
        </is>
      </c>
      <c r="E8568" t="inlineStr">
        <is>
          <t>SANDVIKEN</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41284-2023</t>
        </is>
      </c>
      <c r="B8569" s="1" t="n">
        <v>45174</v>
      </c>
      <c r="C8569" s="1" t="n">
        <v>45344</v>
      </c>
      <c r="D8569" t="inlineStr">
        <is>
          <t>GÄVLEBORGS LÄN</t>
        </is>
      </c>
      <c r="E8569" t="inlineStr">
        <is>
          <t>SANDVIKEN</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41306-2023</t>
        </is>
      </c>
      <c r="B8570" s="1" t="n">
        <v>45174</v>
      </c>
      <c r="C8570" s="1" t="n">
        <v>45344</v>
      </c>
      <c r="D8570" t="inlineStr">
        <is>
          <t>GÄVLEBORGS LÄN</t>
        </is>
      </c>
      <c r="E8570" t="inlineStr">
        <is>
          <t>SANDVIKEN</t>
        </is>
      </c>
      <c r="F8570" t="inlineStr">
        <is>
          <t>Kommuner</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41362-2023</t>
        </is>
      </c>
      <c r="B8571" s="1" t="n">
        <v>45174</v>
      </c>
      <c r="C8571" s="1" t="n">
        <v>45344</v>
      </c>
      <c r="D8571" t="inlineStr">
        <is>
          <t>GÄVLEBORGS LÄN</t>
        </is>
      </c>
      <c r="E8571" t="inlineStr">
        <is>
          <t>NORDANSTIG</t>
        </is>
      </c>
      <c r="F8571" t="inlineStr">
        <is>
          <t>Holmen skog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41240-2023</t>
        </is>
      </c>
      <c r="B8572" s="1" t="n">
        <v>45174</v>
      </c>
      <c r="C8572" s="1" t="n">
        <v>45344</v>
      </c>
      <c r="D8572" t="inlineStr">
        <is>
          <t>GÄVLEBORGS LÄN</t>
        </is>
      </c>
      <c r="E8572" t="inlineStr">
        <is>
          <t>NORDANSTIG</t>
        </is>
      </c>
      <c r="G8572" t="n">
        <v>5.1</v>
      </c>
      <c r="H8572" t="n">
        <v>0</v>
      </c>
      <c r="I8572" t="n">
        <v>0</v>
      </c>
      <c r="J8572" t="n">
        <v>0</v>
      </c>
      <c r="K8572" t="n">
        <v>0</v>
      </c>
      <c r="L8572" t="n">
        <v>0</v>
      </c>
      <c r="M8572" t="n">
        <v>0</v>
      </c>
      <c r="N8572" t="n">
        <v>0</v>
      </c>
      <c r="O8572" t="n">
        <v>0</v>
      </c>
      <c r="P8572" t="n">
        <v>0</v>
      </c>
      <c r="Q8572" t="n">
        <v>0</v>
      </c>
      <c r="R8572" s="2" t="inlineStr"/>
    </row>
    <row r="8573" ht="15" customHeight="1">
      <c r="A8573" t="inlineStr">
        <is>
          <t>A 41277-2023</t>
        </is>
      </c>
      <c r="B8573" s="1" t="n">
        <v>45174</v>
      </c>
      <c r="C8573" s="1" t="n">
        <v>45344</v>
      </c>
      <c r="D8573" t="inlineStr">
        <is>
          <t>GÄVLEBORGS LÄN</t>
        </is>
      </c>
      <c r="E8573" t="inlineStr">
        <is>
          <t>HUDIKSVALL</t>
        </is>
      </c>
      <c r="F8573" t="inlineStr">
        <is>
          <t>Holmen skog AB</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41293-2023</t>
        </is>
      </c>
      <c r="B8574" s="1" t="n">
        <v>45174</v>
      </c>
      <c r="C8574" s="1" t="n">
        <v>45344</v>
      </c>
      <c r="D8574" t="inlineStr">
        <is>
          <t>GÄVLEBORGS LÄN</t>
        </is>
      </c>
      <c r="E8574" t="inlineStr">
        <is>
          <t>LJUSDAL</t>
        </is>
      </c>
      <c r="F8574" t="inlineStr">
        <is>
          <t>Sveaskog</t>
        </is>
      </c>
      <c r="G8574" t="n">
        <v>2</v>
      </c>
      <c r="H8574" t="n">
        <v>0</v>
      </c>
      <c r="I8574" t="n">
        <v>0</v>
      </c>
      <c r="J8574" t="n">
        <v>0</v>
      </c>
      <c r="K8574" t="n">
        <v>0</v>
      </c>
      <c r="L8574" t="n">
        <v>0</v>
      </c>
      <c r="M8574" t="n">
        <v>0</v>
      </c>
      <c r="N8574" t="n">
        <v>0</v>
      </c>
      <c r="O8574" t="n">
        <v>0</v>
      </c>
      <c r="P8574" t="n">
        <v>0</v>
      </c>
      <c r="Q8574" t="n">
        <v>0</v>
      </c>
      <c r="R8574" s="2" t="inlineStr"/>
    </row>
    <row r="8575" ht="15" customHeight="1">
      <c r="A8575" t="inlineStr">
        <is>
          <t>A 41451-2023</t>
        </is>
      </c>
      <c r="B8575" s="1" t="n">
        <v>45175</v>
      </c>
      <c r="C8575" s="1" t="n">
        <v>45344</v>
      </c>
      <c r="D8575" t="inlineStr">
        <is>
          <t>GÄVLEBORGS LÄN</t>
        </is>
      </c>
      <c r="E8575" t="inlineStr">
        <is>
          <t>OVANÅKER</t>
        </is>
      </c>
      <c r="G8575" t="n">
        <v>2.2</v>
      </c>
      <c r="H8575" t="n">
        <v>0</v>
      </c>
      <c r="I8575" t="n">
        <v>0</v>
      </c>
      <c r="J8575" t="n">
        <v>0</v>
      </c>
      <c r="K8575" t="n">
        <v>0</v>
      </c>
      <c r="L8575" t="n">
        <v>0</v>
      </c>
      <c r="M8575" t="n">
        <v>0</v>
      </c>
      <c r="N8575" t="n">
        <v>0</v>
      </c>
      <c r="O8575" t="n">
        <v>0</v>
      </c>
      <c r="P8575" t="n">
        <v>0</v>
      </c>
      <c r="Q8575" t="n">
        <v>0</v>
      </c>
      <c r="R8575" s="2" t="inlineStr"/>
    </row>
    <row r="8576" ht="15" customHeight="1">
      <c r="A8576" t="inlineStr">
        <is>
          <t>A 41476-2023</t>
        </is>
      </c>
      <c r="B8576" s="1" t="n">
        <v>45175</v>
      </c>
      <c r="C8576" s="1" t="n">
        <v>45344</v>
      </c>
      <c r="D8576" t="inlineStr">
        <is>
          <t>GÄVLEBORGS LÄN</t>
        </is>
      </c>
      <c r="E8576" t="inlineStr">
        <is>
          <t>LJUSDAL</t>
        </is>
      </c>
      <c r="F8576" t="inlineStr">
        <is>
          <t>Allmännings- och besparingsskogar</t>
        </is>
      </c>
      <c r="G8576" t="n">
        <v>3.1</v>
      </c>
      <c r="H8576" t="n">
        <v>0</v>
      </c>
      <c r="I8576" t="n">
        <v>0</v>
      </c>
      <c r="J8576" t="n">
        <v>0</v>
      </c>
      <c r="K8576" t="n">
        <v>0</v>
      </c>
      <c r="L8576" t="n">
        <v>0</v>
      </c>
      <c r="M8576" t="n">
        <v>0</v>
      </c>
      <c r="N8576" t="n">
        <v>0</v>
      </c>
      <c r="O8576" t="n">
        <v>0</v>
      </c>
      <c r="P8576" t="n">
        <v>0</v>
      </c>
      <c r="Q8576" t="n">
        <v>0</v>
      </c>
      <c r="R8576" s="2" t="inlineStr"/>
    </row>
    <row r="8577" ht="15" customHeight="1">
      <c r="A8577" t="inlineStr">
        <is>
          <t>A 41497-2023</t>
        </is>
      </c>
      <c r="B8577" s="1" t="n">
        <v>45175</v>
      </c>
      <c r="C8577" s="1" t="n">
        <v>45344</v>
      </c>
      <c r="D8577" t="inlineStr">
        <is>
          <t>GÄVLEBORGS LÄN</t>
        </is>
      </c>
      <c r="E8577" t="inlineStr">
        <is>
          <t>OVANÅKER</t>
        </is>
      </c>
      <c r="G8577" t="n">
        <v>15.5</v>
      </c>
      <c r="H8577" t="n">
        <v>0</v>
      </c>
      <c r="I8577" t="n">
        <v>0</v>
      </c>
      <c r="J8577" t="n">
        <v>0</v>
      </c>
      <c r="K8577" t="n">
        <v>0</v>
      </c>
      <c r="L8577" t="n">
        <v>0</v>
      </c>
      <c r="M8577" t="n">
        <v>0</v>
      </c>
      <c r="N8577" t="n">
        <v>0</v>
      </c>
      <c r="O8577" t="n">
        <v>0</v>
      </c>
      <c r="P8577" t="n">
        <v>0</v>
      </c>
      <c r="Q8577" t="n">
        <v>0</v>
      </c>
      <c r="R8577" s="2" t="inlineStr"/>
    </row>
    <row r="8578" ht="15" customHeight="1">
      <c r="A8578" t="inlineStr">
        <is>
          <t>A 41535-2023</t>
        </is>
      </c>
      <c r="B8578" s="1" t="n">
        <v>45175</v>
      </c>
      <c r="C8578" s="1" t="n">
        <v>45344</v>
      </c>
      <c r="D8578" t="inlineStr">
        <is>
          <t>GÄVLEBORGS LÄN</t>
        </is>
      </c>
      <c r="E8578" t="inlineStr">
        <is>
          <t>OVANÅKER</t>
        </is>
      </c>
      <c r="G8578" t="n">
        <v>4</v>
      </c>
      <c r="H8578" t="n">
        <v>0</v>
      </c>
      <c r="I8578" t="n">
        <v>0</v>
      </c>
      <c r="J8578" t="n">
        <v>0</v>
      </c>
      <c r="K8578" t="n">
        <v>0</v>
      </c>
      <c r="L8578" t="n">
        <v>0</v>
      </c>
      <c r="M8578" t="n">
        <v>0</v>
      </c>
      <c r="N8578" t="n">
        <v>0</v>
      </c>
      <c r="O8578" t="n">
        <v>0</v>
      </c>
      <c r="P8578" t="n">
        <v>0</v>
      </c>
      <c r="Q8578" t="n">
        <v>0</v>
      </c>
      <c r="R8578" s="2" t="inlineStr"/>
    </row>
    <row r="8579" ht="15" customHeight="1">
      <c r="A8579" t="inlineStr">
        <is>
          <t>A 41571-2023</t>
        </is>
      </c>
      <c r="B8579" s="1" t="n">
        <v>45175</v>
      </c>
      <c r="C8579" s="1" t="n">
        <v>45344</v>
      </c>
      <c r="D8579" t="inlineStr">
        <is>
          <t>GÄVLEBORGS LÄN</t>
        </is>
      </c>
      <c r="E8579" t="inlineStr">
        <is>
          <t>BOLLNÄS</t>
        </is>
      </c>
      <c r="G8579" t="n">
        <v>9.4</v>
      </c>
      <c r="H8579" t="n">
        <v>0</v>
      </c>
      <c r="I8579" t="n">
        <v>0</v>
      </c>
      <c r="J8579" t="n">
        <v>0</v>
      </c>
      <c r="K8579" t="n">
        <v>0</v>
      </c>
      <c r="L8579" t="n">
        <v>0</v>
      </c>
      <c r="M8579" t="n">
        <v>0</v>
      </c>
      <c r="N8579" t="n">
        <v>0</v>
      </c>
      <c r="O8579" t="n">
        <v>0</v>
      </c>
      <c r="P8579" t="n">
        <v>0</v>
      </c>
      <c r="Q8579" t="n">
        <v>0</v>
      </c>
      <c r="R8579" s="2" t="inlineStr"/>
    </row>
    <row r="8580" ht="15" customHeight="1">
      <c r="A8580" t="inlineStr">
        <is>
          <t>A 41433-2023</t>
        </is>
      </c>
      <c r="B8580" s="1" t="n">
        <v>45175</v>
      </c>
      <c r="C8580" s="1" t="n">
        <v>45344</v>
      </c>
      <c r="D8580" t="inlineStr">
        <is>
          <t>GÄVLEBORGS LÄN</t>
        </is>
      </c>
      <c r="E8580" t="inlineStr">
        <is>
          <t>HUDIKSVALL</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41616-2023</t>
        </is>
      </c>
      <c r="B8581" s="1" t="n">
        <v>45175</v>
      </c>
      <c r="C8581" s="1" t="n">
        <v>45344</v>
      </c>
      <c r="D8581" t="inlineStr">
        <is>
          <t>GÄVLEBORGS LÄN</t>
        </is>
      </c>
      <c r="E8581" t="inlineStr">
        <is>
          <t>NORDANSTIG</t>
        </is>
      </c>
      <c r="G8581" t="n">
        <v>0.4</v>
      </c>
      <c r="H8581" t="n">
        <v>0</v>
      </c>
      <c r="I8581" t="n">
        <v>0</v>
      </c>
      <c r="J8581" t="n">
        <v>0</v>
      </c>
      <c r="K8581" t="n">
        <v>0</v>
      </c>
      <c r="L8581" t="n">
        <v>0</v>
      </c>
      <c r="M8581" t="n">
        <v>0</v>
      </c>
      <c r="N8581" t="n">
        <v>0</v>
      </c>
      <c r="O8581" t="n">
        <v>0</v>
      </c>
      <c r="P8581" t="n">
        <v>0</v>
      </c>
      <c r="Q8581" t="n">
        <v>0</v>
      </c>
      <c r="R8581" s="2" t="inlineStr"/>
    </row>
    <row r="8582" ht="15" customHeight="1">
      <c r="A8582" t="inlineStr">
        <is>
          <t>A 41540-2023</t>
        </is>
      </c>
      <c r="B8582" s="1" t="n">
        <v>45175</v>
      </c>
      <c r="C8582" s="1" t="n">
        <v>45344</v>
      </c>
      <c r="D8582" t="inlineStr">
        <is>
          <t>GÄVLEBORGS LÄN</t>
        </is>
      </c>
      <c r="E8582" t="inlineStr">
        <is>
          <t>OVANÅKER</t>
        </is>
      </c>
      <c r="G8582" t="n">
        <v>3.4</v>
      </c>
      <c r="H8582" t="n">
        <v>0</v>
      </c>
      <c r="I8582" t="n">
        <v>0</v>
      </c>
      <c r="J8582" t="n">
        <v>0</v>
      </c>
      <c r="K8582" t="n">
        <v>0</v>
      </c>
      <c r="L8582" t="n">
        <v>0</v>
      </c>
      <c r="M8582" t="n">
        <v>0</v>
      </c>
      <c r="N8582" t="n">
        <v>0</v>
      </c>
      <c r="O8582" t="n">
        <v>0</v>
      </c>
      <c r="P8582" t="n">
        <v>0</v>
      </c>
      <c r="Q8582" t="n">
        <v>0</v>
      </c>
      <c r="R8582" s="2" t="inlineStr"/>
    </row>
    <row r="8583" ht="15" customHeight="1">
      <c r="A8583" t="inlineStr">
        <is>
          <t>A 41658-2023</t>
        </is>
      </c>
      <c r="B8583" s="1" t="n">
        <v>45176</v>
      </c>
      <c r="C8583" s="1" t="n">
        <v>45344</v>
      </c>
      <c r="D8583" t="inlineStr">
        <is>
          <t>GÄVLEBORGS LÄN</t>
        </is>
      </c>
      <c r="E8583" t="inlineStr">
        <is>
          <t>LJUSDAL</t>
        </is>
      </c>
      <c r="F8583" t="inlineStr">
        <is>
          <t>SCA</t>
        </is>
      </c>
      <c r="G8583" t="n">
        <v>16.5</v>
      </c>
      <c r="H8583" t="n">
        <v>0</v>
      </c>
      <c r="I8583" t="n">
        <v>0</v>
      </c>
      <c r="J8583" t="n">
        <v>0</v>
      </c>
      <c r="K8583" t="n">
        <v>0</v>
      </c>
      <c r="L8583" t="n">
        <v>0</v>
      </c>
      <c r="M8583" t="n">
        <v>0</v>
      </c>
      <c r="N8583" t="n">
        <v>0</v>
      </c>
      <c r="O8583" t="n">
        <v>0</v>
      </c>
      <c r="P8583" t="n">
        <v>0</v>
      </c>
      <c r="Q8583" t="n">
        <v>0</v>
      </c>
      <c r="R8583" s="2" t="inlineStr"/>
    </row>
    <row r="8584" ht="15" customHeight="1">
      <c r="A8584" t="inlineStr">
        <is>
          <t>A 41463-2023</t>
        </is>
      </c>
      <c r="B8584" s="1" t="n">
        <v>45175</v>
      </c>
      <c r="C8584" s="1" t="n">
        <v>45344</v>
      </c>
      <c r="D8584" t="inlineStr">
        <is>
          <t>GÄVLEBORGS LÄN</t>
        </is>
      </c>
      <c r="E8584" t="inlineStr">
        <is>
          <t>LJUSDAL</t>
        </is>
      </c>
      <c r="F8584" t="inlineStr">
        <is>
          <t>Övriga Aktiebolag</t>
        </is>
      </c>
      <c r="G8584" t="n">
        <v>2.3</v>
      </c>
      <c r="H8584" t="n">
        <v>0</v>
      </c>
      <c r="I8584" t="n">
        <v>0</v>
      </c>
      <c r="J8584" t="n">
        <v>0</v>
      </c>
      <c r="K8584" t="n">
        <v>0</v>
      </c>
      <c r="L8584" t="n">
        <v>0</v>
      </c>
      <c r="M8584" t="n">
        <v>0</v>
      </c>
      <c r="N8584" t="n">
        <v>0</v>
      </c>
      <c r="O8584" t="n">
        <v>0</v>
      </c>
      <c r="P8584" t="n">
        <v>0</v>
      </c>
      <c r="Q8584" t="n">
        <v>0</v>
      </c>
      <c r="R8584" s="2" t="inlineStr"/>
    </row>
    <row r="8585" ht="15" customHeight="1">
      <c r="A8585" t="inlineStr">
        <is>
          <t>A 41474-2023</t>
        </is>
      </c>
      <c r="B8585" s="1" t="n">
        <v>45175</v>
      </c>
      <c r="C8585" s="1" t="n">
        <v>45344</v>
      </c>
      <c r="D8585" t="inlineStr">
        <is>
          <t>GÄVLEBORGS LÄN</t>
        </is>
      </c>
      <c r="E8585" t="inlineStr">
        <is>
          <t>OVANÅKER</t>
        </is>
      </c>
      <c r="F8585" t="inlineStr">
        <is>
          <t>Kyrkan</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41513-2023</t>
        </is>
      </c>
      <c r="B8586" s="1" t="n">
        <v>45175</v>
      </c>
      <c r="C8586" s="1" t="n">
        <v>45344</v>
      </c>
      <c r="D8586" t="inlineStr">
        <is>
          <t>GÄVLEBORGS LÄN</t>
        </is>
      </c>
      <c r="E8586" t="inlineStr">
        <is>
          <t>LJUSDAL</t>
        </is>
      </c>
      <c r="F8586" t="inlineStr">
        <is>
          <t>Bergvik skog väst AB</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41418-2023</t>
        </is>
      </c>
      <c r="B8587" s="1" t="n">
        <v>45175</v>
      </c>
      <c r="C8587" s="1" t="n">
        <v>45344</v>
      </c>
      <c r="D8587" t="inlineStr">
        <is>
          <t>GÄVLEBORGS LÄN</t>
        </is>
      </c>
      <c r="E8587" t="inlineStr">
        <is>
          <t>OCKELBO</t>
        </is>
      </c>
      <c r="F8587" t="inlineStr">
        <is>
          <t>Bergvik skog väst AB</t>
        </is>
      </c>
      <c r="G8587" t="n">
        <v>7.7</v>
      </c>
      <c r="H8587" t="n">
        <v>0</v>
      </c>
      <c r="I8587" t="n">
        <v>0</v>
      </c>
      <c r="J8587" t="n">
        <v>0</v>
      </c>
      <c r="K8587" t="n">
        <v>0</v>
      </c>
      <c r="L8587" t="n">
        <v>0</v>
      </c>
      <c r="M8587" t="n">
        <v>0</v>
      </c>
      <c r="N8587" t="n">
        <v>0</v>
      </c>
      <c r="O8587" t="n">
        <v>0</v>
      </c>
      <c r="P8587" t="n">
        <v>0</v>
      </c>
      <c r="Q8587" t="n">
        <v>0</v>
      </c>
      <c r="R8587" s="2" t="inlineStr"/>
    </row>
    <row r="8588" ht="15" customHeight="1">
      <c r="A8588" t="inlineStr">
        <is>
          <t>A 41615-2023</t>
        </is>
      </c>
      <c r="B8588" s="1" t="n">
        <v>45175</v>
      </c>
      <c r="C8588" s="1" t="n">
        <v>45344</v>
      </c>
      <c r="D8588" t="inlineStr">
        <is>
          <t>GÄVLEBORGS LÄN</t>
        </is>
      </c>
      <c r="E8588" t="inlineStr">
        <is>
          <t>NORDANSTIG</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41544-2023</t>
        </is>
      </c>
      <c r="B8589" s="1" t="n">
        <v>45175</v>
      </c>
      <c r="C8589" s="1" t="n">
        <v>45344</v>
      </c>
      <c r="D8589" t="inlineStr">
        <is>
          <t>GÄVLEBORGS LÄN</t>
        </is>
      </c>
      <c r="E8589" t="inlineStr">
        <is>
          <t>OVANÅKER</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41641-2023</t>
        </is>
      </c>
      <c r="B8590" s="1" t="n">
        <v>45175</v>
      </c>
      <c r="C8590" s="1" t="n">
        <v>45344</v>
      </c>
      <c r="D8590" t="inlineStr">
        <is>
          <t>GÄVLEBORGS LÄN</t>
        </is>
      </c>
      <c r="E8590" t="inlineStr">
        <is>
          <t>NORDANSTIG</t>
        </is>
      </c>
      <c r="F8590" t="inlineStr">
        <is>
          <t>Holmen skog AB</t>
        </is>
      </c>
      <c r="G8590" t="n">
        <v>10.7</v>
      </c>
      <c r="H8590" t="n">
        <v>0</v>
      </c>
      <c r="I8590" t="n">
        <v>0</v>
      </c>
      <c r="J8590" t="n">
        <v>0</v>
      </c>
      <c r="K8590" t="n">
        <v>0</v>
      </c>
      <c r="L8590" t="n">
        <v>0</v>
      </c>
      <c r="M8590" t="n">
        <v>0</v>
      </c>
      <c r="N8590" t="n">
        <v>0</v>
      </c>
      <c r="O8590" t="n">
        <v>0</v>
      </c>
      <c r="P8590" t="n">
        <v>0</v>
      </c>
      <c r="Q8590" t="n">
        <v>0</v>
      </c>
      <c r="R8590" s="2" t="inlineStr"/>
    </row>
    <row r="8591" ht="15" customHeight="1">
      <c r="A8591" t="inlineStr">
        <is>
          <t>A 41657-2023</t>
        </is>
      </c>
      <c r="B8591" s="1" t="n">
        <v>45176</v>
      </c>
      <c r="C8591" s="1" t="n">
        <v>45344</v>
      </c>
      <c r="D8591" t="inlineStr">
        <is>
          <t>GÄVLEBORGS LÄN</t>
        </is>
      </c>
      <c r="E8591" t="inlineStr">
        <is>
          <t>LJUSDAL</t>
        </is>
      </c>
      <c r="F8591" t="inlineStr">
        <is>
          <t>SCA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41614-2023</t>
        </is>
      </c>
      <c r="B8592" s="1" t="n">
        <v>45175</v>
      </c>
      <c r="C8592" s="1" t="n">
        <v>45344</v>
      </c>
      <c r="D8592" t="inlineStr">
        <is>
          <t>GÄVLEBORGS LÄN</t>
        </is>
      </c>
      <c r="E8592" t="inlineStr">
        <is>
          <t>LJUSDAL</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41620-2023</t>
        </is>
      </c>
      <c r="B8593" s="1" t="n">
        <v>45175</v>
      </c>
      <c r="C8593" s="1" t="n">
        <v>45344</v>
      </c>
      <c r="D8593" t="inlineStr">
        <is>
          <t>GÄVLEBORGS LÄN</t>
        </is>
      </c>
      <c r="E8593" t="inlineStr">
        <is>
          <t>NORDANSTIG</t>
        </is>
      </c>
      <c r="G8593" t="n">
        <v>0.5</v>
      </c>
      <c r="H8593" t="n">
        <v>0</v>
      </c>
      <c r="I8593" t="n">
        <v>0</v>
      </c>
      <c r="J8593" t="n">
        <v>0</v>
      </c>
      <c r="K8593" t="n">
        <v>0</v>
      </c>
      <c r="L8593" t="n">
        <v>0</v>
      </c>
      <c r="M8593" t="n">
        <v>0</v>
      </c>
      <c r="N8593" t="n">
        <v>0</v>
      </c>
      <c r="O8593" t="n">
        <v>0</v>
      </c>
      <c r="P8593" t="n">
        <v>0</v>
      </c>
      <c r="Q8593" t="n">
        <v>0</v>
      </c>
      <c r="R8593" s="2" t="inlineStr"/>
    </row>
    <row r="8594" ht="15" customHeight="1">
      <c r="A8594" t="inlineStr">
        <is>
          <t>A 41512-2023</t>
        </is>
      </c>
      <c r="B8594" s="1" t="n">
        <v>45175</v>
      </c>
      <c r="C8594" s="1" t="n">
        <v>45344</v>
      </c>
      <c r="D8594" t="inlineStr">
        <is>
          <t>GÄVLEBORGS LÄN</t>
        </is>
      </c>
      <c r="E8594" t="inlineStr">
        <is>
          <t>OVANÅKER</t>
        </is>
      </c>
      <c r="G8594" t="n">
        <v>7.7</v>
      </c>
      <c r="H8594" t="n">
        <v>0</v>
      </c>
      <c r="I8594" t="n">
        <v>0</v>
      </c>
      <c r="J8594" t="n">
        <v>0</v>
      </c>
      <c r="K8594" t="n">
        <v>0</v>
      </c>
      <c r="L8594" t="n">
        <v>0</v>
      </c>
      <c r="M8594" t="n">
        <v>0</v>
      </c>
      <c r="N8594" t="n">
        <v>0</v>
      </c>
      <c r="O8594" t="n">
        <v>0</v>
      </c>
      <c r="P8594" t="n">
        <v>0</v>
      </c>
      <c r="Q8594" t="n">
        <v>0</v>
      </c>
      <c r="R8594" s="2" t="inlineStr"/>
    </row>
    <row r="8595" ht="15" customHeight="1">
      <c r="A8595" t="inlineStr">
        <is>
          <t>A 41522-2023</t>
        </is>
      </c>
      <c r="B8595" s="1" t="n">
        <v>45175</v>
      </c>
      <c r="C8595" s="1" t="n">
        <v>45344</v>
      </c>
      <c r="D8595" t="inlineStr">
        <is>
          <t>GÄVLEBORGS LÄN</t>
        </is>
      </c>
      <c r="E8595" t="inlineStr">
        <is>
          <t>SANDVIKEN</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41639-2023</t>
        </is>
      </c>
      <c r="B8596" s="1" t="n">
        <v>45175</v>
      </c>
      <c r="C8596" s="1" t="n">
        <v>45344</v>
      </c>
      <c r="D8596" t="inlineStr">
        <is>
          <t>GÄVLEBORGS LÄN</t>
        </is>
      </c>
      <c r="E8596" t="inlineStr">
        <is>
          <t>NORDANSTIG</t>
        </is>
      </c>
      <c r="F8596" t="inlineStr">
        <is>
          <t>Holmen skog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41712-2023</t>
        </is>
      </c>
      <c r="B8597" s="1" t="n">
        <v>45176</v>
      </c>
      <c r="C8597" s="1" t="n">
        <v>45344</v>
      </c>
      <c r="D8597" t="inlineStr">
        <is>
          <t>GÄVLEBORGS LÄN</t>
        </is>
      </c>
      <c r="E8597" t="inlineStr">
        <is>
          <t>GÄVLE</t>
        </is>
      </c>
      <c r="G8597" t="n">
        <v>7.8</v>
      </c>
      <c r="H8597" t="n">
        <v>0</v>
      </c>
      <c r="I8597" t="n">
        <v>0</v>
      </c>
      <c r="J8597" t="n">
        <v>0</v>
      </c>
      <c r="K8597" t="n">
        <v>0</v>
      </c>
      <c r="L8597" t="n">
        <v>0</v>
      </c>
      <c r="M8597" t="n">
        <v>0</v>
      </c>
      <c r="N8597" t="n">
        <v>0</v>
      </c>
      <c r="O8597" t="n">
        <v>0</v>
      </c>
      <c r="P8597" t="n">
        <v>0</v>
      </c>
      <c r="Q8597" t="n">
        <v>0</v>
      </c>
      <c r="R8597" s="2" t="inlineStr"/>
    </row>
    <row r="8598" ht="15" customHeight="1">
      <c r="A8598" t="inlineStr">
        <is>
          <t>A 41740-2023</t>
        </is>
      </c>
      <c r="B8598" s="1" t="n">
        <v>45176</v>
      </c>
      <c r="C8598" s="1" t="n">
        <v>45344</v>
      </c>
      <c r="D8598" t="inlineStr">
        <is>
          <t>GÄVLEBORGS LÄN</t>
        </is>
      </c>
      <c r="E8598" t="inlineStr">
        <is>
          <t>BOLLNÄS</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41773-2023</t>
        </is>
      </c>
      <c r="B8599" s="1" t="n">
        <v>45176</v>
      </c>
      <c r="C8599" s="1" t="n">
        <v>45344</v>
      </c>
      <c r="D8599" t="inlineStr">
        <is>
          <t>GÄVLEBORGS LÄN</t>
        </is>
      </c>
      <c r="E8599" t="inlineStr">
        <is>
          <t>LJUSDAL</t>
        </is>
      </c>
      <c r="F8599" t="inlineStr">
        <is>
          <t>Holmen skog AB</t>
        </is>
      </c>
      <c r="G8599" t="n">
        <v>7.4</v>
      </c>
      <c r="H8599" t="n">
        <v>0</v>
      </c>
      <c r="I8599" t="n">
        <v>0</v>
      </c>
      <c r="J8599" t="n">
        <v>0</v>
      </c>
      <c r="K8599" t="n">
        <v>0</v>
      </c>
      <c r="L8599" t="n">
        <v>0</v>
      </c>
      <c r="M8599" t="n">
        <v>0</v>
      </c>
      <c r="N8599" t="n">
        <v>0</v>
      </c>
      <c r="O8599" t="n">
        <v>0</v>
      </c>
      <c r="P8599" t="n">
        <v>0</v>
      </c>
      <c r="Q8599" t="n">
        <v>0</v>
      </c>
      <c r="R8599" s="2" t="inlineStr"/>
    </row>
    <row r="8600" ht="15" customHeight="1">
      <c r="A8600" t="inlineStr">
        <is>
          <t>A 41801-2023</t>
        </is>
      </c>
      <c r="B8600" s="1" t="n">
        <v>45176</v>
      </c>
      <c r="C8600" s="1" t="n">
        <v>45344</v>
      </c>
      <c r="D8600" t="inlineStr">
        <is>
          <t>GÄVLEBORGS LÄN</t>
        </is>
      </c>
      <c r="E8600" t="inlineStr">
        <is>
          <t>OVANÅKER</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41842-2023</t>
        </is>
      </c>
      <c r="B8601" s="1" t="n">
        <v>45176</v>
      </c>
      <c r="C8601" s="1" t="n">
        <v>45344</v>
      </c>
      <c r="D8601" t="inlineStr">
        <is>
          <t>GÄVLEBORGS LÄN</t>
        </is>
      </c>
      <c r="E8601" t="inlineStr">
        <is>
          <t>GÄVLE</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41890-2023</t>
        </is>
      </c>
      <c r="B8602" s="1" t="n">
        <v>45176</v>
      </c>
      <c r="C8602" s="1" t="n">
        <v>45344</v>
      </c>
      <c r="D8602" t="inlineStr">
        <is>
          <t>GÄVLEBORGS LÄN</t>
        </is>
      </c>
      <c r="E8602" t="inlineStr">
        <is>
          <t>SANDVIKEN</t>
        </is>
      </c>
      <c r="F8602" t="inlineStr">
        <is>
          <t>Sveaskog</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41721-2023</t>
        </is>
      </c>
      <c r="B8603" s="1" t="n">
        <v>45176</v>
      </c>
      <c r="C8603" s="1" t="n">
        <v>45344</v>
      </c>
      <c r="D8603" t="inlineStr">
        <is>
          <t>GÄVLEBORGS LÄN</t>
        </is>
      </c>
      <c r="E8603" t="inlineStr">
        <is>
          <t>NORDANSTIG</t>
        </is>
      </c>
      <c r="G8603" t="n">
        <v>8.1</v>
      </c>
      <c r="H8603" t="n">
        <v>0</v>
      </c>
      <c r="I8603" t="n">
        <v>0</v>
      </c>
      <c r="J8603" t="n">
        <v>0</v>
      </c>
      <c r="K8603" t="n">
        <v>0</v>
      </c>
      <c r="L8603" t="n">
        <v>0</v>
      </c>
      <c r="M8603" t="n">
        <v>0</v>
      </c>
      <c r="N8603" t="n">
        <v>0</v>
      </c>
      <c r="O8603" t="n">
        <v>0</v>
      </c>
      <c r="P8603" t="n">
        <v>0</v>
      </c>
      <c r="Q8603" t="n">
        <v>0</v>
      </c>
      <c r="R8603" s="2" t="inlineStr"/>
    </row>
    <row r="8604" ht="15" customHeight="1">
      <c r="A8604" t="inlineStr">
        <is>
          <t>A 41729-2023</t>
        </is>
      </c>
      <c r="B8604" s="1" t="n">
        <v>45176</v>
      </c>
      <c r="C8604" s="1" t="n">
        <v>45344</v>
      </c>
      <c r="D8604" t="inlineStr">
        <is>
          <t>GÄVLEBORGS LÄN</t>
        </is>
      </c>
      <c r="E8604" t="inlineStr">
        <is>
          <t>NORDANSTIG</t>
        </is>
      </c>
      <c r="F8604" t="inlineStr">
        <is>
          <t>Holmen skog AB</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41745-2023</t>
        </is>
      </c>
      <c r="B8605" s="1" t="n">
        <v>45176</v>
      </c>
      <c r="C8605" s="1" t="n">
        <v>45344</v>
      </c>
      <c r="D8605" t="inlineStr">
        <is>
          <t>GÄVLEBORGS LÄN</t>
        </is>
      </c>
      <c r="E8605" t="inlineStr">
        <is>
          <t>HUDIKSVALL</t>
        </is>
      </c>
      <c r="F8605" t="inlineStr">
        <is>
          <t>Holmen skog AB</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41798-2023</t>
        </is>
      </c>
      <c r="B8606" s="1" t="n">
        <v>45176</v>
      </c>
      <c r="C8606" s="1" t="n">
        <v>45344</v>
      </c>
      <c r="D8606" t="inlineStr">
        <is>
          <t>GÄVLEBORGS LÄN</t>
        </is>
      </c>
      <c r="E8606" t="inlineStr">
        <is>
          <t>OVANÅKER</t>
        </is>
      </c>
      <c r="G8606" t="n">
        <v>10.4</v>
      </c>
      <c r="H8606" t="n">
        <v>0</v>
      </c>
      <c r="I8606" t="n">
        <v>0</v>
      </c>
      <c r="J8606" t="n">
        <v>0</v>
      </c>
      <c r="K8606" t="n">
        <v>0</v>
      </c>
      <c r="L8606" t="n">
        <v>0</v>
      </c>
      <c r="M8606" t="n">
        <v>0</v>
      </c>
      <c r="N8606" t="n">
        <v>0</v>
      </c>
      <c r="O8606" t="n">
        <v>0</v>
      </c>
      <c r="P8606" t="n">
        <v>0</v>
      </c>
      <c r="Q8606" t="n">
        <v>0</v>
      </c>
      <c r="R8606" s="2" t="inlineStr"/>
    </row>
    <row r="8607" ht="15" customHeight="1">
      <c r="A8607" t="inlineStr">
        <is>
          <t>A 41701-2023</t>
        </is>
      </c>
      <c r="B8607" s="1" t="n">
        <v>45176</v>
      </c>
      <c r="C8607" s="1" t="n">
        <v>45344</v>
      </c>
      <c r="D8607" t="inlineStr">
        <is>
          <t>GÄVLEBORGS LÄN</t>
        </is>
      </c>
      <c r="E8607" t="inlineStr">
        <is>
          <t>NORDANSTIG</t>
        </is>
      </c>
      <c r="F8607" t="inlineStr">
        <is>
          <t>Holmen skog AB</t>
        </is>
      </c>
      <c r="G8607" t="n">
        <v>5.6</v>
      </c>
      <c r="H8607" t="n">
        <v>0</v>
      </c>
      <c r="I8607" t="n">
        <v>0</v>
      </c>
      <c r="J8607" t="n">
        <v>0</v>
      </c>
      <c r="K8607" t="n">
        <v>0</v>
      </c>
      <c r="L8607" t="n">
        <v>0</v>
      </c>
      <c r="M8607" t="n">
        <v>0</v>
      </c>
      <c r="N8607" t="n">
        <v>0</v>
      </c>
      <c r="O8607" t="n">
        <v>0</v>
      </c>
      <c r="P8607" t="n">
        <v>0</v>
      </c>
      <c r="Q8607" t="n">
        <v>0</v>
      </c>
      <c r="R8607" s="2" t="inlineStr"/>
    </row>
    <row r="8608" ht="15" customHeight="1">
      <c r="A8608" t="inlineStr">
        <is>
          <t>A 41735-2023</t>
        </is>
      </c>
      <c r="B8608" s="1" t="n">
        <v>45176</v>
      </c>
      <c r="C8608" s="1" t="n">
        <v>45344</v>
      </c>
      <c r="D8608" t="inlineStr">
        <is>
          <t>GÄVLEBORGS LÄN</t>
        </is>
      </c>
      <c r="E8608" t="inlineStr">
        <is>
          <t>HUDIKSVALL</t>
        </is>
      </c>
      <c r="F8608" t="inlineStr">
        <is>
          <t>Holmen skog AB</t>
        </is>
      </c>
      <c r="G8608" t="n">
        <v>0.8</v>
      </c>
      <c r="H8608" t="n">
        <v>0</v>
      </c>
      <c r="I8608" t="n">
        <v>0</v>
      </c>
      <c r="J8608" t="n">
        <v>0</v>
      </c>
      <c r="K8608" t="n">
        <v>0</v>
      </c>
      <c r="L8608" t="n">
        <v>0</v>
      </c>
      <c r="M8608" t="n">
        <v>0</v>
      </c>
      <c r="N8608" t="n">
        <v>0</v>
      </c>
      <c r="O8608" t="n">
        <v>0</v>
      </c>
      <c r="P8608" t="n">
        <v>0</v>
      </c>
      <c r="Q8608" t="n">
        <v>0</v>
      </c>
      <c r="R8608" s="2" t="inlineStr"/>
    </row>
    <row r="8609" ht="15" customHeight="1">
      <c r="A8609" t="inlineStr">
        <is>
          <t>A 41747-2023</t>
        </is>
      </c>
      <c r="B8609" s="1" t="n">
        <v>45176</v>
      </c>
      <c r="C8609" s="1" t="n">
        <v>45344</v>
      </c>
      <c r="D8609" t="inlineStr">
        <is>
          <t>GÄVLEBORGS LÄN</t>
        </is>
      </c>
      <c r="E8609" t="inlineStr">
        <is>
          <t>HUDIKSVALL</t>
        </is>
      </c>
      <c r="F8609" t="inlineStr">
        <is>
          <t>Holmen skog AB</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41704-2023</t>
        </is>
      </c>
      <c r="B8610" s="1" t="n">
        <v>45176</v>
      </c>
      <c r="C8610" s="1" t="n">
        <v>45344</v>
      </c>
      <c r="D8610" t="inlineStr">
        <is>
          <t>GÄVLEBORGS LÄN</t>
        </is>
      </c>
      <c r="E8610" t="inlineStr">
        <is>
          <t>NORDANSTIG</t>
        </is>
      </c>
      <c r="G8610" t="n">
        <v>9.800000000000001</v>
      </c>
      <c r="H8610" t="n">
        <v>0</v>
      </c>
      <c r="I8610" t="n">
        <v>0</v>
      </c>
      <c r="J8610" t="n">
        <v>0</v>
      </c>
      <c r="K8610" t="n">
        <v>0</v>
      </c>
      <c r="L8610" t="n">
        <v>0</v>
      </c>
      <c r="M8610" t="n">
        <v>0</v>
      </c>
      <c r="N8610" t="n">
        <v>0</v>
      </c>
      <c r="O8610" t="n">
        <v>0</v>
      </c>
      <c r="P8610" t="n">
        <v>0</v>
      </c>
      <c r="Q8610" t="n">
        <v>0</v>
      </c>
      <c r="R8610" s="2" t="inlineStr"/>
    </row>
    <row r="8611" ht="15" customHeight="1">
      <c r="A8611" t="inlineStr">
        <is>
          <t>A 41901-2023</t>
        </is>
      </c>
      <c r="B8611" s="1" t="n">
        <v>45176</v>
      </c>
      <c r="C8611" s="1" t="n">
        <v>45344</v>
      </c>
      <c r="D8611" t="inlineStr">
        <is>
          <t>GÄVLEBORGS LÄN</t>
        </is>
      </c>
      <c r="E8611" t="inlineStr">
        <is>
          <t>NORDANSTIG</t>
        </is>
      </c>
      <c r="F8611" t="inlineStr">
        <is>
          <t>Holmen skog AB</t>
        </is>
      </c>
      <c r="G8611" t="n">
        <v>6.5</v>
      </c>
      <c r="H8611" t="n">
        <v>0</v>
      </c>
      <c r="I8611" t="n">
        <v>0</v>
      </c>
      <c r="J8611" t="n">
        <v>0</v>
      </c>
      <c r="K8611" t="n">
        <v>0</v>
      </c>
      <c r="L8611" t="n">
        <v>0</v>
      </c>
      <c r="M8611" t="n">
        <v>0</v>
      </c>
      <c r="N8611" t="n">
        <v>0</v>
      </c>
      <c r="O8611" t="n">
        <v>0</v>
      </c>
      <c r="P8611" t="n">
        <v>0</v>
      </c>
      <c r="Q8611" t="n">
        <v>0</v>
      </c>
      <c r="R8611" s="2" t="inlineStr"/>
    </row>
    <row r="8612" ht="15" customHeight="1">
      <c r="A8612" t="inlineStr">
        <is>
          <t>A 41708-2023</t>
        </is>
      </c>
      <c r="B8612" s="1" t="n">
        <v>45176</v>
      </c>
      <c r="C8612" s="1" t="n">
        <v>45344</v>
      </c>
      <c r="D8612" t="inlineStr">
        <is>
          <t>GÄVLEBORGS LÄN</t>
        </is>
      </c>
      <c r="E8612" t="inlineStr">
        <is>
          <t>GÄVLE</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41730-2023</t>
        </is>
      </c>
      <c r="B8613" s="1" t="n">
        <v>45176</v>
      </c>
      <c r="C8613" s="1" t="n">
        <v>45344</v>
      </c>
      <c r="D8613" t="inlineStr">
        <is>
          <t>GÄVLEBORGS LÄN</t>
        </is>
      </c>
      <c r="E8613" t="inlineStr">
        <is>
          <t>BOLLNÄS</t>
        </is>
      </c>
      <c r="G8613" t="n">
        <v>1.4</v>
      </c>
      <c r="H8613" t="n">
        <v>0</v>
      </c>
      <c r="I8613" t="n">
        <v>0</v>
      </c>
      <c r="J8613" t="n">
        <v>0</v>
      </c>
      <c r="K8613" t="n">
        <v>0</v>
      </c>
      <c r="L8613" t="n">
        <v>0</v>
      </c>
      <c r="M8613" t="n">
        <v>0</v>
      </c>
      <c r="N8613" t="n">
        <v>0</v>
      </c>
      <c r="O8613" t="n">
        <v>0</v>
      </c>
      <c r="P8613" t="n">
        <v>0</v>
      </c>
      <c r="Q8613" t="n">
        <v>0</v>
      </c>
      <c r="R8613" s="2" t="inlineStr"/>
    </row>
    <row r="8614" ht="15" customHeight="1">
      <c r="A8614" t="inlineStr">
        <is>
          <t>A 41783-2023</t>
        </is>
      </c>
      <c r="B8614" s="1" t="n">
        <v>45176</v>
      </c>
      <c r="C8614" s="1" t="n">
        <v>45344</v>
      </c>
      <c r="D8614" t="inlineStr">
        <is>
          <t>GÄVLEBORGS LÄN</t>
        </is>
      </c>
      <c r="E8614" t="inlineStr">
        <is>
          <t>SANDVIKEN</t>
        </is>
      </c>
      <c r="F8614" t="inlineStr">
        <is>
          <t>Bergvik skog öst AB</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41844-2023</t>
        </is>
      </c>
      <c r="B8615" s="1" t="n">
        <v>45176</v>
      </c>
      <c r="C8615" s="1" t="n">
        <v>45344</v>
      </c>
      <c r="D8615" t="inlineStr">
        <is>
          <t>GÄVLEBORGS LÄN</t>
        </is>
      </c>
      <c r="E8615" t="inlineStr">
        <is>
          <t>GÄVLE</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41839-2023</t>
        </is>
      </c>
      <c r="B8616" s="1" t="n">
        <v>45176</v>
      </c>
      <c r="C8616" s="1" t="n">
        <v>45344</v>
      </c>
      <c r="D8616" t="inlineStr">
        <is>
          <t>GÄVLEBORGS LÄN</t>
        </is>
      </c>
      <c r="E8616" t="inlineStr">
        <is>
          <t>NORDANSTIG</t>
        </is>
      </c>
      <c r="G8616" t="n">
        <v>1.9</v>
      </c>
      <c r="H8616" t="n">
        <v>0</v>
      </c>
      <c r="I8616" t="n">
        <v>0</v>
      </c>
      <c r="J8616" t="n">
        <v>0</v>
      </c>
      <c r="K8616" t="n">
        <v>0</v>
      </c>
      <c r="L8616" t="n">
        <v>0</v>
      </c>
      <c r="M8616" t="n">
        <v>0</v>
      </c>
      <c r="N8616" t="n">
        <v>0</v>
      </c>
      <c r="O8616" t="n">
        <v>0</v>
      </c>
      <c r="P8616" t="n">
        <v>0</v>
      </c>
      <c r="Q8616" t="n">
        <v>0</v>
      </c>
      <c r="R8616" s="2" t="inlineStr"/>
    </row>
    <row r="8617" ht="15" customHeight="1">
      <c r="A8617" t="inlineStr">
        <is>
          <t>A 41957-2023</t>
        </is>
      </c>
      <c r="B8617" s="1" t="n">
        <v>45177</v>
      </c>
      <c r="C8617" s="1" t="n">
        <v>45344</v>
      </c>
      <c r="D8617" t="inlineStr">
        <is>
          <t>GÄVLEBORGS LÄN</t>
        </is>
      </c>
      <c r="E8617" t="inlineStr">
        <is>
          <t>NORDANSTIG</t>
        </is>
      </c>
      <c r="F8617" t="inlineStr">
        <is>
          <t>Holmen skog AB</t>
        </is>
      </c>
      <c r="G8617" t="n">
        <v>1.5</v>
      </c>
      <c r="H8617" t="n">
        <v>0</v>
      </c>
      <c r="I8617" t="n">
        <v>0</v>
      </c>
      <c r="J8617" t="n">
        <v>0</v>
      </c>
      <c r="K8617" t="n">
        <v>0</v>
      </c>
      <c r="L8617" t="n">
        <v>0</v>
      </c>
      <c r="M8617" t="n">
        <v>0</v>
      </c>
      <c r="N8617" t="n">
        <v>0</v>
      </c>
      <c r="O8617" t="n">
        <v>0</v>
      </c>
      <c r="P8617" t="n">
        <v>0</v>
      </c>
      <c r="Q8617" t="n">
        <v>0</v>
      </c>
      <c r="R8617" s="2" t="inlineStr"/>
    </row>
    <row r="8618" ht="15" customHeight="1">
      <c r="A8618" t="inlineStr">
        <is>
          <t>A 41990-2023</t>
        </is>
      </c>
      <c r="B8618" s="1" t="n">
        <v>45177</v>
      </c>
      <c r="C8618" s="1" t="n">
        <v>45344</v>
      </c>
      <c r="D8618" t="inlineStr">
        <is>
          <t>GÄVLEBORGS LÄN</t>
        </is>
      </c>
      <c r="E8618" t="inlineStr">
        <is>
          <t>OVANÅKER</t>
        </is>
      </c>
      <c r="F8618" t="inlineStr">
        <is>
          <t>Bergvik skog väst AB</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42029-2023</t>
        </is>
      </c>
      <c r="B8619" s="1" t="n">
        <v>45177</v>
      </c>
      <c r="C8619" s="1" t="n">
        <v>45344</v>
      </c>
      <c r="D8619" t="inlineStr">
        <is>
          <t>GÄVLEBORGS LÄN</t>
        </is>
      </c>
      <c r="E8619" t="inlineStr">
        <is>
          <t>SÖDERHAMN</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42061-2023</t>
        </is>
      </c>
      <c r="B8620" s="1" t="n">
        <v>45177</v>
      </c>
      <c r="C8620" s="1" t="n">
        <v>45344</v>
      </c>
      <c r="D8620" t="inlineStr">
        <is>
          <t>GÄVLEBORGS LÄN</t>
        </is>
      </c>
      <c r="E8620" t="inlineStr">
        <is>
          <t>OCKELBO</t>
        </is>
      </c>
      <c r="F8620" t="inlineStr">
        <is>
          <t>Bergvik skog väst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42065-2023</t>
        </is>
      </c>
      <c r="B8621" s="1" t="n">
        <v>45177</v>
      </c>
      <c r="C8621" s="1" t="n">
        <v>45344</v>
      </c>
      <c r="D8621" t="inlineStr">
        <is>
          <t>GÄVLEBORGS LÄN</t>
        </is>
      </c>
      <c r="E8621" t="inlineStr">
        <is>
          <t>OCKELBO</t>
        </is>
      </c>
      <c r="F8621" t="inlineStr">
        <is>
          <t>Bergvik skog väst AB</t>
        </is>
      </c>
      <c r="G8621" t="n">
        <v>12.8</v>
      </c>
      <c r="H8621" t="n">
        <v>0</v>
      </c>
      <c r="I8621" t="n">
        <v>0</v>
      </c>
      <c r="J8621" t="n">
        <v>0</v>
      </c>
      <c r="K8621" t="n">
        <v>0</v>
      </c>
      <c r="L8621" t="n">
        <v>0</v>
      </c>
      <c r="M8621" t="n">
        <v>0</v>
      </c>
      <c r="N8621" t="n">
        <v>0</v>
      </c>
      <c r="O8621" t="n">
        <v>0</v>
      </c>
      <c r="P8621" t="n">
        <v>0</v>
      </c>
      <c r="Q8621" t="n">
        <v>0</v>
      </c>
      <c r="R8621" s="2" t="inlineStr"/>
    </row>
    <row r="8622" ht="15" customHeight="1">
      <c r="A8622" t="inlineStr">
        <is>
          <t>A 42006-2023</t>
        </is>
      </c>
      <c r="B8622" s="1" t="n">
        <v>45177</v>
      </c>
      <c r="C8622" s="1" t="n">
        <v>45344</v>
      </c>
      <c r="D8622" t="inlineStr">
        <is>
          <t>GÄVLEBORGS LÄN</t>
        </is>
      </c>
      <c r="E8622" t="inlineStr">
        <is>
          <t>OVANÅKER</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42031-2023</t>
        </is>
      </c>
      <c r="B8623" s="1" t="n">
        <v>45177</v>
      </c>
      <c r="C8623" s="1" t="n">
        <v>45344</v>
      </c>
      <c r="D8623" t="inlineStr">
        <is>
          <t>GÄVLEBORGS LÄN</t>
        </is>
      </c>
      <c r="E8623" t="inlineStr">
        <is>
          <t>SÖDERHAMN</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42052-2023</t>
        </is>
      </c>
      <c r="B8624" s="1" t="n">
        <v>45177</v>
      </c>
      <c r="C8624" s="1" t="n">
        <v>45344</v>
      </c>
      <c r="D8624" t="inlineStr">
        <is>
          <t>GÄVLEBORGS LÄN</t>
        </is>
      </c>
      <c r="E8624" t="inlineStr">
        <is>
          <t>OVANÅKER</t>
        </is>
      </c>
      <c r="F8624" t="inlineStr">
        <is>
          <t>Bergvik skog väst AB</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42058-2023</t>
        </is>
      </c>
      <c r="B8625" s="1" t="n">
        <v>45177</v>
      </c>
      <c r="C8625" s="1" t="n">
        <v>45344</v>
      </c>
      <c r="D8625" t="inlineStr">
        <is>
          <t>GÄVLEBORGS LÄN</t>
        </is>
      </c>
      <c r="E8625" t="inlineStr">
        <is>
          <t>OCKELBO</t>
        </is>
      </c>
      <c r="F8625" t="inlineStr">
        <is>
          <t>Bergvik skog väst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42067-2023</t>
        </is>
      </c>
      <c r="B8626" s="1" t="n">
        <v>45177</v>
      </c>
      <c r="C8626" s="1" t="n">
        <v>45344</v>
      </c>
      <c r="D8626" t="inlineStr">
        <is>
          <t>GÄVLEBORGS LÄN</t>
        </is>
      </c>
      <c r="E8626" t="inlineStr">
        <is>
          <t>OVANÅKER</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42128-2023</t>
        </is>
      </c>
      <c r="B8627" s="1" t="n">
        <v>45177</v>
      </c>
      <c r="C8627" s="1" t="n">
        <v>45344</v>
      </c>
      <c r="D8627" t="inlineStr">
        <is>
          <t>GÄVLEBORGS LÄN</t>
        </is>
      </c>
      <c r="E8627" t="inlineStr">
        <is>
          <t>HUDIKSVALL</t>
        </is>
      </c>
      <c r="F8627" t="inlineStr">
        <is>
          <t>Holmen skog AB</t>
        </is>
      </c>
      <c r="G8627" t="n">
        <v>9.1</v>
      </c>
      <c r="H8627" t="n">
        <v>0</v>
      </c>
      <c r="I8627" t="n">
        <v>0</v>
      </c>
      <c r="J8627" t="n">
        <v>0</v>
      </c>
      <c r="K8627" t="n">
        <v>0</v>
      </c>
      <c r="L8627" t="n">
        <v>0</v>
      </c>
      <c r="M8627" t="n">
        <v>0</v>
      </c>
      <c r="N8627" t="n">
        <v>0</v>
      </c>
      <c r="O8627" t="n">
        <v>0</v>
      </c>
      <c r="P8627" t="n">
        <v>0</v>
      </c>
      <c r="Q8627" t="n">
        <v>0</v>
      </c>
      <c r="R8627" s="2" t="inlineStr"/>
    </row>
    <row r="8628" ht="15" customHeight="1">
      <c r="A8628" t="inlineStr">
        <is>
          <t>A 42020-2023</t>
        </is>
      </c>
      <c r="B8628" s="1" t="n">
        <v>45177</v>
      </c>
      <c r="C8628" s="1" t="n">
        <v>45344</v>
      </c>
      <c r="D8628" t="inlineStr">
        <is>
          <t>GÄVLEBORGS LÄN</t>
        </is>
      </c>
      <c r="E8628" t="inlineStr">
        <is>
          <t>HOFORS</t>
        </is>
      </c>
      <c r="F8628" t="inlineStr">
        <is>
          <t>Sveaskog</t>
        </is>
      </c>
      <c r="G8628" t="n">
        <v>13.1</v>
      </c>
      <c r="H8628" t="n">
        <v>0</v>
      </c>
      <c r="I8628" t="n">
        <v>0</v>
      </c>
      <c r="J8628" t="n">
        <v>0</v>
      </c>
      <c r="K8628" t="n">
        <v>0</v>
      </c>
      <c r="L8628" t="n">
        <v>0</v>
      </c>
      <c r="M8628" t="n">
        <v>0</v>
      </c>
      <c r="N8628" t="n">
        <v>0</v>
      </c>
      <c r="O8628" t="n">
        <v>0</v>
      </c>
      <c r="P8628" t="n">
        <v>0</v>
      </c>
      <c r="Q8628" t="n">
        <v>0</v>
      </c>
      <c r="R8628" s="2" t="inlineStr"/>
    </row>
    <row r="8629" ht="15" customHeight="1">
      <c r="A8629" t="inlineStr">
        <is>
          <t>A 42101-2023</t>
        </is>
      </c>
      <c r="B8629" s="1" t="n">
        <v>45177</v>
      </c>
      <c r="C8629" s="1" t="n">
        <v>45344</v>
      </c>
      <c r="D8629" t="inlineStr">
        <is>
          <t>GÄVLEBORGS LÄN</t>
        </is>
      </c>
      <c r="E8629" t="inlineStr">
        <is>
          <t>OVANÅKER</t>
        </is>
      </c>
      <c r="G8629" t="n">
        <v>12.1</v>
      </c>
      <c r="H8629" t="n">
        <v>0</v>
      </c>
      <c r="I8629" t="n">
        <v>0</v>
      </c>
      <c r="J8629" t="n">
        <v>0</v>
      </c>
      <c r="K8629" t="n">
        <v>0</v>
      </c>
      <c r="L8629" t="n">
        <v>0</v>
      </c>
      <c r="M8629" t="n">
        <v>0</v>
      </c>
      <c r="N8629" t="n">
        <v>0</v>
      </c>
      <c r="O8629" t="n">
        <v>0</v>
      </c>
      <c r="P8629" t="n">
        <v>0</v>
      </c>
      <c r="Q8629" t="n">
        <v>0</v>
      </c>
      <c r="R8629" s="2" t="inlineStr"/>
    </row>
    <row r="8630" ht="15" customHeight="1">
      <c r="A8630" t="inlineStr">
        <is>
          <t>A 42076-2023</t>
        </is>
      </c>
      <c r="B8630" s="1" t="n">
        <v>45177</v>
      </c>
      <c r="C8630" s="1" t="n">
        <v>45344</v>
      </c>
      <c r="D8630" t="inlineStr">
        <is>
          <t>GÄVLEBORGS LÄN</t>
        </is>
      </c>
      <c r="E8630" t="inlineStr">
        <is>
          <t>OVANÅKER</t>
        </is>
      </c>
      <c r="G8630" t="n">
        <v>3.6</v>
      </c>
      <c r="H8630" t="n">
        <v>0</v>
      </c>
      <c r="I8630" t="n">
        <v>0</v>
      </c>
      <c r="J8630" t="n">
        <v>0</v>
      </c>
      <c r="K8630" t="n">
        <v>0</v>
      </c>
      <c r="L8630" t="n">
        <v>0</v>
      </c>
      <c r="M8630" t="n">
        <v>0</v>
      </c>
      <c r="N8630" t="n">
        <v>0</v>
      </c>
      <c r="O8630" t="n">
        <v>0</v>
      </c>
      <c r="P8630" t="n">
        <v>0</v>
      </c>
      <c r="Q8630" t="n">
        <v>0</v>
      </c>
      <c r="R8630" s="2" t="inlineStr"/>
    </row>
    <row r="8631" ht="15" customHeight="1">
      <c r="A8631" t="inlineStr">
        <is>
          <t>A 42098-2023</t>
        </is>
      </c>
      <c r="B8631" s="1" t="n">
        <v>45177</v>
      </c>
      <c r="C8631" s="1" t="n">
        <v>45344</v>
      </c>
      <c r="D8631" t="inlineStr">
        <is>
          <t>GÄVLEBORGS LÄN</t>
        </is>
      </c>
      <c r="E8631" t="inlineStr">
        <is>
          <t>BOLLNÄS</t>
        </is>
      </c>
      <c r="G8631" t="n">
        <v>10.1</v>
      </c>
      <c r="H8631" t="n">
        <v>0</v>
      </c>
      <c r="I8631" t="n">
        <v>0</v>
      </c>
      <c r="J8631" t="n">
        <v>0</v>
      </c>
      <c r="K8631" t="n">
        <v>0</v>
      </c>
      <c r="L8631" t="n">
        <v>0</v>
      </c>
      <c r="M8631" t="n">
        <v>0</v>
      </c>
      <c r="N8631" t="n">
        <v>0</v>
      </c>
      <c r="O8631" t="n">
        <v>0</v>
      </c>
      <c r="P8631" t="n">
        <v>0</v>
      </c>
      <c r="Q8631" t="n">
        <v>0</v>
      </c>
      <c r="R8631" s="2" t="inlineStr"/>
    </row>
    <row r="8632" ht="15" customHeight="1">
      <c r="A8632" t="inlineStr">
        <is>
          <t>A 42145-2023</t>
        </is>
      </c>
      <c r="B8632" s="1" t="n">
        <v>45178</v>
      </c>
      <c r="C8632" s="1" t="n">
        <v>45344</v>
      </c>
      <c r="D8632" t="inlineStr">
        <is>
          <t>GÄVLEBORGS LÄN</t>
        </is>
      </c>
      <c r="E8632" t="inlineStr">
        <is>
          <t>LJUSDAL</t>
        </is>
      </c>
      <c r="G8632" t="n">
        <v>16.2</v>
      </c>
      <c r="H8632" t="n">
        <v>0</v>
      </c>
      <c r="I8632" t="n">
        <v>0</v>
      </c>
      <c r="J8632" t="n">
        <v>0</v>
      </c>
      <c r="K8632" t="n">
        <v>0</v>
      </c>
      <c r="L8632" t="n">
        <v>0</v>
      </c>
      <c r="M8632" t="n">
        <v>0</v>
      </c>
      <c r="N8632" t="n">
        <v>0</v>
      </c>
      <c r="O8632" t="n">
        <v>0</v>
      </c>
      <c r="P8632" t="n">
        <v>0</v>
      </c>
      <c r="Q8632" t="n">
        <v>0</v>
      </c>
      <c r="R8632" s="2" t="inlineStr"/>
    </row>
    <row r="8633" ht="15" customHeight="1">
      <c r="A8633" t="inlineStr">
        <is>
          <t>A 42930-2023</t>
        </is>
      </c>
      <c r="B8633" s="1" t="n">
        <v>45177</v>
      </c>
      <c r="C8633" s="1" t="n">
        <v>45344</v>
      </c>
      <c r="D8633" t="inlineStr">
        <is>
          <t>GÄVLEBORGS LÄN</t>
        </is>
      </c>
      <c r="E8633" t="inlineStr">
        <is>
          <t>SANDVIKEN</t>
        </is>
      </c>
      <c r="F8633" t="inlineStr">
        <is>
          <t>Bergvik skog väst AB</t>
        </is>
      </c>
      <c r="G8633" t="n">
        <v>20.6</v>
      </c>
      <c r="H8633" t="n">
        <v>0</v>
      </c>
      <c r="I8633" t="n">
        <v>0</v>
      </c>
      <c r="J8633" t="n">
        <v>0</v>
      </c>
      <c r="K8633" t="n">
        <v>0</v>
      </c>
      <c r="L8633" t="n">
        <v>0</v>
      </c>
      <c r="M8633" t="n">
        <v>0</v>
      </c>
      <c r="N8633" t="n">
        <v>0</v>
      </c>
      <c r="O8633" t="n">
        <v>0</v>
      </c>
      <c r="P8633" t="n">
        <v>0</v>
      </c>
      <c r="Q8633" t="n">
        <v>0</v>
      </c>
      <c r="R8633" s="2" t="inlineStr"/>
    </row>
    <row r="8634" ht="15" customHeight="1">
      <c r="A8634" t="inlineStr">
        <is>
          <t>A 42950-2023</t>
        </is>
      </c>
      <c r="B8634" s="1" t="n">
        <v>45178</v>
      </c>
      <c r="C8634" s="1" t="n">
        <v>45344</v>
      </c>
      <c r="D8634" t="inlineStr">
        <is>
          <t>GÄVLEBORGS LÄN</t>
        </is>
      </c>
      <c r="E8634" t="inlineStr">
        <is>
          <t>SANDVIKEN</t>
        </is>
      </c>
      <c r="F8634" t="inlineStr">
        <is>
          <t>Bergvik skog väst AB</t>
        </is>
      </c>
      <c r="G8634" t="n">
        <v>16.5</v>
      </c>
      <c r="H8634" t="n">
        <v>0</v>
      </c>
      <c r="I8634" t="n">
        <v>0</v>
      </c>
      <c r="J8634" t="n">
        <v>0</v>
      </c>
      <c r="K8634" t="n">
        <v>0</v>
      </c>
      <c r="L8634" t="n">
        <v>0</v>
      </c>
      <c r="M8634" t="n">
        <v>0</v>
      </c>
      <c r="N8634" t="n">
        <v>0</v>
      </c>
      <c r="O8634" t="n">
        <v>0</v>
      </c>
      <c r="P8634" t="n">
        <v>0</v>
      </c>
      <c r="Q8634" t="n">
        <v>0</v>
      </c>
      <c r="R8634" s="2" t="inlineStr"/>
    </row>
    <row r="8635" ht="15" customHeight="1">
      <c r="A8635" t="inlineStr">
        <is>
          <t>A 42233-2023</t>
        </is>
      </c>
      <c r="B8635" s="1" t="n">
        <v>45180</v>
      </c>
      <c r="C8635" s="1" t="n">
        <v>45344</v>
      </c>
      <c r="D8635" t="inlineStr">
        <is>
          <t>GÄVLEBORGS LÄN</t>
        </is>
      </c>
      <c r="E8635" t="inlineStr">
        <is>
          <t>BOLLNÄS</t>
        </is>
      </c>
      <c r="G8635" t="n">
        <v>2.1</v>
      </c>
      <c r="H8635" t="n">
        <v>0</v>
      </c>
      <c r="I8635" t="n">
        <v>0</v>
      </c>
      <c r="J8635" t="n">
        <v>0</v>
      </c>
      <c r="K8635" t="n">
        <v>0</v>
      </c>
      <c r="L8635" t="n">
        <v>0</v>
      </c>
      <c r="M8635" t="n">
        <v>0</v>
      </c>
      <c r="N8635" t="n">
        <v>0</v>
      </c>
      <c r="O8635" t="n">
        <v>0</v>
      </c>
      <c r="P8635" t="n">
        <v>0</v>
      </c>
      <c r="Q8635" t="n">
        <v>0</v>
      </c>
      <c r="R8635" s="2" t="inlineStr"/>
    </row>
    <row r="8636" ht="15" customHeight="1">
      <c r="A8636" t="inlineStr">
        <is>
          <t>A 42254-2023</t>
        </is>
      </c>
      <c r="B8636" s="1" t="n">
        <v>45180</v>
      </c>
      <c r="C8636" s="1" t="n">
        <v>45344</v>
      </c>
      <c r="D8636" t="inlineStr">
        <is>
          <t>GÄVLEBORGS LÄN</t>
        </is>
      </c>
      <c r="E8636" t="inlineStr">
        <is>
          <t>OCKELBO</t>
        </is>
      </c>
      <c r="F8636" t="inlineStr">
        <is>
          <t>Bergvik skog väst AB</t>
        </is>
      </c>
      <c r="G8636" t="n">
        <v>10.7</v>
      </c>
      <c r="H8636" t="n">
        <v>0</v>
      </c>
      <c r="I8636" t="n">
        <v>0</v>
      </c>
      <c r="J8636" t="n">
        <v>0</v>
      </c>
      <c r="K8636" t="n">
        <v>0</v>
      </c>
      <c r="L8636" t="n">
        <v>0</v>
      </c>
      <c r="M8636" t="n">
        <v>0</v>
      </c>
      <c r="N8636" t="n">
        <v>0</v>
      </c>
      <c r="O8636" t="n">
        <v>0</v>
      </c>
      <c r="P8636" t="n">
        <v>0</v>
      </c>
      <c r="Q8636" t="n">
        <v>0</v>
      </c>
      <c r="R8636" s="2" t="inlineStr"/>
    </row>
    <row r="8637" ht="15" customHeight="1">
      <c r="A8637" t="inlineStr">
        <is>
          <t>A 42306-2023</t>
        </is>
      </c>
      <c r="B8637" s="1" t="n">
        <v>45180</v>
      </c>
      <c r="C8637" s="1" t="n">
        <v>45344</v>
      </c>
      <c r="D8637" t="inlineStr">
        <is>
          <t>GÄVLEBORGS LÄN</t>
        </is>
      </c>
      <c r="E8637" t="inlineStr">
        <is>
          <t>BOLLNÄS</t>
        </is>
      </c>
      <c r="G8637" t="n">
        <v>4.8</v>
      </c>
      <c r="H8637" t="n">
        <v>0</v>
      </c>
      <c r="I8637" t="n">
        <v>0</v>
      </c>
      <c r="J8637" t="n">
        <v>0</v>
      </c>
      <c r="K8637" t="n">
        <v>0</v>
      </c>
      <c r="L8637" t="n">
        <v>0</v>
      </c>
      <c r="M8637" t="n">
        <v>0</v>
      </c>
      <c r="N8637" t="n">
        <v>0</v>
      </c>
      <c r="O8637" t="n">
        <v>0</v>
      </c>
      <c r="P8637" t="n">
        <v>0</v>
      </c>
      <c r="Q8637" t="n">
        <v>0</v>
      </c>
      <c r="R8637" s="2" t="inlineStr"/>
    </row>
    <row r="8638" ht="15" customHeight="1">
      <c r="A8638" t="inlineStr">
        <is>
          <t>A 42313-2023</t>
        </is>
      </c>
      <c r="B8638" s="1" t="n">
        <v>45180</v>
      </c>
      <c r="C8638" s="1" t="n">
        <v>45344</v>
      </c>
      <c r="D8638" t="inlineStr">
        <is>
          <t>GÄVLEBORGS LÄN</t>
        </is>
      </c>
      <c r="E8638" t="inlineStr">
        <is>
          <t>OCKELBO</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42239-2023</t>
        </is>
      </c>
      <c r="B8639" s="1" t="n">
        <v>45180</v>
      </c>
      <c r="C8639" s="1" t="n">
        <v>45344</v>
      </c>
      <c r="D8639" t="inlineStr">
        <is>
          <t>GÄVLEBORGS LÄN</t>
        </is>
      </c>
      <c r="E8639" t="inlineStr">
        <is>
          <t>HUDIKSVALL</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42244-2023</t>
        </is>
      </c>
      <c r="B8640" s="1" t="n">
        <v>45180</v>
      </c>
      <c r="C8640" s="1" t="n">
        <v>45344</v>
      </c>
      <c r="D8640" t="inlineStr">
        <is>
          <t>GÄVLEBORGS LÄN</t>
        </is>
      </c>
      <c r="E8640" t="inlineStr">
        <is>
          <t>HUDIKSVALL</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42276-2023</t>
        </is>
      </c>
      <c r="B8641" s="1" t="n">
        <v>45180</v>
      </c>
      <c r="C8641" s="1" t="n">
        <v>45344</v>
      </c>
      <c r="D8641" t="inlineStr">
        <is>
          <t>GÄVLEBORGS LÄN</t>
        </is>
      </c>
      <c r="E8641" t="inlineStr">
        <is>
          <t>LJUSDAL</t>
        </is>
      </c>
      <c r="G8641" t="n">
        <v>6.9</v>
      </c>
      <c r="H8641" t="n">
        <v>0</v>
      </c>
      <c r="I8641" t="n">
        <v>0</v>
      </c>
      <c r="J8641" t="n">
        <v>0</v>
      </c>
      <c r="K8641" t="n">
        <v>0</v>
      </c>
      <c r="L8641" t="n">
        <v>0</v>
      </c>
      <c r="M8641" t="n">
        <v>0</v>
      </c>
      <c r="N8641" t="n">
        <v>0</v>
      </c>
      <c r="O8641" t="n">
        <v>0</v>
      </c>
      <c r="P8641" t="n">
        <v>0</v>
      </c>
      <c r="Q8641" t="n">
        <v>0</v>
      </c>
      <c r="R8641" s="2" t="inlineStr"/>
    </row>
    <row r="8642" ht="15" customHeight="1">
      <c r="A8642" t="inlineStr">
        <is>
          <t>A 42314-2023</t>
        </is>
      </c>
      <c r="B8642" s="1" t="n">
        <v>45180</v>
      </c>
      <c r="C8642" s="1" t="n">
        <v>45344</v>
      </c>
      <c r="D8642" t="inlineStr">
        <is>
          <t>GÄVLEBORGS LÄN</t>
        </is>
      </c>
      <c r="E8642" t="inlineStr">
        <is>
          <t>BOLLNÄS</t>
        </is>
      </c>
      <c r="G8642" t="n">
        <v>11.9</v>
      </c>
      <c r="H8642" t="n">
        <v>0</v>
      </c>
      <c r="I8642" t="n">
        <v>0</v>
      </c>
      <c r="J8642" t="n">
        <v>0</v>
      </c>
      <c r="K8642" t="n">
        <v>0</v>
      </c>
      <c r="L8642" t="n">
        <v>0</v>
      </c>
      <c r="M8642" t="n">
        <v>0</v>
      </c>
      <c r="N8642" t="n">
        <v>0</v>
      </c>
      <c r="O8642" t="n">
        <v>0</v>
      </c>
      <c r="P8642" t="n">
        <v>0</v>
      </c>
      <c r="Q8642" t="n">
        <v>0</v>
      </c>
      <c r="R8642" s="2" t="inlineStr"/>
    </row>
    <row r="8643" ht="15" customHeight="1">
      <c r="A8643" t="inlineStr">
        <is>
          <t>A 42419-2023</t>
        </is>
      </c>
      <c r="B8643" s="1" t="n">
        <v>45180</v>
      </c>
      <c r="C8643" s="1" t="n">
        <v>45344</v>
      </c>
      <c r="D8643" t="inlineStr">
        <is>
          <t>GÄVLEBORGS LÄN</t>
        </is>
      </c>
      <c r="E8643" t="inlineStr">
        <is>
          <t>LJUSDAL</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42336-2023</t>
        </is>
      </c>
      <c r="B8644" s="1" t="n">
        <v>45180</v>
      </c>
      <c r="C8644" s="1" t="n">
        <v>45344</v>
      </c>
      <c r="D8644" t="inlineStr">
        <is>
          <t>GÄVLEBORGS LÄN</t>
        </is>
      </c>
      <c r="E8644" t="inlineStr">
        <is>
          <t>SÖDERHAMN</t>
        </is>
      </c>
      <c r="F8644" t="inlineStr">
        <is>
          <t>Bergvik skog väst AB</t>
        </is>
      </c>
      <c r="G8644" t="n">
        <v>3</v>
      </c>
      <c r="H8644" t="n">
        <v>0</v>
      </c>
      <c r="I8644" t="n">
        <v>0</v>
      </c>
      <c r="J8644" t="n">
        <v>0</v>
      </c>
      <c r="K8644" t="n">
        <v>0</v>
      </c>
      <c r="L8644" t="n">
        <v>0</v>
      </c>
      <c r="M8644" t="n">
        <v>0</v>
      </c>
      <c r="N8644" t="n">
        <v>0</v>
      </c>
      <c r="O8644" t="n">
        <v>0</v>
      </c>
      <c r="P8644" t="n">
        <v>0</v>
      </c>
      <c r="Q8644" t="n">
        <v>0</v>
      </c>
      <c r="R8644" s="2" t="inlineStr"/>
    </row>
    <row r="8645" ht="15" customHeight="1">
      <c r="A8645" t="inlineStr">
        <is>
          <t>A 42555-2023</t>
        </is>
      </c>
      <c r="B8645" s="1" t="n">
        <v>45181</v>
      </c>
      <c r="C8645" s="1" t="n">
        <v>45344</v>
      </c>
      <c r="D8645" t="inlineStr">
        <is>
          <t>GÄVLEBORGS LÄN</t>
        </is>
      </c>
      <c r="E8645" t="inlineStr">
        <is>
          <t>HUDIKSVALL</t>
        </is>
      </c>
      <c r="G8645" t="n">
        <v>6.2</v>
      </c>
      <c r="H8645" t="n">
        <v>0</v>
      </c>
      <c r="I8645" t="n">
        <v>0</v>
      </c>
      <c r="J8645" t="n">
        <v>0</v>
      </c>
      <c r="K8645" t="n">
        <v>0</v>
      </c>
      <c r="L8645" t="n">
        <v>0</v>
      </c>
      <c r="M8645" t="n">
        <v>0</v>
      </c>
      <c r="N8645" t="n">
        <v>0</v>
      </c>
      <c r="O8645" t="n">
        <v>0</v>
      </c>
      <c r="P8645" t="n">
        <v>0</v>
      </c>
      <c r="Q8645" t="n">
        <v>0</v>
      </c>
      <c r="R8645" s="2" t="inlineStr"/>
    </row>
    <row r="8646" ht="15" customHeight="1">
      <c r="A8646" t="inlineStr">
        <is>
          <t>A 42567-2023</t>
        </is>
      </c>
      <c r="B8646" s="1" t="n">
        <v>45181</v>
      </c>
      <c r="C8646" s="1" t="n">
        <v>45344</v>
      </c>
      <c r="D8646" t="inlineStr">
        <is>
          <t>GÄVLEBORGS LÄN</t>
        </is>
      </c>
      <c r="E8646" t="inlineStr">
        <is>
          <t>OVANÅKER</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42576-2023</t>
        </is>
      </c>
      <c r="B8647" s="1" t="n">
        <v>45181</v>
      </c>
      <c r="C8647" s="1" t="n">
        <v>45344</v>
      </c>
      <c r="D8647" t="inlineStr">
        <is>
          <t>GÄVLEBORGS LÄN</t>
        </is>
      </c>
      <c r="E8647" t="inlineStr">
        <is>
          <t>OCKELBO</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42580-2023</t>
        </is>
      </c>
      <c r="B8648" s="1" t="n">
        <v>45181</v>
      </c>
      <c r="C8648" s="1" t="n">
        <v>45344</v>
      </c>
      <c r="D8648" t="inlineStr">
        <is>
          <t>GÄVLEBORGS LÄN</t>
        </is>
      </c>
      <c r="E8648" t="inlineStr">
        <is>
          <t>LJUSDAL</t>
        </is>
      </c>
      <c r="F8648" t="inlineStr">
        <is>
          <t>Bergvik skog väst AB</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42599-2023</t>
        </is>
      </c>
      <c r="B8649" s="1" t="n">
        <v>45181</v>
      </c>
      <c r="C8649" s="1" t="n">
        <v>45344</v>
      </c>
      <c r="D8649" t="inlineStr">
        <is>
          <t>GÄVLEBORGS LÄN</t>
        </is>
      </c>
      <c r="E8649" t="inlineStr">
        <is>
          <t>OCKELBO</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42585-2023</t>
        </is>
      </c>
      <c r="B8650" s="1" t="n">
        <v>45181</v>
      </c>
      <c r="C8650" s="1" t="n">
        <v>45344</v>
      </c>
      <c r="D8650" t="inlineStr">
        <is>
          <t>GÄVLEBORGS LÄN</t>
        </is>
      </c>
      <c r="E8650" t="inlineStr">
        <is>
          <t>OCKELBO</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42639-2023</t>
        </is>
      </c>
      <c r="B8651" s="1" t="n">
        <v>45181</v>
      </c>
      <c r="C8651" s="1" t="n">
        <v>45344</v>
      </c>
      <c r="D8651" t="inlineStr">
        <is>
          <t>GÄVLEBORGS LÄN</t>
        </is>
      </c>
      <c r="E8651" t="inlineStr">
        <is>
          <t>BOLLNÄS</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42660-2023</t>
        </is>
      </c>
      <c r="B8652" s="1" t="n">
        <v>45181</v>
      </c>
      <c r="C8652" s="1" t="n">
        <v>45344</v>
      </c>
      <c r="D8652" t="inlineStr">
        <is>
          <t>GÄVLEBORGS LÄN</t>
        </is>
      </c>
      <c r="E8652" t="inlineStr">
        <is>
          <t>SANDVIKEN</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42732-2023</t>
        </is>
      </c>
      <c r="B8653" s="1" t="n">
        <v>45181</v>
      </c>
      <c r="C8653" s="1" t="n">
        <v>45344</v>
      </c>
      <c r="D8653" t="inlineStr">
        <is>
          <t>GÄVLEBORGS LÄN</t>
        </is>
      </c>
      <c r="E8653" t="inlineStr">
        <is>
          <t>LJUSDAL</t>
        </is>
      </c>
      <c r="F8653" t="inlineStr">
        <is>
          <t>Kommuner</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42572-2023</t>
        </is>
      </c>
      <c r="B8654" s="1" t="n">
        <v>45181</v>
      </c>
      <c r="C8654" s="1" t="n">
        <v>45344</v>
      </c>
      <c r="D8654" t="inlineStr">
        <is>
          <t>GÄVLEBORGS LÄN</t>
        </is>
      </c>
      <c r="E8654" t="inlineStr">
        <is>
          <t>LJUSDAL</t>
        </is>
      </c>
      <c r="F8654" t="inlineStr">
        <is>
          <t>Bergvik skog väst AB</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42729-2023</t>
        </is>
      </c>
      <c r="B8655" s="1" t="n">
        <v>45181</v>
      </c>
      <c r="C8655" s="1" t="n">
        <v>45344</v>
      </c>
      <c r="D8655" t="inlineStr">
        <is>
          <t>GÄVLEBORGS LÄN</t>
        </is>
      </c>
      <c r="E8655" t="inlineStr">
        <is>
          <t>HUDIKSVALL</t>
        </is>
      </c>
      <c r="F8655" t="inlineStr">
        <is>
          <t>Holmen skog AB</t>
        </is>
      </c>
      <c r="G8655" t="n">
        <v>7.8</v>
      </c>
      <c r="H8655" t="n">
        <v>0</v>
      </c>
      <c r="I8655" t="n">
        <v>0</v>
      </c>
      <c r="J8655" t="n">
        <v>0</v>
      </c>
      <c r="K8655" t="n">
        <v>0</v>
      </c>
      <c r="L8655" t="n">
        <v>0</v>
      </c>
      <c r="M8655" t="n">
        <v>0</v>
      </c>
      <c r="N8655" t="n">
        <v>0</v>
      </c>
      <c r="O8655" t="n">
        <v>0</v>
      </c>
      <c r="P8655" t="n">
        <v>0</v>
      </c>
      <c r="Q8655" t="n">
        <v>0</v>
      </c>
      <c r="R8655" s="2" t="inlineStr"/>
    </row>
    <row r="8656" ht="15" customHeight="1">
      <c r="A8656" t="inlineStr">
        <is>
          <t>A 42596-2023</t>
        </is>
      </c>
      <c r="B8656" s="1" t="n">
        <v>45181</v>
      </c>
      <c r="C8656" s="1" t="n">
        <v>45344</v>
      </c>
      <c r="D8656" t="inlineStr">
        <is>
          <t>GÄVLEBORGS LÄN</t>
        </is>
      </c>
      <c r="E8656" t="inlineStr">
        <is>
          <t>LJUSDAL</t>
        </is>
      </c>
      <c r="F8656" t="inlineStr">
        <is>
          <t>Holmen skog AB</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42685-2023</t>
        </is>
      </c>
      <c r="B8657" s="1" t="n">
        <v>45181</v>
      </c>
      <c r="C8657" s="1" t="n">
        <v>45344</v>
      </c>
      <c r="D8657" t="inlineStr">
        <is>
          <t>GÄVLEBORGS LÄN</t>
        </is>
      </c>
      <c r="E8657" t="inlineStr">
        <is>
          <t>LJUSDAL</t>
        </is>
      </c>
      <c r="F8657" t="inlineStr">
        <is>
          <t>Holmen skog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42934-2023</t>
        </is>
      </c>
      <c r="B8658" s="1" t="n">
        <v>45182</v>
      </c>
      <c r="C8658" s="1" t="n">
        <v>45344</v>
      </c>
      <c r="D8658" t="inlineStr">
        <is>
          <t>GÄVLEBORGS LÄN</t>
        </is>
      </c>
      <c r="E8658" t="inlineStr">
        <is>
          <t>GÄVLE</t>
        </is>
      </c>
      <c r="F8658" t="inlineStr">
        <is>
          <t>Bergvik skog väst AB</t>
        </is>
      </c>
      <c r="G8658" t="n">
        <v>1.2</v>
      </c>
      <c r="H8658" t="n">
        <v>0</v>
      </c>
      <c r="I8658" t="n">
        <v>0</v>
      </c>
      <c r="J8658" t="n">
        <v>0</v>
      </c>
      <c r="K8658" t="n">
        <v>0</v>
      </c>
      <c r="L8658" t="n">
        <v>0</v>
      </c>
      <c r="M8658" t="n">
        <v>0</v>
      </c>
      <c r="N8658" t="n">
        <v>0</v>
      </c>
      <c r="O8658" t="n">
        <v>0</v>
      </c>
      <c r="P8658" t="n">
        <v>0</v>
      </c>
      <c r="Q8658" t="n">
        <v>0</v>
      </c>
      <c r="R8658" s="2" t="inlineStr"/>
    </row>
    <row r="8659" ht="15" customHeight="1">
      <c r="A8659" t="inlineStr">
        <is>
          <t>A 42979-2023</t>
        </is>
      </c>
      <c r="B8659" s="1" t="n">
        <v>45182</v>
      </c>
      <c r="C8659" s="1" t="n">
        <v>45344</v>
      </c>
      <c r="D8659" t="inlineStr">
        <is>
          <t>GÄVLEBORGS LÄN</t>
        </is>
      </c>
      <c r="E8659" t="inlineStr">
        <is>
          <t>LJUSDAL</t>
        </is>
      </c>
      <c r="G8659" t="n">
        <v>13.2</v>
      </c>
      <c r="H8659" t="n">
        <v>0</v>
      </c>
      <c r="I8659" t="n">
        <v>0</v>
      </c>
      <c r="J8659" t="n">
        <v>0</v>
      </c>
      <c r="K8659" t="n">
        <v>0</v>
      </c>
      <c r="L8659" t="n">
        <v>0</v>
      </c>
      <c r="M8659" t="n">
        <v>0</v>
      </c>
      <c r="N8659" t="n">
        <v>0</v>
      </c>
      <c r="O8659" t="n">
        <v>0</v>
      </c>
      <c r="P8659" t="n">
        <v>0</v>
      </c>
      <c r="Q8659" t="n">
        <v>0</v>
      </c>
      <c r="R8659" s="2" t="inlineStr"/>
    </row>
    <row r="8660" ht="15" customHeight="1">
      <c r="A8660" t="inlineStr">
        <is>
          <t>A 43007-2023</t>
        </is>
      </c>
      <c r="B8660" s="1" t="n">
        <v>45182</v>
      </c>
      <c r="C8660" s="1" t="n">
        <v>45344</v>
      </c>
      <c r="D8660" t="inlineStr">
        <is>
          <t>GÄVLEBORGS LÄN</t>
        </is>
      </c>
      <c r="E8660" t="inlineStr">
        <is>
          <t>HUDIKSVALL</t>
        </is>
      </c>
      <c r="F8660" t="inlineStr">
        <is>
          <t>Holmen skog AB</t>
        </is>
      </c>
      <c r="G8660" t="n">
        <v>5.8</v>
      </c>
      <c r="H8660" t="n">
        <v>0</v>
      </c>
      <c r="I8660" t="n">
        <v>0</v>
      </c>
      <c r="J8660" t="n">
        <v>0</v>
      </c>
      <c r="K8660" t="n">
        <v>0</v>
      </c>
      <c r="L8660" t="n">
        <v>0</v>
      </c>
      <c r="M8660" t="n">
        <v>0</v>
      </c>
      <c r="N8660" t="n">
        <v>0</v>
      </c>
      <c r="O8660" t="n">
        <v>0</v>
      </c>
      <c r="P8660" t="n">
        <v>0</v>
      </c>
      <c r="Q8660" t="n">
        <v>0</v>
      </c>
      <c r="R8660" s="2" t="inlineStr"/>
    </row>
    <row r="8661" ht="15" customHeight="1">
      <c r="A8661" t="inlineStr">
        <is>
          <t>A 43021-2023</t>
        </is>
      </c>
      <c r="B8661" s="1" t="n">
        <v>45182</v>
      </c>
      <c r="C8661" s="1" t="n">
        <v>45344</v>
      </c>
      <c r="D8661" t="inlineStr">
        <is>
          <t>GÄVLEBORGS LÄN</t>
        </is>
      </c>
      <c r="E8661" t="inlineStr">
        <is>
          <t>OVANÅKER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42876-2023</t>
        </is>
      </c>
      <c r="B8662" s="1" t="n">
        <v>45182</v>
      </c>
      <c r="C8662" s="1" t="n">
        <v>45344</v>
      </c>
      <c r="D8662" t="inlineStr">
        <is>
          <t>GÄVLEBORGS LÄN</t>
        </is>
      </c>
      <c r="E8662" t="inlineStr">
        <is>
          <t>GÄVLE</t>
        </is>
      </c>
      <c r="F8662" t="inlineStr">
        <is>
          <t>Bergvik skog väst AB</t>
        </is>
      </c>
      <c r="G8662" t="n">
        <v>22.7</v>
      </c>
      <c r="H8662" t="n">
        <v>0</v>
      </c>
      <c r="I8662" t="n">
        <v>0</v>
      </c>
      <c r="J8662" t="n">
        <v>0</v>
      </c>
      <c r="K8662" t="n">
        <v>0</v>
      </c>
      <c r="L8662" t="n">
        <v>0</v>
      </c>
      <c r="M8662" t="n">
        <v>0</v>
      </c>
      <c r="N8662" t="n">
        <v>0</v>
      </c>
      <c r="O8662" t="n">
        <v>0</v>
      </c>
      <c r="P8662" t="n">
        <v>0</v>
      </c>
      <c r="Q8662" t="n">
        <v>0</v>
      </c>
      <c r="R8662" s="2" t="inlineStr"/>
    </row>
    <row r="8663" ht="15" customHeight="1">
      <c r="A8663" t="inlineStr">
        <is>
          <t>A 42841-2023</t>
        </is>
      </c>
      <c r="B8663" s="1" t="n">
        <v>45182</v>
      </c>
      <c r="C8663" s="1" t="n">
        <v>45344</v>
      </c>
      <c r="D8663" t="inlineStr">
        <is>
          <t>GÄVLEBORGS LÄN</t>
        </is>
      </c>
      <c r="E8663" t="inlineStr">
        <is>
          <t>LJUSDAL</t>
        </is>
      </c>
      <c r="F8663" t="inlineStr">
        <is>
          <t>Allmännings- och besparingsskogar</t>
        </is>
      </c>
      <c r="G8663" t="n">
        <v>28.8</v>
      </c>
      <c r="H8663" t="n">
        <v>0</v>
      </c>
      <c r="I8663" t="n">
        <v>0</v>
      </c>
      <c r="J8663" t="n">
        <v>0</v>
      </c>
      <c r="K8663" t="n">
        <v>0</v>
      </c>
      <c r="L8663" t="n">
        <v>0</v>
      </c>
      <c r="M8663" t="n">
        <v>0</v>
      </c>
      <c r="N8663" t="n">
        <v>0</v>
      </c>
      <c r="O8663" t="n">
        <v>0</v>
      </c>
      <c r="P8663" t="n">
        <v>0</v>
      </c>
      <c r="Q8663" t="n">
        <v>0</v>
      </c>
      <c r="R8663" s="2" t="inlineStr"/>
    </row>
    <row r="8664" ht="15" customHeight="1">
      <c r="A8664" t="inlineStr">
        <is>
          <t>A 42862-2023</t>
        </is>
      </c>
      <c r="B8664" s="1" t="n">
        <v>45182</v>
      </c>
      <c r="C8664" s="1" t="n">
        <v>45344</v>
      </c>
      <c r="D8664" t="inlineStr">
        <is>
          <t>GÄVLEBORGS LÄN</t>
        </is>
      </c>
      <c r="E8664" t="inlineStr">
        <is>
          <t>BOLLNÄS</t>
        </is>
      </c>
      <c r="F8664" t="inlineStr">
        <is>
          <t>Sveaskog</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42949-2023</t>
        </is>
      </c>
      <c r="B8665" s="1" t="n">
        <v>45182</v>
      </c>
      <c r="C8665" s="1" t="n">
        <v>45344</v>
      </c>
      <c r="D8665" t="inlineStr">
        <is>
          <t>GÄVLEBORGS LÄN</t>
        </is>
      </c>
      <c r="E8665" t="inlineStr">
        <is>
          <t>LJUSDAL</t>
        </is>
      </c>
      <c r="G8665" t="n">
        <v>10.4</v>
      </c>
      <c r="H8665" t="n">
        <v>0</v>
      </c>
      <c r="I8665" t="n">
        <v>0</v>
      </c>
      <c r="J8665" t="n">
        <v>0</v>
      </c>
      <c r="K8665" t="n">
        <v>0</v>
      </c>
      <c r="L8665" t="n">
        <v>0</v>
      </c>
      <c r="M8665" t="n">
        <v>0</v>
      </c>
      <c r="N8665" t="n">
        <v>0</v>
      </c>
      <c r="O8665" t="n">
        <v>0</v>
      </c>
      <c r="P8665" t="n">
        <v>0</v>
      </c>
      <c r="Q8665" t="n">
        <v>0</v>
      </c>
      <c r="R8665" s="2" t="inlineStr"/>
    </row>
    <row r="8666" ht="15" customHeight="1">
      <c r="A8666" t="inlineStr">
        <is>
          <t>A 43090-2023</t>
        </is>
      </c>
      <c r="B8666" s="1" t="n">
        <v>45182</v>
      </c>
      <c r="C8666" s="1" t="n">
        <v>45344</v>
      </c>
      <c r="D8666" t="inlineStr">
        <is>
          <t>GÄVLEBORGS LÄN</t>
        </is>
      </c>
      <c r="E8666" t="inlineStr">
        <is>
          <t>SANDVIKEN</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43087-2023</t>
        </is>
      </c>
      <c r="B8667" s="1" t="n">
        <v>45182</v>
      </c>
      <c r="C8667" s="1" t="n">
        <v>45344</v>
      </c>
      <c r="D8667" t="inlineStr">
        <is>
          <t>GÄVLEBORGS LÄN</t>
        </is>
      </c>
      <c r="E8667" t="inlineStr">
        <is>
          <t>SANDVIKEN</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43018-2023</t>
        </is>
      </c>
      <c r="B8668" s="1" t="n">
        <v>45182</v>
      </c>
      <c r="C8668" s="1" t="n">
        <v>45344</v>
      </c>
      <c r="D8668" t="inlineStr">
        <is>
          <t>GÄVLEBORGS LÄN</t>
        </is>
      </c>
      <c r="E8668" t="inlineStr">
        <is>
          <t>LJUSDAL</t>
        </is>
      </c>
      <c r="G8668" t="n">
        <v>8.199999999999999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43023-2023</t>
        </is>
      </c>
      <c r="B8669" s="1" t="n">
        <v>45182</v>
      </c>
      <c r="C8669" s="1" t="n">
        <v>45344</v>
      </c>
      <c r="D8669" t="inlineStr">
        <is>
          <t>GÄVLEBORGS LÄN</t>
        </is>
      </c>
      <c r="E8669" t="inlineStr">
        <is>
          <t>OVANÅKER</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42926-2023</t>
        </is>
      </c>
      <c r="B8670" s="1" t="n">
        <v>45182</v>
      </c>
      <c r="C8670" s="1" t="n">
        <v>45344</v>
      </c>
      <c r="D8670" t="inlineStr">
        <is>
          <t>GÄVLEBORGS LÄN</t>
        </is>
      </c>
      <c r="E8670" t="inlineStr">
        <is>
          <t>NORDANSTIG</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43080-2023</t>
        </is>
      </c>
      <c r="B8671" s="1" t="n">
        <v>45182</v>
      </c>
      <c r="C8671" s="1" t="n">
        <v>45344</v>
      </c>
      <c r="D8671" t="inlineStr">
        <is>
          <t>GÄVLEBORGS LÄN</t>
        </is>
      </c>
      <c r="E8671" t="inlineStr">
        <is>
          <t>NORDANSTIG</t>
        </is>
      </c>
      <c r="G8671" t="n">
        <v>11.6</v>
      </c>
      <c r="H8671" t="n">
        <v>0</v>
      </c>
      <c r="I8671" t="n">
        <v>0</v>
      </c>
      <c r="J8671" t="n">
        <v>0</v>
      </c>
      <c r="K8671" t="n">
        <v>0</v>
      </c>
      <c r="L8671" t="n">
        <v>0</v>
      </c>
      <c r="M8671" t="n">
        <v>0</v>
      </c>
      <c r="N8671" t="n">
        <v>0</v>
      </c>
      <c r="O8671" t="n">
        <v>0</v>
      </c>
      <c r="P8671" t="n">
        <v>0</v>
      </c>
      <c r="Q8671" t="n">
        <v>0</v>
      </c>
      <c r="R8671" s="2" t="inlineStr"/>
    </row>
    <row r="8672" ht="15" customHeight="1">
      <c r="A8672" t="inlineStr">
        <is>
          <t>A 43073-2023</t>
        </is>
      </c>
      <c r="B8672" s="1" t="n">
        <v>45182</v>
      </c>
      <c r="C8672" s="1" t="n">
        <v>45344</v>
      </c>
      <c r="D8672" t="inlineStr">
        <is>
          <t>GÄVLEBORGS LÄN</t>
        </is>
      </c>
      <c r="E8672" t="inlineStr">
        <is>
          <t>BOLLNÄS</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43089-2023</t>
        </is>
      </c>
      <c r="B8673" s="1" t="n">
        <v>45182</v>
      </c>
      <c r="C8673" s="1" t="n">
        <v>45344</v>
      </c>
      <c r="D8673" t="inlineStr">
        <is>
          <t>GÄVLEBORGS LÄN</t>
        </is>
      </c>
      <c r="E8673" t="inlineStr">
        <is>
          <t>SANDVIKEN</t>
        </is>
      </c>
      <c r="G8673" t="n">
        <v>1.4</v>
      </c>
      <c r="H8673" t="n">
        <v>0</v>
      </c>
      <c r="I8673" t="n">
        <v>0</v>
      </c>
      <c r="J8673" t="n">
        <v>0</v>
      </c>
      <c r="K8673" t="n">
        <v>0</v>
      </c>
      <c r="L8673" t="n">
        <v>0</v>
      </c>
      <c r="M8673" t="n">
        <v>0</v>
      </c>
      <c r="N8673" t="n">
        <v>0</v>
      </c>
      <c r="O8673" t="n">
        <v>0</v>
      </c>
      <c r="P8673" t="n">
        <v>0</v>
      </c>
      <c r="Q8673" t="n">
        <v>0</v>
      </c>
      <c r="R8673" s="2" t="inlineStr"/>
    </row>
    <row r="8674" ht="15" customHeight="1">
      <c r="A8674" t="inlineStr">
        <is>
          <t>A 43121-2023</t>
        </is>
      </c>
      <c r="B8674" s="1" t="n">
        <v>45183</v>
      </c>
      <c r="C8674" s="1" t="n">
        <v>45344</v>
      </c>
      <c r="D8674" t="inlineStr">
        <is>
          <t>GÄVLEBORGS LÄN</t>
        </is>
      </c>
      <c r="E8674" t="inlineStr">
        <is>
          <t>LJUSDAL</t>
        </is>
      </c>
      <c r="F8674" t="inlineStr">
        <is>
          <t>SCA</t>
        </is>
      </c>
      <c r="G8674" t="n">
        <v>7.6</v>
      </c>
      <c r="H8674" t="n">
        <v>0</v>
      </c>
      <c r="I8674" t="n">
        <v>0</v>
      </c>
      <c r="J8674" t="n">
        <v>0</v>
      </c>
      <c r="K8674" t="n">
        <v>0</v>
      </c>
      <c r="L8674" t="n">
        <v>0</v>
      </c>
      <c r="M8674" t="n">
        <v>0</v>
      </c>
      <c r="N8674" t="n">
        <v>0</v>
      </c>
      <c r="O8674" t="n">
        <v>0</v>
      </c>
      <c r="P8674" t="n">
        <v>0</v>
      </c>
      <c r="Q8674" t="n">
        <v>0</v>
      </c>
      <c r="R8674" s="2" t="inlineStr"/>
    </row>
    <row r="8675" ht="15" customHeight="1">
      <c r="A8675" t="inlineStr">
        <is>
          <t>A 43152-2023</t>
        </is>
      </c>
      <c r="B8675" s="1" t="n">
        <v>45183</v>
      </c>
      <c r="C8675" s="1" t="n">
        <v>45344</v>
      </c>
      <c r="D8675" t="inlineStr">
        <is>
          <t>GÄVLEBORGS LÄN</t>
        </is>
      </c>
      <c r="E8675" t="inlineStr">
        <is>
          <t>BOLLNÄS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43145-2023</t>
        </is>
      </c>
      <c r="B8676" s="1" t="n">
        <v>45183</v>
      </c>
      <c r="C8676" s="1" t="n">
        <v>45344</v>
      </c>
      <c r="D8676" t="inlineStr">
        <is>
          <t>GÄVLEBORGS LÄN</t>
        </is>
      </c>
      <c r="E8676" t="inlineStr">
        <is>
          <t>OVANÅKER</t>
        </is>
      </c>
      <c r="G8676" t="n">
        <v>4</v>
      </c>
      <c r="H8676" t="n">
        <v>0</v>
      </c>
      <c r="I8676" t="n">
        <v>0</v>
      </c>
      <c r="J8676" t="n">
        <v>0</v>
      </c>
      <c r="K8676" t="n">
        <v>0</v>
      </c>
      <c r="L8676" t="n">
        <v>0</v>
      </c>
      <c r="M8676" t="n">
        <v>0</v>
      </c>
      <c r="N8676" t="n">
        <v>0</v>
      </c>
      <c r="O8676" t="n">
        <v>0</v>
      </c>
      <c r="P8676" t="n">
        <v>0</v>
      </c>
      <c r="Q8676" t="n">
        <v>0</v>
      </c>
      <c r="R8676" s="2" t="inlineStr"/>
    </row>
    <row r="8677" ht="15" customHeight="1">
      <c r="A8677" t="inlineStr">
        <is>
          <t>A 43149-2023</t>
        </is>
      </c>
      <c r="B8677" s="1" t="n">
        <v>45183</v>
      </c>
      <c r="C8677" s="1" t="n">
        <v>45344</v>
      </c>
      <c r="D8677" t="inlineStr">
        <is>
          <t>GÄVLEBORGS LÄN</t>
        </is>
      </c>
      <c r="E8677" t="inlineStr">
        <is>
          <t>BOLLNÄS</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43169-2023</t>
        </is>
      </c>
      <c r="B8678" s="1" t="n">
        <v>45183</v>
      </c>
      <c r="C8678" s="1" t="n">
        <v>45344</v>
      </c>
      <c r="D8678" t="inlineStr">
        <is>
          <t>GÄVLEBORGS LÄN</t>
        </is>
      </c>
      <c r="E8678" t="inlineStr">
        <is>
          <t>OVANÅKER</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43274-2023</t>
        </is>
      </c>
      <c r="B8679" s="1" t="n">
        <v>45183</v>
      </c>
      <c r="C8679" s="1" t="n">
        <v>45344</v>
      </c>
      <c r="D8679" t="inlineStr">
        <is>
          <t>GÄVLEBORGS LÄN</t>
        </is>
      </c>
      <c r="E8679" t="inlineStr">
        <is>
          <t>OVANÅKER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43299-2023</t>
        </is>
      </c>
      <c r="B8680" s="1" t="n">
        <v>45183</v>
      </c>
      <c r="C8680" s="1" t="n">
        <v>45344</v>
      </c>
      <c r="D8680" t="inlineStr">
        <is>
          <t>GÄVLEBORGS LÄN</t>
        </is>
      </c>
      <c r="E8680" t="inlineStr">
        <is>
          <t>OVANÅKER</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43381-2023</t>
        </is>
      </c>
      <c r="B8681" s="1" t="n">
        <v>45183</v>
      </c>
      <c r="C8681" s="1" t="n">
        <v>45344</v>
      </c>
      <c r="D8681" t="inlineStr">
        <is>
          <t>GÄVLEBORGS LÄN</t>
        </is>
      </c>
      <c r="E8681" t="inlineStr">
        <is>
          <t>NORDANSTIG</t>
        </is>
      </c>
      <c r="F8681" t="inlineStr">
        <is>
          <t>Holmen skog AB</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43259-2023</t>
        </is>
      </c>
      <c r="B8682" s="1" t="n">
        <v>45183</v>
      </c>
      <c r="C8682" s="1" t="n">
        <v>45344</v>
      </c>
      <c r="D8682" t="inlineStr">
        <is>
          <t>GÄVLEBORGS LÄN</t>
        </is>
      </c>
      <c r="E8682" t="inlineStr">
        <is>
          <t>OVANÅKER</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43395-2023</t>
        </is>
      </c>
      <c r="B8683" s="1" t="n">
        <v>45184</v>
      </c>
      <c r="C8683" s="1" t="n">
        <v>45344</v>
      </c>
      <c r="D8683" t="inlineStr">
        <is>
          <t>GÄVLEBORGS LÄN</t>
        </is>
      </c>
      <c r="E8683" t="inlineStr">
        <is>
          <t>SÖDERHAMN</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43318-2023</t>
        </is>
      </c>
      <c r="B8684" s="1" t="n">
        <v>45183</v>
      </c>
      <c r="C8684" s="1" t="n">
        <v>45344</v>
      </c>
      <c r="D8684" t="inlineStr">
        <is>
          <t>GÄVLEBORGS LÄN</t>
        </is>
      </c>
      <c r="E8684" t="inlineStr">
        <is>
          <t>HOFORS</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43322-2023</t>
        </is>
      </c>
      <c r="B8685" s="1" t="n">
        <v>45183</v>
      </c>
      <c r="C8685" s="1" t="n">
        <v>45344</v>
      </c>
      <c r="D8685" t="inlineStr">
        <is>
          <t>GÄVLEBORGS LÄN</t>
        </is>
      </c>
      <c r="E8685" t="inlineStr">
        <is>
          <t>NORDANSTIG</t>
        </is>
      </c>
      <c r="G8685" t="n">
        <v>11.4</v>
      </c>
      <c r="H8685" t="n">
        <v>0</v>
      </c>
      <c r="I8685" t="n">
        <v>0</v>
      </c>
      <c r="J8685" t="n">
        <v>0</v>
      </c>
      <c r="K8685" t="n">
        <v>0</v>
      </c>
      <c r="L8685" t="n">
        <v>0</v>
      </c>
      <c r="M8685" t="n">
        <v>0</v>
      </c>
      <c r="N8685" t="n">
        <v>0</v>
      </c>
      <c r="O8685" t="n">
        <v>0</v>
      </c>
      <c r="P8685" t="n">
        <v>0</v>
      </c>
      <c r="Q8685" t="n">
        <v>0</v>
      </c>
      <c r="R8685" s="2" t="inlineStr"/>
    </row>
    <row r="8686" ht="15" customHeight="1">
      <c r="A8686" t="inlineStr">
        <is>
          <t>A 43400-2023</t>
        </is>
      </c>
      <c r="B8686" s="1" t="n">
        <v>45184</v>
      </c>
      <c r="C8686" s="1" t="n">
        <v>45344</v>
      </c>
      <c r="D8686" t="inlineStr">
        <is>
          <t>GÄVLEBORGS LÄN</t>
        </is>
      </c>
      <c r="E8686" t="inlineStr">
        <is>
          <t>NORDANSTIG</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43378-2023</t>
        </is>
      </c>
      <c r="B8687" s="1" t="n">
        <v>45183</v>
      </c>
      <c r="C8687" s="1" t="n">
        <v>45344</v>
      </c>
      <c r="D8687" t="inlineStr">
        <is>
          <t>GÄVLEBORGS LÄN</t>
        </is>
      </c>
      <c r="E8687" t="inlineStr">
        <is>
          <t>NORDANSTIG</t>
        </is>
      </c>
      <c r="F8687" t="inlineStr">
        <is>
          <t>Holmen skog AB</t>
        </is>
      </c>
      <c r="G8687" t="n">
        <v>8</v>
      </c>
      <c r="H8687" t="n">
        <v>0</v>
      </c>
      <c r="I8687" t="n">
        <v>0</v>
      </c>
      <c r="J8687" t="n">
        <v>0</v>
      </c>
      <c r="K8687" t="n">
        <v>0</v>
      </c>
      <c r="L8687" t="n">
        <v>0</v>
      </c>
      <c r="M8687" t="n">
        <v>0</v>
      </c>
      <c r="N8687" t="n">
        <v>0</v>
      </c>
      <c r="O8687" t="n">
        <v>0</v>
      </c>
      <c r="P8687" t="n">
        <v>0</v>
      </c>
      <c r="Q8687" t="n">
        <v>0</v>
      </c>
      <c r="R8687" s="2" t="inlineStr"/>
    </row>
    <row r="8688" ht="15" customHeight="1">
      <c r="A8688" t="inlineStr">
        <is>
          <t>A 44576-2023</t>
        </is>
      </c>
      <c r="B8688" s="1" t="n">
        <v>45183</v>
      </c>
      <c r="C8688" s="1" t="n">
        <v>45344</v>
      </c>
      <c r="D8688" t="inlineStr">
        <is>
          <t>GÄVLEBORGS LÄN</t>
        </is>
      </c>
      <c r="E8688" t="inlineStr">
        <is>
          <t>BOLLNÄS</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44558-2023</t>
        </is>
      </c>
      <c r="B8689" s="1" t="n">
        <v>45183</v>
      </c>
      <c r="C8689" s="1" t="n">
        <v>45344</v>
      </c>
      <c r="D8689" t="inlineStr">
        <is>
          <t>GÄVLEBORGS LÄN</t>
        </is>
      </c>
      <c r="E8689" t="inlineStr">
        <is>
          <t>BOLLNÄS</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43453-2023</t>
        </is>
      </c>
      <c r="B8690" s="1" t="n">
        <v>45184</v>
      </c>
      <c r="C8690" s="1" t="n">
        <v>45344</v>
      </c>
      <c r="D8690" t="inlineStr">
        <is>
          <t>GÄVLEBORGS LÄN</t>
        </is>
      </c>
      <c r="E8690" t="inlineStr">
        <is>
          <t>SÖDERHAMN</t>
        </is>
      </c>
      <c r="G8690" t="n">
        <v>3.6</v>
      </c>
      <c r="H8690" t="n">
        <v>0</v>
      </c>
      <c r="I8690" t="n">
        <v>0</v>
      </c>
      <c r="J8690" t="n">
        <v>0</v>
      </c>
      <c r="K8690" t="n">
        <v>0</v>
      </c>
      <c r="L8690" t="n">
        <v>0</v>
      </c>
      <c r="M8690" t="n">
        <v>0</v>
      </c>
      <c r="N8690" t="n">
        <v>0</v>
      </c>
      <c r="O8690" t="n">
        <v>0</v>
      </c>
      <c r="P8690" t="n">
        <v>0</v>
      </c>
      <c r="Q8690" t="n">
        <v>0</v>
      </c>
      <c r="R8690" s="2" t="inlineStr"/>
    </row>
    <row r="8691" ht="15" customHeight="1">
      <c r="A8691" t="inlineStr">
        <is>
          <t>A 43465-2023</t>
        </is>
      </c>
      <c r="B8691" s="1" t="n">
        <v>45184</v>
      </c>
      <c r="C8691" s="1" t="n">
        <v>45344</v>
      </c>
      <c r="D8691" t="inlineStr">
        <is>
          <t>GÄVLEBORGS LÄN</t>
        </is>
      </c>
      <c r="E8691" t="inlineStr">
        <is>
          <t>HUDIKSVALL</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43469-2023</t>
        </is>
      </c>
      <c r="B8692" s="1" t="n">
        <v>45184</v>
      </c>
      <c r="C8692" s="1" t="n">
        <v>45344</v>
      </c>
      <c r="D8692" t="inlineStr">
        <is>
          <t>GÄVLEBORGS LÄN</t>
        </is>
      </c>
      <c r="E8692" t="inlineStr">
        <is>
          <t>HUDIKSVALL</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43480-2023</t>
        </is>
      </c>
      <c r="B8693" s="1" t="n">
        <v>45184</v>
      </c>
      <c r="C8693" s="1" t="n">
        <v>45344</v>
      </c>
      <c r="D8693" t="inlineStr">
        <is>
          <t>GÄVLEBORGS LÄN</t>
        </is>
      </c>
      <c r="E8693" t="inlineStr">
        <is>
          <t>OCKELBO</t>
        </is>
      </c>
      <c r="F8693" t="inlineStr">
        <is>
          <t>Bergvik skog väst AB</t>
        </is>
      </c>
      <c r="G8693" t="n">
        <v>9.699999999999999</v>
      </c>
      <c r="H8693" t="n">
        <v>0</v>
      </c>
      <c r="I8693" t="n">
        <v>0</v>
      </c>
      <c r="J8693" t="n">
        <v>0</v>
      </c>
      <c r="K8693" t="n">
        <v>0</v>
      </c>
      <c r="L8693" t="n">
        <v>0</v>
      </c>
      <c r="M8693" t="n">
        <v>0</v>
      </c>
      <c r="N8693" t="n">
        <v>0</v>
      </c>
      <c r="O8693" t="n">
        <v>0</v>
      </c>
      <c r="P8693" t="n">
        <v>0</v>
      </c>
      <c r="Q8693" t="n">
        <v>0</v>
      </c>
      <c r="R8693" s="2" t="inlineStr"/>
    </row>
    <row r="8694" ht="15" customHeight="1">
      <c r="A8694" t="inlineStr">
        <is>
          <t>A 43490-2023</t>
        </is>
      </c>
      <c r="B8694" s="1" t="n">
        <v>45184</v>
      </c>
      <c r="C8694" s="1" t="n">
        <v>45344</v>
      </c>
      <c r="D8694" t="inlineStr">
        <is>
          <t>GÄVLEBORGS LÄN</t>
        </is>
      </c>
      <c r="E8694" t="inlineStr">
        <is>
          <t>LJUSDAL</t>
        </is>
      </c>
      <c r="F8694" t="inlineStr">
        <is>
          <t>Allmännings- och besparingsskogar</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43537-2023</t>
        </is>
      </c>
      <c r="B8695" s="1" t="n">
        <v>45184</v>
      </c>
      <c r="C8695" s="1" t="n">
        <v>45344</v>
      </c>
      <c r="D8695" t="inlineStr">
        <is>
          <t>GÄVLEBORGS LÄN</t>
        </is>
      </c>
      <c r="E8695" t="inlineStr">
        <is>
          <t>BOLLNÄS</t>
        </is>
      </c>
      <c r="G8695" t="n">
        <v>7.4</v>
      </c>
      <c r="H8695" t="n">
        <v>0</v>
      </c>
      <c r="I8695" t="n">
        <v>0</v>
      </c>
      <c r="J8695" t="n">
        <v>0</v>
      </c>
      <c r="K8695" t="n">
        <v>0</v>
      </c>
      <c r="L8695" t="n">
        <v>0</v>
      </c>
      <c r="M8695" t="n">
        <v>0</v>
      </c>
      <c r="N8695" t="n">
        <v>0</v>
      </c>
      <c r="O8695" t="n">
        <v>0</v>
      </c>
      <c r="P8695" t="n">
        <v>0</v>
      </c>
      <c r="Q8695" t="n">
        <v>0</v>
      </c>
      <c r="R8695" s="2" t="inlineStr"/>
    </row>
    <row r="8696" ht="15" customHeight="1">
      <c r="A8696" t="inlineStr">
        <is>
          <t>A 43588-2023</t>
        </is>
      </c>
      <c r="B8696" s="1" t="n">
        <v>45184</v>
      </c>
      <c r="C8696" s="1" t="n">
        <v>45344</v>
      </c>
      <c r="D8696" t="inlineStr">
        <is>
          <t>GÄVLEBORGS LÄN</t>
        </is>
      </c>
      <c r="E8696" t="inlineStr">
        <is>
          <t>OCKELBO</t>
        </is>
      </c>
      <c r="F8696" t="inlineStr">
        <is>
          <t>Bergvik skog väst AB</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43517-2023</t>
        </is>
      </c>
      <c r="B8697" s="1" t="n">
        <v>45184</v>
      </c>
      <c r="C8697" s="1" t="n">
        <v>45344</v>
      </c>
      <c r="D8697" t="inlineStr">
        <is>
          <t>GÄVLEBORGS LÄN</t>
        </is>
      </c>
      <c r="E8697" t="inlineStr">
        <is>
          <t>LJUSDAL</t>
        </is>
      </c>
      <c r="G8697" t="n">
        <v>23.5</v>
      </c>
      <c r="H8697" t="n">
        <v>0</v>
      </c>
      <c r="I8697" t="n">
        <v>0</v>
      </c>
      <c r="J8697" t="n">
        <v>0</v>
      </c>
      <c r="K8697" t="n">
        <v>0</v>
      </c>
      <c r="L8697" t="n">
        <v>0</v>
      </c>
      <c r="M8697" t="n">
        <v>0</v>
      </c>
      <c r="N8697" t="n">
        <v>0</v>
      </c>
      <c r="O8697" t="n">
        <v>0</v>
      </c>
      <c r="P8697" t="n">
        <v>0</v>
      </c>
      <c r="Q8697" t="n">
        <v>0</v>
      </c>
      <c r="R8697" s="2" t="inlineStr"/>
    </row>
    <row r="8698" ht="15" customHeight="1">
      <c r="A8698" t="inlineStr">
        <is>
          <t>A 43553-2023</t>
        </is>
      </c>
      <c r="B8698" s="1" t="n">
        <v>45184</v>
      </c>
      <c r="C8698" s="1" t="n">
        <v>45344</v>
      </c>
      <c r="D8698" t="inlineStr">
        <is>
          <t>GÄVLEBORGS LÄN</t>
        </is>
      </c>
      <c r="E8698" t="inlineStr">
        <is>
          <t>GÄVLE</t>
        </is>
      </c>
      <c r="G8698" t="n">
        <v>0.8</v>
      </c>
      <c r="H8698" t="n">
        <v>0</v>
      </c>
      <c r="I8698" t="n">
        <v>0</v>
      </c>
      <c r="J8698" t="n">
        <v>0</v>
      </c>
      <c r="K8698" t="n">
        <v>0</v>
      </c>
      <c r="L8698" t="n">
        <v>0</v>
      </c>
      <c r="M8698" t="n">
        <v>0</v>
      </c>
      <c r="N8698" t="n">
        <v>0</v>
      </c>
      <c r="O8698" t="n">
        <v>0</v>
      </c>
      <c r="P8698" t="n">
        <v>0</v>
      </c>
      <c r="Q8698" t="n">
        <v>0</v>
      </c>
      <c r="R8698" s="2" t="inlineStr"/>
    </row>
    <row r="8699" ht="15" customHeight="1">
      <c r="A8699" t="inlineStr">
        <is>
          <t>A 43538-2023</t>
        </is>
      </c>
      <c r="B8699" s="1" t="n">
        <v>45184</v>
      </c>
      <c r="C8699" s="1" t="n">
        <v>45344</v>
      </c>
      <c r="D8699" t="inlineStr">
        <is>
          <t>GÄVLEBORGS LÄN</t>
        </is>
      </c>
      <c r="E8699" t="inlineStr">
        <is>
          <t>OCKELBO</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43539-2023</t>
        </is>
      </c>
      <c r="B8700" s="1" t="n">
        <v>45184</v>
      </c>
      <c r="C8700" s="1" t="n">
        <v>45344</v>
      </c>
      <c r="D8700" t="inlineStr">
        <is>
          <t>GÄVLEBORGS LÄN</t>
        </is>
      </c>
      <c r="E8700" t="inlineStr">
        <is>
          <t>NORDANSTIG</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43550-2023</t>
        </is>
      </c>
      <c r="B8701" s="1" t="n">
        <v>45184</v>
      </c>
      <c r="C8701" s="1" t="n">
        <v>45344</v>
      </c>
      <c r="D8701" t="inlineStr">
        <is>
          <t>GÄVLEBORGS LÄN</t>
        </is>
      </c>
      <c r="E8701" t="inlineStr">
        <is>
          <t>OCKELBO</t>
        </is>
      </c>
      <c r="F8701" t="inlineStr">
        <is>
          <t>Bergvik skog väst AB</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43556-2023</t>
        </is>
      </c>
      <c r="B8702" s="1" t="n">
        <v>45184</v>
      </c>
      <c r="C8702" s="1" t="n">
        <v>45344</v>
      </c>
      <c r="D8702" t="inlineStr">
        <is>
          <t>GÄVLEBORGS LÄN</t>
        </is>
      </c>
      <c r="E8702" t="inlineStr">
        <is>
          <t>GÄVLE</t>
        </is>
      </c>
      <c r="G8702" t="n">
        <v>0.9</v>
      </c>
      <c r="H8702" t="n">
        <v>0</v>
      </c>
      <c r="I8702" t="n">
        <v>0</v>
      </c>
      <c r="J8702" t="n">
        <v>0</v>
      </c>
      <c r="K8702" t="n">
        <v>0</v>
      </c>
      <c r="L8702" t="n">
        <v>0</v>
      </c>
      <c r="M8702" t="n">
        <v>0</v>
      </c>
      <c r="N8702" t="n">
        <v>0</v>
      </c>
      <c r="O8702" t="n">
        <v>0</v>
      </c>
      <c r="P8702" t="n">
        <v>0</v>
      </c>
      <c r="Q8702" t="n">
        <v>0</v>
      </c>
      <c r="R8702" s="2" t="inlineStr"/>
    </row>
    <row r="8703" ht="15" customHeight="1">
      <c r="A8703" t="inlineStr">
        <is>
          <t>A 43657-2023</t>
        </is>
      </c>
      <c r="B8703" s="1" t="n">
        <v>45187</v>
      </c>
      <c r="C8703" s="1" t="n">
        <v>45344</v>
      </c>
      <c r="D8703" t="inlineStr">
        <is>
          <t>GÄVLEBORGS LÄN</t>
        </is>
      </c>
      <c r="E8703" t="inlineStr">
        <is>
          <t>NORDANSTIG</t>
        </is>
      </c>
      <c r="F8703" t="inlineStr">
        <is>
          <t>Holmen skog AB</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43665-2023</t>
        </is>
      </c>
      <c r="B8704" s="1" t="n">
        <v>45187</v>
      </c>
      <c r="C8704" s="1" t="n">
        <v>45344</v>
      </c>
      <c r="D8704" t="inlineStr">
        <is>
          <t>GÄVLEBORGS LÄN</t>
        </is>
      </c>
      <c r="E8704" t="inlineStr">
        <is>
          <t>HUDIKSVALL</t>
        </is>
      </c>
      <c r="F8704" t="inlineStr">
        <is>
          <t>Holmen skog AB</t>
        </is>
      </c>
      <c r="G8704" t="n">
        <v>8</v>
      </c>
      <c r="H8704" t="n">
        <v>0</v>
      </c>
      <c r="I8704" t="n">
        <v>0</v>
      </c>
      <c r="J8704" t="n">
        <v>0</v>
      </c>
      <c r="K8704" t="n">
        <v>0</v>
      </c>
      <c r="L8704" t="n">
        <v>0</v>
      </c>
      <c r="M8704" t="n">
        <v>0</v>
      </c>
      <c r="N8704" t="n">
        <v>0</v>
      </c>
      <c r="O8704" t="n">
        <v>0</v>
      </c>
      <c r="P8704" t="n">
        <v>0</v>
      </c>
      <c r="Q8704" t="n">
        <v>0</v>
      </c>
      <c r="R8704" s="2" t="inlineStr"/>
    </row>
    <row r="8705" ht="15" customHeight="1">
      <c r="A8705" t="inlineStr">
        <is>
          <t>A 43669-2023</t>
        </is>
      </c>
      <c r="B8705" s="1" t="n">
        <v>45187</v>
      </c>
      <c r="C8705" s="1" t="n">
        <v>45344</v>
      </c>
      <c r="D8705" t="inlineStr">
        <is>
          <t>GÄVLEBORGS LÄN</t>
        </is>
      </c>
      <c r="E8705" t="inlineStr">
        <is>
          <t>LJUSDAL</t>
        </is>
      </c>
      <c r="F8705" t="inlineStr">
        <is>
          <t>Bergvik skog väst AB</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43673-2023</t>
        </is>
      </c>
      <c r="B8706" s="1" t="n">
        <v>45187</v>
      </c>
      <c r="C8706" s="1" t="n">
        <v>45344</v>
      </c>
      <c r="D8706" t="inlineStr">
        <is>
          <t>GÄVLEBORGS LÄN</t>
        </is>
      </c>
      <c r="E8706" t="inlineStr">
        <is>
          <t>LJUSDAL</t>
        </is>
      </c>
      <c r="F8706" t="inlineStr">
        <is>
          <t>Bergvik skog väst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43716-2023</t>
        </is>
      </c>
      <c r="B8707" s="1" t="n">
        <v>45187</v>
      </c>
      <c r="C8707" s="1" t="n">
        <v>45344</v>
      </c>
      <c r="D8707" t="inlineStr">
        <is>
          <t>GÄVLEBORGS LÄN</t>
        </is>
      </c>
      <c r="E8707" t="inlineStr">
        <is>
          <t>SANDVIKEN</t>
        </is>
      </c>
      <c r="F8707" t="inlineStr">
        <is>
          <t>Sveaskog</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43721-2023</t>
        </is>
      </c>
      <c r="B8708" s="1" t="n">
        <v>45187</v>
      </c>
      <c r="C8708" s="1" t="n">
        <v>45344</v>
      </c>
      <c r="D8708" t="inlineStr">
        <is>
          <t>GÄVLEBORGS LÄN</t>
        </is>
      </c>
      <c r="E8708" t="inlineStr">
        <is>
          <t>NORDANSTIG</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43798-2023</t>
        </is>
      </c>
      <c r="B8709" s="1" t="n">
        <v>45187</v>
      </c>
      <c r="C8709" s="1" t="n">
        <v>45344</v>
      </c>
      <c r="D8709" t="inlineStr">
        <is>
          <t>GÄVLEBORGS LÄN</t>
        </is>
      </c>
      <c r="E8709" t="inlineStr">
        <is>
          <t>SANDVIKEN</t>
        </is>
      </c>
      <c r="F8709" t="inlineStr">
        <is>
          <t>Sveaskog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43659-2023</t>
        </is>
      </c>
      <c r="B8710" s="1" t="n">
        <v>45187</v>
      </c>
      <c r="C8710" s="1" t="n">
        <v>45344</v>
      </c>
      <c r="D8710" t="inlineStr">
        <is>
          <t>GÄVLEBORGS LÄN</t>
        </is>
      </c>
      <c r="E8710" t="inlineStr">
        <is>
          <t>HUDIKSVALL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43683-2023</t>
        </is>
      </c>
      <c r="B8711" s="1" t="n">
        <v>45187</v>
      </c>
      <c r="C8711" s="1" t="n">
        <v>45344</v>
      </c>
      <c r="D8711" t="inlineStr">
        <is>
          <t>GÄVLEBORGS LÄN</t>
        </is>
      </c>
      <c r="E8711" t="inlineStr">
        <is>
          <t>BOLLNÄS</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43682-2023</t>
        </is>
      </c>
      <c r="B8712" s="1" t="n">
        <v>45187</v>
      </c>
      <c r="C8712" s="1" t="n">
        <v>45344</v>
      </c>
      <c r="D8712" t="inlineStr">
        <is>
          <t>GÄVLEBORGS LÄN</t>
        </is>
      </c>
      <c r="E8712" t="inlineStr">
        <is>
          <t>LJUSDAL</t>
        </is>
      </c>
      <c r="F8712" t="inlineStr">
        <is>
          <t>Bergvik skog väst AB</t>
        </is>
      </c>
      <c r="G8712" t="n">
        <v>2.1</v>
      </c>
      <c r="H8712" t="n">
        <v>0</v>
      </c>
      <c r="I8712" t="n">
        <v>0</v>
      </c>
      <c r="J8712" t="n">
        <v>0</v>
      </c>
      <c r="K8712" t="n">
        <v>0</v>
      </c>
      <c r="L8712" t="n">
        <v>0</v>
      </c>
      <c r="M8712" t="n">
        <v>0</v>
      </c>
      <c r="N8712" t="n">
        <v>0</v>
      </c>
      <c r="O8712" t="n">
        <v>0</v>
      </c>
      <c r="P8712" t="n">
        <v>0</v>
      </c>
      <c r="Q8712" t="n">
        <v>0</v>
      </c>
      <c r="R8712" s="2" t="inlineStr"/>
    </row>
    <row r="8713" ht="15" customHeight="1">
      <c r="A8713" t="inlineStr">
        <is>
          <t>A 43711-2023</t>
        </is>
      </c>
      <c r="B8713" s="1" t="n">
        <v>45187</v>
      </c>
      <c r="C8713" s="1" t="n">
        <v>45344</v>
      </c>
      <c r="D8713" t="inlineStr">
        <is>
          <t>GÄVLEBORGS LÄN</t>
        </is>
      </c>
      <c r="E8713" t="inlineStr">
        <is>
          <t>BOLLNÄS</t>
        </is>
      </c>
      <c r="F8713" t="inlineStr">
        <is>
          <t>Kyrkan</t>
        </is>
      </c>
      <c r="G8713" t="n">
        <v>4.1</v>
      </c>
      <c r="H8713" t="n">
        <v>0</v>
      </c>
      <c r="I8713" t="n">
        <v>0</v>
      </c>
      <c r="J8713" t="n">
        <v>0</v>
      </c>
      <c r="K8713" t="n">
        <v>0</v>
      </c>
      <c r="L8713" t="n">
        <v>0</v>
      </c>
      <c r="M8713" t="n">
        <v>0</v>
      </c>
      <c r="N8713" t="n">
        <v>0</v>
      </c>
      <c r="O8713" t="n">
        <v>0</v>
      </c>
      <c r="P8713" t="n">
        <v>0</v>
      </c>
      <c r="Q8713" t="n">
        <v>0</v>
      </c>
      <c r="R8713" s="2" t="inlineStr"/>
    </row>
    <row r="8714" ht="15" customHeight="1">
      <c r="A8714" t="inlineStr">
        <is>
          <t>A 43715-2023</t>
        </is>
      </c>
      <c r="B8714" s="1" t="n">
        <v>45187</v>
      </c>
      <c r="C8714" s="1" t="n">
        <v>45344</v>
      </c>
      <c r="D8714" t="inlineStr">
        <is>
          <t>GÄVLEBORGS LÄN</t>
        </is>
      </c>
      <c r="E8714" t="inlineStr">
        <is>
          <t>NORDANSTIG</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43741-2023</t>
        </is>
      </c>
      <c r="B8715" s="1" t="n">
        <v>45187</v>
      </c>
      <c r="C8715" s="1" t="n">
        <v>45344</v>
      </c>
      <c r="D8715" t="inlineStr">
        <is>
          <t>GÄVLEBORGS LÄN</t>
        </is>
      </c>
      <c r="E8715" t="inlineStr">
        <is>
          <t>SANDVIKEN</t>
        </is>
      </c>
      <c r="F8715" t="inlineStr">
        <is>
          <t>Sveaskog</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43750-2023</t>
        </is>
      </c>
      <c r="B8716" s="1" t="n">
        <v>45187</v>
      </c>
      <c r="C8716" s="1" t="n">
        <v>45344</v>
      </c>
      <c r="D8716" t="inlineStr">
        <is>
          <t>GÄVLEBORGS LÄN</t>
        </is>
      </c>
      <c r="E8716" t="inlineStr">
        <is>
          <t>BOLLNÄS</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43800-2023</t>
        </is>
      </c>
      <c r="B8717" s="1" t="n">
        <v>45187</v>
      </c>
      <c r="C8717" s="1" t="n">
        <v>45344</v>
      </c>
      <c r="D8717" t="inlineStr">
        <is>
          <t>GÄVLEBORGS LÄN</t>
        </is>
      </c>
      <c r="E8717" t="inlineStr">
        <is>
          <t>LJUSDAL</t>
        </is>
      </c>
      <c r="F8717" t="inlineStr">
        <is>
          <t>Bergvik skog väst AB</t>
        </is>
      </c>
      <c r="G8717" t="n">
        <v>6.9</v>
      </c>
      <c r="H8717" t="n">
        <v>0</v>
      </c>
      <c r="I8717" t="n">
        <v>0</v>
      </c>
      <c r="J8717" t="n">
        <v>0</v>
      </c>
      <c r="K8717" t="n">
        <v>0</v>
      </c>
      <c r="L8717" t="n">
        <v>0</v>
      </c>
      <c r="M8717" t="n">
        <v>0</v>
      </c>
      <c r="N8717" t="n">
        <v>0</v>
      </c>
      <c r="O8717" t="n">
        <v>0</v>
      </c>
      <c r="P8717" t="n">
        <v>0</v>
      </c>
      <c r="Q8717" t="n">
        <v>0</v>
      </c>
      <c r="R8717" s="2" t="inlineStr"/>
    </row>
    <row r="8718" ht="15" customHeight="1">
      <c r="A8718" t="inlineStr">
        <is>
          <t>A 43893-2023</t>
        </is>
      </c>
      <c r="B8718" s="1" t="n">
        <v>45187</v>
      </c>
      <c r="C8718" s="1" t="n">
        <v>45344</v>
      </c>
      <c r="D8718" t="inlineStr">
        <is>
          <t>GÄVLEBORGS LÄN</t>
        </is>
      </c>
      <c r="E8718" t="inlineStr">
        <is>
          <t>NORDANSTIG</t>
        </is>
      </c>
      <c r="G8718" t="n">
        <v>3.2</v>
      </c>
      <c r="H8718" t="n">
        <v>0</v>
      </c>
      <c r="I8718" t="n">
        <v>0</v>
      </c>
      <c r="J8718" t="n">
        <v>0</v>
      </c>
      <c r="K8718" t="n">
        <v>0</v>
      </c>
      <c r="L8718" t="n">
        <v>0</v>
      </c>
      <c r="M8718" t="n">
        <v>0</v>
      </c>
      <c r="N8718" t="n">
        <v>0</v>
      </c>
      <c r="O8718" t="n">
        <v>0</v>
      </c>
      <c r="P8718" t="n">
        <v>0</v>
      </c>
      <c r="Q8718" t="n">
        <v>0</v>
      </c>
      <c r="R8718" s="2" t="inlineStr"/>
    </row>
    <row r="8719" ht="15" customHeight="1">
      <c r="A8719" t="inlineStr">
        <is>
          <t>A 43930-2023</t>
        </is>
      </c>
      <c r="B8719" s="1" t="n">
        <v>45187</v>
      </c>
      <c r="C8719" s="1" t="n">
        <v>45344</v>
      </c>
      <c r="D8719" t="inlineStr">
        <is>
          <t>GÄVLEBORGS LÄN</t>
        </is>
      </c>
      <c r="E8719" t="inlineStr">
        <is>
          <t>HUDIKSVALL</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43718-2023</t>
        </is>
      </c>
      <c r="B8720" s="1" t="n">
        <v>45187</v>
      </c>
      <c r="C8720" s="1" t="n">
        <v>45344</v>
      </c>
      <c r="D8720" t="inlineStr">
        <is>
          <t>GÄVLEBORGS LÄN</t>
        </is>
      </c>
      <c r="E8720" t="inlineStr">
        <is>
          <t>LJUSDAL</t>
        </is>
      </c>
      <c r="F8720" t="inlineStr">
        <is>
          <t>Sveaskog</t>
        </is>
      </c>
      <c r="G8720" t="n">
        <v>4.4</v>
      </c>
      <c r="H8720" t="n">
        <v>0</v>
      </c>
      <c r="I8720" t="n">
        <v>0</v>
      </c>
      <c r="J8720" t="n">
        <v>0</v>
      </c>
      <c r="K8720" t="n">
        <v>0</v>
      </c>
      <c r="L8720" t="n">
        <v>0</v>
      </c>
      <c r="M8720" t="n">
        <v>0</v>
      </c>
      <c r="N8720" t="n">
        <v>0</v>
      </c>
      <c r="O8720" t="n">
        <v>0</v>
      </c>
      <c r="P8720" t="n">
        <v>0</v>
      </c>
      <c r="Q8720" t="n">
        <v>0</v>
      </c>
      <c r="R8720" s="2" t="inlineStr"/>
    </row>
    <row r="8721" ht="15" customHeight="1">
      <c r="A8721" t="inlineStr">
        <is>
          <t>A 43726-2023</t>
        </is>
      </c>
      <c r="B8721" s="1" t="n">
        <v>45187</v>
      </c>
      <c r="C8721" s="1" t="n">
        <v>45344</v>
      </c>
      <c r="D8721" t="inlineStr">
        <is>
          <t>GÄVLEBORGS LÄN</t>
        </is>
      </c>
      <c r="E8721" t="inlineStr">
        <is>
          <t>HOFORS</t>
        </is>
      </c>
      <c r="F8721" t="inlineStr">
        <is>
          <t>Sveaskog</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43730-2023</t>
        </is>
      </c>
      <c r="B8722" s="1" t="n">
        <v>45187</v>
      </c>
      <c r="C8722" s="1" t="n">
        <v>45344</v>
      </c>
      <c r="D8722" t="inlineStr">
        <is>
          <t>GÄVLEBORGS LÄN</t>
        </is>
      </c>
      <c r="E8722" t="inlineStr">
        <is>
          <t>HOFORS</t>
        </is>
      </c>
      <c r="F8722" t="inlineStr">
        <is>
          <t>Sveaskog</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43734-2023</t>
        </is>
      </c>
      <c r="B8723" s="1" t="n">
        <v>45187</v>
      </c>
      <c r="C8723" s="1" t="n">
        <v>45344</v>
      </c>
      <c r="D8723" t="inlineStr">
        <is>
          <t>GÄVLEBORGS LÄN</t>
        </is>
      </c>
      <c r="E8723" t="inlineStr">
        <is>
          <t>BOLLNÄS</t>
        </is>
      </c>
      <c r="F8723" t="inlineStr">
        <is>
          <t>Kyrkan</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43739-2023</t>
        </is>
      </c>
      <c r="B8724" s="1" t="n">
        <v>45187</v>
      </c>
      <c r="C8724" s="1" t="n">
        <v>45344</v>
      </c>
      <c r="D8724" t="inlineStr">
        <is>
          <t>GÄVLEBORGS LÄN</t>
        </is>
      </c>
      <c r="E8724" t="inlineStr">
        <is>
          <t>SANDVIKEN</t>
        </is>
      </c>
      <c r="F8724" t="inlineStr">
        <is>
          <t>Sveaskog</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43782-2023</t>
        </is>
      </c>
      <c r="B8725" s="1" t="n">
        <v>45187</v>
      </c>
      <c r="C8725" s="1" t="n">
        <v>45344</v>
      </c>
      <c r="D8725" t="inlineStr">
        <is>
          <t>GÄVLEBORGS LÄN</t>
        </is>
      </c>
      <c r="E8725" t="inlineStr">
        <is>
          <t>HUDIKSVALL</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43794-2023</t>
        </is>
      </c>
      <c r="B8726" s="1" t="n">
        <v>45187</v>
      </c>
      <c r="C8726" s="1" t="n">
        <v>45344</v>
      </c>
      <c r="D8726" t="inlineStr">
        <is>
          <t>GÄVLEBORGS LÄN</t>
        </is>
      </c>
      <c r="E8726" t="inlineStr">
        <is>
          <t>SANDVIKEN</t>
        </is>
      </c>
      <c r="F8726" t="inlineStr">
        <is>
          <t>Sveaskog</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43799-2023</t>
        </is>
      </c>
      <c r="B8727" s="1" t="n">
        <v>45187</v>
      </c>
      <c r="C8727" s="1" t="n">
        <v>45344</v>
      </c>
      <c r="D8727" t="inlineStr">
        <is>
          <t>GÄVLEBORGS LÄN</t>
        </is>
      </c>
      <c r="E8727" t="inlineStr">
        <is>
          <t>LJUSDAL</t>
        </is>
      </c>
      <c r="F8727" t="inlineStr">
        <is>
          <t>Bergvik skog väst AB</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43929-2023</t>
        </is>
      </c>
      <c r="B8728" s="1" t="n">
        <v>45187</v>
      </c>
      <c r="C8728" s="1" t="n">
        <v>45344</v>
      </c>
      <c r="D8728" t="inlineStr">
        <is>
          <t>GÄVLEBORGS LÄN</t>
        </is>
      </c>
      <c r="E8728" t="inlineStr">
        <is>
          <t>HUDIKSVALL</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44009-2023</t>
        </is>
      </c>
      <c r="B8729" s="1" t="n">
        <v>45188</v>
      </c>
      <c r="C8729" s="1" t="n">
        <v>45344</v>
      </c>
      <c r="D8729" t="inlineStr">
        <is>
          <t>GÄVLEBORGS LÄN</t>
        </is>
      </c>
      <c r="E8729" t="inlineStr">
        <is>
          <t>NORDANSTIG</t>
        </is>
      </c>
      <c r="F8729" t="inlineStr">
        <is>
          <t>Holmen skog AB</t>
        </is>
      </c>
      <c r="G8729" t="n">
        <v>4.1</v>
      </c>
      <c r="H8729" t="n">
        <v>0</v>
      </c>
      <c r="I8729" t="n">
        <v>0</v>
      </c>
      <c r="J8729" t="n">
        <v>0</v>
      </c>
      <c r="K8729" t="n">
        <v>0</v>
      </c>
      <c r="L8729" t="n">
        <v>0</v>
      </c>
      <c r="M8729" t="n">
        <v>0</v>
      </c>
      <c r="N8729" t="n">
        <v>0</v>
      </c>
      <c r="O8729" t="n">
        <v>0</v>
      </c>
      <c r="P8729" t="n">
        <v>0</v>
      </c>
      <c r="Q8729" t="n">
        <v>0</v>
      </c>
      <c r="R8729" s="2" t="inlineStr"/>
    </row>
    <row r="8730" ht="15" customHeight="1">
      <c r="A8730" t="inlineStr">
        <is>
          <t>A 44089-2023</t>
        </is>
      </c>
      <c r="B8730" s="1" t="n">
        <v>45188</v>
      </c>
      <c r="C8730" s="1" t="n">
        <v>45344</v>
      </c>
      <c r="D8730" t="inlineStr">
        <is>
          <t>GÄVLEBORGS LÄN</t>
        </is>
      </c>
      <c r="E8730" t="inlineStr">
        <is>
          <t>OVANÅKER</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44058-2023</t>
        </is>
      </c>
      <c r="B8731" s="1" t="n">
        <v>45188</v>
      </c>
      <c r="C8731" s="1" t="n">
        <v>45344</v>
      </c>
      <c r="D8731" t="inlineStr">
        <is>
          <t>GÄVLEBORGS LÄN</t>
        </is>
      </c>
      <c r="E8731" t="inlineStr">
        <is>
          <t>BOLLNÄS</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44020-2023</t>
        </is>
      </c>
      <c r="B8732" s="1" t="n">
        <v>45188</v>
      </c>
      <c r="C8732" s="1" t="n">
        <v>45344</v>
      </c>
      <c r="D8732" t="inlineStr">
        <is>
          <t>GÄVLEBORGS LÄN</t>
        </is>
      </c>
      <c r="E8732" t="inlineStr">
        <is>
          <t>LJUSDAL</t>
        </is>
      </c>
      <c r="F8732" t="inlineStr">
        <is>
          <t>Sveaskog</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44045-2023</t>
        </is>
      </c>
      <c r="B8733" s="1" t="n">
        <v>45188</v>
      </c>
      <c r="C8733" s="1" t="n">
        <v>45344</v>
      </c>
      <c r="D8733" t="inlineStr">
        <is>
          <t>GÄVLEBORGS LÄN</t>
        </is>
      </c>
      <c r="E8733" t="inlineStr">
        <is>
          <t>HUDIKSVALL</t>
        </is>
      </c>
      <c r="F8733" t="inlineStr">
        <is>
          <t>Holmen skog AB</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44055-2023</t>
        </is>
      </c>
      <c r="B8734" s="1" t="n">
        <v>45188</v>
      </c>
      <c r="C8734" s="1" t="n">
        <v>45344</v>
      </c>
      <c r="D8734" t="inlineStr">
        <is>
          <t>GÄVLEBORGS LÄN</t>
        </is>
      </c>
      <c r="E8734" t="inlineStr">
        <is>
          <t>BOLLNÄS</t>
        </is>
      </c>
      <c r="G8734" t="n">
        <v>2.6</v>
      </c>
      <c r="H8734" t="n">
        <v>0</v>
      </c>
      <c r="I8734" t="n">
        <v>0</v>
      </c>
      <c r="J8734" t="n">
        <v>0</v>
      </c>
      <c r="K8734" t="n">
        <v>0</v>
      </c>
      <c r="L8734" t="n">
        <v>0</v>
      </c>
      <c r="M8734" t="n">
        <v>0</v>
      </c>
      <c r="N8734" t="n">
        <v>0</v>
      </c>
      <c r="O8734" t="n">
        <v>0</v>
      </c>
      <c r="P8734" t="n">
        <v>0</v>
      </c>
      <c r="Q8734" t="n">
        <v>0</v>
      </c>
      <c r="R8734" s="2" t="inlineStr"/>
    </row>
    <row r="8735" ht="15" customHeight="1">
      <c r="A8735" t="inlineStr">
        <is>
          <t>A 44063-2023</t>
        </is>
      </c>
      <c r="B8735" s="1" t="n">
        <v>45188</v>
      </c>
      <c r="C8735" s="1" t="n">
        <v>45344</v>
      </c>
      <c r="D8735" t="inlineStr">
        <is>
          <t>GÄVLEBORGS LÄN</t>
        </is>
      </c>
      <c r="E8735" t="inlineStr">
        <is>
          <t>GÄVLE</t>
        </is>
      </c>
      <c r="F8735" t="inlineStr">
        <is>
          <t>Bergvik skog väst AB</t>
        </is>
      </c>
      <c r="G8735" t="n">
        <v>36.7</v>
      </c>
      <c r="H8735" t="n">
        <v>0</v>
      </c>
      <c r="I8735" t="n">
        <v>0</v>
      </c>
      <c r="J8735" t="n">
        <v>0</v>
      </c>
      <c r="K8735" t="n">
        <v>0</v>
      </c>
      <c r="L8735" t="n">
        <v>0</v>
      </c>
      <c r="M8735" t="n">
        <v>0</v>
      </c>
      <c r="N8735" t="n">
        <v>0</v>
      </c>
      <c r="O8735" t="n">
        <v>0</v>
      </c>
      <c r="P8735" t="n">
        <v>0</v>
      </c>
      <c r="Q8735" t="n">
        <v>0</v>
      </c>
      <c r="R8735" s="2" t="inlineStr"/>
    </row>
    <row r="8736" ht="15" customHeight="1">
      <c r="A8736" t="inlineStr">
        <is>
          <t>A 44135-2023</t>
        </is>
      </c>
      <c r="B8736" s="1" t="n">
        <v>45188</v>
      </c>
      <c r="C8736" s="1" t="n">
        <v>45344</v>
      </c>
      <c r="D8736" t="inlineStr">
        <is>
          <t>GÄVLEBORGS LÄN</t>
        </is>
      </c>
      <c r="E8736" t="inlineStr">
        <is>
          <t>NORDANSTIG</t>
        </is>
      </c>
      <c r="F8736" t="inlineStr">
        <is>
          <t>Holmen skog AB</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44071-2023</t>
        </is>
      </c>
      <c r="B8737" s="1" t="n">
        <v>45188</v>
      </c>
      <c r="C8737" s="1" t="n">
        <v>45344</v>
      </c>
      <c r="D8737" t="inlineStr">
        <is>
          <t>GÄVLEBORGS LÄN</t>
        </is>
      </c>
      <c r="E8737" t="inlineStr">
        <is>
          <t>SANDVIKEN</t>
        </is>
      </c>
      <c r="F8737" t="inlineStr">
        <is>
          <t>Bergvik skog öst AB</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44084-2023</t>
        </is>
      </c>
      <c r="B8738" s="1" t="n">
        <v>45188</v>
      </c>
      <c r="C8738" s="1" t="n">
        <v>45344</v>
      </c>
      <c r="D8738" t="inlineStr">
        <is>
          <t>GÄVLEBORGS LÄN</t>
        </is>
      </c>
      <c r="E8738" t="inlineStr">
        <is>
          <t>HUDIKSVALL</t>
        </is>
      </c>
      <c r="F8738" t="inlineStr">
        <is>
          <t>Holmen skog AB</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44182-2023</t>
        </is>
      </c>
      <c r="B8739" s="1" t="n">
        <v>45188</v>
      </c>
      <c r="C8739" s="1" t="n">
        <v>45344</v>
      </c>
      <c r="D8739" t="inlineStr">
        <is>
          <t>GÄVLEBORGS LÄN</t>
        </is>
      </c>
      <c r="E8739" t="inlineStr">
        <is>
          <t>HUDIKSVALL</t>
        </is>
      </c>
      <c r="F8739" t="inlineStr">
        <is>
          <t>Holmen skog AB</t>
        </is>
      </c>
      <c r="G8739" t="n">
        <v>14.6</v>
      </c>
      <c r="H8739" t="n">
        <v>0</v>
      </c>
      <c r="I8739" t="n">
        <v>0</v>
      </c>
      <c r="J8739" t="n">
        <v>0</v>
      </c>
      <c r="K8739" t="n">
        <v>0</v>
      </c>
      <c r="L8739" t="n">
        <v>0</v>
      </c>
      <c r="M8739" t="n">
        <v>0</v>
      </c>
      <c r="N8739" t="n">
        <v>0</v>
      </c>
      <c r="O8739" t="n">
        <v>0</v>
      </c>
      <c r="P8739" t="n">
        <v>0</v>
      </c>
      <c r="Q8739" t="n">
        <v>0</v>
      </c>
      <c r="R8739" s="2" t="inlineStr"/>
    </row>
    <row r="8740" ht="15" customHeight="1">
      <c r="A8740" t="inlineStr">
        <is>
          <t>A 44214-2023</t>
        </is>
      </c>
      <c r="B8740" s="1" t="n">
        <v>45188</v>
      </c>
      <c r="C8740" s="1" t="n">
        <v>45344</v>
      </c>
      <c r="D8740" t="inlineStr">
        <is>
          <t>GÄVLEBORGS LÄN</t>
        </is>
      </c>
      <c r="E8740" t="inlineStr">
        <is>
          <t>NORDANSTIG</t>
        </is>
      </c>
      <c r="F8740" t="inlineStr">
        <is>
          <t>Holmen skog AB</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44066-2023</t>
        </is>
      </c>
      <c r="B8741" s="1" t="n">
        <v>45188</v>
      </c>
      <c r="C8741" s="1" t="n">
        <v>45344</v>
      </c>
      <c r="D8741" t="inlineStr">
        <is>
          <t>GÄVLEBORGS LÄN</t>
        </is>
      </c>
      <c r="E8741" t="inlineStr">
        <is>
          <t>SANDVIKEN</t>
        </is>
      </c>
      <c r="F8741" t="inlineStr">
        <is>
          <t>Bergvik skog öst AB</t>
        </is>
      </c>
      <c r="G8741" t="n">
        <v>0.9</v>
      </c>
      <c r="H8741" t="n">
        <v>0</v>
      </c>
      <c r="I8741" t="n">
        <v>0</v>
      </c>
      <c r="J8741" t="n">
        <v>0</v>
      </c>
      <c r="K8741" t="n">
        <v>0</v>
      </c>
      <c r="L8741" t="n">
        <v>0</v>
      </c>
      <c r="M8741" t="n">
        <v>0</v>
      </c>
      <c r="N8741" t="n">
        <v>0</v>
      </c>
      <c r="O8741" t="n">
        <v>0</v>
      </c>
      <c r="P8741" t="n">
        <v>0</v>
      </c>
      <c r="Q8741" t="n">
        <v>0</v>
      </c>
      <c r="R8741" s="2" t="inlineStr"/>
    </row>
    <row r="8742" ht="15" customHeight="1">
      <c r="A8742" t="inlineStr">
        <is>
          <t>A 44070-2023</t>
        </is>
      </c>
      <c r="B8742" s="1" t="n">
        <v>45188</v>
      </c>
      <c r="C8742" s="1" t="n">
        <v>45344</v>
      </c>
      <c r="D8742" t="inlineStr">
        <is>
          <t>GÄVLEBORGS LÄN</t>
        </is>
      </c>
      <c r="E8742" t="inlineStr">
        <is>
          <t>HUDIKSVALL</t>
        </is>
      </c>
      <c r="F8742" t="inlineStr">
        <is>
          <t>Holmen skog AB</t>
        </is>
      </c>
      <c r="G8742" t="n">
        <v>11.6</v>
      </c>
      <c r="H8742" t="n">
        <v>0</v>
      </c>
      <c r="I8742" t="n">
        <v>0</v>
      </c>
      <c r="J8742" t="n">
        <v>0</v>
      </c>
      <c r="K8742" t="n">
        <v>0</v>
      </c>
      <c r="L8742" t="n">
        <v>0</v>
      </c>
      <c r="M8742" t="n">
        <v>0</v>
      </c>
      <c r="N8742" t="n">
        <v>0</v>
      </c>
      <c r="O8742" t="n">
        <v>0</v>
      </c>
      <c r="P8742" t="n">
        <v>0</v>
      </c>
      <c r="Q8742" t="n">
        <v>0</v>
      </c>
      <c r="R8742" s="2" t="inlineStr"/>
    </row>
    <row r="8743" ht="15" customHeight="1">
      <c r="A8743" t="inlineStr">
        <is>
          <t>A 44289-2023</t>
        </is>
      </c>
      <c r="B8743" s="1" t="n">
        <v>45188</v>
      </c>
      <c r="C8743" s="1" t="n">
        <v>45344</v>
      </c>
      <c r="D8743" t="inlineStr">
        <is>
          <t>GÄVLEBORGS LÄN</t>
        </is>
      </c>
      <c r="E8743" t="inlineStr">
        <is>
          <t>SANDVIKEN</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44114-2023</t>
        </is>
      </c>
      <c r="B8744" s="1" t="n">
        <v>45188</v>
      </c>
      <c r="C8744" s="1" t="n">
        <v>45344</v>
      </c>
      <c r="D8744" t="inlineStr">
        <is>
          <t>GÄVLEBORGS LÄN</t>
        </is>
      </c>
      <c r="E8744" t="inlineStr">
        <is>
          <t>SANDVIKEN</t>
        </is>
      </c>
      <c r="F8744" t="inlineStr">
        <is>
          <t>Bergvik skog öst AB</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44204-2023</t>
        </is>
      </c>
      <c r="B8745" s="1" t="n">
        <v>45188</v>
      </c>
      <c r="C8745" s="1" t="n">
        <v>45344</v>
      </c>
      <c r="D8745" t="inlineStr">
        <is>
          <t>GÄVLEBORGS LÄN</t>
        </is>
      </c>
      <c r="E8745" t="inlineStr">
        <is>
          <t>LJUSDAL</t>
        </is>
      </c>
      <c r="F8745" t="inlineStr">
        <is>
          <t>Bergvik skog väst AB</t>
        </is>
      </c>
      <c r="G8745" t="n">
        <v>9.800000000000001</v>
      </c>
      <c r="H8745" t="n">
        <v>0</v>
      </c>
      <c r="I8745" t="n">
        <v>0</v>
      </c>
      <c r="J8745" t="n">
        <v>0</v>
      </c>
      <c r="K8745" t="n">
        <v>0</v>
      </c>
      <c r="L8745" t="n">
        <v>0</v>
      </c>
      <c r="M8745" t="n">
        <v>0</v>
      </c>
      <c r="N8745" t="n">
        <v>0</v>
      </c>
      <c r="O8745" t="n">
        <v>0</v>
      </c>
      <c r="P8745" t="n">
        <v>0</v>
      </c>
      <c r="Q8745" t="n">
        <v>0</v>
      </c>
      <c r="R8745" s="2" t="inlineStr"/>
    </row>
    <row r="8746" ht="15" customHeight="1">
      <c r="A8746" t="inlineStr">
        <is>
          <t>A 44254-2023</t>
        </is>
      </c>
      <c r="B8746" s="1" t="n">
        <v>45188</v>
      </c>
      <c r="C8746" s="1" t="n">
        <v>45344</v>
      </c>
      <c r="D8746" t="inlineStr">
        <is>
          <t>GÄVLEBORGS LÄN</t>
        </is>
      </c>
      <c r="E8746" t="inlineStr">
        <is>
          <t>OCKELBO</t>
        </is>
      </c>
      <c r="F8746" t="inlineStr">
        <is>
          <t>Bergvik skog väst AB</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44291-2023</t>
        </is>
      </c>
      <c r="B8747" s="1" t="n">
        <v>45188</v>
      </c>
      <c r="C8747" s="1" t="n">
        <v>45344</v>
      </c>
      <c r="D8747" t="inlineStr">
        <is>
          <t>GÄVLEBORGS LÄN</t>
        </is>
      </c>
      <c r="E8747" t="inlineStr">
        <is>
          <t>LJUSDAL</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44081-2023</t>
        </is>
      </c>
      <c r="B8748" s="1" t="n">
        <v>45188</v>
      </c>
      <c r="C8748" s="1" t="n">
        <v>45344</v>
      </c>
      <c r="D8748" t="inlineStr">
        <is>
          <t>GÄVLEBORGS LÄN</t>
        </is>
      </c>
      <c r="E8748" t="inlineStr">
        <is>
          <t>SANDVIKEN</t>
        </is>
      </c>
      <c r="F8748" t="inlineStr">
        <is>
          <t>Bergvik skog öst AB</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44101-2023</t>
        </is>
      </c>
      <c r="B8749" s="1" t="n">
        <v>45188</v>
      </c>
      <c r="C8749" s="1" t="n">
        <v>45344</v>
      </c>
      <c r="D8749" t="inlineStr">
        <is>
          <t>GÄVLEBORGS LÄN</t>
        </is>
      </c>
      <c r="E8749" t="inlineStr">
        <is>
          <t>SANDVIKEN</t>
        </is>
      </c>
      <c r="F8749" t="inlineStr">
        <is>
          <t>Bergvik skog öst AB</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44109-2023</t>
        </is>
      </c>
      <c r="B8750" s="1" t="n">
        <v>45188</v>
      </c>
      <c r="C8750" s="1" t="n">
        <v>45344</v>
      </c>
      <c r="D8750" t="inlineStr">
        <is>
          <t>GÄVLEBORGS LÄN</t>
        </is>
      </c>
      <c r="E8750" t="inlineStr">
        <is>
          <t>HUDIKSVALL</t>
        </is>
      </c>
      <c r="F8750" t="inlineStr">
        <is>
          <t>Holmen skog AB</t>
        </is>
      </c>
      <c r="G8750" t="n">
        <v>7.2</v>
      </c>
      <c r="H8750" t="n">
        <v>0</v>
      </c>
      <c r="I8750" t="n">
        <v>0</v>
      </c>
      <c r="J8750" t="n">
        <v>0</v>
      </c>
      <c r="K8750" t="n">
        <v>0</v>
      </c>
      <c r="L8750" t="n">
        <v>0</v>
      </c>
      <c r="M8750" t="n">
        <v>0</v>
      </c>
      <c r="N8750" t="n">
        <v>0</v>
      </c>
      <c r="O8750" t="n">
        <v>0</v>
      </c>
      <c r="P8750" t="n">
        <v>0</v>
      </c>
      <c r="Q8750" t="n">
        <v>0</v>
      </c>
      <c r="R8750" s="2" t="inlineStr"/>
    </row>
    <row r="8751" ht="15" customHeight="1">
      <c r="A8751" t="inlineStr">
        <is>
          <t>A 44155-2023</t>
        </is>
      </c>
      <c r="B8751" s="1" t="n">
        <v>45188</v>
      </c>
      <c r="C8751" s="1" t="n">
        <v>45344</v>
      </c>
      <c r="D8751" t="inlineStr">
        <is>
          <t>GÄVLEBORGS LÄN</t>
        </is>
      </c>
      <c r="E8751" t="inlineStr">
        <is>
          <t>SANDVIKEN</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44188-2023</t>
        </is>
      </c>
      <c r="B8752" s="1" t="n">
        <v>45188</v>
      </c>
      <c r="C8752" s="1" t="n">
        <v>45344</v>
      </c>
      <c r="D8752" t="inlineStr">
        <is>
          <t>GÄVLEBORGS LÄN</t>
        </is>
      </c>
      <c r="E8752" t="inlineStr">
        <is>
          <t>LJUSDAL</t>
        </is>
      </c>
      <c r="F8752" t="inlineStr">
        <is>
          <t>Bergvik skog väst AB</t>
        </is>
      </c>
      <c r="G8752" t="n">
        <v>29.6</v>
      </c>
      <c r="H8752" t="n">
        <v>0</v>
      </c>
      <c r="I8752" t="n">
        <v>0</v>
      </c>
      <c r="J8752" t="n">
        <v>0</v>
      </c>
      <c r="K8752" t="n">
        <v>0</v>
      </c>
      <c r="L8752" t="n">
        <v>0</v>
      </c>
      <c r="M8752" t="n">
        <v>0</v>
      </c>
      <c r="N8752" t="n">
        <v>0</v>
      </c>
      <c r="O8752" t="n">
        <v>0</v>
      </c>
      <c r="P8752" t="n">
        <v>0</v>
      </c>
      <c r="Q8752" t="n">
        <v>0</v>
      </c>
      <c r="R8752" s="2" t="inlineStr"/>
    </row>
    <row r="8753" ht="15" customHeight="1">
      <c r="A8753" t="inlineStr">
        <is>
          <t>A 44192-2023</t>
        </is>
      </c>
      <c r="B8753" s="1" t="n">
        <v>45188</v>
      </c>
      <c r="C8753" s="1" t="n">
        <v>45344</v>
      </c>
      <c r="D8753" t="inlineStr">
        <is>
          <t>GÄVLEBORGS LÄN</t>
        </is>
      </c>
      <c r="E8753" t="inlineStr">
        <is>
          <t>LJUSDAL</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44341-2023</t>
        </is>
      </c>
      <c r="B8754" s="1" t="n">
        <v>45188</v>
      </c>
      <c r="C8754" s="1" t="n">
        <v>45344</v>
      </c>
      <c r="D8754" t="inlineStr">
        <is>
          <t>GÄVLEBORGS LÄN</t>
        </is>
      </c>
      <c r="E8754" t="inlineStr">
        <is>
          <t>SÖDERHAMN</t>
        </is>
      </c>
      <c r="F8754" t="inlineStr">
        <is>
          <t>Kommuner</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44356-2023</t>
        </is>
      </c>
      <c r="B8755" s="1" t="n">
        <v>45188</v>
      </c>
      <c r="C8755" s="1" t="n">
        <v>45344</v>
      </c>
      <c r="D8755" t="inlineStr">
        <is>
          <t>GÄVLEBORGS LÄN</t>
        </is>
      </c>
      <c r="E8755" t="inlineStr">
        <is>
          <t>HOFORS</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44376-2023</t>
        </is>
      </c>
      <c r="B8756" s="1" t="n">
        <v>45188</v>
      </c>
      <c r="C8756" s="1" t="n">
        <v>45344</v>
      </c>
      <c r="D8756" t="inlineStr">
        <is>
          <t>GÄVLEBORGS LÄN</t>
        </is>
      </c>
      <c r="E8756" t="inlineStr">
        <is>
          <t>HUDIKSVALL</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44239-2023</t>
        </is>
      </c>
      <c r="B8757" s="1" t="n">
        <v>45188</v>
      </c>
      <c r="C8757" s="1" t="n">
        <v>45344</v>
      </c>
      <c r="D8757" t="inlineStr">
        <is>
          <t>GÄVLEBORGS LÄN</t>
        </is>
      </c>
      <c r="E8757" t="inlineStr">
        <is>
          <t>NORDANSTIG</t>
        </is>
      </c>
      <c r="F8757" t="inlineStr">
        <is>
          <t>Holmen skog AB</t>
        </is>
      </c>
      <c r="G8757" t="n">
        <v>6.8</v>
      </c>
      <c r="H8757" t="n">
        <v>0</v>
      </c>
      <c r="I8757" t="n">
        <v>0</v>
      </c>
      <c r="J8757" t="n">
        <v>0</v>
      </c>
      <c r="K8757" t="n">
        <v>0</v>
      </c>
      <c r="L8757" t="n">
        <v>0</v>
      </c>
      <c r="M8757" t="n">
        <v>0</v>
      </c>
      <c r="N8757" t="n">
        <v>0</v>
      </c>
      <c r="O8757" t="n">
        <v>0</v>
      </c>
      <c r="P8757" t="n">
        <v>0</v>
      </c>
      <c r="Q8757" t="n">
        <v>0</v>
      </c>
      <c r="R8757" s="2" t="inlineStr"/>
    </row>
    <row r="8758" ht="15" customHeight="1">
      <c r="A8758" t="inlineStr">
        <is>
          <t>A 44344-2023</t>
        </is>
      </c>
      <c r="B8758" s="1" t="n">
        <v>45188</v>
      </c>
      <c r="C8758" s="1" t="n">
        <v>45344</v>
      </c>
      <c r="D8758" t="inlineStr">
        <is>
          <t>GÄVLEBORGS LÄN</t>
        </is>
      </c>
      <c r="E8758" t="inlineStr">
        <is>
          <t>OVANÅKER</t>
        </is>
      </c>
      <c r="G8758" t="n">
        <v>1.6</v>
      </c>
      <c r="H8758" t="n">
        <v>0</v>
      </c>
      <c r="I8758" t="n">
        <v>0</v>
      </c>
      <c r="J8758" t="n">
        <v>0</v>
      </c>
      <c r="K8758" t="n">
        <v>0</v>
      </c>
      <c r="L8758" t="n">
        <v>0</v>
      </c>
      <c r="M8758" t="n">
        <v>0</v>
      </c>
      <c r="N8758" t="n">
        <v>0</v>
      </c>
      <c r="O8758" t="n">
        <v>0</v>
      </c>
      <c r="P8758" t="n">
        <v>0</v>
      </c>
      <c r="Q8758" t="n">
        <v>0</v>
      </c>
      <c r="R8758" s="2" t="inlineStr"/>
    </row>
    <row r="8759" ht="15" customHeight="1">
      <c r="A8759" t="inlineStr">
        <is>
          <t>A 45558-2023</t>
        </is>
      </c>
      <c r="B8759" s="1" t="n">
        <v>45188</v>
      </c>
      <c r="C8759" s="1" t="n">
        <v>45344</v>
      </c>
      <c r="D8759" t="inlineStr">
        <is>
          <t>GÄVLEBORGS LÄN</t>
        </is>
      </c>
      <c r="E8759" t="inlineStr">
        <is>
          <t>HUDIKSVALL</t>
        </is>
      </c>
      <c r="G8759" t="n">
        <v>4.9</v>
      </c>
      <c r="H8759" t="n">
        <v>0</v>
      </c>
      <c r="I8759" t="n">
        <v>0</v>
      </c>
      <c r="J8759" t="n">
        <v>0</v>
      </c>
      <c r="K8759" t="n">
        <v>0</v>
      </c>
      <c r="L8759" t="n">
        <v>0</v>
      </c>
      <c r="M8759" t="n">
        <v>0</v>
      </c>
      <c r="N8759" t="n">
        <v>0</v>
      </c>
      <c r="O8759" t="n">
        <v>0</v>
      </c>
      <c r="P8759" t="n">
        <v>0</v>
      </c>
      <c r="Q8759" t="n">
        <v>0</v>
      </c>
      <c r="R8759" s="2" t="inlineStr"/>
    </row>
    <row r="8760" ht="15" customHeight="1">
      <c r="A8760" t="inlineStr">
        <is>
          <t>A 44330-2023</t>
        </is>
      </c>
      <c r="B8760" s="1" t="n">
        <v>45188</v>
      </c>
      <c r="C8760" s="1" t="n">
        <v>45344</v>
      </c>
      <c r="D8760" t="inlineStr">
        <is>
          <t>GÄVLEBORGS LÄN</t>
        </is>
      </c>
      <c r="E8760" t="inlineStr">
        <is>
          <t>NORDANSTIG</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44343-2023</t>
        </is>
      </c>
      <c r="B8761" s="1" t="n">
        <v>45188</v>
      </c>
      <c r="C8761" s="1" t="n">
        <v>45344</v>
      </c>
      <c r="D8761" t="inlineStr">
        <is>
          <t>GÄVLEBORGS LÄN</t>
        </is>
      </c>
      <c r="E8761" t="inlineStr">
        <is>
          <t>OVANÅKER</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44347-2023</t>
        </is>
      </c>
      <c r="B8762" s="1" t="n">
        <v>45188</v>
      </c>
      <c r="C8762" s="1" t="n">
        <v>45344</v>
      </c>
      <c r="D8762" t="inlineStr">
        <is>
          <t>GÄVLEBORGS LÄN</t>
        </is>
      </c>
      <c r="E8762" t="inlineStr">
        <is>
          <t>OVANÅKER</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44338-2023</t>
        </is>
      </c>
      <c r="B8763" s="1" t="n">
        <v>45188</v>
      </c>
      <c r="C8763" s="1" t="n">
        <v>45344</v>
      </c>
      <c r="D8763" t="inlineStr">
        <is>
          <t>GÄVLEBORGS LÄN</t>
        </is>
      </c>
      <c r="E8763" t="inlineStr">
        <is>
          <t>SÖDERHAMN</t>
        </is>
      </c>
      <c r="F8763" t="inlineStr">
        <is>
          <t>Kommuner</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44346-2023</t>
        </is>
      </c>
      <c r="B8764" s="1" t="n">
        <v>45188</v>
      </c>
      <c r="C8764" s="1" t="n">
        <v>45344</v>
      </c>
      <c r="D8764" t="inlineStr">
        <is>
          <t>GÄVLEBORGS LÄN</t>
        </is>
      </c>
      <c r="E8764" t="inlineStr">
        <is>
          <t>OVANÅKER</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44538-2023</t>
        </is>
      </c>
      <c r="B8765" s="1" t="n">
        <v>45189</v>
      </c>
      <c r="C8765" s="1" t="n">
        <v>45344</v>
      </c>
      <c r="D8765" t="inlineStr">
        <is>
          <t>GÄVLEBORGS LÄN</t>
        </is>
      </c>
      <c r="E8765" t="inlineStr">
        <is>
          <t>BOLLNÄS</t>
        </is>
      </c>
      <c r="G8765" t="n">
        <v>0.7</v>
      </c>
      <c r="H8765" t="n">
        <v>0</v>
      </c>
      <c r="I8765" t="n">
        <v>0</v>
      </c>
      <c r="J8765" t="n">
        <v>0</v>
      </c>
      <c r="K8765" t="n">
        <v>0</v>
      </c>
      <c r="L8765" t="n">
        <v>0</v>
      </c>
      <c r="M8765" t="n">
        <v>0</v>
      </c>
      <c r="N8765" t="n">
        <v>0</v>
      </c>
      <c r="O8765" t="n">
        <v>0</v>
      </c>
      <c r="P8765" t="n">
        <v>0</v>
      </c>
      <c r="Q8765" t="n">
        <v>0</v>
      </c>
      <c r="R8765" s="2" t="inlineStr"/>
    </row>
    <row r="8766" ht="15" customHeight="1">
      <c r="A8766" t="inlineStr">
        <is>
          <t>A 44617-2023</t>
        </is>
      </c>
      <c r="B8766" s="1" t="n">
        <v>45189</v>
      </c>
      <c r="C8766" s="1" t="n">
        <v>45344</v>
      </c>
      <c r="D8766" t="inlineStr">
        <is>
          <t>GÄVLEBORGS LÄN</t>
        </is>
      </c>
      <c r="E8766" t="inlineStr">
        <is>
          <t>BOLLNÄS</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44620-2023</t>
        </is>
      </c>
      <c r="B8767" s="1" t="n">
        <v>45189</v>
      </c>
      <c r="C8767" s="1" t="n">
        <v>45344</v>
      </c>
      <c r="D8767" t="inlineStr">
        <is>
          <t>GÄVLEBORGS LÄN</t>
        </is>
      </c>
      <c r="E8767" t="inlineStr">
        <is>
          <t>BOLLNÄS</t>
        </is>
      </c>
      <c r="G8767" t="n">
        <v>2.3</v>
      </c>
      <c r="H8767" t="n">
        <v>0</v>
      </c>
      <c r="I8767" t="n">
        <v>0</v>
      </c>
      <c r="J8767" t="n">
        <v>0</v>
      </c>
      <c r="K8767" t="n">
        <v>0</v>
      </c>
      <c r="L8767" t="n">
        <v>0</v>
      </c>
      <c r="M8767" t="n">
        <v>0</v>
      </c>
      <c r="N8767" t="n">
        <v>0</v>
      </c>
      <c r="O8767" t="n">
        <v>0</v>
      </c>
      <c r="P8767" t="n">
        <v>0</v>
      </c>
      <c r="Q8767" t="n">
        <v>0</v>
      </c>
      <c r="R8767" s="2" t="inlineStr"/>
    </row>
    <row r="8768" ht="15" customHeight="1">
      <c r="A8768" t="inlineStr">
        <is>
          <t>A 44644-2023</t>
        </is>
      </c>
      <c r="B8768" s="1" t="n">
        <v>45189</v>
      </c>
      <c r="C8768" s="1" t="n">
        <v>45344</v>
      </c>
      <c r="D8768" t="inlineStr">
        <is>
          <t>GÄVLEBORGS LÄN</t>
        </is>
      </c>
      <c r="E8768" t="inlineStr">
        <is>
          <t>SANDVIKEN</t>
        </is>
      </c>
      <c r="F8768" t="inlineStr">
        <is>
          <t>Bergvik skog öst AB</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44665-2023</t>
        </is>
      </c>
      <c r="B8769" s="1" t="n">
        <v>45189</v>
      </c>
      <c r="C8769" s="1" t="n">
        <v>45344</v>
      </c>
      <c r="D8769" t="inlineStr">
        <is>
          <t>GÄVLEBORGS LÄN</t>
        </is>
      </c>
      <c r="E8769" t="inlineStr">
        <is>
          <t>LJUSDAL</t>
        </is>
      </c>
      <c r="F8769" t="inlineStr">
        <is>
          <t>Sveaskog</t>
        </is>
      </c>
      <c r="G8769" t="n">
        <v>25.1</v>
      </c>
      <c r="H8769" t="n">
        <v>0</v>
      </c>
      <c r="I8769" t="n">
        <v>0</v>
      </c>
      <c r="J8769" t="n">
        <v>0</v>
      </c>
      <c r="K8769" t="n">
        <v>0</v>
      </c>
      <c r="L8769" t="n">
        <v>0</v>
      </c>
      <c r="M8769" t="n">
        <v>0</v>
      </c>
      <c r="N8769" t="n">
        <v>0</v>
      </c>
      <c r="O8769" t="n">
        <v>0</v>
      </c>
      <c r="P8769" t="n">
        <v>0</v>
      </c>
      <c r="Q8769" t="n">
        <v>0</v>
      </c>
      <c r="R8769" s="2" t="inlineStr"/>
    </row>
    <row r="8770" ht="15" customHeight="1">
      <c r="A8770" t="inlineStr">
        <is>
          <t>A 44510-2023</t>
        </is>
      </c>
      <c r="B8770" s="1" t="n">
        <v>45189</v>
      </c>
      <c r="C8770" s="1" t="n">
        <v>45344</v>
      </c>
      <c r="D8770" t="inlineStr">
        <is>
          <t>GÄVLEBORGS LÄN</t>
        </is>
      </c>
      <c r="E8770" t="inlineStr">
        <is>
          <t>SANDVIKEN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44541-2023</t>
        </is>
      </c>
      <c r="B8771" s="1" t="n">
        <v>45189</v>
      </c>
      <c r="C8771" s="1" t="n">
        <v>45344</v>
      </c>
      <c r="D8771" t="inlineStr">
        <is>
          <t>GÄVLEBORGS LÄN</t>
        </is>
      </c>
      <c r="E8771" t="inlineStr">
        <is>
          <t>HUDIKSVALL</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44611-2023</t>
        </is>
      </c>
      <c r="B8772" s="1" t="n">
        <v>45189</v>
      </c>
      <c r="C8772" s="1" t="n">
        <v>45344</v>
      </c>
      <c r="D8772" t="inlineStr">
        <is>
          <t>GÄVLEBORGS LÄN</t>
        </is>
      </c>
      <c r="E8772" t="inlineStr">
        <is>
          <t>OVANÅKER</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44625-2023</t>
        </is>
      </c>
      <c r="B8773" s="1" t="n">
        <v>45189</v>
      </c>
      <c r="C8773" s="1" t="n">
        <v>45344</v>
      </c>
      <c r="D8773" t="inlineStr">
        <is>
          <t>GÄVLEBORGS LÄN</t>
        </is>
      </c>
      <c r="E8773" t="inlineStr">
        <is>
          <t>BOLLNÄS</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44418-2023</t>
        </is>
      </c>
      <c r="B8774" s="1" t="n">
        <v>45189</v>
      </c>
      <c r="C8774" s="1" t="n">
        <v>45344</v>
      </c>
      <c r="D8774" t="inlineStr">
        <is>
          <t>GÄVLEBORGS LÄN</t>
        </is>
      </c>
      <c r="E8774" t="inlineStr">
        <is>
          <t>NORDANSTIG</t>
        </is>
      </c>
      <c r="F8774" t="inlineStr">
        <is>
          <t>Holmen skog AB</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44446-2023</t>
        </is>
      </c>
      <c r="B8775" s="1" t="n">
        <v>45189</v>
      </c>
      <c r="C8775" s="1" t="n">
        <v>45344</v>
      </c>
      <c r="D8775" t="inlineStr">
        <is>
          <t>GÄVLEBORGS LÄN</t>
        </is>
      </c>
      <c r="E8775" t="inlineStr">
        <is>
          <t>NORDANSTIG</t>
        </is>
      </c>
      <c r="F8775" t="inlineStr">
        <is>
          <t>Holmen skog AB</t>
        </is>
      </c>
      <c r="G8775" t="n">
        <v>4.9</v>
      </c>
      <c r="H8775" t="n">
        <v>0</v>
      </c>
      <c r="I8775" t="n">
        <v>0</v>
      </c>
      <c r="J8775" t="n">
        <v>0</v>
      </c>
      <c r="K8775" t="n">
        <v>0</v>
      </c>
      <c r="L8775" t="n">
        <v>0</v>
      </c>
      <c r="M8775" t="n">
        <v>0</v>
      </c>
      <c r="N8775" t="n">
        <v>0</v>
      </c>
      <c r="O8775" t="n">
        <v>0</v>
      </c>
      <c r="P8775" t="n">
        <v>0</v>
      </c>
      <c r="Q8775" t="n">
        <v>0</v>
      </c>
      <c r="R8775" s="2" t="inlineStr"/>
    </row>
    <row r="8776" ht="15" customHeight="1">
      <c r="A8776" t="inlineStr">
        <is>
          <t>A 44692-2023</t>
        </is>
      </c>
      <c r="B8776" s="1" t="n">
        <v>45190</v>
      </c>
      <c r="C8776" s="1" t="n">
        <v>45344</v>
      </c>
      <c r="D8776" t="inlineStr">
        <is>
          <t>GÄVLEBORGS LÄN</t>
        </is>
      </c>
      <c r="E8776" t="inlineStr">
        <is>
          <t>HUDIKSVALL</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44699-2023</t>
        </is>
      </c>
      <c r="B8777" s="1" t="n">
        <v>45190</v>
      </c>
      <c r="C8777" s="1" t="n">
        <v>45344</v>
      </c>
      <c r="D8777" t="inlineStr">
        <is>
          <t>GÄVLEBORGS LÄN</t>
        </is>
      </c>
      <c r="E8777" t="inlineStr">
        <is>
          <t>LJUSDAL</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44920-2023</t>
        </is>
      </c>
      <c r="B8778" s="1" t="n">
        <v>45190</v>
      </c>
      <c r="C8778" s="1" t="n">
        <v>45344</v>
      </c>
      <c r="D8778" t="inlineStr">
        <is>
          <t>GÄVLEBORGS LÄN</t>
        </is>
      </c>
      <c r="E8778" t="inlineStr">
        <is>
          <t>SÖDERHAMN</t>
        </is>
      </c>
      <c r="F8778" t="inlineStr">
        <is>
          <t>Bergvik skog väst AB</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44802-2023</t>
        </is>
      </c>
      <c r="B8779" s="1" t="n">
        <v>45190</v>
      </c>
      <c r="C8779" s="1" t="n">
        <v>45344</v>
      </c>
      <c r="D8779" t="inlineStr">
        <is>
          <t>GÄVLEBORGS LÄN</t>
        </is>
      </c>
      <c r="E8779" t="inlineStr">
        <is>
          <t>OVANÅKER</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44967-2023</t>
        </is>
      </c>
      <c r="B8780" s="1" t="n">
        <v>45191</v>
      </c>
      <c r="C8780" s="1" t="n">
        <v>45344</v>
      </c>
      <c r="D8780" t="inlineStr">
        <is>
          <t>GÄVLEBORGS LÄN</t>
        </is>
      </c>
      <c r="E8780" t="inlineStr">
        <is>
          <t>LJUSDAL</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45175-2023</t>
        </is>
      </c>
      <c r="B8781" s="1" t="n">
        <v>45191</v>
      </c>
      <c r="C8781" s="1" t="n">
        <v>45344</v>
      </c>
      <c r="D8781" t="inlineStr">
        <is>
          <t>GÄVLEBORGS LÄN</t>
        </is>
      </c>
      <c r="E8781" t="inlineStr">
        <is>
          <t>LJUSDAL</t>
        </is>
      </c>
      <c r="F8781" t="inlineStr">
        <is>
          <t>Sveaskog</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45068-2023</t>
        </is>
      </c>
      <c r="B8782" s="1" t="n">
        <v>45191</v>
      </c>
      <c r="C8782" s="1" t="n">
        <v>45344</v>
      </c>
      <c r="D8782" t="inlineStr">
        <is>
          <t>GÄVLEBORGS LÄN</t>
        </is>
      </c>
      <c r="E8782" t="inlineStr">
        <is>
          <t>HUDIKSVALL</t>
        </is>
      </c>
      <c r="G8782" t="n">
        <v>2.7</v>
      </c>
      <c r="H8782" t="n">
        <v>0</v>
      </c>
      <c r="I8782" t="n">
        <v>0</v>
      </c>
      <c r="J8782" t="n">
        <v>0</v>
      </c>
      <c r="K8782" t="n">
        <v>0</v>
      </c>
      <c r="L8782" t="n">
        <v>0</v>
      </c>
      <c r="M8782" t="n">
        <v>0</v>
      </c>
      <c r="N8782" t="n">
        <v>0</v>
      </c>
      <c r="O8782" t="n">
        <v>0</v>
      </c>
      <c r="P8782" t="n">
        <v>0</v>
      </c>
      <c r="Q8782" t="n">
        <v>0</v>
      </c>
      <c r="R8782" s="2" t="inlineStr"/>
    </row>
    <row r="8783" ht="15" customHeight="1">
      <c r="A8783" t="inlineStr">
        <is>
          <t>A 45078-2023</t>
        </is>
      </c>
      <c r="B8783" s="1" t="n">
        <v>45191</v>
      </c>
      <c r="C8783" s="1" t="n">
        <v>45344</v>
      </c>
      <c r="D8783" t="inlineStr">
        <is>
          <t>GÄVLEBORGS LÄN</t>
        </is>
      </c>
      <c r="E8783" t="inlineStr">
        <is>
          <t>HUDIKSVALL</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45096-2023</t>
        </is>
      </c>
      <c r="B8784" s="1" t="n">
        <v>45191</v>
      </c>
      <c r="C8784" s="1" t="n">
        <v>45344</v>
      </c>
      <c r="D8784" t="inlineStr">
        <is>
          <t>GÄVLEBORGS LÄN</t>
        </is>
      </c>
      <c r="E8784" t="inlineStr">
        <is>
          <t>HUDIKSVALL</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45110-2023</t>
        </is>
      </c>
      <c r="B8785" s="1" t="n">
        <v>45191</v>
      </c>
      <c r="C8785" s="1" t="n">
        <v>45344</v>
      </c>
      <c r="D8785" t="inlineStr">
        <is>
          <t>GÄVLEBORGS LÄN</t>
        </is>
      </c>
      <c r="E8785" t="inlineStr">
        <is>
          <t>LJUSDAL</t>
        </is>
      </c>
      <c r="F8785" t="inlineStr">
        <is>
          <t>Bergvik skog väst AB</t>
        </is>
      </c>
      <c r="G8785" t="n">
        <v>3.1</v>
      </c>
      <c r="H8785" t="n">
        <v>0</v>
      </c>
      <c r="I8785" t="n">
        <v>0</v>
      </c>
      <c r="J8785" t="n">
        <v>0</v>
      </c>
      <c r="K8785" t="n">
        <v>0</v>
      </c>
      <c r="L8785" t="n">
        <v>0</v>
      </c>
      <c r="M8785" t="n">
        <v>0</v>
      </c>
      <c r="N8785" t="n">
        <v>0</v>
      </c>
      <c r="O8785" t="n">
        <v>0</v>
      </c>
      <c r="P8785" t="n">
        <v>0</v>
      </c>
      <c r="Q8785" t="n">
        <v>0</v>
      </c>
      <c r="R8785" s="2" t="inlineStr"/>
    </row>
    <row r="8786" ht="15" customHeight="1">
      <c r="A8786" t="inlineStr">
        <is>
          <t>A 45181-2023</t>
        </is>
      </c>
      <c r="B8786" s="1" t="n">
        <v>45191</v>
      </c>
      <c r="C8786" s="1" t="n">
        <v>45344</v>
      </c>
      <c r="D8786" t="inlineStr">
        <is>
          <t>GÄVLEBORGS LÄN</t>
        </is>
      </c>
      <c r="E8786" t="inlineStr">
        <is>
          <t>OCKELBO</t>
        </is>
      </c>
      <c r="F8786" t="inlineStr">
        <is>
          <t>Bergvik skog väst AB</t>
        </is>
      </c>
      <c r="G8786" t="n">
        <v>4.5</v>
      </c>
      <c r="H8786" t="n">
        <v>0</v>
      </c>
      <c r="I8786" t="n">
        <v>0</v>
      </c>
      <c r="J8786" t="n">
        <v>0</v>
      </c>
      <c r="K8786" t="n">
        <v>0</v>
      </c>
      <c r="L8786" t="n">
        <v>0</v>
      </c>
      <c r="M8786" t="n">
        <v>0</v>
      </c>
      <c r="N8786" t="n">
        <v>0</v>
      </c>
      <c r="O8786" t="n">
        <v>0</v>
      </c>
      <c r="P8786" t="n">
        <v>0</v>
      </c>
      <c r="Q8786" t="n">
        <v>0</v>
      </c>
      <c r="R8786" s="2" t="inlineStr"/>
    </row>
    <row r="8787" ht="15" customHeight="1">
      <c r="A8787" t="inlineStr">
        <is>
          <t>A 45212-2023</t>
        </is>
      </c>
      <c r="B8787" s="1" t="n">
        <v>45191</v>
      </c>
      <c r="C8787" s="1" t="n">
        <v>45344</v>
      </c>
      <c r="D8787" t="inlineStr">
        <is>
          <t>GÄVLEBORGS LÄN</t>
        </is>
      </c>
      <c r="E8787" t="inlineStr">
        <is>
          <t>NORDANSTIG</t>
        </is>
      </c>
      <c r="F8787" t="inlineStr">
        <is>
          <t>Holmen skog AB</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45259-2023</t>
        </is>
      </c>
      <c r="B8788" s="1" t="n">
        <v>45191</v>
      </c>
      <c r="C8788" s="1" t="n">
        <v>45344</v>
      </c>
      <c r="D8788" t="inlineStr">
        <is>
          <t>GÄVLEBORGS LÄN</t>
        </is>
      </c>
      <c r="E8788" t="inlineStr">
        <is>
          <t>SÖDERHAMN</t>
        </is>
      </c>
      <c r="F8788" t="inlineStr">
        <is>
          <t>Bergvik skog väst AB</t>
        </is>
      </c>
      <c r="G8788" t="n">
        <v>19.4</v>
      </c>
      <c r="H8788" t="n">
        <v>0</v>
      </c>
      <c r="I8788" t="n">
        <v>0</v>
      </c>
      <c r="J8788" t="n">
        <v>0</v>
      </c>
      <c r="K8788" t="n">
        <v>0</v>
      </c>
      <c r="L8788" t="n">
        <v>0</v>
      </c>
      <c r="M8788" t="n">
        <v>0</v>
      </c>
      <c r="N8788" t="n">
        <v>0</v>
      </c>
      <c r="O8788" t="n">
        <v>0</v>
      </c>
      <c r="P8788" t="n">
        <v>0</v>
      </c>
      <c r="Q8788" t="n">
        <v>0</v>
      </c>
      <c r="R8788" s="2" t="inlineStr"/>
    </row>
    <row r="8789" ht="15" customHeight="1">
      <c r="A8789" t="inlineStr">
        <is>
          <t>A 45286-2023</t>
        </is>
      </c>
      <c r="B8789" s="1" t="n">
        <v>45191</v>
      </c>
      <c r="C8789" s="1" t="n">
        <v>45344</v>
      </c>
      <c r="D8789" t="inlineStr">
        <is>
          <t>GÄVLEBORGS LÄN</t>
        </is>
      </c>
      <c r="E8789" t="inlineStr">
        <is>
          <t>SANDVIKEN</t>
        </is>
      </c>
      <c r="F8789" t="inlineStr">
        <is>
          <t>Bergvik skog öst AB</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45221-2023</t>
        </is>
      </c>
      <c r="B8790" s="1" t="n">
        <v>45191</v>
      </c>
      <c r="C8790" s="1" t="n">
        <v>45344</v>
      </c>
      <c r="D8790" t="inlineStr">
        <is>
          <t>GÄVLEBORGS LÄN</t>
        </is>
      </c>
      <c r="E8790" t="inlineStr">
        <is>
          <t>HUDIKSVALL</t>
        </is>
      </c>
      <c r="F8790" t="inlineStr">
        <is>
          <t>Holmen skog AB</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45248-2023</t>
        </is>
      </c>
      <c r="B8791" s="1" t="n">
        <v>45191</v>
      </c>
      <c r="C8791" s="1" t="n">
        <v>45344</v>
      </c>
      <c r="D8791" t="inlineStr">
        <is>
          <t>GÄVLEBORGS LÄN</t>
        </is>
      </c>
      <c r="E8791" t="inlineStr">
        <is>
          <t>BOLLNÄS</t>
        </is>
      </c>
      <c r="F8791" t="inlineStr">
        <is>
          <t>Bergvik skog väst AB</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45258-2023</t>
        </is>
      </c>
      <c r="B8792" s="1" t="n">
        <v>45191</v>
      </c>
      <c r="C8792" s="1" t="n">
        <v>45344</v>
      </c>
      <c r="D8792" t="inlineStr">
        <is>
          <t>GÄVLEBORGS LÄN</t>
        </is>
      </c>
      <c r="E8792" t="inlineStr">
        <is>
          <t>BOLLNÄS</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45267-2023</t>
        </is>
      </c>
      <c r="B8793" s="1" t="n">
        <v>45191</v>
      </c>
      <c r="C8793" s="1" t="n">
        <v>45344</v>
      </c>
      <c r="D8793" t="inlineStr">
        <is>
          <t>GÄVLEBORGS LÄN</t>
        </is>
      </c>
      <c r="E8793" t="inlineStr">
        <is>
          <t>SANDVIKEN</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45312-2023</t>
        </is>
      </c>
      <c r="B8794" s="1" t="n">
        <v>45191</v>
      </c>
      <c r="C8794" s="1" t="n">
        <v>45344</v>
      </c>
      <c r="D8794" t="inlineStr">
        <is>
          <t>GÄVLEBORGS LÄN</t>
        </is>
      </c>
      <c r="E8794" t="inlineStr">
        <is>
          <t>NORDANSTIG</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45243-2023</t>
        </is>
      </c>
      <c r="B8795" s="1" t="n">
        <v>45191</v>
      </c>
      <c r="C8795" s="1" t="n">
        <v>45344</v>
      </c>
      <c r="D8795" t="inlineStr">
        <is>
          <t>GÄVLEBORGS LÄN</t>
        </is>
      </c>
      <c r="E8795" t="inlineStr">
        <is>
          <t>LJUSDAL</t>
        </is>
      </c>
      <c r="G8795" t="n">
        <v>9.6</v>
      </c>
      <c r="H8795" t="n">
        <v>0</v>
      </c>
      <c r="I8795" t="n">
        <v>0</v>
      </c>
      <c r="J8795" t="n">
        <v>0</v>
      </c>
      <c r="K8795" t="n">
        <v>0</v>
      </c>
      <c r="L8795" t="n">
        <v>0</v>
      </c>
      <c r="M8795" t="n">
        <v>0</v>
      </c>
      <c r="N8795" t="n">
        <v>0</v>
      </c>
      <c r="O8795" t="n">
        <v>0</v>
      </c>
      <c r="P8795" t="n">
        <v>0</v>
      </c>
      <c r="Q8795" t="n">
        <v>0</v>
      </c>
      <c r="R8795" s="2" t="inlineStr"/>
    </row>
    <row r="8796" ht="15" customHeight="1">
      <c r="A8796" t="inlineStr">
        <is>
          <t>A 45251-2023</t>
        </is>
      </c>
      <c r="B8796" s="1" t="n">
        <v>45191</v>
      </c>
      <c r="C8796" s="1" t="n">
        <v>45344</v>
      </c>
      <c r="D8796" t="inlineStr">
        <is>
          <t>GÄVLEBORGS LÄN</t>
        </is>
      </c>
      <c r="E8796" t="inlineStr">
        <is>
          <t>LJUSDAL</t>
        </is>
      </c>
      <c r="G8796" t="n">
        <v>2.8</v>
      </c>
      <c r="H8796" t="n">
        <v>0</v>
      </c>
      <c r="I8796" t="n">
        <v>0</v>
      </c>
      <c r="J8796" t="n">
        <v>0</v>
      </c>
      <c r="K8796" t="n">
        <v>0</v>
      </c>
      <c r="L8796" t="n">
        <v>0</v>
      </c>
      <c r="M8796" t="n">
        <v>0</v>
      </c>
      <c r="N8796" t="n">
        <v>0</v>
      </c>
      <c r="O8796" t="n">
        <v>0</v>
      </c>
      <c r="P8796" t="n">
        <v>0</v>
      </c>
      <c r="Q8796" t="n">
        <v>0</v>
      </c>
      <c r="R8796" s="2" t="inlineStr"/>
    </row>
    <row r="8797" ht="15" customHeight="1">
      <c r="A8797" t="inlineStr">
        <is>
          <t>A 45266-2023</t>
        </is>
      </c>
      <c r="B8797" s="1" t="n">
        <v>45191</v>
      </c>
      <c r="C8797" s="1" t="n">
        <v>45344</v>
      </c>
      <c r="D8797" t="inlineStr">
        <is>
          <t>GÄVLEBORGS LÄN</t>
        </is>
      </c>
      <c r="E8797" t="inlineStr">
        <is>
          <t>HUDIKSVALL</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45279-2023</t>
        </is>
      </c>
      <c r="B8798" s="1" t="n">
        <v>45191</v>
      </c>
      <c r="C8798" s="1" t="n">
        <v>45344</v>
      </c>
      <c r="D8798" t="inlineStr">
        <is>
          <t>GÄVLEBORGS LÄN</t>
        </is>
      </c>
      <c r="E8798" t="inlineStr">
        <is>
          <t>SANDVIKEN</t>
        </is>
      </c>
      <c r="G8798" t="n">
        <v>2.2</v>
      </c>
      <c r="H8798" t="n">
        <v>0</v>
      </c>
      <c r="I8798" t="n">
        <v>0</v>
      </c>
      <c r="J8798" t="n">
        <v>0</v>
      </c>
      <c r="K8798" t="n">
        <v>0</v>
      </c>
      <c r="L8798" t="n">
        <v>0</v>
      </c>
      <c r="M8798" t="n">
        <v>0</v>
      </c>
      <c r="N8798" t="n">
        <v>0</v>
      </c>
      <c r="O8798" t="n">
        <v>0</v>
      </c>
      <c r="P8798" t="n">
        <v>0</v>
      </c>
      <c r="Q8798" t="n">
        <v>0</v>
      </c>
      <c r="R8798" s="2" t="inlineStr"/>
    </row>
    <row r="8799" ht="15" customHeight="1">
      <c r="A8799" t="inlineStr">
        <is>
          <t>A 45284-2023</t>
        </is>
      </c>
      <c r="B8799" s="1" t="n">
        <v>45191</v>
      </c>
      <c r="C8799" s="1" t="n">
        <v>45344</v>
      </c>
      <c r="D8799" t="inlineStr">
        <is>
          <t>GÄVLEBORGS LÄN</t>
        </is>
      </c>
      <c r="E8799" t="inlineStr">
        <is>
          <t>SANDVIKEN</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45289-2023</t>
        </is>
      </c>
      <c r="B8800" s="1" t="n">
        <v>45191</v>
      </c>
      <c r="C8800" s="1" t="n">
        <v>45344</v>
      </c>
      <c r="D8800" t="inlineStr">
        <is>
          <t>GÄVLEBORGS LÄN</t>
        </is>
      </c>
      <c r="E8800" t="inlineStr">
        <is>
          <t>LJUSDAL</t>
        </is>
      </c>
      <c r="G8800" t="n">
        <v>2.2</v>
      </c>
      <c r="H8800" t="n">
        <v>0</v>
      </c>
      <c r="I8800" t="n">
        <v>0</v>
      </c>
      <c r="J8800" t="n">
        <v>0</v>
      </c>
      <c r="K8800" t="n">
        <v>0</v>
      </c>
      <c r="L8800" t="n">
        <v>0</v>
      </c>
      <c r="M8800" t="n">
        <v>0</v>
      </c>
      <c r="N8800" t="n">
        <v>0</v>
      </c>
      <c r="O8800" t="n">
        <v>0</v>
      </c>
      <c r="P8800" t="n">
        <v>0</v>
      </c>
      <c r="Q8800" t="n">
        <v>0</v>
      </c>
      <c r="R8800" s="2" t="inlineStr"/>
    </row>
    <row r="8801" ht="15" customHeight="1">
      <c r="A8801" t="inlineStr">
        <is>
          <t>A 45299-2023</t>
        </is>
      </c>
      <c r="B8801" s="1" t="n">
        <v>45191</v>
      </c>
      <c r="C8801" s="1" t="n">
        <v>45344</v>
      </c>
      <c r="D8801" t="inlineStr">
        <is>
          <t>GÄVLEBORGS LÄN</t>
        </is>
      </c>
      <c r="E8801" t="inlineStr">
        <is>
          <t>SANDVIKEN</t>
        </is>
      </c>
      <c r="F8801" t="inlineStr">
        <is>
          <t>Bergvik skog öst AB</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45089-2023</t>
        </is>
      </c>
      <c r="B8802" s="1" t="n">
        <v>45191</v>
      </c>
      <c r="C8802" s="1" t="n">
        <v>45344</v>
      </c>
      <c r="D8802" t="inlineStr">
        <is>
          <t>GÄVLEBORGS LÄN</t>
        </is>
      </c>
      <c r="E8802" t="inlineStr">
        <is>
          <t>LJUSDAL</t>
        </is>
      </c>
      <c r="G8802" t="n">
        <v>1.9</v>
      </c>
      <c r="H8802" t="n">
        <v>0</v>
      </c>
      <c r="I8802" t="n">
        <v>0</v>
      </c>
      <c r="J8802" t="n">
        <v>0</v>
      </c>
      <c r="K8802" t="n">
        <v>0</v>
      </c>
      <c r="L8802" t="n">
        <v>0</v>
      </c>
      <c r="M8802" t="n">
        <v>0</v>
      </c>
      <c r="N8802" t="n">
        <v>0</v>
      </c>
      <c r="O8802" t="n">
        <v>0</v>
      </c>
      <c r="P8802" t="n">
        <v>0</v>
      </c>
      <c r="Q8802" t="n">
        <v>0</v>
      </c>
      <c r="R8802" s="2" t="inlineStr"/>
    </row>
    <row r="8803" ht="15" customHeight="1">
      <c r="A8803" t="inlineStr">
        <is>
          <t>A 45241-2023</t>
        </is>
      </c>
      <c r="B8803" s="1" t="n">
        <v>45191</v>
      </c>
      <c r="C8803" s="1" t="n">
        <v>45344</v>
      </c>
      <c r="D8803" t="inlineStr">
        <is>
          <t>GÄVLEBORGS LÄN</t>
        </is>
      </c>
      <c r="E8803" t="inlineStr">
        <is>
          <t>BOLLNÄS</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45250-2023</t>
        </is>
      </c>
      <c r="B8804" s="1" t="n">
        <v>45191</v>
      </c>
      <c r="C8804" s="1" t="n">
        <v>45344</v>
      </c>
      <c r="D8804" t="inlineStr">
        <is>
          <t>GÄVLEBORGS LÄN</t>
        </is>
      </c>
      <c r="E8804" t="inlineStr">
        <is>
          <t>LJUSDAL</t>
        </is>
      </c>
      <c r="G8804" t="n">
        <v>5.5</v>
      </c>
      <c r="H8804" t="n">
        <v>0</v>
      </c>
      <c r="I8804" t="n">
        <v>0</v>
      </c>
      <c r="J8804" t="n">
        <v>0</v>
      </c>
      <c r="K8804" t="n">
        <v>0</v>
      </c>
      <c r="L8804" t="n">
        <v>0</v>
      </c>
      <c r="M8804" t="n">
        <v>0</v>
      </c>
      <c r="N8804" t="n">
        <v>0</v>
      </c>
      <c r="O8804" t="n">
        <v>0</v>
      </c>
      <c r="P8804" t="n">
        <v>0</v>
      </c>
      <c r="Q8804" t="n">
        <v>0</v>
      </c>
      <c r="R8804" s="2" t="inlineStr"/>
    </row>
    <row r="8805" ht="15" customHeight="1">
      <c r="A8805" t="inlineStr">
        <is>
          <t>A 45255-2023</t>
        </is>
      </c>
      <c r="B8805" s="1" t="n">
        <v>45191</v>
      </c>
      <c r="C8805" s="1" t="n">
        <v>45344</v>
      </c>
      <c r="D8805" t="inlineStr">
        <is>
          <t>GÄVLEBORGS LÄN</t>
        </is>
      </c>
      <c r="E8805" t="inlineStr">
        <is>
          <t>LJUSDAL</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45260-2023</t>
        </is>
      </c>
      <c r="B8806" s="1" t="n">
        <v>45191</v>
      </c>
      <c r="C8806" s="1" t="n">
        <v>45344</v>
      </c>
      <c r="D8806" t="inlineStr">
        <is>
          <t>GÄVLEBORGS LÄN</t>
        </is>
      </c>
      <c r="E8806" t="inlineStr">
        <is>
          <t>LJUSDAL</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45278-2023</t>
        </is>
      </c>
      <c r="B8807" s="1" t="n">
        <v>45191</v>
      </c>
      <c r="C8807" s="1" t="n">
        <v>45344</v>
      </c>
      <c r="D8807" t="inlineStr">
        <is>
          <t>GÄVLEBORGS LÄN</t>
        </is>
      </c>
      <c r="E8807" t="inlineStr">
        <is>
          <t>LJUSDAL</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45302-2023</t>
        </is>
      </c>
      <c r="B8808" s="1" t="n">
        <v>45191</v>
      </c>
      <c r="C8808" s="1" t="n">
        <v>45344</v>
      </c>
      <c r="D8808" t="inlineStr">
        <is>
          <t>GÄVLEBORGS LÄN</t>
        </is>
      </c>
      <c r="E8808" t="inlineStr">
        <is>
          <t>SANDVIKEN</t>
        </is>
      </c>
      <c r="F8808" t="inlineStr">
        <is>
          <t>Sveaskog</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45318-2023</t>
        </is>
      </c>
      <c r="B8809" s="1" t="n">
        <v>45191</v>
      </c>
      <c r="C8809" s="1" t="n">
        <v>45344</v>
      </c>
      <c r="D8809" t="inlineStr">
        <is>
          <t>GÄVLEBORGS LÄN</t>
        </is>
      </c>
      <c r="E8809" t="inlineStr">
        <is>
          <t>HUDIKSVALL</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46414-2023</t>
        </is>
      </c>
      <c r="B8810" s="1" t="n">
        <v>45191</v>
      </c>
      <c r="C8810" s="1" t="n">
        <v>45344</v>
      </c>
      <c r="D8810" t="inlineStr">
        <is>
          <t>GÄVLEBORGS LÄN</t>
        </is>
      </c>
      <c r="E8810" t="inlineStr">
        <is>
          <t>SANDVIKEN</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45356-2023</t>
        </is>
      </c>
      <c r="B8811" s="1" t="n">
        <v>45192</v>
      </c>
      <c r="C8811" s="1" t="n">
        <v>45344</v>
      </c>
      <c r="D8811" t="inlineStr">
        <is>
          <t>GÄVLEBORGS LÄN</t>
        </is>
      </c>
      <c r="E8811" t="inlineStr">
        <is>
          <t>GÄVLE</t>
        </is>
      </c>
      <c r="G8811" t="n">
        <v>5.1</v>
      </c>
      <c r="H8811" t="n">
        <v>0</v>
      </c>
      <c r="I8811" t="n">
        <v>0</v>
      </c>
      <c r="J8811" t="n">
        <v>0</v>
      </c>
      <c r="K8811" t="n">
        <v>0</v>
      </c>
      <c r="L8811" t="n">
        <v>0</v>
      </c>
      <c r="M8811" t="n">
        <v>0</v>
      </c>
      <c r="N8811" t="n">
        <v>0</v>
      </c>
      <c r="O8811" t="n">
        <v>0</v>
      </c>
      <c r="P8811" t="n">
        <v>0</v>
      </c>
      <c r="Q8811" t="n">
        <v>0</v>
      </c>
      <c r="R8811" s="2" t="inlineStr"/>
    </row>
    <row r="8812" ht="15" customHeight="1">
      <c r="A8812" t="inlineStr">
        <is>
          <t>A 45360-2023</t>
        </is>
      </c>
      <c r="B8812" s="1" t="n">
        <v>45192</v>
      </c>
      <c r="C8812" s="1" t="n">
        <v>45344</v>
      </c>
      <c r="D8812" t="inlineStr">
        <is>
          <t>GÄVLEBORGS LÄN</t>
        </is>
      </c>
      <c r="E8812" t="inlineStr">
        <is>
          <t>GÄVLE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45418-2023</t>
        </is>
      </c>
      <c r="B8813" s="1" t="n">
        <v>45194</v>
      </c>
      <c r="C8813" s="1" t="n">
        <v>45344</v>
      </c>
      <c r="D8813" t="inlineStr">
        <is>
          <t>GÄVLEBORGS LÄN</t>
        </is>
      </c>
      <c r="E8813" t="inlineStr">
        <is>
          <t>SANDVIKEN</t>
        </is>
      </c>
      <c r="F8813" t="inlineStr">
        <is>
          <t>Bergvik skog öst AB</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45536-2023</t>
        </is>
      </c>
      <c r="B8814" s="1" t="n">
        <v>45194</v>
      </c>
      <c r="C8814" s="1" t="n">
        <v>45344</v>
      </c>
      <c r="D8814" t="inlineStr">
        <is>
          <t>GÄVLEBORGS LÄN</t>
        </is>
      </c>
      <c r="E8814" t="inlineStr">
        <is>
          <t>LJUSDAL</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45557-2023</t>
        </is>
      </c>
      <c r="B8815" s="1" t="n">
        <v>45194</v>
      </c>
      <c r="C8815" s="1" t="n">
        <v>45344</v>
      </c>
      <c r="D8815" t="inlineStr">
        <is>
          <t>GÄVLEBORGS LÄN</t>
        </is>
      </c>
      <c r="E8815" t="inlineStr">
        <is>
          <t>BOLLNÄS</t>
        </is>
      </c>
      <c r="G8815" t="n">
        <v>2.1</v>
      </c>
      <c r="H8815" t="n">
        <v>0</v>
      </c>
      <c r="I8815" t="n">
        <v>0</v>
      </c>
      <c r="J8815" t="n">
        <v>0</v>
      </c>
      <c r="K8815" t="n">
        <v>0</v>
      </c>
      <c r="L8815" t="n">
        <v>0</v>
      </c>
      <c r="M8815" t="n">
        <v>0</v>
      </c>
      <c r="N8815" t="n">
        <v>0</v>
      </c>
      <c r="O8815" t="n">
        <v>0</v>
      </c>
      <c r="P8815" t="n">
        <v>0</v>
      </c>
      <c r="Q8815" t="n">
        <v>0</v>
      </c>
      <c r="R8815" s="2" t="inlineStr"/>
    </row>
    <row r="8816" ht="15" customHeight="1">
      <c r="A8816" t="inlineStr">
        <is>
          <t>A 45615-2023</t>
        </is>
      </c>
      <c r="B8816" s="1" t="n">
        <v>45194</v>
      </c>
      <c r="C8816" s="1" t="n">
        <v>45344</v>
      </c>
      <c r="D8816" t="inlineStr">
        <is>
          <t>GÄVLEBORGS LÄN</t>
        </is>
      </c>
      <c r="E8816" t="inlineStr">
        <is>
          <t>NORDANSTIG</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45645-2023</t>
        </is>
      </c>
      <c r="B8817" s="1" t="n">
        <v>45194</v>
      </c>
      <c r="C8817" s="1" t="n">
        <v>45344</v>
      </c>
      <c r="D8817" t="inlineStr">
        <is>
          <t>GÄVLEBORGS LÄN</t>
        </is>
      </c>
      <c r="E8817" t="inlineStr">
        <is>
          <t>LJUSDAL</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45569-2023</t>
        </is>
      </c>
      <c r="B8818" s="1" t="n">
        <v>45194</v>
      </c>
      <c r="C8818" s="1" t="n">
        <v>45344</v>
      </c>
      <c r="D8818" t="inlineStr">
        <is>
          <t>GÄVLEBORGS LÄN</t>
        </is>
      </c>
      <c r="E8818" t="inlineStr">
        <is>
          <t>GÄVLE</t>
        </is>
      </c>
      <c r="G8818" t="n">
        <v>3.8</v>
      </c>
      <c r="H8818" t="n">
        <v>0</v>
      </c>
      <c r="I8818" t="n">
        <v>0</v>
      </c>
      <c r="J8818" t="n">
        <v>0</v>
      </c>
      <c r="K8818" t="n">
        <v>0</v>
      </c>
      <c r="L8818" t="n">
        <v>0</v>
      </c>
      <c r="M8818" t="n">
        <v>0</v>
      </c>
      <c r="N8818" t="n">
        <v>0</v>
      </c>
      <c r="O8818" t="n">
        <v>0</v>
      </c>
      <c r="P8818" t="n">
        <v>0</v>
      </c>
      <c r="Q8818" t="n">
        <v>0</v>
      </c>
      <c r="R8818" s="2" t="inlineStr"/>
    </row>
    <row r="8819" ht="15" customHeight="1">
      <c r="A8819" t="inlineStr">
        <is>
          <t>A 45593-2023</t>
        </is>
      </c>
      <c r="B8819" s="1" t="n">
        <v>45194</v>
      </c>
      <c r="C8819" s="1" t="n">
        <v>45344</v>
      </c>
      <c r="D8819" t="inlineStr">
        <is>
          <t>GÄVLEBORGS LÄN</t>
        </is>
      </c>
      <c r="E8819" t="inlineStr">
        <is>
          <t>HUDIKSVALL</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45559-2023</t>
        </is>
      </c>
      <c r="B8820" s="1" t="n">
        <v>45194</v>
      </c>
      <c r="C8820" s="1" t="n">
        <v>45344</v>
      </c>
      <c r="D8820" t="inlineStr">
        <is>
          <t>GÄVLEBORGS LÄN</t>
        </is>
      </c>
      <c r="E8820" t="inlineStr">
        <is>
          <t>GÄVLE</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45582-2023</t>
        </is>
      </c>
      <c r="B8821" s="1" t="n">
        <v>45194</v>
      </c>
      <c r="C8821" s="1" t="n">
        <v>45344</v>
      </c>
      <c r="D8821" t="inlineStr">
        <is>
          <t>GÄVLEBORGS LÄN</t>
        </is>
      </c>
      <c r="E8821" t="inlineStr">
        <is>
          <t>BOLLNÄS</t>
        </is>
      </c>
      <c r="G8821" t="n">
        <v>18.1</v>
      </c>
      <c r="H8821" t="n">
        <v>0</v>
      </c>
      <c r="I8821" t="n">
        <v>0</v>
      </c>
      <c r="J8821" t="n">
        <v>0</v>
      </c>
      <c r="K8821" t="n">
        <v>0</v>
      </c>
      <c r="L8821" t="n">
        <v>0</v>
      </c>
      <c r="M8821" t="n">
        <v>0</v>
      </c>
      <c r="N8821" t="n">
        <v>0</v>
      </c>
      <c r="O8821" t="n">
        <v>0</v>
      </c>
      <c r="P8821" t="n">
        <v>0</v>
      </c>
      <c r="Q8821" t="n">
        <v>0</v>
      </c>
      <c r="R8821" s="2" t="inlineStr"/>
    </row>
    <row r="8822" ht="15" customHeight="1">
      <c r="A8822" t="inlineStr">
        <is>
          <t>A 45604-2023</t>
        </is>
      </c>
      <c r="B8822" s="1" t="n">
        <v>45194</v>
      </c>
      <c r="C8822" s="1" t="n">
        <v>45344</v>
      </c>
      <c r="D8822" t="inlineStr">
        <is>
          <t>GÄVLEBORGS LÄN</t>
        </is>
      </c>
      <c r="E8822" t="inlineStr">
        <is>
          <t>BOLLNÄS</t>
        </is>
      </c>
      <c r="G8822" t="n">
        <v>42.9</v>
      </c>
      <c r="H8822" t="n">
        <v>0</v>
      </c>
      <c r="I8822" t="n">
        <v>0</v>
      </c>
      <c r="J8822" t="n">
        <v>0</v>
      </c>
      <c r="K8822" t="n">
        <v>0</v>
      </c>
      <c r="L8822" t="n">
        <v>0</v>
      </c>
      <c r="M8822" t="n">
        <v>0</v>
      </c>
      <c r="N8822" t="n">
        <v>0</v>
      </c>
      <c r="O8822" t="n">
        <v>0</v>
      </c>
      <c r="P8822" t="n">
        <v>0</v>
      </c>
      <c r="Q8822" t="n">
        <v>0</v>
      </c>
      <c r="R8822" s="2" t="inlineStr"/>
    </row>
    <row r="8823" ht="15" customHeight="1">
      <c r="A8823" t="inlineStr">
        <is>
          <t>A 45629-2023</t>
        </is>
      </c>
      <c r="B8823" s="1" t="n">
        <v>45194</v>
      </c>
      <c r="C8823" s="1" t="n">
        <v>45344</v>
      </c>
      <c r="D8823" t="inlineStr">
        <is>
          <t>GÄVLEBORGS LÄN</t>
        </is>
      </c>
      <c r="E8823" t="inlineStr">
        <is>
          <t>BOLLNÄS</t>
        </is>
      </c>
      <c r="G8823" t="n">
        <v>11.5</v>
      </c>
      <c r="H8823" t="n">
        <v>0</v>
      </c>
      <c r="I8823" t="n">
        <v>0</v>
      </c>
      <c r="J8823" t="n">
        <v>0</v>
      </c>
      <c r="K8823" t="n">
        <v>0</v>
      </c>
      <c r="L8823" t="n">
        <v>0</v>
      </c>
      <c r="M8823" t="n">
        <v>0</v>
      </c>
      <c r="N8823" t="n">
        <v>0</v>
      </c>
      <c r="O8823" t="n">
        <v>0</v>
      </c>
      <c r="P8823" t="n">
        <v>0</v>
      </c>
      <c r="Q8823" t="n">
        <v>0</v>
      </c>
      <c r="R8823" s="2" t="inlineStr"/>
    </row>
    <row r="8824" ht="15" customHeight="1">
      <c r="A8824" t="inlineStr">
        <is>
          <t>A 45639-2023</t>
        </is>
      </c>
      <c r="B8824" s="1" t="n">
        <v>45194</v>
      </c>
      <c r="C8824" s="1" t="n">
        <v>45344</v>
      </c>
      <c r="D8824" t="inlineStr">
        <is>
          <t>GÄVLEBORGS LÄN</t>
        </is>
      </c>
      <c r="E8824" t="inlineStr">
        <is>
          <t>BOLLNÄS</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45680-2023</t>
        </is>
      </c>
      <c r="B8825" s="1" t="n">
        <v>45195</v>
      </c>
      <c r="C8825" s="1" t="n">
        <v>45344</v>
      </c>
      <c r="D8825" t="inlineStr">
        <is>
          <t>GÄVLEBORGS LÄN</t>
        </is>
      </c>
      <c r="E8825" t="inlineStr">
        <is>
          <t>OVANÅKER</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45733-2023</t>
        </is>
      </c>
      <c r="B8826" s="1" t="n">
        <v>45195</v>
      </c>
      <c r="C8826" s="1" t="n">
        <v>45344</v>
      </c>
      <c r="D8826" t="inlineStr">
        <is>
          <t>GÄVLEBORGS LÄN</t>
        </is>
      </c>
      <c r="E8826" t="inlineStr">
        <is>
          <t>LJUSDAL</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45752-2023</t>
        </is>
      </c>
      <c r="B8827" s="1" t="n">
        <v>45195</v>
      </c>
      <c r="C8827" s="1" t="n">
        <v>45344</v>
      </c>
      <c r="D8827" t="inlineStr">
        <is>
          <t>GÄVLEBORGS LÄN</t>
        </is>
      </c>
      <c r="E8827" t="inlineStr">
        <is>
          <t>LJUSDAL</t>
        </is>
      </c>
      <c r="G8827" t="n">
        <v>7.6</v>
      </c>
      <c r="H8827" t="n">
        <v>0</v>
      </c>
      <c r="I8827" t="n">
        <v>0</v>
      </c>
      <c r="J8827" t="n">
        <v>0</v>
      </c>
      <c r="K8827" t="n">
        <v>0</v>
      </c>
      <c r="L8827" t="n">
        <v>0</v>
      </c>
      <c r="M8827" t="n">
        <v>0</v>
      </c>
      <c r="N8827" t="n">
        <v>0</v>
      </c>
      <c r="O8827" t="n">
        <v>0</v>
      </c>
      <c r="P8827" t="n">
        <v>0</v>
      </c>
      <c r="Q8827" t="n">
        <v>0</v>
      </c>
      <c r="R8827" s="2" t="inlineStr"/>
    </row>
    <row r="8828" ht="15" customHeight="1">
      <c r="A8828" t="inlineStr">
        <is>
          <t>A 45762-2023</t>
        </is>
      </c>
      <c r="B8828" s="1" t="n">
        <v>45195</v>
      </c>
      <c r="C8828" s="1" t="n">
        <v>45344</v>
      </c>
      <c r="D8828" t="inlineStr">
        <is>
          <t>GÄVLEBORGS LÄN</t>
        </is>
      </c>
      <c r="E8828" t="inlineStr">
        <is>
          <t>NORDANSTIG</t>
        </is>
      </c>
      <c r="G8828" t="n">
        <v>5.7</v>
      </c>
      <c r="H8828" t="n">
        <v>0</v>
      </c>
      <c r="I8828" t="n">
        <v>0</v>
      </c>
      <c r="J8828" t="n">
        <v>0</v>
      </c>
      <c r="K8828" t="n">
        <v>0</v>
      </c>
      <c r="L8828" t="n">
        <v>0</v>
      </c>
      <c r="M8828" t="n">
        <v>0</v>
      </c>
      <c r="N8828" t="n">
        <v>0</v>
      </c>
      <c r="O8828" t="n">
        <v>0</v>
      </c>
      <c r="P8828" t="n">
        <v>0</v>
      </c>
      <c r="Q8828" t="n">
        <v>0</v>
      </c>
      <c r="R8828" s="2" t="inlineStr"/>
    </row>
    <row r="8829" ht="15" customHeight="1">
      <c r="A8829" t="inlineStr">
        <is>
          <t>A 45763-2023</t>
        </is>
      </c>
      <c r="B8829" s="1" t="n">
        <v>45195</v>
      </c>
      <c r="C8829" s="1" t="n">
        <v>45344</v>
      </c>
      <c r="D8829" t="inlineStr">
        <is>
          <t>GÄVLEBORGS LÄN</t>
        </is>
      </c>
      <c r="E8829" t="inlineStr">
        <is>
          <t>LJUSDAL</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45877-2023</t>
        </is>
      </c>
      <c r="B8830" s="1" t="n">
        <v>45195</v>
      </c>
      <c r="C8830" s="1" t="n">
        <v>45344</v>
      </c>
      <c r="D8830" t="inlineStr">
        <is>
          <t>GÄVLEBORGS LÄN</t>
        </is>
      </c>
      <c r="E8830" t="inlineStr">
        <is>
          <t>SANDVIKEN</t>
        </is>
      </c>
      <c r="F8830" t="inlineStr">
        <is>
          <t>Bergvik skog öst AB</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45842-2023</t>
        </is>
      </c>
      <c r="B8831" s="1" t="n">
        <v>45195</v>
      </c>
      <c r="C8831" s="1" t="n">
        <v>45344</v>
      </c>
      <c r="D8831" t="inlineStr">
        <is>
          <t>GÄVLEBORGS LÄN</t>
        </is>
      </c>
      <c r="E8831" t="inlineStr">
        <is>
          <t>BOLLNÄS</t>
        </is>
      </c>
      <c r="F8831" t="inlineStr">
        <is>
          <t>Bergvik skog väst AB</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45909-2023</t>
        </is>
      </c>
      <c r="B8832" s="1" t="n">
        <v>45195</v>
      </c>
      <c r="C8832" s="1" t="n">
        <v>45344</v>
      </c>
      <c r="D8832" t="inlineStr">
        <is>
          <t>GÄVLEBORGS LÄN</t>
        </is>
      </c>
      <c r="E8832" t="inlineStr">
        <is>
          <t>SANDVIKEN</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45703-2023</t>
        </is>
      </c>
      <c r="B8833" s="1" t="n">
        <v>45195</v>
      </c>
      <c r="C8833" s="1" t="n">
        <v>45344</v>
      </c>
      <c r="D8833" t="inlineStr">
        <is>
          <t>GÄVLEBORGS LÄN</t>
        </is>
      </c>
      <c r="E8833" t="inlineStr">
        <is>
          <t>LJUSDAL</t>
        </is>
      </c>
      <c r="F8833" t="inlineStr">
        <is>
          <t>Holmen skog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45709-2023</t>
        </is>
      </c>
      <c r="B8834" s="1" t="n">
        <v>45195</v>
      </c>
      <c r="C8834" s="1" t="n">
        <v>45344</v>
      </c>
      <c r="D8834" t="inlineStr">
        <is>
          <t>GÄVLEBORGS LÄN</t>
        </is>
      </c>
      <c r="E8834" t="inlineStr">
        <is>
          <t>LJUSDAL</t>
        </is>
      </c>
      <c r="F8834" t="inlineStr">
        <is>
          <t>Holmen skog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45726-2023</t>
        </is>
      </c>
      <c r="B8835" s="1" t="n">
        <v>45195</v>
      </c>
      <c r="C8835" s="1" t="n">
        <v>45344</v>
      </c>
      <c r="D8835" t="inlineStr">
        <is>
          <t>GÄVLEBORGS LÄN</t>
        </is>
      </c>
      <c r="E8835" t="inlineStr">
        <is>
          <t>LJUSDAL</t>
        </is>
      </c>
      <c r="G8835" t="n">
        <v>5.1</v>
      </c>
      <c r="H8835" t="n">
        <v>0</v>
      </c>
      <c r="I8835" t="n">
        <v>0</v>
      </c>
      <c r="J8835" t="n">
        <v>0</v>
      </c>
      <c r="K8835" t="n">
        <v>0</v>
      </c>
      <c r="L8835" t="n">
        <v>0</v>
      </c>
      <c r="M8835" t="n">
        <v>0</v>
      </c>
      <c r="N8835" t="n">
        <v>0</v>
      </c>
      <c r="O8835" t="n">
        <v>0</v>
      </c>
      <c r="P8835" t="n">
        <v>0</v>
      </c>
      <c r="Q8835" t="n">
        <v>0</v>
      </c>
      <c r="R8835" s="2" t="inlineStr"/>
    </row>
    <row r="8836" ht="15" customHeight="1">
      <c r="A8836" t="inlineStr">
        <is>
          <t>A 45751-2023</t>
        </is>
      </c>
      <c r="B8836" s="1" t="n">
        <v>45195</v>
      </c>
      <c r="C8836" s="1" t="n">
        <v>45344</v>
      </c>
      <c r="D8836" t="inlineStr">
        <is>
          <t>GÄVLEBORGS LÄN</t>
        </is>
      </c>
      <c r="E8836" t="inlineStr">
        <is>
          <t>LJUSDAL</t>
        </is>
      </c>
      <c r="G8836" t="n">
        <v>6.7</v>
      </c>
      <c r="H8836" t="n">
        <v>0</v>
      </c>
      <c r="I8836" t="n">
        <v>0</v>
      </c>
      <c r="J8836" t="n">
        <v>0</v>
      </c>
      <c r="K8836" t="n">
        <v>0</v>
      </c>
      <c r="L8836" t="n">
        <v>0</v>
      </c>
      <c r="M8836" t="n">
        <v>0</v>
      </c>
      <c r="N8836" t="n">
        <v>0</v>
      </c>
      <c r="O8836" t="n">
        <v>0</v>
      </c>
      <c r="P8836" t="n">
        <v>0</v>
      </c>
      <c r="Q8836" t="n">
        <v>0</v>
      </c>
      <c r="R8836" s="2" t="inlineStr"/>
    </row>
    <row r="8837" ht="15" customHeight="1">
      <c r="A8837" t="inlineStr">
        <is>
          <t>A 45770-2023</t>
        </is>
      </c>
      <c r="B8837" s="1" t="n">
        <v>45195</v>
      </c>
      <c r="C8837" s="1" t="n">
        <v>45344</v>
      </c>
      <c r="D8837" t="inlineStr">
        <is>
          <t>GÄVLEBORGS LÄN</t>
        </is>
      </c>
      <c r="E8837" t="inlineStr">
        <is>
          <t>GÄVLE</t>
        </is>
      </c>
      <c r="G8837" t="n">
        <v>3.9</v>
      </c>
      <c r="H8837" t="n">
        <v>0</v>
      </c>
      <c r="I8837" t="n">
        <v>0</v>
      </c>
      <c r="J8837" t="n">
        <v>0</v>
      </c>
      <c r="K8837" t="n">
        <v>0</v>
      </c>
      <c r="L8837" t="n">
        <v>0</v>
      </c>
      <c r="M8837" t="n">
        <v>0</v>
      </c>
      <c r="N8837" t="n">
        <v>0</v>
      </c>
      <c r="O8837" t="n">
        <v>0</v>
      </c>
      <c r="P8837" t="n">
        <v>0</v>
      </c>
      <c r="Q8837" t="n">
        <v>0</v>
      </c>
      <c r="R8837" s="2" t="inlineStr"/>
    </row>
    <row r="8838" ht="15" customHeight="1">
      <c r="A8838" t="inlineStr">
        <is>
          <t>A 45802-2023</t>
        </is>
      </c>
      <c r="B8838" s="1" t="n">
        <v>45195</v>
      </c>
      <c r="C8838" s="1" t="n">
        <v>45344</v>
      </c>
      <c r="D8838" t="inlineStr">
        <is>
          <t>GÄVLEBORGS LÄN</t>
        </is>
      </c>
      <c r="E8838" t="inlineStr">
        <is>
          <t>HUDIKSVALL</t>
        </is>
      </c>
      <c r="F8838" t="inlineStr">
        <is>
          <t>Holmen skog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45840-2023</t>
        </is>
      </c>
      <c r="B8839" s="1" t="n">
        <v>45195</v>
      </c>
      <c r="C8839" s="1" t="n">
        <v>45344</v>
      </c>
      <c r="D8839" t="inlineStr">
        <is>
          <t>GÄVLEBORGS LÄN</t>
        </is>
      </c>
      <c r="E8839" t="inlineStr">
        <is>
          <t>BOLLNÄS</t>
        </is>
      </c>
      <c r="F8839" t="inlineStr">
        <is>
          <t>Bergvik skog väst AB</t>
        </is>
      </c>
      <c r="G8839" t="n">
        <v>8.1</v>
      </c>
      <c r="H8839" t="n">
        <v>0</v>
      </c>
      <c r="I8839" t="n">
        <v>0</v>
      </c>
      <c r="J8839" t="n">
        <v>0</v>
      </c>
      <c r="K8839" t="n">
        <v>0</v>
      </c>
      <c r="L8839" t="n">
        <v>0</v>
      </c>
      <c r="M8839" t="n">
        <v>0</v>
      </c>
      <c r="N8839" t="n">
        <v>0</v>
      </c>
      <c r="O8839" t="n">
        <v>0</v>
      </c>
      <c r="P8839" t="n">
        <v>0</v>
      </c>
      <c r="Q8839" t="n">
        <v>0</v>
      </c>
      <c r="R8839" s="2" t="inlineStr"/>
    </row>
    <row r="8840" ht="15" customHeight="1">
      <c r="A8840" t="inlineStr">
        <is>
          <t>A 45844-2023</t>
        </is>
      </c>
      <c r="B8840" s="1" t="n">
        <v>45195</v>
      </c>
      <c r="C8840" s="1" t="n">
        <v>45344</v>
      </c>
      <c r="D8840" t="inlineStr">
        <is>
          <t>GÄVLEBORGS LÄN</t>
        </is>
      </c>
      <c r="E8840" t="inlineStr">
        <is>
          <t>NORDANSTIG</t>
        </is>
      </c>
      <c r="G8840" t="n">
        <v>4.3</v>
      </c>
      <c r="H8840" t="n">
        <v>0</v>
      </c>
      <c r="I8840" t="n">
        <v>0</v>
      </c>
      <c r="J8840" t="n">
        <v>0</v>
      </c>
      <c r="K8840" t="n">
        <v>0</v>
      </c>
      <c r="L8840" t="n">
        <v>0</v>
      </c>
      <c r="M8840" t="n">
        <v>0</v>
      </c>
      <c r="N8840" t="n">
        <v>0</v>
      </c>
      <c r="O8840" t="n">
        <v>0</v>
      </c>
      <c r="P8840" t="n">
        <v>0</v>
      </c>
      <c r="Q8840" t="n">
        <v>0</v>
      </c>
      <c r="R8840" s="2" t="inlineStr"/>
    </row>
    <row r="8841" ht="15" customHeight="1">
      <c r="A8841" t="inlineStr">
        <is>
          <t>A 45725-2023</t>
        </is>
      </c>
      <c r="B8841" s="1" t="n">
        <v>45195</v>
      </c>
      <c r="C8841" s="1" t="n">
        <v>45344</v>
      </c>
      <c r="D8841" t="inlineStr">
        <is>
          <t>GÄVLEBORGS LÄN</t>
        </is>
      </c>
      <c r="E8841" t="inlineStr">
        <is>
          <t>HUDIKSVALL</t>
        </is>
      </c>
      <c r="F8841" t="inlineStr">
        <is>
          <t>Holmen skog AB</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45730-2023</t>
        </is>
      </c>
      <c r="B8842" s="1" t="n">
        <v>45195</v>
      </c>
      <c r="C8842" s="1" t="n">
        <v>45344</v>
      </c>
      <c r="D8842" t="inlineStr">
        <is>
          <t>GÄVLEBORGS LÄN</t>
        </is>
      </c>
      <c r="E8842" t="inlineStr">
        <is>
          <t>LJUSDAL</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45745-2023</t>
        </is>
      </c>
      <c r="B8843" s="1" t="n">
        <v>45195</v>
      </c>
      <c r="C8843" s="1" t="n">
        <v>45344</v>
      </c>
      <c r="D8843" t="inlineStr">
        <is>
          <t>GÄVLEBORGS LÄN</t>
        </is>
      </c>
      <c r="E8843" t="inlineStr">
        <is>
          <t>GÄVLE</t>
        </is>
      </c>
      <c r="G8843" t="n">
        <v>2.7</v>
      </c>
      <c r="H8843" t="n">
        <v>0</v>
      </c>
      <c r="I8843" t="n">
        <v>0</v>
      </c>
      <c r="J8843" t="n">
        <v>0</v>
      </c>
      <c r="K8843" t="n">
        <v>0</v>
      </c>
      <c r="L8843" t="n">
        <v>0</v>
      </c>
      <c r="M8843" t="n">
        <v>0</v>
      </c>
      <c r="N8843" t="n">
        <v>0</v>
      </c>
      <c r="O8843" t="n">
        <v>0</v>
      </c>
      <c r="P8843" t="n">
        <v>0</v>
      </c>
      <c r="Q8843" t="n">
        <v>0</v>
      </c>
      <c r="R8843" s="2" t="inlineStr"/>
    </row>
    <row r="8844" ht="15" customHeight="1">
      <c r="A8844" t="inlineStr">
        <is>
          <t>A 45750-2023</t>
        </is>
      </c>
      <c r="B8844" s="1" t="n">
        <v>45195</v>
      </c>
      <c r="C8844" s="1" t="n">
        <v>45344</v>
      </c>
      <c r="D8844" t="inlineStr">
        <is>
          <t>GÄVLEBORGS LÄN</t>
        </is>
      </c>
      <c r="E8844" t="inlineStr">
        <is>
          <t>GÄVLE</t>
        </is>
      </c>
      <c r="F8844" t="inlineStr">
        <is>
          <t>Bergvik skog väst AB</t>
        </is>
      </c>
      <c r="G8844" t="n">
        <v>5.9</v>
      </c>
      <c r="H8844" t="n">
        <v>0</v>
      </c>
      <c r="I8844" t="n">
        <v>0</v>
      </c>
      <c r="J8844" t="n">
        <v>0</v>
      </c>
      <c r="K8844" t="n">
        <v>0</v>
      </c>
      <c r="L8844" t="n">
        <v>0</v>
      </c>
      <c r="M8844" t="n">
        <v>0</v>
      </c>
      <c r="N8844" t="n">
        <v>0</v>
      </c>
      <c r="O8844" t="n">
        <v>0</v>
      </c>
      <c r="P8844" t="n">
        <v>0</v>
      </c>
      <c r="Q8844" t="n">
        <v>0</v>
      </c>
      <c r="R8844" s="2" t="inlineStr"/>
    </row>
    <row r="8845" ht="15" customHeight="1">
      <c r="A8845" t="inlineStr">
        <is>
          <t>A 45883-2023</t>
        </is>
      </c>
      <c r="B8845" s="1" t="n">
        <v>45195</v>
      </c>
      <c r="C8845" s="1" t="n">
        <v>45344</v>
      </c>
      <c r="D8845" t="inlineStr">
        <is>
          <t>GÄVLEBORGS LÄN</t>
        </is>
      </c>
      <c r="E8845" t="inlineStr">
        <is>
          <t>SANDVIKEN</t>
        </is>
      </c>
      <c r="F8845" t="inlineStr">
        <is>
          <t>Bergvik skog öst AB</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45989-2023</t>
        </is>
      </c>
      <c r="B8846" s="1" t="n">
        <v>45196</v>
      </c>
      <c r="C8846" s="1" t="n">
        <v>45344</v>
      </c>
      <c r="D8846" t="inlineStr">
        <is>
          <t>GÄVLEBORGS LÄN</t>
        </is>
      </c>
      <c r="E8846" t="inlineStr">
        <is>
          <t>SANDVIKEN</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45994-2023</t>
        </is>
      </c>
      <c r="B8847" s="1" t="n">
        <v>45196</v>
      </c>
      <c r="C8847" s="1" t="n">
        <v>45344</v>
      </c>
      <c r="D8847" t="inlineStr">
        <is>
          <t>GÄVLEBORGS LÄN</t>
        </is>
      </c>
      <c r="E8847" t="inlineStr">
        <is>
          <t>OCKELBO</t>
        </is>
      </c>
      <c r="F8847" t="inlineStr">
        <is>
          <t>Bergvik skog väst AB</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46034-2023</t>
        </is>
      </c>
      <c r="B8848" s="1" t="n">
        <v>45196</v>
      </c>
      <c r="C8848" s="1" t="n">
        <v>45344</v>
      </c>
      <c r="D8848" t="inlineStr">
        <is>
          <t>GÄVLEBORGS LÄN</t>
        </is>
      </c>
      <c r="E8848" t="inlineStr">
        <is>
          <t>LJUSDAL</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46029-2023</t>
        </is>
      </c>
      <c r="B8849" s="1" t="n">
        <v>45196</v>
      </c>
      <c r="C8849" s="1" t="n">
        <v>45344</v>
      </c>
      <c r="D8849" t="inlineStr">
        <is>
          <t>GÄVLEBORGS LÄN</t>
        </is>
      </c>
      <c r="E8849" t="inlineStr">
        <is>
          <t>LJUSDAL</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46031-2023</t>
        </is>
      </c>
      <c r="B8850" s="1" t="n">
        <v>45196</v>
      </c>
      <c r="C8850" s="1" t="n">
        <v>45344</v>
      </c>
      <c r="D8850" t="inlineStr">
        <is>
          <t>GÄVLEBORGS LÄN</t>
        </is>
      </c>
      <c r="E8850" t="inlineStr">
        <is>
          <t>GÄVLE</t>
        </is>
      </c>
      <c r="F8850" t="inlineStr">
        <is>
          <t>Bergvik skog väst AB</t>
        </is>
      </c>
      <c r="G8850" t="n">
        <v>26.8</v>
      </c>
      <c r="H8850" t="n">
        <v>0</v>
      </c>
      <c r="I8850" t="n">
        <v>0</v>
      </c>
      <c r="J8850" t="n">
        <v>0</v>
      </c>
      <c r="K8850" t="n">
        <v>0</v>
      </c>
      <c r="L8850" t="n">
        <v>0</v>
      </c>
      <c r="M8850" t="n">
        <v>0</v>
      </c>
      <c r="N8850" t="n">
        <v>0</v>
      </c>
      <c r="O8850" t="n">
        <v>0</v>
      </c>
      <c r="P8850" t="n">
        <v>0</v>
      </c>
      <c r="Q8850" t="n">
        <v>0</v>
      </c>
      <c r="R8850" s="2" t="inlineStr"/>
    </row>
    <row r="8851" ht="15" customHeight="1">
      <c r="A8851" t="inlineStr">
        <is>
          <t>A 46153-2023</t>
        </is>
      </c>
      <c r="B8851" s="1" t="n">
        <v>45196</v>
      </c>
      <c r="C8851" s="1" t="n">
        <v>45344</v>
      </c>
      <c r="D8851" t="inlineStr">
        <is>
          <t>GÄVLEBORGS LÄN</t>
        </is>
      </c>
      <c r="E8851" t="inlineStr">
        <is>
          <t>HUDIKSVALL</t>
        </is>
      </c>
      <c r="F8851" t="inlineStr">
        <is>
          <t>Holmen skog AB</t>
        </is>
      </c>
      <c r="G8851" t="n">
        <v>4.9</v>
      </c>
      <c r="H8851" t="n">
        <v>0</v>
      </c>
      <c r="I8851" t="n">
        <v>0</v>
      </c>
      <c r="J8851" t="n">
        <v>0</v>
      </c>
      <c r="K8851" t="n">
        <v>0</v>
      </c>
      <c r="L8851" t="n">
        <v>0</v>
      </c>
      <c r="M8851" t="n">
        <v>0</v>
      </c>
      <c r="N8851" t="n">
        <v>0</v>
      </c>
      <c r="O8851" t="n">
        <v>0</v>
      </c>
      <c r="P8851" t="n">
        <v>0</v>
      </c>
      <c r="Q8851" t="n">
        <v>0</v>
      </c>
      <c r="R8851" s="2" t="inlineStr"/>
    </row>
    <row r="8852" ht="15" customHeight="1">
      <c r="A8852" t="inlineStr">
        <is>
          <t>A 46105-2023</t>
        </is>
      </c>
      <c r="B8852" s="1" t="n">
        <v>45196</v>
      </c>
      <c r="C8852" s="1" t="n">
        <v>45344</v>
      </c>
      <c r="D8852" t="inlineStr">
        <is>
          <t>GÄVLEBORGS LÄN</t>
        </is>
      </c>
      <c r="E8852" t="inlineStr">
        <is>
          <t>OVANÅKER</t>
        </is>
      </c>
      <c r="G8852" t="n">
        <v>3.1</v>
      </c>
      <c r="H8852" t="n">
        <v>0</v>
      </c>
      <c r="I8852" t="n">
        <v>0</v>
      </c>
      <c r="J8852" t="n">
        <v>0</v>
      </c>
      <c r="K8852" t="n">
        <v>0</v>
      </c>
      <c r="L8852" t="n">
        <v>0</v>
      </c>
      <c r="M8852" t="n">
        <v>0</v>
      </c>
      <c r="N8852" t="n">
        <v>0</v>
      </c>
      <c r="O8852" t="n">
        <v>0</v>
      </c>
      <c r="P8852" t="n">
        <v>0</v>
      </c>
      <c r="Q8852" t="n">
        <v>0</v>
      </c>
      <c r="R8852" s="2" t="inlineStr"/>
    </row>
    <row r="8853" ht="15" customHeight="1">
      <c r="A8853" t="inlineStr">
        <is>
          <t>A 46210-2023</t>
        </is>
      </c>
      <c r="B8853" s="1" t="n">
        <v>45196</v>
      </c>
      <c r="C8853" s="1" t="n">
        <v>45344</v>
      </c>
      <c r="D8853" t="inlineStr">
        <is>
          <t>GÄVLEBORGS LÄN</t>
        </is>
      </c>
      <c r="E8853" t="inlineStr">
        <is>
          <t>OVANÅKER</t>
        </is>
      </c>
      <c r="G8853" t="n">
        <v>5.9</v>
      </c>
      <c r="H8853" t="n">
        <v>0</v>
      </c>
      <c r="I8853" t="n">
        <v>0</v>
      </c>
      <c r="J8853" t="n">
        <v>0</v>
      </c>
      <c r="K8853" t="n">
        <v>0</v>
      </c>
      <c r="L8853" t="n">
        <v>0</v>
      </c>
      <c r="M8853" t="n">
        <v>0</v>
      </c>
      <c r="N8853" t="n">
        <v>0</v>
      </c>
      <c r="O8853" t="n">
        <v>0</v>
      </c>
      <c r="P8853" t="n">
        <v>0</v>
      </c>
      <c r="Q8853" t="n">
        <v>0</v>
      </c>
      <c r="R8853" s="2" t="inlineStr"/>
    </row>
    <row r="8854" ht="15" customHeight="1">
      <c r="A8854" t="inlineStr">
        <is>
          <t>A 46111-2023</t>
        </is>
      </c>
      <c r="B8854" s="1" t="n">
        <v>45196</v>
      </c>
      <c r="C8854" s="1" t="n">
        <v>45344</v>
      </c>
      <c r="D8854" t="inlineStr">
        <is>
          <t>GÄVLEBORGS LÄN</t>
        </is>
      </c>
      <c r="E8854" t="inlineStr">
        <is>
          <t>NORDANSTIG</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46296-2023</t>
        </is>
      </c>
      <c r="B8855" s="1" t="n">
        <v>45197</v>
      </c>
      <c r="C8855" s="1" t="n">
        <v>45344</v>
      </c>
      <c r="D8855" t="inlineStr">
        <is>
          <t>GÄVLEBORGS LÄN</t>
        </is>
      </c>
      <c r="E8855" t="inlineStr">
        <is>
          <t>NORDANSTIG</t>
        </is>
      </c>
      <c r="F8855" t="inlineStr">
        <is>
          <t>Holmen skog AB</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46300-2023</t>
        </is>
      </c>
      <c r="B8856" s="1" t="n">
        <v>45197</v>
      </c>
      <c r="C8856" s="1" t="n">
        <v>45344</v>
      </c>
      <c r="D8856" t="inlineStr">
        <is>
          <t>GÄVLEBORGS LÄN</t>
        </is>
      </c>
      <c r="E8856" t="inlineStr">
        <is>
          <t>OVANÅKER</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46413-2023</t>
        </is>
      </c>
      <c r="B8857" s="1" t="n">
        <v>45197</v>
      </c>
      <c r="C8857" s="1" t="n">
        <v>45344</v>
      </c>
      <c r="D8857" t="inlineStr">
        <is>
          <t>GÄVLEBORGS LÄN</t>
        </is>
      </c>
      <c r="E8857" t="inlineStr">
        <is>
          <t>LJUSDAL</t>
        </is>
      </c>
      <c r="F8857" t="inlineStr">
        <is>
          <t>Allmännings- och besparingsskogar</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46482-2023</t>
        </is>
      </c>
      <c r="B8858" s="1" t="n">
        <v>45197</v>
      </c>
      <c r="C8858" s="1" t="n">
        <v>45344</v>
      </c>
      <c r="D8858" t="inlineStr">
        <is>
          <t>GÄVLEBORGS LÄN</t>
        </is>
      </c>
      <c r="E8858" t="inlineStr">
        <is>
          <t>SANDVIKEN</t>
        </is>
      </c>
      <c r="G8858" t="n">
        <v>4</v>
      </c>
      <c r="H8858" t="n">
        <v>0</v>
      </c>
      <c r="I8858" t="n">
        <v>0</v>
      </c>
      <c r="J8858" t="n">
        <v>0</v>
      </c>
      <c r="K8858" t="n">
        <v>0</v>
      </c>
      <c r="L8858" t="n">
        <v>0</v>
      </c>
      <c r="M8858" t="n">
        <v>0</v>
      </c>
      <c r="N8858" t="n">
        <v>0</v>
      </c>
      <c r="O8858" t="n">
        <v>0</v>
      </c>
      <c r="P8858" t="n">
        <v>0</v>
      </c>
      <c r="Q8858" t="n">
        <v>0</v>
      </c>
      <c r="R8858" s="2" t="inlineStr"/>
    </row>
    <row r="8859" ht="15" customHeight="1">
      <c r="A8859" t="inlineStr">
        <is>
          <t>A 46490-2023</t>
        </is>
      </c>
      <c r="B8859" s="1" t="n">
        <v>45197</v>
      </c>
      <c r="C8859" s="1" t="n">
        <v>45344</v>
      </c>
      <c r="D8859" t="inlineStr">
        <is>
          <t>GÄVLEBORGS LÄN</t>
        </is>
      </c>
      <c r="E8859" t="inlineStr">
        <is>
          <t>SANDVIKEN</t>
        </is>
      </c>
      <c r="G8859" t="n">
        <v>1.3</v>
      </c>
      <c r="H8859" t="n">
        <v>0</v>
      </c>
      <c r="I8859" t="n">
        <v>0</v>
      </c>
      <c r="J8859" t="n">
        <v>0</v>
      </c>
      <c r="K8859" t="n">
        <v>0</v>
      </c>
      <c r="L8859" t="n">
        <v>0</v>
      </c>
      <c r="M8859" t="n">
        <v>0</v>
      </c>
      <c r="N8859" t="n">
        <v>0</v>
      </c>
      <c r="O8859" t="n">
        <v>0</v>
      </c>
      <c r="P8859" t="n">
        <v>0</v>
      </c>
      <c r="Q8859" t="n">
        <v>0</v>
      </c>
      <c r="R8859" s="2" t="inlineStr"/>
    </row>
    <row r="8860" ht="15" customHeight="1">
      <c r="A8860" t="inlineStr">
        <is>
          <t>A 46532-2023</t>
        </is>
      </c>
      <c r="B8860" s="1" t="n">
        <v>45197</v>
      </c>
      <c r="C8860" s="1" t="n">
        <v>45344</v>
      </c>
      <c r="D8860" t="inlineStr">
        <is>
          <t>GÄVLEBORGS LÄN</t>
        </is>
      </c>
      <c r="E8860" t="inlineStr">
        <is>
          <t>GÄVLE</t>
        </is>
      </c>
      <c r="G8860" t="n">
        <v>6.4</v>
      </c>
      <c r="H8860" t="n">
        <v>0</v>
      </c>
      <c r="I8860" t="n">
        <v>0</v>
      </c>
      <c r="J8860" t="n">
        <v>0</v>
      </c>
      <c r="K8860" t="n">
        <v>0</v>
      </c>
      <c r="L8860" t="n">
        <v>0</v>
      </c>
      <c r="M8860" t="n">
        <v>0</v>
      </c>
      <c r="N8860" t="n">
        <v>0</v>
      </c>
      <c r="O8860" t="n">
        <v>0</v>
      </c>
      <c r="P8860" t="n">
        <v>0</v>
      </c>
      <c r="Q8860" t="n">
        <v>0</v>
      </c>
      <c r="R8860" s="2" t="inlineStr"/>
    </row>
    <row r="8861" ht="15" customHeight="1">
      <c r="A8861" t="inlineStr">
        <is>
          <t>A 46286-2023</t>
        </is>
      </c>
      <c r="B8861" s="1" t="n">
        <v>45197</v>
      </c>
      <c r="C8861" s="1" t="n">
        <v>45344</v>
      </c>
      <c r="D8861" t="inlineStr">
        <is>
          <t>GÄVLEBORGS LÄN</t>
        </is>
      </c>
      <c r="E8861" t="inlineStr">
        <is>
          <t>OVANÅKER</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46488-2023</t>
        </is>
      </c>
      <c r="B8862" s="1" t="n">
        <v>45197</v>
      </c>
      <c r="C8862" s="1" t="n">
        <v>45344</v>
      </c>
      <c r="D8862" t="inlineStr">
        <is>
          <t>GÄVLEBORGS LÄN</t>
        </is>
      </c>
      <c r="E8862" t="inlineStr">
        <is>
          <t>SANDVIKEN</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46299-2023</t>
        </is>
      </c>
      <c r="B8863" s="1" t="n">
        <v>45197</v>
      </c>
      <c r="C8863" s="1" t="n">
        <v>45344</v>
      </c>
      <c r="D8863" t="inlineStr">
        <is>
          <t>GÄVLEBORGS LÄN</t>
        </is>
      </c>
      <c r="E8863" t="inlineStr">
        <is>
          <t>NORDANSTIG</t>
        </is>
      </c>
      <c r="F8863" t="inlineStr">
        <is>
          <t>Holmen skog AB</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46567-2023</t>
        </is>
      </c>
      <c r="B8864" s="1" t="n">
        <v>45198</v>
      </c>
      <c r="C8864" s="1" t="n">
        <v>45344</v>
      </c>
      <c r="D8864" t="inlineStr">
        <is>
          <t>GÄVLEBORGS LÄN</t>
        </is>
      </c>
      <c r="E8864" t="inlineStr">
        <is>
          <t>LJUSDAL</t>
        </is>
      </c>
      <c r="G8864" t="n">
        <v>6.5</v>
      </c>
      <c r="H8864" t="n">
        <v>0</v>
      </c>
      <c r="I8864" t="n">
        <v>0</v>
      </c>
      <c r="J8864" t="n">
        <v>0</v>
      </c>
      <c r="K8864" t="n">
        <v>0</v>
      </c>
      <c r="L8864" t="n">
        <v>0</v>
      </c>
      <c r="M8864" t="n">
        <v>0</v>
      </c>
      <c r="N8864" t="n">
        <v>0</v>
      </c>
      <c r="O8864" t="n">
        <v>0</v>
      </c>
      <c r="P8864" t="n">
        <v>0</v>
      </c>
      <c r="Q8864" t="n">
        <v>0</v>
      </c>
      <c r="R8864" s="2" t="inlineStr"/>
    </row>
    <row r="8865" ht="15" customHeight="1">
      <c r="A8865" t="inlineStr">
        <is>
          <t>A 46586-2023</t>
        </is>
      </c>
      <c r="B8865" s="1" t="n">
        <v>45198</v>
      </c>
      <c r="C8865" s="1" t="n">
        <v>45344</v>
      </c>
      <c r="D8865" t="inlineStr">
        <is>
          <t>GÄVLEBORGS LÄN</t>
        </is>
      </c>
      <c r="E8865" t="inlineStr">
        <is>
          <t>HUDIKSVALL</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46627-2023</t>
        </is>
      </c>
      <c r="B8866" s="1" t="n">
        <v>45198</v>
      </c>
      <c r="C8866" s="1" t="n">
        <v>45344</v>
      </c>
      <c r="D8866" t="inlineStr">
        <is>
          <t>GÄVLEBORGS LÄN</t>
        </is>
      </c>
      <c r="E8866" t="inlineStr">
        <is>
          <t>GÄVLE</t>
        </is>
      </c>
      <c r="F8866" t="inlineStr">
        <is>
          <t>Bergvik skog väst AB</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46715-2023</t>
        </is>
      </c>
      <c r="B8867" s="1" t="n">
        <v>45198</v>
      </c>
      <c r="C8867" s="1" t="n">
        <v>45344</v>
      </c>
      <c r="D8867" t="inlineStr">
        <is>
          <t>GÄVLEBORGS LÄN</t>
        </is>
      </c>
      <c r="E8867" t="inlineStr">
        <is>
          <t>OVANÅKER</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46781-2023</t>
        </is>
      </c>
      <c r="B8868" s="1" t="n">
        <v>45198</v>
      </c>
      <c r="C8868" s="1" t="n">
        <v>45344</v>
      </c>
      <c r="D8868" t="inlineStr">
        <is>
          <t>GÄVLEBORGS LÄN</t>
        </is>
      </c>
      <c r="E8868" t="inlineStr">
        <is>
          <t>LJUSDAL</t>
        </is>
      </c>
      <c r="F8868" t="inlineStr">
        <is>
          <t>Sveaskog</t>
        </is>
      </c>
      <c r="G8868" t="n">
        <v>5</v>
      </c>
      <c r="H8868" t="n">
        <v>0</v>
      </c>
      <c r="I8868" t="n">
        <v>0</v>
      </c>
      <c r="J8868" t="n">
        <v>0</v>
      </c>
      <c r="K8868" t="n">
        <v>0</v>
      </c>
      <c r="L8868" t="n">
        <v>0</v>
      </c>
      <c r="M8868" t="n">
        <v>0</v>
      </c>
      <c r="N8868" t="n">
        <v>0</v>
      </c>
      <c r="O8868" t="n">
        <v>0</v>
      </c>
      <c r="P8868" t="n">
        <v>0</v>
      </c>
      <c r="Q8868" t="n">
        <v>0</v>
      </c>
      <c r="R8868" s="2" t="inlineStr"/>
    </row>
    <row r="8869" ht="15" customHeight="1">
      <c r="A8869" t="inlineStr">
        <is>
          <t>A 46568-2023</t>
        </is>
      </c>
      <c r="B8869" s="1" t="n">
        <v>45198</v>
      </c>
      <c r="C8869" s="1" t="n">
        <v>45344</v>
      </c>
      <c r="D8869" t="inlineStr">
        <is>
          <t>GÄVLEBORGS LÄN</t>
        </is>
      </c>
      <c r="E8869" t="inlineStr">
        <is>
          <t>LJUSDAL</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46588-2023</t>
        </is>
      </c>
      <c r="B8870" s="1" t="n">
        <v>45198</v>
      </c>
      <c r="C8870" s="1" t="n">
        <v>45344</v>
      </c>
      <c r="D8870" t="inlineStr">
        <is>
          <t>GÄVLEBORGS LÄN</t>
        </is>
      </c>
      <c r="E8870" t="inlineStr">
        <is>
          <t>HUDIKSVALL</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46725-2023</t>
        </is>
      </c>
      <c r="B8871" s="1" t="n">
        <v>45198</v>
      </c>
      <c r="C8871" s="1" t="n">
        <v>45344</v>
      </c>
      <c r="D8871" t="inlineStr">
        <is>
          <t>GÄVLEBORGS LÄN</t>
        </is>
      </c>
      <c r="E8871" t="inlineStr">
        <is>
          <t>SÖDERHAMN</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46629-2023</t>
        </is>
      </c>
      <c r="B8872" s="1" t="n">
        <v>45198</v>
      </c>
      <c r="C8872" s="1" t="n">
        <v>45344</v>
      </c>
      <c r="D8872" t="inlineStr">
        <is>
          <t>GÄVLEBORGS LÄN</t>
        </is>
      </c>
      <c r="E8872" t="inlineStr">
        <is>
          <t>HUDIKSVALL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46652-2023</t>
        </is>
      </c>
      <c r="B8873" s="1" t="n">
        <v>45198</v>
      </c>
      <c r="C8873" s="1" t="n">
        <v>45344</v>
      </c>
      <c r="D8873" t="inlineStr">
        <is>
          <t>GÄVLEBORGS LÄN</t>
        </is>
      </c>
      <c r="E8873" t="inlineStr">
        <is>
          <t>OVANÅKER</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46699-2023</t>
        </is>
      </c>
      <c r="B8874" s="1" t="n">
        <v>45198</v>
      </c>
      <c r="C8874" s="1" t="n">
        <v>45344</v>
      </c>
      <c r="D8874" t="inlineStr">
        <is>
          <t>GÄVLEBORGS LÄN</t>
        </is>
      </c>
      <c r="E8874" t="inlineStr">
        <is>
          <t>OVANÅKER</t>
        </is>
      </c>
      <c r="G8874" t="n">
        <v>3.1</v>
      </c>
      <c r="H8874" t="n">
        <v>0</v>
      </c>
      <c r="I8874" t="n">
        <v>0</v>
      </c>
      <c r="J8874" t="n">
        <v>0</v>
      </c>
      <c r="K8874" t="n">
        <v>0</v>
      </c>
      <c r="L8874" t="n">
        <v>0</v>
      </c>
      <c r="M8874" t="n">
        <v>0</v>
      </c>
      <c r="N8874" t="n">
        <v>0</v>
      </c>
      <c r="O8874" t="n">
        <v>0</v>
      </c>
      <c r="P8874" t="n">
        <v>0</v>
      </c>
      <c r="Q8874" t="n">
        <v>0</v>
      </c>
      <c r="R8874" s="2" t="inlineStr"/>
    </row>
    <row r="8875" ht="15" customHeight="1">
      <c r="A8875" t="inlineStr">
        <is>
          <t>A 46706-2023</t>
        </is>
      </c>
      <c r="B8875" s="1" t="n">
        <v>45198</v>
      </c>
      <c r="C8875" s="1" t="n">
        <v>45344</v>
      </c>
      <c r="D8875" t="inlineStr">
        <is>
          <t>GÄVLEBORGS LÄN</t>
        </is>
      </c>
      <c r="E8875" t="inlineStr">
        <is>
          <t>OVANÅKER</t>
        </is>
      </c>
      <c r="G8875" t="n">
        <v>3.7</v>
      </c>
      <c r="H8875" t="n">
        <v>0</v>
      </c>
      <c r="I8875" t="n">
        <v>0</v>
      </c>
      <c r="J8875" t="n">
        <v>0</v>
      </c>
      <c r="K8875" t="n">
        <v>0</v>
      </c>
      <c r="L8875" t="n">
        <v>0</v>
      </c>
      <c r="M8875" t="n">
        <v>0</v>
      </c>
      <c r="N8875" t="n">
        <v>0</v>
      </c>
      <c r="O8875" t="n">
        <v>0</v>
      </c>
      <c r="P8875" t="n">
        <v>0</v>
      </c>
      <c r="Q8875" t="n">
        <v>0</v>
      </c>
      <c r="R8875" s="2" t="inlineStr"/>
    </row>
    <row r="8876" ht="15" customHeight="1">
      <c r="A8876" t="inlineStr">
        <is>
          <t>A 46713-2023</t>
        </is>
      </c>
      <c r="B8876" s="1" t="n">
        <v>45198</v>
      </c>
      <c r="C8876" s="1" t="n">
        <v>45344</v>
      </c>
      <c r="D8876" t="inlineStr">
        <is>
          <t>GÄVLEBORGS LÄN</t>
        </is>
      </c>
      <c r="E8876" t="inlineStr">
        <is>
          <t>BOLLNÄS</t>
        </is>
      </c>
      <c r="G8876" t="n">
        <v>3.7</v>
      </c>
      <c r="H8876" t="n">
        <v>0</v>
      </c>
      <c r="I8876" t="n">
        <v>0</v>
      </c>
      <c r="J8876" t="n">
        <v>0</v>
      </c>
      <c r="K8876" t="n">
        <v>0</v>
      </c>
      <c r="L8876" t="n">
        <v>0</v>
      </c>
      <c r="M8876" t="n">
        <v>0</v>
      </c>
      <c r="N8876" t="n">
        <v>0</v>
      </c>
      <c r="O8876" t="n">
        <v>0</v>
      </c>
      <c r="P8876" t="n">
        <v>0</v>
      </c>
      <c r="Q8876" t="n">
        <v>0</v>
      </c>
      <c r="R8876" s="2" t="inlineStr"/>
    </row>
    <row r="8877" ht="15" customHeight="1">
      <c r="A8877" t="inlineStr">
        <is>
          <t>A 46844-2023</t>
        </is>
      </c>
      <c r="B8877" s="1" t="n">
        <v>45199</v>
      </c>
      <c r="C8877" s="1" t="n">
        <v>45344</v>
      </c>
      <c r="D8877" t="inlineStr">
        <is>
          <t>GÄVLEBORGS LÄN</t>
        </is>
      </c>
      <c r="E8877" t="inlineStr">
        <is>
          <t>SÖDERHAMN</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46847-2023</t>
        </is>
      </c>
      <c r="B8878" s="1" t="n">
        <v>45199</v>
      </c>
      <c r="C8878" s="1" t="n">
        <v>45344</v>
      </c>
      <c r="D8878" t="inlineStr">
        <is>
          <t>GÄVLEBORGS LÄN</t>
        </is>
      </c>
      <c r="E8878" t="inlineStr">
        <is>
          <t>SÖDERHAMN</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47122-2023</t>
        </is>
      </c>
      <c r="B8879" s="1" t="n">
        <v>45201</v>
      </c>
      <c r="C8879" s="1" t="n">
        <v>45344</v>
      </c>
      <c r="D8879" t="inlineStr">
        <is>
          <t>GÄVLEBORGS LÄN</t>
        </is>
      </c>
      <c r="E8879" t="inlineStr">
        <is>
          <t>OVANÅKER</t>
        </is>
      </c>
      <c r="G8879" t="n">
        <v>17.2</v>
      </c>
      <c r="H8879" t="n">
        <v>0</v>
      </c>
      <c r="I8879" t="n">
        <v>0</v>
      </c>
      <c r="J8879" t="n">
        <v>0</v>
      </c>
      <c r="K8879" t="n">
        <v>0</v>
      </c>
      <c r="L8879" t="n">
        <v>0</v>
      </c>
      <c r="M8879" t="n">
        <v>0</v>
      </c>
      <c r="N8879" t="n">
        <v>0</v>
      </c>
      <c r="O8879" t="n">
        <v>0</v>
      </c>
      <c r="P8879" t="n">
        <v>0</v>
      </c>
      <c r="Q8879" t="n">
        <v>0</v>
      </c>
      <c r="R8879" s="2" t="inlineStr"/>
    </row>
    <row r="8880" ht="15" customHeight="1">
      <c r="A8880" t="inlineStr">
        <is>
          <t>A 47133-2023</t>
        </is>
      </c>
      <c r="B8880" s="1" t="n">
        <v>45201</v>
      </c>
      <c r="C8880" s="1" t="n">
        <v>45344</v>
      </c>
      <c r="D8880" t="inlineStr">
        <is>
          <t>GÄVLEBORGS LÄN</t>
        </is>
      </c>
      <c r="E8880" t="inlineStr">
        <is>
          <t>HUDIKSVALL</t>
        </is>
      </c>
      <c r="G8880" t="n">
        <v>9</v>
      </c>
      <c r="H8880" t="n">
        <v>0</v>
      </c>
      <c r="I8880" t="n">
        <v>0</v>
      </c>
      <c r="J8880" t="n">
        <v>0</v>
      </c>
      <c r="K8880" t="n">
        <v>0</v>
      </c>
      <c r="L8880" t="n">
        <v>0</v>
      </c>
      <c r="M8880" t="n">
        <v>0</v>
      </c>
      <c r="N8880" t="n">
        <v>0</v>
      </c>
      <c r="O8880" t="n">
        <v>0</v>
      </c>
      <c r="P8880" t="n">
        <v>0</v>
      </c>
      <c r="Q8880" t="n">
        <v>0</v>
      </c>
      <c r="R8880" s="2" t="inlineStr"/>
    </row>
    <row r="8881" ht="15" customHeight="1">
      <c r="A8881" t="inlineStr">
        <is>
          <t>A 46892-2023</t>
        </is>
      </c>
      <c r="B8881" s="1" t="n">
        <v>45201</v>
      </c>
      <c r="C8881" s="1" t="n">
        <v>45344</v>
      </c>
      <c r="D8881" t="inlineStr">
        <is>
          <t>GÄVLEBORGS LÄN</t>
        </is>
      </c>
      <c r="E8881" t="inlineStr">
        <is>
          <t>LJUSDAL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47026-2023</t>
        </is>
      </c>
      <c r="B8882" s="1" t="n">
        <v>45201</v>
      </c>
      <c r="C8882" s="1" t="n">
        <v>45344</v>
      </c>
      <c r="D8882" t="inlineStr">
        <is>
          <t>GÄVLEBORGS LÄN</t>
        </is>
      </c>
      <c r="E8882" t="inlineStr">
        <is>
          <t>LJUSDAL</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46890-2023</t>
        </is>
      </c>
      <c r="B8883" s="1" t="n">
        <v>45201</v>
      </c>
      <c r="C8883" s="1" t="n">
        <v>45344</v>
      </c>
      <c r="D8883" t="inlineStr">
        <is>
          <t>GÄVLEBORGS LÄN</t>
        </is>
      </c>
      <c r="E8883" t="inlineStr">
        <is>
          <t>HUDIKSVALL</t>
        </is>
      </c>
      <c r="F8883" t="inlineStr">
        <is>
          <t>Holmen skog AB</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47009-2023</t>
        </is>
      </c>
      <c r="B8884" s="1" t="n">
        <v>45201</v>
      </c>
      <c r="C8884" s="1" t="n">
        <v>45344</v>
      </c>
      <c r="D8884" t="inlineStr">
        <is>
          <t>GÄVLEBORGS LÄN</t>
        </is>
      </c>
      <c r="E8884" t="inlineStr">
        <is>
          <t>SÖDERHAMN</t>
        </is>
      </c>
      <c r="G8884" t="n">
        <v>7.7</v>
      </c>
      <c r="H8884" t="n">
        <v>0</v>
      </c>
      <c r="I8884" t="n">
        <v>0</v>
      </c>
      <c r="J8884" t="n">
        <v>0</v>
      </c>
      <c r="K8884" t="n">
        <v>0</v>
      </c>
      <c r="L8884" t="n">
        <v>0</v>
      </c>
      <c r="M8884" t="n">
        <v>0</v>
      </c>
      <c r="N8884" t="n">
        <v>0</v>
      </c>
      <c r="O8884" t="n">
        <v>0</v>
      </c>
      <c r="P8884" t="n">
        <v>0</v>
      </c>
      <c r="Q8884" t="n">
        <v>0</v>
      </c>
      <c r="R8884" s="2" t="inlineStr"/>
    </row>
    <row r="8885" ht="15" customHeight="1">
      <c r="A8885" t="inlineStr">
        <is>
          <t>A 46962-2023</t>
        </is>
      </c>
      <c r="B8885" s="1" t="n">
        <v>45201</v>
      </c>
      <c r="C8885" s="1" t="n">
        <v>45344</v>
      </c>
      <c r="D8885" t="inlineStr">
        <is>
          <t>GÄVLEBORGS LÄN</t>
        </is>
      </c>
      <c r="E8885" t="inlineStr">
        <is>
          <t>OVANÅKER</t>
        </is>
      </c>
      <c r="F8885" t="inlineStr">
        <is>
          <t>Kyrkan</t>
        </is>
      </c>
      <c r="G8885" t="n">
        <v>4.1</v>
      </c>
      <c r="H8885" t="n">
        <v>0</v>
      </c>
      <c r="I8885" t="n">
        <v>0</v>
      </c>
      <c r="J8885" t="n">
        <v>0</v>
      </c>
      <c r="K8885" t="n">
        <v>0</v>
      </c>
      <c r="L8885" t="n">
        <v>0</v>
      </c>
      <c r="M8885" t="n">
        <v>0</v>
      </c>
      <c r="N8885" t="n">
        <v>0</v>
      </c>
      <c r="O8885" t="n">
        <v>0</v>
      </c>
      <c r="P8885" t="n">
        <v>0</v>
      </c>
      <c r="Q8885" t="n">
        <v>0</v>
      </c>
      <c r="R8885" s="2" t="inlineStr"/>
    </row>
    <row r="8886" ht="15" customHeight="1">
      <c r="A8886" t="inlineStr">
        <is>
          <t>A 47145-2023</t>
        </is>
      </c>
      <c r="B8886" s="1" t="n">
        <v>45201</v>
      </c>
      <c r="C8886" s="1" t="n">
        <v>45344</v>
      </c>
      <c r="D8886" t="inlineStr">
        <is>
          <t>GÄVLEBORGS LÄN</t>
        </is>
      </c>
      <c r="E8886" t="inlineStr">
        <is>
          <t>HUDIKSVALL</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46983-2023</t>
        </is>
      </c>
      <c r="B8887" s="1" t="n">
        <v>45201</v>
      </c>
      <c r="C8887" s="1" t="n">
        <v>45344</v>
      </c>
      <c r="D8887" t="inlineStr">
        <is>
          <t>GÄVLEBORGS LÄN</t>
        </is>
      </c>
      <c r="E8887" t="inlineStr">
        <is>
          <t>LJUSDAL</t>
        </is>
      </c>
      <c r="F8887" t="inlineStr">
        <is>
          <t>Allmännings- och besparingsskogar</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47046-2023</t>
        </is>
      </c>
      <c r="B8888" s="1" t="n">
        <v>45201</v>
      </c>
      <c r="C8888" s="1" t="n">
        <v>45344</v>
      </c>
      <c r="D8888" t="inlineStr">
        <is>
          <t>GÄVLEBORGS LÄN</t>
        </is>
      </c>
      <c r="E8888" t="inlineStr">
        <is>
          <t>SANDVIKEN</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47192-2023</t>
        </is>
      </c>
      <c r="B8889" s="1" t="n">
        <v>45202</v>
      </c>
      <c r="C8889" s="1" t="n">
        <v>45344</v>
      </c>
      <c r="D8889" t="inlineStr">
        <is>
          <t>GÄVLEBORGS LÄN</t>
        </is>
      </c>
      <c r="E8889" t="inlineStr">
        <is>
          <t>NORDANSTIG</t>
        </is>
      </c>
      <c r="G8889" t="n">
        <v>3.4</v>
      </c>
      <c r="H8889" t="n">
        <v>0</v>
      </c>
      <c r="I8889" t="n">
        <v>0</v>
      </c>
      <c r="J8889" t="n">
        <v>0</v>
      </c>
      <c r="K8889" t="n">
        <v>0</v>
      </c>
      <c r="L8889" t="n">
        <v>0</v>
      </c>
      <c r="M8889" t="n">
        <v>0</v>
      </c>
      <c r="N8889" t="n">
        <v>0</v>
      </c>
      <c r="O8889" t="n">
        <v>0</v>
      </c>
      <c r="P8889" t="n">
        <v>0</v>
      </c>
      <c r="Q8889" t="n">
        <v>0</v>
      </c>
      <c r="R8889" s="2" t="inlineStr"/>
    </row>
    <row r="8890" ht="15" customHeight="1">
      <c r="A8890" t="inlineStr">
        <is>
          <t>A 47197-2023</t>
        </is>
      </c>
      <c r="B8890" s="1" t="n">
        <v>45202</v>
      </c>
      <c r="C8890" s="1" t="n">
        <v>45344</v>
      </c>
      <c r="D8890" t="inlineStr">
        <is>
          <t>GÄVLEBORGS LÄN</t>
        </is>
      </c>
      <c r="E8890" t="inlineStr">
        <is>
          <t>SÖDERHAMN</t>
        </is>
      </c>
      <c r="F8890" t="inlineStr">
        <is>
          <t>Bergvik skog väst AB</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47189-2023</t>
        </is>
      </c>
      <c r="B8891" s="1" t="n">
        <v>45202</v>
      </c>
      <c r="C8891" s="1" t="n">
        <v>45344</v>
      </c>
      <c r="D8891" t="inlineStr">
        <is>
          <t>GÄVLEBORGS LÄN</t>
        </is>
      </c>
      <c r="E8891" t="inlineStr">
        <is>
          <t>LJUSDAL</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47206-2023</t>
        </is>
      </c>
      <c r="B8892" s="1" t="n">
        <v>45202</v>
      </c>
      <c r="C8892" s="1" t="n">
        <v>45344</v>
      </c>
      <c r="D8892" t="inlineStr">
        <is>
          <t>GÄVLEBORGS LÄN</t>
        </is>
      </c>
      <c r="E8892" t="inlineStr">
        <is>
          <t>LJUSDAL</t>
        </is>
      </c>
      <c r="G8892" t="n">
        <v>2.7</v>
      </c>
      <c r="H8892" t="n">
        <v>0</v>
      </c>
      <c r="I8892" t="n">
        <v>0</v>
      </c>
      <c r="J8892" t="n">
        <v>0</v>
      </c>
      <c r="K8892" t="n">
        <v>0</v>
      </c>
      <c r="L8892" t="n">
        <v>0</v>
      </c>
      <c r="M8892" t="n">
        <v>0</v>
      </c>
      <c r="N8892" t="n">
        <v>0</v>
      </c>
      <c r="O8892" t="n">
        <v>0</v>
      </c>
      <c r="P8892" t="n">
        <v>0</v>
      </c>
      <c r="Q8892" t="n">
        <v>0</v>
      </c>
      <c r="R8892" s="2" t="inlineStr"/>
    </row>
    <row r="8893" ht="15" customHeight="1">
      <c r="A8893" t="inlineStr">
        <is>
          <t>A 47243-2023</t>
        </is>
      </c>
      <c r="B8893" s="1" t="n">
        <v>45202</v>
      </c>
      <c r="C8893" s="1" t="n">
        <v>45344</v>
      </c>
      <c r="D8893" t="inlineStr">
        <is>
          <t>GÄVLEBORGS LÄN</t>
        </is>
      </c>
      <c r="E8893" t="inlineStr">
        <is>
          <t>HUDIKSVALL</t>
        </is>
      </c>
      <c r="F8893" t="inlineStr">
        <is>
          <t>Holmen skog AB</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47246-2023</t>
        </is>
      </c>
      <c r="B8894" s="1" t="n">
        <v>45202</v>
      </c>
      <c r="C8894" s="1" t="n">
        <v>45344</v>
      </c>
      <c r="D8894" t="inlineStr">
        <is>
          <t>GÄVLEBORGS LÄN</t>
        </is>
      </c>
      <c r="E8894" t="inlineStr">
        <is>
          <t>HUDIKSVALL</t>
        </is>
      </c>
      <c r="F8894" t="inlineStr">
        <is>
          <t>Holmen skog AB</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47274-2023</t>
        </is>
      </c>
      <c r="B8895" s="1" t="n">
        <v>45202</v>
      </c>
      <c r="C8895" s="1" t="n">
        <v>45344</v>
      </c>
      <c r="D8895" t="inlineStr">
        <is>
          <t>GÄVLEBORGS LÄN</t>
        </is>
      </c>
      <c r="E8895" t="inlineStr">
        <is>
          <t>HUDIKSVALL</t>
        </is>
      </c>
      <c r="G8895" t="n">
        <v>1.2</v>
      </c>
      <c r="H8895" t="n">
        <v>0</v>
      </c>
      <c r="I8895" t="n">
        <v>0</v>
      </c>
      <c r="J8895" t="n">
        <v>0</v>
      </c>
      <c r="K8895" t="n">
        <v>0</v>
      </c>
      <c r="L8895" t="n">
        <v>0</v>
      </c>
      <c r="M8895" t="n">
        <v>0</v>
      </c>
      <c r="N8895" t="n">
        <v>0</v>
      </c>
      <c r="O8895" t="n">
        <v>0</v>
      </c>
      <c r="P8895" t="n">
        <v>0</v>
      </c>
      <c r="Q8895" t="n">
        <v>0</v>
      </c>
      <c r="R8895" s="2" t="inlineStr"/>
    </row>
    <row r="8896" ht="15" customHeight="1">
      <c r="A8896" t="inlineStr">
        <is>
          <t>A 47278-2023</t>
        </is>
      </c>
      <c r="B8896" s="1" t="n">
        <v>45202</v>
      </c>
      <c r="C8896" s="1" t="n">
        <v>45344</v>
      </c>
      <c r="D8896" t="inlineStr">
        <is>
          <t>GÄVLEBORGS LÄN</t>
        </is>
      </c>
      <c r="E8896" t="inlineStr">
        <is>
          <t>HUDIKSVALL</t>
        </is>
      </c>
      <c r="F8896" t="inlineStr">
        <is>
          <t>Holmen skog AB</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47284-2023</t>
        </is>
      </c>
      <c r="B8897" s="1" t="n">
        <v>45202</v>
      </c>
      <c r="C8897" s="1" t="n">
        <v>45344</v>
      </c>
      <c r="D8897" t="inlineStr">
        <is>
          <t>GÄVLEBORGS LÄN</t>
        </is>
      </c>
      <c r="E8897" t="inlineStr">
        <is>
          <t>HOFORS</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47288-2023</t>
        </is>
      </c>
      <c r="B8898" s="1" t="n">
        <v>45202</v>
      </c>
      <c r="C8898" s="1" t="n">
        <v>45344</v>
      </c>
      <c r="D8898" t="inlineStr">
        <is>
          <t>GÄVLEBORGS LÄN</t>
        </is>
      </c>
      <c r="E8898" t="inlineStr">
        <is>
          <t>SÖDERHAMN</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47292-2023</t>
        </is>
      </c>
      <c r="B8899" s="1" t="n">
        <v>45202</v>
      </c>
      <c r="C8899" s="1" t="n">
        <v>45344</v>
      </c>
      <c r="D8899" t="inlineStr">
        <is>
          <t>GÄVLEBORGS LÄN</t>
        </is>
      </c>
      <c r="E8899" t="inlineStr">
        <is>
          <t>LJUSDAL</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47335-2023</t>
        </is>
      </c>
      <c r="B8900" s="1" t="n">
        <v>45202</v>
      </c>
      <c r="C8900" s="1" t="n">
        <v>45344</v>
      </c>
      <c r="D8900" t="inlineStr">
        <is>
          <t>GÄVLEBORGS LÄN</t>
        </is>
      </c>
      <c r="E8900" t="inlineStr">
        <is>
          <t>HUDIKSVALL</t>
        </is>
      </c>
      <c r="F8900" t="inlineStr">
        <is>
          <t>Holmen skog AB</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47415-2023</t>
        </is>
      </c>
      <c r="B8901" s="1" t="n">
        <v>45202</v>
      </c>
      <c r="C8901" s="1" t="n">
        <v>45344</v>
      </c>
      <c r="D8901" t="inlineStr">
        <is>
          <t>GÄVLEBORGS LÄN</t>
        </is>
      </c>
      <c r="E8901" t="inlineStr">
        <is>
          <t>HUDIKSVALL</t>
        </is>
      </c>
      <c r="F8901" t="inlineStr">
        <is>
          <t>Holmen skog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47238-2023</t>
        </is>
      </c>
      <c r="B8902" s="1" t="n">
        <v>45202</v>
      </c>
      <c r="C8902" s="1" t="n">
        <v>45344</v>
      </c>
      <c r="D8902" t="inlineStr">
        <is>
          <t>GÄVLEBORGS LÄN</t>
        </is>
      </c>
      <c r="E8902" t="inlineStr">
        <is>
          <t>HUDIKSVALL</t>
        </is>
      </c>
      <c r="F8902" t="inlineStr">
        <is>
          <t>Holmen skog AB</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47261-2023</t>
        </is>
      </c>
      <c r="B8903" s="1" t="n">
        <v>45202</v>
      </c>
      <c r="C8903" s="1" t="n">
        <v>45344</v>
      </c>
      <c r="D8903" t="inlineStr">
        <is>
          <t>GÄVLEBORGS LÄN</t>
        </is>
      </c>
      <c r="E8903" t="inlineStr">
        <is>
          <t>LJUSDAL</t>
        </is>
      </c>
      <c r="G8903" t="n">
        <v>7.6</v>
      </c>
      <c r="H8903" t="n">
        <v>0</v>
      </c>
      <c r="I8903" t="n">
        <v>0</v>
      </c>
      <c r="J8903" t="n">
        <v>0</v>
      </c>
      <c r="K8903" t="n">
        <v>0</v>
      </c>
      <c r="L8903" t="n">
        <v>0</v>
      </c>
      <c r="M8903" t="n">
        <v>0</v>
      </c>
      <c r="N8903" t="n">
        <v>0</v>
      </c>
      <c r="O8903" t="n">
        <v>0</v>
      </c>
      <c r="P8903" t="n">
        <v>0</v>
      </c>
      <c r="Q8903" t="n">
        <v>0</v>
      </c>
      <c r="R8903" s="2" t="inlineStr"/>
    </row>
    <row r="8904" ht="15" customHeight="1">
      <c r="A8904" t="inlineStr">
        <is>
          <t>A 47276-2023</t>
        </is>
      </c>
      <c r="B8904" s="1" t="n">
        <v>45202</v>
      </c>
      <c r="C8904" s="1" t="n">
        <v>45344</v>
      </c>
      <c r="D8904" t="inlineStr">
        <is>
          <t>GÄVLEBORGS LÄN</t>
        </is>
      </c>
      <c r="E8904" t="inlineStr">
        <is>
          <t>LJUSDAL</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47320-2023</t>
        </is>
      </c>
      <c r="B8905" s="1" t="n">
        <v>45202</v>
      </c>
      <c r="C8905" s="1" t="n">
        <v>45344</v>
      </c>
      <c r="D8905" t="inlineStr">
        <is>
          <t>GÄVLEBORGS LÄN</t>
        </is>
      </c>
      <c r="E8905" t="inlineStr">
        <is>
          <t>HUDIKSVALL</t>
        </is>
      </c>
      <c r="F8905" t="inlineStr">
        <is>
          <t>Holmen skog AB</t>
        </is>
      </c>
      <c r="G8905" t="n">
        <v>6</v>
      </c>
      <c r="H8905" t="n">
        <v>0</v>
      </c>
      <c r="I8905" t="n">
        <v>0</v>
      </c>
      <c r="J8905" t="n">
        <v>0</v>
      </c>
      <c r="K8905" t="n">
        <v>0</v>
      </c>
      <c r="L8905" t="n">
        <v>0</v>
      </c>
      <c r="M8905" t="n">
        <v>0</v>
      </c>
      <c r="N8905" t="n">
        <v>0</v>
      </c>
      <c r="O8905" t="n">
        <v>0</v>
      </c>
      <c r="P8905" t="n">
        <v>0</v>
      </c>
      <c r="Q8905" t="n">
        <v>0</v>
      </c>
      <c r="R8905" s="2" t="inlineStr"/>
    </row>
    <row r="8906" ht="15" customHeight="1">
      <c r="A8906" t="inlineStr">
        <is>
          <t>A 47358-2023</t>
        </is>
      </c>
      <c r="B8906" s="1" t="n">
        <v>45202</v>
      </c>
      <c r="C8906" s="1" t="n">
        <v>45344</v>
      </c>
      <c r="D8906" t="inlineStr">
        <is>
          <t>GÄVLEBORGS LÄN</t>
        </is>
      </c>
      <c r="E8906" t="inlineStr">
        <is>
          <t>NORDANSTIG</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47400-2023</t>
        </is>
      </c>
      <c r="B8907" s="1" t="n">
        <v>45202</v>
      </c>
      <c r="C8907" s="1" t="n">
        <v>45344</v>
      </c>
      <c r="D8907" t="inlineStr">
        <is>
          <t>GÄVLEBORGS LÄN</t>
        </is>
      </c>
      <c r="E8907" t="inlineStr">
        <is>
          <t>HUDIKSVALL</t>
        </is>
      </c>
      <c r="G8907" t="n">
        <v>5.7</v>
      </c>
      <c r="H8907" t="n">
        <v>0</v>
      </c>
      <c r="I8907" t="n">
        <v>0</v>
      </c>
      <c r="J8907" t="n">
        <v>0</v>
      </c>
      <c r="K8907" t="n">
        <v>0</v>
      </c>
      <c r="L8907" t="n">
        <v>0</v>
      </c>
      <c r="M8907" t="n">
        <v>0</v>
      </c>
      <c r="N8907" t="n">
        <v>0</v>
      </c>
      <c r="O8907" t="n">
        <v>0</v>
      </c>
      <c r="P8907" t="n">
        <v>0</v>
      </c>
      <c r="Q8907" t="n">
        <v>0</v>
      </c>
      <c r="R8907" s="2" t="inlineStr"/>
    </row>
    <row r="8908" ht="15" customHeight="1">
      <c r="A8908" t="inlineStr">
        <is>
          <t>A 47273-2023</t>
        </is>
      </c>
      <c r="B8908" s="1" t="n">
        <v>45202</v>
      </c>
      <c r="C8908" s="1" t="n">
        <v>45344</v>
      </c>
      <c r="D8908" t="inlineStr">
        <is>
          <t>GÄVLEBORGS LÄN</t>
        </is>
      </c>
      <c r="E8908" t="inlineStr">
        <is>
          <t>BOLLNÄS</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47346-2023</t>
        </is>
      </c>
      <c r="B8909" s="1" t="n">
        <v>45202</v>
      </c>
      <c r="C8909" s="1" t="n">
        <v>45344</v>
      </c>
      <c r="D8909" t="inlineStr">
        <is>
          <t>GÄVLEBORGS LÄN</t>
        </is>
      </c>
      <c r="E8909" t="inlineStr">
        <is>
          <t>HUDIKSVALL</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47397-2023</t>
        </is>
      </c>
      <c r="B8910" s="1" t="n">
        <v>45202</v>
      </c>
      <c r="C8910" s="1" t="n">
        <v>45344</v>
      </c>
      <c r="D8910" t="inlineStr">
        <is>
          <t>GÄVLEBORGS LÄN</t>
        </is>
      </c>
      <c r="E8910" t="inlineStr">
        <is>
          <t>OCKELBO</t>
        </is>
      </c>
      <c r="F8910" t="inlineStr">
        <is>
          <t>Bergvik skog väst AB</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47438-2023</t>
        </is>
      </c>
      <c r="B8911" s="1" t="n">
        <v>45202</v>
      </c>
      <c r="C8911" s="1" t="n">
        <v>45344</v>
      </c>
      <c r="D8911" t="inlineStr">
        <is>
          <t>GÄVLEBORGS LÄN</t>
        </is>
      </c>
      <c r="E8911" t="inlineStr">
        <is>
          <t>BOLLNÄS</t>
        </is>
      </c>
      <c r="G8911" t="n">
        <v>9.1</v>
      </c>
      <c r="H8911" t="n">
        <v>0</v>
      </c>
      <c r="I8911" t="n">
        <v>0</v>
      </c>
      <c r="J8911" t="n">
        <v>0</v>
      </c>
      <c r="K8911" t="n">
        <v>0</v>
      </c>
      <c r="L8911" t="n">
        <v>0</v>
      </c>
      <c r="M8911" t="n">
        <v>0</v>
      </c>
      <c r="N8911" t="n">
        <v>0</v>
      </c>
      <c r="O8911" t="n">
        <v>0</v>
      </c>
      <c r="P8911" t="n">
        <v>0</v>
      </c>
      <c r="Q8911" t="n">
        <v>0</v>
      </c>
      <c r="R8911" s="2" t="inlineStr"/>
    </row>
    <row r="8912" ht="15" customHeight="1">
      <c r="A8912" t="inlineStr">
        <is>
          <t>A 47473-2023</t>
        </is>
      </c>
      <c r="B8912" s="1" t="n">
        <v>45203</v>
      </c>
      <c r="C8912" s="1" t="n">
        <v>45344</v>
      </c>
      <c r="D8912" t="inlineStr">
        <is>
          <t>GÄVLEBORGS LÄN</t>
        </is>
      </c>
      <c r="E8912" t="inlineStr">
        <is>
          <t>HUDIKSVALL</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47472-2023</t>
        </is>
      </c>
      <c r="B8913" s="1" t="n">
        <v>45203</v>
      </c>
      <c r="C8913" s="1" t="n">
        <v>45344</v>
      </c>
      <c r="D8913" t="inlineStr">
        <is>
          <t>GÄVLEBORGS LÄN</t>
        </is>
      </c>
      <c r="E8913" t="inlineStr">
        <is>
          <t>HUDIKSVALL</t>
        </is>
      </c>
      <c r="G8913" t="n">
        <v>1</v>
      </c>
      <c r="H8913" t="n">
        <v>0</v>
      </c>
      <c r="I8913" t="n">
        <v>0</v>
      </c>
      <c r="J8913" t="n">
        <v>0</v>
      </c>
      <c r="K8913" t="n">
        <v>0</v>
      </c>
      <c r="L8913" t="n">
        <v>0</v>
      </c>
      <c r="M8913" t="n">
        <v>0</v>
      </c>
      <c r="N8913" t="n">
        <v>0</v>
      </c>
      <c r="O8913" t="n">
        <v>0</v>
      </c>
      <c r="P8913" t="n">
        <v>0</v>
      </c>
      <c r="Q8913" t="n">
        <v>0</v>
      </c>
      <c r="R8913" s="2" t="inlineStr"/>
    </row>
    <row r="8914" ht="15" customHeight="1">
      <c r="A8914" t="inlineStr">
        <is>
          <t>A 47471-2023</t>
        </is>
      </c>
      <c r="B8914" s="1" t="n">
        <v>45203</v>
      </c>
      <c r="C8914" s="1" t="n">
        <v>45344</v>
      </c>
      <c r="D8914" t="inlineStr">
        <is>
          <t>GÄVLEBORGS LÄN</t>
        </is>
      </c>
      <c r="E8914" t="inlineStr">
        <is>
          <t>HUDIKSVALL</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47742-2023</t>
        </is>
      </c>
      <c r="B8915" s="1" t="n">
        <v>45203</v>
      </c>
      <c r="C8915" s="1" t="n">
        <v>45344</v>
      </c>
      <c r="D8915" t="inlineStr">
        <is>
          <t>GÄVLEBORGS LÄN</t>
        </is>
      </c>
      <c r="E8915" t="inlineStr">
        <is>
          <t>GÄVLE</t>
        </is>
      </c>
      <c r="G8915" t="n">
        <v>5.1</v>
      </c>
      <c r="H8915" t="n">
        <v>0</v>
      </c>
      <c r="I8915" t="n">
        <v>0</v>
      </c>
      <c r="J8915" t="n">
        <v>0</v>
      </c>
      <c r="K8915" t="n">
        <v>0</v>
      </c>
      <c r="L8915" t="n">
        <v>0</v>
      </c>
      <c r="M8915" t="n">
        <v>0</v>
      </c>
      <c r="N8915" t="n">
        <v>0</v>
      </c>
      <c r="O8915" t="n">
        <v>0</v>
      </c>
      <c r="P8915" t="n">
        <v>0</v>
      </c>
      <c r="Q8915" t="n">
        <v>0</v>
      </c>
      <c r="R8915" s="2" t="inlineStr"/>
    </row>
    <row r="8916" ht="15" customHeight="1">
      <c r="A8916" t="inlineStr">
        <is>
          <t>A 47746-2023</t>
        </is>
      </c>
      <c r="B8916" s="1" t="n">
        <v>45203</v>
      </c>
      <c r="C8916" s="1" t="n">
        <v>45344</v>
      </c>
      <c r="D8916" t="inlineStr">
        <is>
          <t>GÄVLEBORGS LÄN</t>
        </is>
      </c>
      <c r="E8916" t="inlineStr">
        <is>
          <t>GÄVLE</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47651-2023</t>
        </is>
      </c>
      <c r="B8917" s="1" t="n">
        <v>45203</v>
      </c>
      <c r="C8917" s="1" t="n">
        <v>45344</v>
      </c>
      <c r="D8917" t="inlineStr">
        <is>
          <t>GÄVLEBORGS LÄN</t>
        </is>
      </c>
      <c r="E8917" t="inlineStr">
        <is>
          <t>SANDVIKEN</t>
        </is>
      </c>
      <c r="F8917" t="inlineStr">
        <is>
          <t>Kommuner</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47657-2023</t>
        </is>
      </c>
      <c r="B8918" s="1" t="n">
        <v>45203</v>
      </c>
      <c r="C8918" s="1" t="n">
        <v>45344</v>
      </c>
      <c r="D8918" t="inlineStr">
        <is>
          <t>GÄVLEBORGS LÄN</t>
        </is>
      </c>
      <c r="E8918" t="inlineStr">
        <is>
          <t>SANDVIKEN</t>
        </is>
      </c>
      <c r="F8918" t="inlineStr">
        <is>
          <t>Kommuner</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47701-2023</t>
        </is>
      </c>
      <c r="B8919" s="1" t="n">
        <v>45203</v>
      </c>
      <c r="C8919" s="1" t="n">
        <v>45344</v>
      </c>
      <c r="D8919" t="inlineStr">
        <is>
          <t>GÄVLEBORGS LÄN</t>
        </is>
      </c>
      <c r="E8919" t="inlineStr">
        <is>
          <t>BOLLNÄS</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47743-2023</t>
        </is>
      </c>
      <c r="B8920" s="1" t="n">
        <v>45203</v>
      </c>
      <c r="C8920" s="1" t="n">
        <v>45344</v>
      </c>
      <c r="D8920" t="inlineStr">
        <is>
          <t>GÄVLEBORGS LÄN</t>
        </is>
      </c>
      <c r="E8920" t="inlineStr">
        <is>
          <t>GÄVLE</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47747-2023</t>
        </is>
      </c>
      <c r="B8921" s="1" t="n">
        <v>45203</v>
      </c>
      <c r="C8921" s="1" t="n">
        <v>45344</v>
      </c>
      <c r="D8921" t="inlineStr">
        <is>
          <t>GÄVLEBORGS LÄN</t>
        </is>
      </c>
      <c r="E8921" t="inlineStr">
        <is>
          <t>GÄVLE</t>
        </is>
      </c>
      <c r="G8921" t="n">
        <v>2.1</v>
      </c>
      <c r="H8921" t="n">
        <v>0</v>
      </c>
      <c r="I8921" t="n">
        <v>0</v>
      </c>
      <c r="J8921" t="n">
        <v>0</v>
      </c>
      <c r="K8921" t="n">
        <v>0</v>
      </c>
      <c r="L8921" t="n">
        <v>0</v>
      </c>
      <c r="M8921" t="n">
        <v>0</v>
      </c>
      <c r="N8921" t="n">
        <v>0</v>
      </c>
      <c r="O8921" t="n">
        <v>0</v>
      </c>
      <c r="P8921" t="n">
        <v>0</v>
      </c>
      <c r="Q8921" t="n">
        <v>0</v>
      </c>
      <c r="R8921" s="2" t="inlineStr"/>
    </row>
    <row r="8922" ht="15" customHeight="1">
      <c r="A8922" t="inlineStr">
        <is>
          <t>A 47530-2023</t>
        </is>
      </c>
      <c r="B8922" s="1" t="n">
        <v>45203</v>
      </c>
      <c r="C8922" s="1" t="n">
        <v>45344</v>
      </c>
      <c r="D8922" t="inlineStr">
        <is>
          <t>GÄVLEBORGS LÄN</t>
        </is>
      </c>
      <c r="E8922" t="inlineStr">
        <is>
          <t>HUDIKSVALL</t>
        </is>
      </c>
      <c r="F8922" t="inlineStr">
        <is>
          <t>Holmen skog AB</t>
        </is>
      </c>
      <c r="G8922" t="n">
        <v>37.8</v>
      </c>
      <c r="H8922" t="n">
        <v>0</v>
      </c>
      <c r="I8922" t="n">
        <v>0</v>
      </c>
      <c r="J8922" t="n">
        <v>0</v>
      </c>
      <c r="K8922" t="n">
        <v>0</v>
      </c>
      <c r="L8922" t="n">
        <v>0</v>
      </c>
      <c r="M8922" t="n">
        <v>0</v>
      </c>
      <c r="N8922" t="n">
        <v>0</v>
      </c>
      <c r="O8922" t="n">
        <v>0</v>
      </c>
      <c r="P8922" t="n">
        <v>0</v>
      </c>
      <c r="Q8922" t="n">
        <v>0</v>
      </c>
      <c r="R8922" s="2" t="inlineStr"/>
    </row>
    <row r="8923" ht="15" customHeight="1">
      <c r="A8923" t="inlineStr">
        <is>
          <t>A 47575-2023</t>
        </is>
      </c>
      <c r="B8923" s="1" t="n">
        <v>45203</v>
      </c>
      <c r="C8923" s="1" t="n">
        <v>45344</v>
      </c>
      <c r="D8923" t="inlineStr">
        <is>
          <t>GÄVLEBORGS LÄN</t>
        </is>
      </c>
      <c r="E8923" t="inlineStr">
        <is>
          <t>BOLLNÄS</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47674-2023</t>
        </is>
      </c>
      <c r="B8924" s="1" t="n">
        <v>45203</v>
      </c>
      <c r="C8924" s="1" t="n">
        <v>45344</v>
      </c>
      <c r="D8924" t="inlineStr">
        <is>
          <t>GÄVLEBORGS LÄN</t>
        </is>
      </c>
      <c r="E8924" t="inlineStr">
        <is>
          <t>OCKELBO</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47678-2023</t>
        </is>
      </c>
      <c r="B8925" s="1" t="n">
        <v>45203</v>
      </c>
      <c r="C8925" s="1" t="n">
        <v>45344</v>
      </c>
      <c r="D8925" t="inlineStr">
        <is>
          <t>GÄVLEBORGS LÄN</t>
        </is>
      </c>
      <c r="E8925" t="inlineStr">
        <is>
          <t>OCKELBO</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47723-2023</t>
        </is>
      </c>
      <c r="B8926" s="1" t="n">
        <v>45203</v>
      </c>
      <c r="C8926" s="1" t="n">
        <v>45344</v>
      </c>
      <c r="D8926" t="inlineStr">
        <is>
          <t>GÄVLEBORGS LÄN</t>
        </is>
      </c>
      <c r="E8926" t="inlineStr">
        <is>
          <t>OCKELBO</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47739-2023</t>
        </is>
      </c>
      <c r="B8927" s="1" t="n">
        <v>45203</v>
      </c>
      <c r="C8927" s="1" t="n">
        <v>45344</v>
      </c>
      <c r="D8927" t="inlineStr">
        <is>
          <t>GÄVLEBORGS LÄN</t>
        </is>
      </c>
      <c r="E8927" t="inlineStr">
        <is>
          <t>GÄVLE</t>
        </is>
      </c>
      <c r="G8927" t="n">
        <v>6.4</v>
      </c>
      <c r="H8927" t="n">
        <v>0</v>
      </c>
      <c r="I8927" t="n">
        <v>0</v>
      </c>
      <c r="J8927" t="n">
        <v>0</v>
      </c>
      <c r="K8927" t="n">
        <v>0</v>
      </c>
      <c r="L8927" t="n">
        <v>0</v>
      </c>
      <c r="M8927" t="n">
        <v>0</v>
      </c>
      <c r="N8927" t="n">
        <v>0</v>
      </c>
      <c r="O8927" t="n">
        <v>0</v>
      </c>
      <c r="P8927" t="n">
        <v>0</v>
      </c>
      <c r="Q8927" t="n">
        <v>0</v>
      </c>
      <c r="R8927" s="2" t="inlineStr"/>
    </row>
    <row r="8928" ht="15" customHeight="1">
      <c r="A8928" t="inlineStr">
        <is>
          <t>A 47823-2023</t>
        </is>
      </c>
      <c r="B8928" s="1" t="n">
        <v>45204</v>
      </c>
      <c r="C8928" s="1" t="n">
        <v>45344</v>
      </c>
      <c r="D8928" t="inlineStr">
        <is>
          <t>GÄVLEBORGS LÄN</t>
        </is>
      </c>
      <c r="E8928" t="inlineStr">
        <is>
          <t>LJUSDAL</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47827-2023</t>
        </is>
      </c>
      <c r="B8929" s="1" t="n">
        <v>45204</v>
      </c>
      <c r="C8929" s="1" t="n">
        <v>45344</v>
      </c>
      <c r="D8929" t="inlineStr">
        <is>
          <t>GÄVLEBORGS LÄN</t>
        </is>
      </c>
      <c r="E8929" t="inlineStr">
        <is>
          <t>LJUSDAL</t>
        </is>
      </c>
      <c r="G8929" t="n">
        <v>6.1</v>
      </c>
      <c r="H8929" t="n">
        <v>0</v>
      </c>
      <c r="I8929" t="n">
        <v>0</v>
      </c>
      <c r="J8929" t="n">
        <v>0</v>
      </c>
      <c r="K8929" t="n">
        <v>0</v>
      </c>
      <c r="L8929" t="n">
        <v>0</v>
      </c>
      <c r="M8929" t="n">
        <v>0</v>
      </c>
      <c r="N8929" t="n">
        <v>0</v>
      </c>
      <c r="O8929" t="n">
        <v>0</v>
      </c>
      <c r="P8929" t="n">
        <v>0</v>
      </c>
      <c r="Q8929" t="n">
        <v>0</v>
      </c>
      <c r="R8929" s="2" t="inlineStr"/>
    </row>
    <row r="8930" ht="15" customHeight="1">
      <c r="A8930" t="inlineStr">
        <is>
          <t>A 47841-2023</t>
        </is>
      </c>
      <c r="B8930" s="1" t="n">
        <v>45204</v>
      </c>
      <c r="C8930" s="1" t="n">
        <v>45344</v>
      </c>
      <c r="D8930" t="inlineStr">
        <is>
          <t>GÄVLEBORGS LÄN</t>
        </is>
      </c>
      <c r="E8930" t="inlineStr">
        <is>
          <t>OCKELBO</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47864-2023</t>
        </is>
      </c>
      <c r="B8931" s="1" t="n">
        <v>45204</v>
      </c>
      <c r="C8931" s="1" t="n">
        <v>45344</v>
      </c>
      <c r="D8931" t="inlineStr">
        <is>
          <t>GÄVLEBORGS LÄN</t>
        </is>
      </c>
      <c r="E8931" t="inlineStr">
        <is>
          <t>LJUSDAL</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47875-2023</t>
        </is>
      </c>
      <c r="B8932" s="1" t="n">
        <v>45204</v>
      </c>
      <c r="C8932" s="1" t="n">
        <v>45344</v>
      </c>
      <c r="D8932" t="inlineStr">
        <is>
          <t>GÄVLEBORGS LÄN</t>
        </is>
      </c>
      <c r="E8932" t="inlineStr">
        <is>
          <t>LJUSDAL</t>
        </is>
      </c>
      <c r="G8932" t="n">
        <v>0.5</v>
      </c>
      <c r="H8932" t="n">
        <v>0</v>
      </c>
      <c r="I8932" t="n">
        <v>0</v>
      </c>
      <c r="J8932" t="n">
        <v>0</v>
      </c>
      <c r="K8932" t="n">
        <v>0</v>
      </c>
      <c r="L8932" t="n">
        <v>0</v>
      </c>
      <c r="M8932" t="n">
        <v>0</v>
      </c>
      <c r="N8932" t="n">
        <v>0</v>
      </c>
      <c r="O8932" t="n">
        <v>0</v>
      </c>
      <c r="P8932" t="n">
        <v>0</v>
      </c>
      <c r="Q8932" t="n">
        <v>0</v>
      </c>
      <c r="R8932" s="2" t="inlineStr"/>
    </row>
    <row r="8933" ht="15" customHeight="1">
      <c r="A8933" t="inlineStr">
        <is>
          <t>A 47970-2023</t>
        </is>
      </c>
      <c r="B8933" s="1" t="n">
        <v>45204</v>
      </c>
      <c r="C8933" s="1" t="n">
        <v>45344</v>
      </c>
      <c r="D8933" t="inlineStr">
        <is>
          <t>GÄVLEBORGS LÄN</t>
        </is>
      </c>
      <c r="E8933" t="inlineStr">
        <is>
          <t>GÄVLE</t>
        </is>
      </c>
      <c r="F8933" t="inlineStr">
        <is>
          <t>Bergvik skog väst AB</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48012-2023</t>
        </is>
      </c>
      <c r="B8934" s="1" t="n">
        <v>45204</v>
      </c>
      <c r="C8934" s="1" t="n">
        <v>45344</v>
      </c>
      <c r="D8934" t="inlineStr">
        <is>
          <t>GÄVLEBORGS LÄN</t>
        </is>
      </c>
      <c r="E8934" t="inlineStr">
        <is>
          <t>GÄVLE</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48015-2023</t>
        </is>
      </c>
      <c r="B8935" s="1" t="n">
        <v>45204</v>
      </c>
      <c r="C8935" s="1" t="n">
        <v>45344</v>
      </c>
      <c r="D8935" t="inlineStr">
        <is>
          <t>GÄVLEBORGS LÄN</t>
        </is>
      </c>
      <c r="E8935" t="inlineStr">
        <is>
          <t>LJUSDAL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47852-2023</t>
        </is>
      </c>
      <c r="B8936" s="1" t="n">
        <v>45204</v>
      </c>
      <c r="C8936" s="1" t="n">
        <v>45344</v>
      </c>
      <c r="D8936" t="inlineStr">
        <is>
          <t>GÄVLEBORGS LÄN</t>
        </is>
      </c>
      <c r="E8936" t="inlineStr">
        <is>
          <t>BOLLNÄS</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47876-2023</t>
        </is>
      </c>
      <c r="B8937" s="1" t="n">
        <v>45204</v>
      </c>
      <c r="C8937" s="1" t="n">
        <v>45344</v>
      </c>
      <c r="D8937" t="inlineStr">
        <is>
          <t>GÄVLEBORGS LÄN</t>
        </is>
      </c>
      <c r="E8937" t="inlineStr">
        <is>
          <t>NORDANSTIG</t>
        </is>
      </c>
      <c r="G8937" t="n">
        <v>0.6</v>
      </c>
      <c r="H8937" t="n">
        <v>0</v>
      </c>
      <c r="I8937" t="n">
        <v>0</v>
      </c>
      <c r="J8937" t="n">
        <v>0</v>
      </c>
      <c r="K8937" t="n">
        <v>0</v>
      </c>
      <c r="L8937" t="n">
        <v>0</v>
      </c>
      <c r="M8937" t="n">
        <v>0</v>
      </c>
      <c r="N8937" t="n">
        <v>0</v>
      </c>
      <c r="O8937" t="n">
        <v>0</v>
      </c>
      <c r="P8937" t="n">
        <v>0</v>
      </c>
      <c r="Q8937" t="n">
        <v>0</v>
      </c>
      <c r="R8937" s="2" t="inlineStr"/>
    </row>
    <row r="8938" ht="15" customHeight="1">
      <c r="A8938" t="inlineStr">
        <is>
          <t>A 47895-2023</t>
        </is>
      </c>
      <c r="B8938" s="1" t="n">
        <v>45204</v>
      </c>
      <c r="C8938" s="1" t="n">
        <v>45344</v>
      </c>
      <c r="D8938" t="inlineStr">
        <is>
          <t>GÄVLEBORGS LÄN</t>
        </is>
      </c>
      <c r="E8938" t="inlineStr">
        <is>
          <t>SANDVIKEN</t>
        </is>
      </c>
      <c r="F8938" t="inlineStr">
        <is>
          <t>Bergvik skog öst AB</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48023-2023</t>
        </is>
      </c>
      <c r="B8939" s="1" t="n">
        <v>45204</v>
      </c>
      <c r="C8939" s="1" t="n">
        <v>45344</v>
      </c>
      <c r="D8939" t="inlineStr">
        <is>
          <t>GÄVLEBORGS LÄN</t>
        </is>
      </c>
      <c r="E8939" t="inlineStr">
        <is>
          <t>NORDANSTIG</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48104-2023</t>
        </is>
      </c>
      <c r="B8940" s="1" t="n">
        <v>45205</v>
      </c>
      <c r="C8940" s="1" t="n">
        <v>45344</v>
      </c>
      <c r="D8940" t="inlineStr">
        <is>
          <t>GÄVLEBORGS LÄN</t>
        </is>
      </c>
      <c r="E8940" t="inlineStr">
        <is>
          <t>OCKELBO</t>
        </is>
      </c>
      <c r="F8940" t="inlineStr">
        <is>
          <t>Bergvik skog väst AB</t>
        </is>
      </c>
      <c r="G8940" t="n">
        <v>6.7</v>
      </c>
      <c r="H8940" t="n">
        <v>0</v>
      </c>
      <c r="I8940" t="n">
        <v>0</v>
      </c>
      <c r="J8940" t="n">
        <v>0</v>
      </c>
      <c r="K8940" t="n">
        <v>0</v>
      </c>
      <c r="L8940" t="n">
        <v>0</v>
      </c>
      <c r="M8940" t="n">
        <v>0</v>
      </c>
      <c r="N8940" t="n">
        <v>0</v>
      </c>
      <c r="O8940" t="n">
        <v>0</v>
      </c>
      <c r="P8940" t="n">
        <v>0</v>
      </c>
      <c r="Q8940" t="n">
        <v>0</v>
      </c>
      <c r="R8940" s="2" t="inlineStr"/>
    </row>
    <row r="8941" ht="15" customHeight="1">
      <c r="A8941" t="inlineStr">
        <is>
          <t>A 48094-2023</t>
        </is>
      </c>
      <c r="B8941" s="1" t="n">
        <v>45205</v>
      </c>
      <c r="C8941" s="1" t="n">
        <v>45344</v>
      </c>
      <c r="D8941" t="inlineStr">
        <is>
          <t>GÄVLEBORGS LÄN</t>
        </is>
      </c>
      <c r="E8941" t="inlineStr">
        <is>
          <t>SANDVIKEN</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48136-2023</t>
        </is>
      </c>
      <c r="B8942" s="1" t="n">
        <v>45205</v>
      </c>
      <c r="C8942" s="1" t="n">
        <v>45344</v>
      </c>
      <c r="D8942" t="inlineStr">
        <is>
          <t>GÄVLEBORGS LÄN</t>
        </is>
      </c>
      <c r="E8942" t="inlineStr">
        <is>
          <t>SÖDERHAMN</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48196-2023</t>
        </is>
      </c>
      <c r="B8943" s="1" t="n">
        <v>45205</v>
      </c>
      <c r="C8943" s="1" t="n">
        <v>45344</v>
      </c>
      <c r="D8943" t="inlineStr">
        <is>
          <t>GÄVLEBORGS LÄN</t>
        </is>
      </c>
      <c r="E8943" t="inlineStr">
        <is>
          <t>OVANÅKER</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48188-2023</t>
        </is>
      </c>
      <c r="B8944" s="1" t="n">
        <v>45205</v>
      </c>
      <c r="C8944" s="1" t="n">
        <v>45344</v>
      </c>
      <c r="D8944" t="inlineStr">
        <is>
          <t>GÄVLEBORGS LÄN</t>
        </is>
      </c>
      <c r="E8944" t="inlineStr">
        <is>
          <t>LJUSDAL</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48137-2023</t>
        </is>
      </c>
      <c r="B8945" s="1" t="n">
        <v>45205</v>
      </c>
      <c r="C8945" s="1" t="n">
        <v>45344</v>
      </c>
      <c r="D8945" t="inlineStr">
        <is>
          <t>GÄVLEBORGS LÄN</t>
        </is>
      </c>
      <c r="E8945" t="inlineStr">
        <is>
          <t>OCKELBO</t>
        </is>
      </c>
      <c r="F8945" t="inlineStr">
        <is>
          <t>Bergvik skog väst AB</t>
        </is>
      </c>
      <c r="G8945" t="n">
        <v>3.6</v>
      </c>
      <c r="H8945" t="n">
        <v>0</v>
      </c>
      <c r="I8945" t="n">
        <v>0</v>
      </c>
      <c r="J8945" t="n">
        <v>0</v>
      </c>
      <c r="K8945" t="n">
        <v>0</v>
      </c>
      <c r="L8945" t="n">
        <v>0</v>
      </c>
      <c r="M8945" t="n">
        <v>0</v>
      </c>
      <c r="N8945" t="n">
        <v>0</v>
      </c>
      <c r="O8945" t="n">
        <v>0</v>
      </c>
      <c r="P8945" t="n">
        <v>0</v>
      </c>
      <c r="Q8945" t="n">
        <v>0</v>
      </c>
      <c r="R8945" s="2" t="inlineStr"/>
    </row>
    <row r="8946" ht="15" customHeight="1">
      <c r="A8946" t="inlineStr">
        <is>
          <t>A 48251-2023</t>
        </is>
      </c>
      <c r="B8946" s="1" t="n">
        <v>45205</v>
      </c>
      <c r="C8946" s="1" t="n">
        <v>45344</v>
      </c>
      <c r="D8946" t="inlineStr">
        <is>
          <t>GÄVLEBORGS LÄN</t>
        </is>
      </c>
      <c r="E8946" t="inlineStr">
        <is>
          <t>SÖDERHAMN</t>
        </is>
      </c>
      <c r="F8946" t="inlineStr">
        <is>
          <t>Bergvik skog väst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48256-2023</t>
        </is>
      </c>
      <c r="B8947" s="1" t="n">
        <v>45205</v>
      </c>
      <c r="C8947" s="1" t="n">
        <v>45344</v>
      </c>
      <c r="D8947" t="inlineStr">
        <is>
          <t>GÄVLEBORGS LÄN</t>
        </is>
      </c>
      <c r="E8947" t="inlineStr">
        <is>
          <t>SANDVIKEN</t>
        </is>
      </c>
      <c r="F8947" t="inlineStr">
        <is>
          <t>Sveaskog</t>
        </is>
      </c>
      <c r="G8947" t="n">
        <v>2.9</v>
      </c>
      <c r="H8947" t="n">
        <v>0</v>
      </c>
      <c r="I8947" t="n">
        <v>0</v>
      </c>
      <c r="J8947" t="n">
        <v>0</v>
      </c>
      <c r="K8947" t="n">
        <v>0</v>
      </c>
      <c r="L8947" t="n">
        <v>0</v>
      </c>
      <c r="M8947" t="n">
        <v>0</v>
      </c>
      <c r="N8947" t="n">
        <v>0</v>
      </c>
      <c r="O8947" t="n">
        <v>0</v>
      </c>
      <c r="P8947" t="n">
        <v>0</v>
      </c>
      <c r="Q8947" t="n">
        <v>0</v>
      </c>
      <c r="R8947" s="2" t="inlineStr"/>
    </row>
    <row r="8948" ht="15" customHeight="1">
      <c r="A8948" t="inlineStr">
        <is>
          <t>A 48280-2023</t>
        </is>
      </c>
      <c r="B8948" s="1" t="n">
        <v>45205</v>
      </c>
      <c r="C8948" s="1" t="n">
        <v>45344</v>
      </c>
      <c r="D8948" t="inlineStr">
        <is>
          <t>GÄVLEBORGS LÄN</t>
        </is>
      </c>
      <c r="E8948" t="inlineStr">
        <is>
          <t>GÄVLE</t>
        </is>
      </c>
      <c r="G8948" t="n">
        <v>4.4</v>
      </c>
      <c r="H8948" t="n">
        <v>0</v>
      </c>
      <c r="I8948" t="n">
        <v>0</v>
      </c>
      <c r="J8948" t="n">
        <v>0</v>
      </c>
      <c r="K8948" t="n">
        <v>0</v>
      </c>
      <c r="L8948" t="n">
        <v>0</v>
      </c>
      <c r="M8948" t="n">
        <v>0</v>
      </c>
      <c r="N8948" t="n">
        <v>0</v>
      </c>
      <c r="O8948" t="n">
        <v>0</v>
      </c>
      <c r="P8948" t="n">
        <v>0</v>
      </c>
      <c r="Q8948" t="n">
        <v>0</v>
      </c>
      <c r="R8948" s="2" t="inlineStr"/>
    </row>
    <row r="8949" ht="15" customHeight="1">
      <c r="A8949" t="inlineStr">
        <is>
          <t>A 48303-2023</t>
        </is>
      </c>
      <c r="B8949" s="1" t="n">
        <v>45205</v>
      </c>
      <c r="C8949" s="1" t="n">
        <v>45344</v>
      </c>
      <c r="D8949" t="inlineStr">
        <is>
          <t>GÄVLEBORGS LÄN</t>
        </is>
      </c>
      <c r="E8949" t="inlineStr">
        <is>
          <t>SANDVIKEN</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48249-2023</t>
        </is>
      </c>
      <c r="B8950" s="1" t="n">
        <v>45205</v>
      </c>
      <c r="C8950" s="1" t="n">
        <v>45344</v>
      </c>
      <c r="D8950" t="inlineStr">
        <is>
          <t>GÄVLEBORGS LÄN</t>
        </is>
      </c>
      <c r="E8950" t="inlineStr">
        <is>
          <t>HUDIKSVALL</t>
        </is>
      </c>
      <c r="F8950" t="inlineStr">
        <is>
          <t>Holmen skog AB</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48253-2023</t>
        </is>
      </c>
      <c r="B8951" s="1" t="n">
        <v>45205</v>
      </c>
      <c r="C8951" s="1" t="n">
        <v>45344</v>
      </c>
      <c r="D8951" t="inlineStr">
        <is>
          <t>GÄVLEBORGS LÄN</t>
        </is>
      </c>
      <c r="E8951" t="inlineStr">
        <is>
          <t>SÖDERHAMN</t>
        </is>
      </c>
      <c r="F8951" t="inlineStr">
        <is>
          <t>Bergvik skog väst AB</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48258-2023</t>
        </is>
      </c>
      <c r="B8952" s="1" t="n">
        <v>45205</v>
      </c>
      <c r="C8952" s="1" t="n">
        <v>45344</v>
      </c>
      <c r="D8952" t="inlineStr">
        <is>
          <t>GÄVLEBORGS LÄN</t>
        </is>
      </c>
      <c r="E8952" t="inlineStr">
        <is>
          <t>SANDVIKEN</t>
        </is>
      </c>
      <c r="F8952" t="inlineStr">
        <is>
          <t>Sveaskog</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48268-2023</t>
        </is>
      </c>
      <c r="B8953" s="1" t="n">
        <v>45205</v>
      </c>
      <c r="C8953" s="1" t="n">
        <v>45344</v>
      </c>
      <c r="D8953" t="inlineStr">
        <is>
          <t>GÄVLEBORGS LÄN</t>
        </is>
      </c>
      <c r="E8953" t="inlineStr">
        <is>
          <t>OVANÅKER</t>
        </is>
      </c>
      <c r="G8953" t="n">
        <v>3.4</v>
      </c>
      <c r="H8953" t="n">
        <v>0</v>
      </c>
      <c r="I8953" t="n">
        <v>0</v>
      </c>
      <c r="J8953" t="n">
        <v>0</v>
      </c>
      <c r="K8953" t="n">
        <v>0</v>
      </c>
      <c r="L8953" t="n">
        <v>0</v>
      </c>
      <c r="M8953" t="n">
        <v>0</v>
      </c>
      <c r="N8953" t="n">
        <v>0</v>
      </c>
      <c r="O8953" t="n">
        <v>0</v>
      </c>
      <c r="P8953" t="n">
        <v>0</v>
      </c>
      <c r="Q8953" t="n">
        <v>0</v>
      </c>
      <c r="R8953" s="2" t="inlineStr"/>
    </row>
    <row r="8954" ht="15" customHeight="1">
      <c r="A8954" t="inlineStr">
        <is>
          <t>A 48195-2023</t>
        </is>
      </c>
      <c r="B8954" s="1" t="n">
        <v>45205</v>
      </c>
      <c r="C8954" s="1" t="n">
        <v>45344</v>
      </c>
      <c r="D8954" t="inlineStr">
        <is>
          <t>GÄVLEBORGS LÄN</t>
        </is>
      </c>
      <c r="E8954" t="inlineStr">
        <is>
          <t>LJUSDAL</t>
        </is>
      </c>
      <c r="G8954" t="n">
        <v>4.8</v>
      </c>
      <c r="H8954" t="n">
        <v>0</v>
      </c>
      <c r="I8954" t="n">
        <v>0</v>
      </c>
      <c r="J8954" t="n">
        <v>0</v>
      </c>
      <c r="K8954" t="n">
        <v>0</v>
      </c>
      <c r="L8954" t="n">
        <v>0</v>
      </c>
      <c r="M8954" t="n">
        <v>0</v>
      </c>
      <c r="N8954" t="n">
        <v>0</v>
      </c>
      <c r="O8954" t="n">
        <v>0</v>
      </c>
      <c r="P8954" t="n">
        <v>0</v>
      </c>
      <c r="Q8954" t="n">
        <v>0</v>
      </c>
      <c r="R8954" s="2" t="inlineStr"/>
    </row>
    <row r="8955" ht="15" customHeight="1">
      <c r="A8955" t="inlineStr">
        <is>
          <t>A 48355-2023</t>
        </is>
      </c>
      <c r="B8955" s="1" t="n">
        <v>45205</v>
      </c>
      <c r="C8955" s="1" t="n">
        <v>45344</v>
      </c>
      <c r="D8955" t="inlineStr">
        <is>
          <t>GÄVLEBORGS LÄN</t>
        </is>
      </c>
      <c r="E8955" t="inlineStr">
        <is>
          <t>LJUSDAL</t>
        </is>
      </c>
      <c r="G8955" t="n">
        <v>4.4</v>
      </c>
      <c r="H8955" t="n">
        <v>0</v>
      </c>
      <c r="I8955" t="n">
        <v>0</v>
      </c>
      <c r="J8955" t="n">
        <v>0</v>
      </c>
      <c r="K8955" t="n">
        <v>0</v>
      </c>
      <c r="L8955" t="n">
        <v>0</v>
      </c>
      <c r="M8955" t="n">
        <v>0</v>
      </c>
      <c r="N8955" t="n">
        <v>0</v>
      </c>
      <c r="O8955" t="n">
        <v>0</v>
      </c>
      <c r="P8955" t="n">
        <v>0</v>
      </c>
      <c r="Q8955" t="n">
        <v>0</v>
      </c>
      <c r="R8955" s="2" t="inlineStr"/>
    </row>
    <row r="8956" ht="15" customHeight="1">
      <c r="A8956" t="inlineStr">
        <is>
          <t>A 48360-2023</t>
        </is>
      </c>
      <c r="B8956" s="1" t="n">
        <v>45205</v>
      </c>
      <c r="C8956" s="1" t="n">
        <v>45344</v>
      </c>
      <c r="D8956" t="inlineStr">
        <is>
          <t>GÄVLEBORGS LÄN</t>
        </is>
      </c>
      <c r="E8956" t="inlineStr">
        <is>
          <t>LJUSDAL</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48282-2023</t>
        </is>
      </c>
      <c r="B8957" s="1" t="n">
        <v>45205</v>
      </c>
      <c r="C8957" s="1" t="n">
        <v>45344</v>
      </c>
      <c r="D8957" t="inlineStr">
        <is>
          <t>GÄVLEBORGS LÄN</t>
        </is>
      </c>
      <c r="E8957" t="inlineStr">
        <is>
          <t>OVANÅKER</t>
        </is>
      </c>
      <c r="G8957" t="n">
        <v>0.4</v>
      </c>
      <c r="H8957" t="n">
        <v>0</v>
      </c>
      <c r="I8957" t="n">
        <v>0</v>
      </c>
      <c r="J8957" t="n">
        <v>0</v>
      </c>
      <c r="K8957" t="n">
        <v>0</v>
      </c>
      <c r="L8957" t="n">
        <v>0</v>
      </c>
      <c r="M8957" t="n">
        <v>0</v>
      </c>
      <c r="N8957" t="n">
        <v>0</v>
      </c>
      <c r="O8957" t="n">
        <v>0</v>
      </c>
      <c r="P8957" t="n">
        <v>0</v>
      </c>
      <c r="Q8957" t="n">
        <v>0</v>
      </c>
      <c r="R8957" s="2" t="inlineStr"/>
    </row>
    <row r="8958" ht="15" customHeight="1">
      <c r="A8958" t="inlineStr">
        <is>
          <t>A 48293-2023</t>
        </is>
      </c>
      <c r="B8958" s="1" t="n">
        <v>45205</v>
      </c>
      <c r="C8958" s="1" t="n">
        <v>45344</v>
      </c>
      <c r="D8958" t="inlineStr">
        <is>
          <t>GÄVLEBORGS LÄN</t>
        </is>
      </c>
      <c r="E8958" t="inlineStr">
        <is>
          <t>BOLLNÄS</t>
        </is>
      </c>
      <c r="G8958" t="n">
        <v>2.8</v>
      </c>
      <c r="H8958" t="n">
        <v>0</v>
      </c>
      <c r="I8958" t="n">
        <v>0</v>
      </c>
      <c r="J8958" t="n">
        <v>0</v>
      </c>
      <c r="K8958" t="n">
        <v>0</v>
      </c>
      <c r="L8958" t="n">
        <v>0</v>
      </c>
      <c r="M8958" t="n">
        <v>0</v>
      </c>
      <c r="N8958" t="n">
        <v>0</v>
      </c>
      <c r="O8958" t="n">
        <v>0</v>
      </c>
      <c r="P8958" t="n">
        <v>0</v>
      </c>
      <c r="Q8958" t="n">
        <v>0</v>
      </c>
      <c r="R8958" s="2" t="inlineStr"/>
    </row>
    <row r="8959" ht="15" customHeight="1">
      <c r="A8959" t="inlineStr">
        <is>
          <t>A 48301-2023</t>
        </is>
      </c>
      <c r="B8959" s="1" t="n">
        <v>45205</v>
      </c>
      <c r="C8959" s="1" t="n">
        <v>45344</v>
      </c>
      <c r="D8959" t="inlineStr">
        <is>
          <t>GÄVLEBORGS LÄN</t>
        </is>
      </c>
      <c r="E8959" t="inlineStr">
        <is>
          <t>BOLLNÄS</t>
        </is>
      </c>
      <c r="G8959" t="n">
        <v>5.1</v>
      </c>
      <c r="H8959" t="n">
        <v>0</v>
      </c>
      <c r="I8959" t="n">
        <v>0</v>
      </c>
      <c r="J8959" t="n">
        <v>0</v>
      </c>
      <c r="K8959" t="n">
        <v>0</v>
      </c>
      <c r="L8959" t="n">
        <v>0</v>
      </c>
      <c r="M8959" t="n">
        <v>0</v>
      </c>
      <c r="N8959" t="n">
        <v>0</v>
      </c>
      <c r="O8959" t="n">
        <v>0</v>
      </c>
      <c r="P8959" t="n">
        <v>0</v>
      </c>
      <c r="Q8959" t="n">
        <v>0</v>
      </c>
      <c r="R8959" s="2" t="inlineStr"/>
    </row>
    <row r="8960" ht="15" customHeight="1">
      <c r="A8960" t="inlineStr">
        <is>
          <t>A 48305-2023</t>
        </is>
      </c>
      <c r="B8960" s="1" t="n">
        <v>45205</v>
      </c>
      <c r="C8960" s="1" t="n">
        <v>45344</v>
      </c>
      <c r="D8960" t="inlineStr">
        <is>
          <t>GÄVLEBORGS LÄN</t>
        </is>
      </c>
      <c r="E8960" t="inlineStr">
        <is>
          <t>SANDVIKEN</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48139-2023</t>
        </is>
      </c>
      <c r="B8961" s="1" t="n">
        <v>45205</v>
      </c>
      <c r="C8961" s="1" t="n">
        <v>45344</v>
      </c>
      <c r="D8961" t="inlineStr">
        <is>
          <t>GÄVLEBORGS LÄN</t>
        </is>
      </c>
      <c r="E8961" t="inlineStr">
        <is>
          <t>SÖDERHAMN</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48148-2023</t>
        </is>
      </c>
      <c r="B8962" s="1" t="n">
        <v>45205</v>
      </c>
      <c r="C8962" s="1" t="n">
        <v>45344</v>
      </c>
      <c r="D8962" t="inlineStr">
        <is>
          <t>GÄVLEBORGS LÄN</t>
        </is>
      </c>
      <c r="E8962" t="inlineStr">
        <is>
          <t>OCKELBO</t>
        </is>
      </c>
      <c r="F8962" t="inlineStr">
        <is>
          <t>Kyrkan</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48400-2023</t>
        </is>
      </c>
      <c r="B8963" s="1" t="n">
        <v>45205</v>
      </c>
      <c r="C8963" s="1" t="n">
        <v>45344</v>
      </c>
      <c r="D8963" t="inlineStr">
        <is>
          <t>GÄVLEBORGS LÄN</t>
        </is>
      </c>
      <c r="E8963" t="inlineStr">
        <is>
          <t>LJUSDAL</t>
        </is>
      </c>
      <c r="F8963" t="inlineStr">
        <is>
          <t>Sveaskog</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48274-2023</t>
        </is>
      </c>
      <c r="B8964" s="1" t="n">
        <v>45205</v>
      </c>
      <c r="C8964" s="1" t="n">
        <v>45344</v>
      </c>
      <c r="D8964" t="inlineStr">
        <is>
          <t>GÄVLEBORGS LÄN</t>
        </is>
      </c>
      <c r="E8964" t="inlineStr">
        <is>
          <t>OVANÅKER</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48416-2023</t>
        </is>
      </c>
      <c r="B8965" s="1" t="n">
        <v>45206</v>
      </c>
      <c r="C8965" s="1" t="n">
        <v>45344</v>
      </c>
      <c r="D8965" t="inlineStr">
        <is>
          <t>GÄVLEBORGS LÄN</t>
        </is>
      </c>
      <c r="E8965" t="inlineStr">
        <is>
          <t>HUDIKSVALL</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48289-2023</t>
        </is>
      </c>
      <c r="B8966" s="1" t="n">
        <v>45205</v>
      </c>
      <c r="C8966" s="1" t="n">
        <v>45344</v>
      </c>
      <c r="D8966" t="inlineStr">
        <is>
          <t>GÄVLEBORGS LÄN</t>
        </is>
      </c>
      <c r="E8966" t="inlineStr">
        <is>
          <t>SANDVIKEN</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48298-2023</t>
        </is>
      </c>
      <c r="B8967" s="1" t="n">
        <v>45205</v>
      </c>
      <c r="C8967" s="1" t="n">
        <v>45344</v>
      </c>
      <c r="D8967" t="inlineStr">
        <is>
          <t>GÄVLEBORGS LÄN</t>
        </is>
      </c>
      <c r="E8967" t="inlineStr">
        <is>
          <t>OVANÅKER</t>
        </is>
      </c>
      <c r="G8967" t="n">
        <v>0.3</v>
      </c>
      <c r="H8967" t="n">
        <v>0</v>
      </c>
      <c r="I8967" t="n">
        <v>0</v>
      </c>
      <c r="J8967" t="n">
        <v>0</v>
      </c>
      <c r="K8967" t="n">
        <v>0</v>
      </c>
      <c r="L8967" t="n">
        <v>0</v>
      </c>
      <c r="M8967" t="n">
        <v>0</v>
      </c>
      <c r="N8967" t="n">
        <v>0</v>
      </c>
      <c r="O8967" t="n">
        <v>0</v>
      </c>
      <c r="P8967" t="n">
        <v>0</v>
      </c>
      <c r="Q8967" t="n">
        <v>0</v>
      </c>
      <c r="R8967" s="2" t="inlineStr"/>
    </row>
    <row r="8968" ht="15" customHeight="1">
      <c r="A8968" t="inlineStr">
        <is>
          <t>A 48307-2023</t>
        </is>
      </c>
      <c r="B8968" s="1" t="n">
        <v>45205</v>
      </c>
      <c r="C8968" s="1" t="n">
        <v>45344</v>
      </c>
      <c r="D8968" t="inlineStr">
        <is>
          <t>GÄVLEBORGS LÄN</t>
        </is>
      </c>
      <c r="E8968" t="inlineStr">
        <is>
          <t>BOLLNÄS</t>
        </is>
      </c>
      <c r="G8968" t="n">
        <v>0.7</v>
      </c>
      <c r="H8968" t="n">
        <v>0</v>
      </c>
      <c r="I8968" t="n">
        <v>0</v>
      </c>
      <c r="J8968" t="n">
        <v>0</v>
      </c>
      <c r="K8968" t="n">
        <v>0</v>
      </c>
      <c r="L8968" t="n">
        <v>0</v>
      </c>
      <c r="M8968" t="n">
        <v>0</v>
      </c>
      <c r="N8968" t="n">
        <v>0</v>
      </c>
      <c r="O8968" t="n">
        <v>0</v>
      </c>
      <c r="P8968" t="n">
        <v>0</v>
      </c>
      <c r="Q8968" t="n">
        <v>0</v>
      </c>
      <c r="R8968" s="2" t="inlineStr"/>
    </row>
    <row r="8969" ht="15" customHeight="1">
      <c r="A8969" t="inlineStr">
        <is>
          <t>A 48312-2023</t>
        </is>
      </c>
      <c r="B8969" s="1" t="n">
        <v>45205</v>
      </c>
      <c r="C8969" s="1" t="n">
        <v>45344</v>
      </c>
      <c r="D8969" t="inlineStr">
        <is>
          <t>GÄVLEBORGS LÄN</t>
        </is>
      </c>
      <c r="E8969" t="inlineStr">
        <is>
          <t>OVANÅKER</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48163-2023</t>
        </is>
      </c>
      <c r="B8970" s="1" t="n">
        <v>45205</v>
      </c>
      <c r="C8970" s="1" t="n">
        <v>45344</v>
      </c>
      <c r="D8970" t="inlineStr">
        <is>
          <t>GÄVLEBORGS LÄN</t>
        </is>
      </c>
      <c r="E8970" t="inlineStr">
        <is>
          <t>OCKELBO</t>
        </is>
      </c>
      <c r="F8970" t="inlineStr">
        <is>
          <t>Bergvik skog väst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48257-2023</t>
        </is>
      </c>
      <c r="B8971" s="1" t="n">
        <v>45205</v>
      </c>
      <c r="C8971" s="1" t="n">
        <v>45344</v>
      </c>
      <c r="D8971" t="inlineStr">
        <is>
          <t>GÄVLEBORGS LÄN</t>
        </is>
      </c>
      <c r="E8971" t="inlineStr">
        <is>
          <t>SANDVIKEN</t>
        </is>
      </c>
      <c r="F8971" t="inlineStr">
        <is>
          <t>Sveaskog</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48261-2023</t>
        </is>
      </c>
      <c r="B8972" s="1" t="n">
        <v>45205</v>
      </c>
      <c r="C8972" s="1" t="n">
        <v>45344</v>
      </c>
      <c r="D8972" t="inlineStr">
        <is>
          <t>GÄVLEBORGS LÄN</t>
        </is>
      </c>
      <c r="E8972" t="inlineStr">
        <is>
          <t>SÖDERHAMN</t>
        </is>
      </c>
      <c r="F8972" t="inlineStr">
        <is>
          <t>Bergvik skog väst AB</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48267-2023</t>
        </is>
      </c>
      <c r="B8973" s="1" t="n">
        <v>45205</v>
      </c>
      <c r="C8973" s="1" t="n">
        <v>45344</v>
      </c>
      <c r="D8973" t="inlineStr">
        <is>
          <t>GÄVLEBORGS LÄN</t>
        </is>
      </c>
      <c r="E8973" t="inlineStr">
        <is>
          <t>OVANÅKER</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48296-2023</t>
        </is>
      </c>
      <c r="B8974" s="1" t="n">
        <v>45205</v>
      </c>
      <c r="C8974" s="1" t="n">
        <v>45344</v>
      </c>
      <c r="D8974" t="inlineStr">
        <is>
          <t>GÄVLEBORGS LÄN</t>
        </is>
      </c>
      <c r="E8974" t="inlineStr">
        <is>
          <t>SANDVIKEN</t>
        </is>
      </c>
      <c r="G8974" t="n">
        <v>2.1</v>
      </c>
      <c r="H8974" t="n">
        <v>0</v>
      </c>
      <c r="I8974" t="n">
        <v>0</v>
      </c>
      <c r="J8974" t="n">
        <v>0</v>
      </c>
      <c r="K8974" t="n">
        <v>0</v>
      </c>
      <c r="L8974" t="n">
        <v>0</v>
      </c>
      <c r="M8974" t="n">
        <v>0</v>
      </c>
      <c r="N8974" t="n">
        <v>0</v>
      </c>
      <c r="O8974" t="n">
        <v>0</v>
      </c>
      <c r="P8974" t="n">
        <v>0</v>
      </c>
      <c r="Q8974" t="n">
        <v>0</v>
      </c>
      <c r="R8974" s="2" t="inlineStr"/>
    </row>
    <row r="8975" ht="15" customHeight="1">
      <c r="A8975" t="inlineStr">
        <is>
          <t>A 48300-2023</t>
        </is>
      </c>
      <c r="B8975" s="1" t="n">
        <v>45205</v>
      </c>
      <c r="C8975" s="1" t="n">
        <v>45344</v>
      </c>
      <c r="D8975" t="inlineStr">
        <is>
          <t>GÄVLEBORGS LÄN</t>
        </is>
      </c>
      <c r="E8975" t="inlineStr">
        <is>
          <t>SANDVIKEN</t>
        </is>
      </c>
      <c r="G8975" t="n">
        <v>1.5</v>
      </c>
      <c r="H8975" t="n">
        <v>0</v>
      </c>
      <c r="I8975" t="n">
        <v>0</v>
      </c>
      <c r="J8975" t="n">
        <v>0</v>
      </c>
      <c r="K8975" t="n">
        <v>0</v>
      </c>
      <c r="L8975" t="n">
        <v>0</v>
      </c>
      <c r="M8975" t="n">
        <v>0</v>
      </c>
      <c r="N8975" t="n">
        <v>0</v>
      </c>
      <c r="O8975" t="n">
        <v>0</v>
      </c>
      <c r="P8975" t="n">
        <v>0</v>
      </c>
      <c r="Q8975" t="n">
        <v>0</v>
      </c>
      <c r="R8975" s="2" t="inlineStr"/>
    </row>
    <row r="8976" ht="15" customHeight="1">
      <c r="A8976" t="inlineStr">
        <is>
          <t>A 48310-2023</t>
        </is>
      </c>
      <c r="B8976" s="1" t="n">
        <v>45205</v>
      </c>
      <c r="C8976" s="1" t="n">
        <v>45344</v>
      </c>
      <c r="D8976" t="inlineStr">
        <is>
          <t>GÄVLEBORGS LÄN</t>
        </is>
      </c>
      <c r="E8976" t="inlineStr">
        <is>
          <t>BOLLNÄS</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48314-2023</t>
        </is>
      </c>
      <c r="B8977" s="1" t="n">
        <v>45205</v>
      </c>
      <c r="C8977" s="1" t="n">
        <v>45344</v>
      </c>
      <c r="D8977" t="inlineStr">
        <is>
          <t>GÄVLEBORGS LÄN</t>
        </is>
      </c>
      <c r="E8977" t="inlineStr">
        <is>
          <t>SANDVIKEN</t>
        </is>
      </c>
      <c r="G8977" t="n">
        <v>1.2</v>
      </c>
      <c r="H8977" t="n">
        <v>0</v>
      </c>
      <c r="I8977" t="n">
        <v>0</v>
      </c>
      <c r="J8977" t="n">
        <v>0</v>
      </c>
      <c r="K8977" t="n">
        <v>0</v>
      </c>
      <c r="L8977" t="n">
        <v>0</v>
      </c>
      <c r="M8977" t="n">
        <v>0</v>
      </c>
      <c r="N8977" t="n">
        <v>0</v>
      </c>
      <c r="O8977" t="n">
        <v>0</v>
      </c>
      <c r="P8977" t="n">
        <v>0</v>
      </c>
      <c r="Q8977" t="n">
        <v>0</v>
      </c>
      <c r="R8977" s="2" t="inlineStr"/>
    </row>
    <row r="8978" ht="15" customHeight="1">
      <c r="A8978" t="inlineStr">
        <is>
          <t>A 48319-2023</t>
        </is>
      </c>
      <c r="B8978" s="1" t="n">
        <v>45205</v>
      </c>
      <c r="C8978" s="1" t="n">
        <v>45344</v>
      </c>
      <c r="D8978" t="inlineStr">
        <is>
          <t>GÄVLEBORGS LÄN</t>
        </is>
      </c>
      <c r="E8978" t="inlineStr">
        <is>
          <t>SANDVIKEN</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48336-2023</t>
        </is>
      </c>
      <c r="B8979" s="1" t="n">
        <v>45205</v>
      </c>
      <c r="C8979" s="1" t="n">
        <v>45344</v>
      </c>
      <c r="D8979" t="inlineStr">
        <is>
          <t>GÄVLEBORGS LÄN</t>
        </is>
      </c>
      <c r="E8979" t="inlineStr">
        <is>
          <t>BOLLNÄS</t>
        </is>
      </c>
      <c r="G8979" t="n">
        <v>6.1</v>
      </c>
      <c r="H8979" t="n">
        <v>0</v>
      </c>
      <c r="I8979" t="n">
        <v>0</v>
      </c>
      <c r="J8979" t="n">
        <v>0</v>
      </c>
      <c r="K8979" t="n">
        <v>0</v>
      </c>
      <c r="L8979" t="n">
        <v>0</v>
      </c>
      <c r="M8979" t="n">
        <v>0</v>
      </c>
      <c r="N8979" t="n">
        <v>0</v>
      </c>
      <c r="O8979" t="n">
        <v>0</v>
      </c>
      <c r="P8979" t="n">
        <v>0</v>
      </c>
      <c r="Q8979" t="n">
        <v>0</v>
      </c>
      <c r="R8979" s="2" t="inlineStr"/>
    </row>
    <row r="8980" ht="15" customHeight="1">
      <c r="A8980" t="inlineStr">
        <is>
          <t>A 49117-2023</t>
        </is>
      </c>
      <c r="B8980" s="1" t="n">
        <v>45205</v>
      </c>
      <c r="C8980" s="1" t="n">
        <v>45344</v>
      </c>
      <c r="D8980" t="inlineStr">
        <is>
          <t>GÄVLEBORGS LÄN</t>
        </is>
      </c>
      <c r="E8980" t="inlineStr">
        <is>
          <t>SÖDERHAMN</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48519-2023</t>
        </is>
      </c>
      <c r="B8981" s="1" t="n">
        <v>45208</v>
      </c>
      <c r="C8981" s="1" t="n">
        <v>45344</v>
      </c>
      <c r="D8981" t="inlineStr">
        <is>
          <t>GÄVLEBORGS LÄN</t>
        </is>
      </c>
      <c r="E8981" t="inlineStr">
        <is>
          <t>GÄVLE</t>
        </is>
      </c>
      <c r="G8981" t="n">
        <v>3.4</v>
      </c>
      <c r="H8981" t="n">
        <v>0</v>
      </c>
      <c r="I8981" t="n">
        <v>0</v>
      </c>
      <c r="J8981" t="n">
        <v>0</v>
      </c>
      <c r="K8981" t="n">
        <v>0</v>
      </c>
      <c r="L8981" t="n">
        <v>0</v>
      </c>
      <c r="M8981" t="n">
        <v>0</v>
      </c>
      <c r="N8981" t="n">
        <v>0</v>
      </c>
      <c r="O8981" t="n">
        <v>0</v>
      </c>
      <c r="P8981" t="n">
        <v>0</v>
      </c>
      <c r="Q8981" t="n">
        <v>0</v>
      </c>
      <c r="R8981" s="2" t="inlineStr"/>
    </row>
    <row r="8982" ht="15" customHeight="1">
      <c r="A8982" t="inlineStr">
        <is>
          <t>A 48597-2023</t>
        </is>
      </c>
      <c r="B8982" s="1" t="n">
        <v>45208</v>
      </c>
      <c r="C8982" s="1" t="n">
        <v>45344</v>
      </c>
      <c r="D8982" t="inlineStr">
        <is>
          <t>GÄVLEBORGS LÄN</t>
        </is>
      </c>
      <c r="E8982" t="inlineStr">
        <is>
          <t>SANDVIKEN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48591-2023</t>
        </is>
      </c>
      <c r="B8983" s="1" t="n">
        <v>45208</v>
      </c>
      <c r="C8983" s="1" t="n">
        <v>45344</v>
      </c>
      <c r="D8983" t="inlineStr">
        <is>
          <t>GÄVLEBORGS LÄN</t>
        </is>
      </c>
      <c r="E8983" t="inlineStr">
        <is>
          <t>BOLLNÄS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48605-2023</t>
        </is>
      </c>
      <c r="B8984" s="1" t="n">
        <v>45208</v>
      </c>
      <c r="C8984" s="1" t="n">
        <v>45344</v>
      </c>
      <c r="D8984" t="inlineStr">
        <is>
          <t>GÄVLEBORGS LÄN</t>
        </is>
      </c>
      <c r="E8984" t="inlineStr">
        <is>
          <t>BOLLNÄS</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48607-2023</t>
        </is>
      </c>
      <c r="B8985" s="1" t="n">
        <v>45208</v>
      </c>
      <c r="C8985" s="1" t="n">
        <v>45344</v>
      </c>
      <c r="D8985" t="inlineStr">
        <is>
          <t>GÄVLEBORGS LÄN</t>
        </is>
      </c>
      <c r="E8985" t="inlineStr">
        <is>
          <t>NORDANSTIG</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48567-2023</t>
        </is>
      </c>
      <c r="B8986" s="1" t="n">
        <v>45208</v>
      </c>
      <c r="C8986" s="1" t="n">
        <v>45344</v>
      </c>
      <c r="D8986" t="inlineStr">
        <is>
          <t>GÄVLEBORGS LÄN</t>
        </is>
      </c>
      <c r="E8986" t="inlineStr">
        <is>
          <t>LJUSDAL</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48712-2023</t>
        </is>
      </c>
      <c r="B8987" s="1" t="n">
        <v>45208</v>
      </c>
      <c r="C8987" s="1" t="n">
        <v>45344</v>
      </c>
      <c r="D8987" t="inlineStr">
        <is>
          <t>GÄVLEBORGS LÄN</t>
        </is>
      </c>
      <c r="E8987" t="inlineStr">
        <is>
          <t>BOLLNÄS</t>
        </is>
      </c>
      <c r="G8987" t="n">
        <v>4.1</v>
      </c>
      <c r="H8987" t="n">
        <v>0</v>
      </c>
      <c r="I8987" t="n">
        <v>0</v>
      </c>
      <c r="J8987" t="n">
        <v>0</v>
      </c>
      <c r="K8987" t="n">
        <v>0</v>
      </c>
      <c r="L8987" t="n">
        <v>0</v>
      </c>
      <c r="M8987" t="n">
        <v>0</v>
      </c>
      <c r="N8987" t="n">
        <v>0</v>
      </c>
      <c r="O8987" t="n">
        <v>0</v>
      </c>
      <c r="P8987" t="n">
        <v>0</v>
      </c>
      <c r="Q8987" t="n">
        <v>0</v>
      </c>
      <c r="R8987" s="2" t="inlineStr"/>
    </row>
    <row r="8988" ht="15" customHeight="1">
      <c r="A8988" t="inlineStr">
        <is>
          <t>A 48581-2023</t>
        </is>
      </c>
      <c r="B8988" s="1" t="n">
        <v>45208</v>
      </c>
      <c r="C8988" s="1" t="n">
        <v>45344</v>
      </c>
      <c r="D8988" t="inlineStr">
        <is>
          <t>GÄVLEBORGS LÄN</t>
        </is>
      </c>
      <c r="E8988" t="inlineStr">
        <is>
          <t>NORDANSTIG</t>
        </is>
      </c>
      <c r="G8988" t="n">
        <v>6.8</v>
      </c>
      <c r="H8988" t="n">
        <v>0</v>
      </c>
      <c r="I8988" t="n">
        <v>0</v>
      </c>
      <c r="J8988" t="n">
        <v>0</v>
      </c>
      <c r="K8988" t="n">
        <v>0</v>
      </c>
      <c r="L8988" t="n">
        <v>0</v>
      </c>
      <c r="M8988" t="n">
        <v>0</v>
      </c>
      <c r="N8988" t="n">
        <v>0</v>
      </c>
      <c r="O8988" t="n">
        <v>0</v>
      </c>
      <c r="P8988" t="n">
        <v>0</v>
      </c>
      <c r="Q8988" t="n">
        <v>0</v>
      </c>
      <c r="R8988" s="2" t="inlineStr"/>
    </row>
    <row r="8989" ht="15" customHeight="1">
      <c r="A8989" t="inlineStr">
        <is>
          <t>A 48603-2023</t>
        </is>
      </c>
      <c r="B8989" s="1" t="n">
        <v>45208</v>
      </c>
      <c r="C8989" s="1" t="n">
        <v>45344</v>
      </c>
      <c r="D8989" t="inlineStr">
        <is>
          <t>GÄVLEBORGS LÄN</t>
        </is>
      </c>
      <c r="E8989" t="inlineStr">
        <is>
          <t>BOLLNÄS</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48622-2023</t>
        </is>
      </c>
      <c r="B8990" s="1" t="n">
        <v>45208</v>
      </c>
      <c r="C8990" s="1" t="n">
        <v>45344</v>
      </c>
      <c r="D8990" t="inlineStr">
        <is>
          <t>GÄVLEBORGS LÄN</t>
        </is>
      </c>
      <c r="E8990" t="inlineStr">
        <is>
          <t>SANDVIKEN</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48799-2023</t>
        </is>
      </c>
      <c r="B8991" s="1" t="n">
        <v>45209</v>
      </c>
      <c r="C8991" s="1" t="n">
        <v>45344</v>
      </c>
      <c r="D8991" t="inlineStr">
        <is>
          <t>GÄVLEBORGS LÄN</t>
        </is>
      </c>
      <c r="E8991" t="inlineStr">
        <is>
          <t>SANDVIKEN</t>
        </is>
      </c>
      <c r="F8991" t="inlineStr">
        <is>
          <t>Bergvik skog öst AB</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48803-2023</t>
        </is>
      </c>
      <c r="B8992" s="1" t="n">
        <v>45209</v>
      </c>
      <c r="C8992" s="1" t="n">
        <v>45344</v>
      </c>
      <c r="D8992" t="inlineStr">
        <is>
          <t>GÄVLEBORGS LÄN</t>
        </is>
      </c>
      <c r="E8992" t="inlineStr">
        <is>
          <t>SANDVIKEN</t>
        </is>
      </c>
      <c r="F8992" t="inlineStr">
        <is>
          <t>Bergvik skog öst AB</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48800-2023</t>
        </is>
      </c>
      <c r="B8993" s="1" t="n">
        <v>45209</v>
      </c>
      <c r="C8993" s="1" t="n">
        <v>45344</v>
      </c>
      <c r="D8993" t="inlineStr">
        <is>
          <t>GÄVLEBORGS LÄN</t>
        </is>
      </c>
      <c r="E8993" t="inlineStr">
        <is>
          <t>SANDVIKEN</t>
        </is>
      </c>
      <c r="F8993" t="inlineStr">
        <is>
          <t>Bergvik skog öst AB</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48808-2023</t>
        </is>
      </c>
      <c r="B8994" s="1" t="n">
        <v>45209</v>
      </c>
      <c r="C8994" s="1" t="n">
        <v>45344</v>
      </c>
      <c r="D8994" t="inlineStr">
        <is>
          <t>GÄVLEBORGS LÄN</t>
        </is>
      </c>
      <c r="E8994" t="inlineStr">
        <is>
          <t>BOLLNÄS</t>
        </is>
      </c>
      <c r="G8994" t="n">
        <v>18.7</v>
      </c>
      <c r="H8994" t="n">
        <v>0</v>
      </c>
      <c r="I8994" t="n">
        <v>0</v>
      </c>
      <c r="J8994" t="n">
        <v>0</v>
      </c>
      <c r="K8994" t="n">
        <v>0</v>
      </c>
      <c r="L8994" t="n">
        <v>0</v>
      </c>
      <c r="M8994" t="n">
        <v>0</v>
      </c>
      <c r="N8994" t="n">
        <v>0</v>
      </c>
      <c r="O8994" t="n">
        <v>0</v>
      </c>
      <c r="P8994" t="n">
        <v>0</v>
      </c>
      <c r="Q8994" t="n">
        <v>0</v>
      </c>
      <c r="R8994" s="2" t="inlineStr"/>
    </row>
    <row r="8995" ht="15" customHeight="1">
      <c r="A8995" t="inlineStr">
        <is>
          <t>A 48813-2023</t>
        </is>
      </c>
      <c r="B8995" s="1" t="n">
        <v>45209</v>
      </c>
      <c r="C8995" s="1" t="n">
        <v>45344</v>
      </c>
      <c r="D8995" t="inlineStr">
        <is>
          <t>GÄVLEBORGS LÄN</t>
        </is>
      </c>
      <c r="E8995" t="inlineStr">
        <is>
          <t>LJUSDAL</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48818-2023</t>
        </is>
      </c>
      <c r="B8996" s="1" t="n">
        <v>45209</v>
      </c>
      <c r="C8996" s="1" t="n">
        <v>45344</v>
      </c>
      <c r="D8996" t="inlineStr">
        <is>
          <t>GÄVLEBORGS LÄN</t>
        </is>
      </c>
      <c r="E8996" t="inlineStr">
        <is>
          <t>GÄVLE</t>
        </is>
      </c>
      <c r="G8996" t="n">
        <v>3.2</v>
      </c>
      <c r="H8996" t="n">
        <v>0</v>
      </c>
      <c r="I8996" t="n">
        <v>0</v>
      </c>
      <c r="J8996" t="n">
        <v>0</v>
      </c>
      <c r="K8996" t="n">
        <v>0</v>
      </c>
      <c r="L8996" t="n">
        <v>0</v>
      </c>
      <c r="M8996" t="n">
        <v>0</v>
      </c>
      <c r="N8996" t="n">
        <v>0</v>
      </c>
      <c r="O8996" t="n">
        <v>0</v>
      </c>
      <c r="P8996" t="n">
        <v>0</v>
      </c>
      <c r="Q8996" t="n">
        <v>0</v>
      </c>
      <c r="R8996" s="2" t="inlineStr"/>
    </row>
    <row r="8997" ht="15" customHeight="1">
      <c r="A8997" t="inlineStr">
        <is>
          <t>A 48869-2023</t>
        </is>
      </c>
      <c r="B8997" s="1" t="n">
        <v>45209</v>
      </c>
      <c r="C8997" s="1" t="n">
        <v>45344</v>
      </c>
      <c r="D8997" t="inlineStr">
        <is>
          <t>GÄVLEBORGS LÄN</t>
        </is>
      </c>
      <c r="E8997" t="inlineStr">
        <is>
          <t>LJUSDAL</t>
        </is>
      </c>
      <c r="F8997" t="inlineStr">
        <is>
          <t>Bergvik skog väst AB</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48861-2023</t>
        </is>
      </c>
      <c r="B8998" s="1" t="n">
        <v>45209</v>
      </c>
      <c r="C8998" s="1" t="n">
        <v>45344</v>
      </c>
      <c r="D8998" t="inlineStr">
        <is>
          <t>GÄVLEBORGS LÄN</t>
        </is>
      </c>
      <c r="E8998" t="inlineStr">
        <is>
          <t>GÄVLE</t>
        </is>
      </c>
      <c r="F8998" t="inlineStr">
        <is>
          <t>Bergvik skog väst AB</t>
        </is>
      </c>
      <c r="G8998" t="n">
        <v>5.2</v>
      </c>
      <c r="H8998" t="n">
        <v>0</v>
      </c>
      <c r="I8998" t="n">
        <v>0</v>
      </c>
      <c r="J8998" t="n">
        <v>0</v>
      </c>
      <c r="K8998" t="n">
        <v>0</v>
      </c>
      <c r="L8998" t="n">
        <v>0</v>
      </c>
      <c r="M8998" t="n">
        <v>0</v>
      </c>
      <c r="N8998" t="n">
        <v>0</v>
      </c>
      <c r="O8998" t="n">
        <v>0</v>
      </c>
      <c r="P8998" t="n">
        <v>0</v>
      </c>
      <c r="Q8998" t="n">
        <v>0</v>
      </c>
      <c r="R8998" s="2" t="inlineStr"/>
    </row>
    <row r="8999" ht="15" customHeight="1">
      <c r="A8999" t="inlineStr">
        <is>
          <t>A 48870-2023</t>
        </is>
      </c>
      <c r="B8999" s="1" t="n">
        <v>45209</v>
      </c>
      <c r="C8999" s="1" t="n">
        <v>45344</v>
      </c>
      <c r="D8999" t="inlineStr">
        <is>
          <t>GÄVLEBORGS LÄN</t>
        </is>
      </c>
      <c r="E8999" t="inlineStr">
        <is>
          <t>LJUSDAL</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48856-2023</t>
        </is>
      </c>
      <c r="B9000" s="1" t="n">
        <v>45209</v>
      </c>
      <c r="C9000" s="1" t="n">
        <v>45344</v>
      </c>
      <c r="D9000" t="inlineStr">
        <is>
          <t>GÄVLEBORGS LÄN</t>
        </is>
      </c>
      <c r="E9000" t="inlineStr">
        <is>
          <t>LJUSDAL</t>
        </is>
      </c>
      <c r="F9000" t="inlineStr">
        <is>
          <t>Bergvik skog väst AB</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48904-2023</t>
        </is>
      </c>
      <c r="B9001" s="1" t="n">
        <v>45209</v>
      </c>
      <c r="C9001" s="1" t="n">
        <v>45344</v>
      </c>
      <c r="D9001" t="inlineStr">
        <is>
          <t>GÄVLEBORGS LÄN</t>
        </is>
      </c>
      <c r="E9001" t="inlineStr">
        <is>
          <t>LJUSDAL</t>
        </is>
      </c>
      <c r="F9001" t="inlineStr">
        <is>
          <t>Bergvik skog väst AB</t>
        </is>
      </c>
      <c r="G9001" t="n">
        <v>4.9</v>
      </c>
      <c r="H9001" t="n">
        <v>0</v>
      </c>
      <c r="I9001" t="n">
        <v>0</v>
      </c>
      <c r="J9001" t="n">
        <v>0</v>
      </c>
      <c r="K9001" t="n">
        <v>0</v>
      </c>
      <c r="L9001" t="n">
        <v>0</v>
      </c>
      <c r="M9001" t="n">
        <v>0</v>
      </c>
      <c r="N9001" t="n">
        <v>0</v>
      </c>
      <c r="O9001" t="n">
        <v>0</v>
      </c>
      <c r="P9001" t="n">
        <v>0</v>
      </c>
      <c r="Q9001" t="n">
        <v>0</v>
      </c>
      <c r="R9001" s="2" t="inlineStr"/>
    </row>
    <row r="9002" ht="15" customHeight="1">
      <c r="A9002" t="inlineStr">
        <is>
          <t>A 48921-2023</t>
        </is>
      </c>
      <c r="B9002" s="1" t="n">
        <v>45209</v>
      </c>
      <c r="C9002" s="1" t="n">
        <v>45344</v>
      </c>
      <c r="D9002" t="inlineStr">
        <is>
          <t>GÄVLEBORGS LÄN</t>
        </is>
      </c>
      <c r="E9002" t="inlineStr">
        <is>
          <t>LJUSDAL</t>
        </is>
      </c>
      <c r="F9002" t="inlineStr">
        <is>
          <t>Bergvik skog väst AB</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48925-2023</t>
        </is>
      </c>
      <c r="B9003" s="1" t="n">
        <v>45209</v>
      </c>
      <c r="C9003" s="1" t="n">
        <v>45344</v>
      </c>
      <c r="D9003" t="inlineStr">
        <is>
          <t>GÄVLEBORGS LÄN</t>
        </is>
      </c>
      <c r="E9003" t="inlineStr">
        <is>
          <t>LJUSDAL</t>
        </is>
      </c>
      <c r="F9003" t="inlineStr">
        <is>
          <t>Bergvik skog väst AB</t>
        </is>
      </c>
      <c r="G9003" t="n">
        <v>4.2</v>
      </c>
      <c r="H9003" t="n">
        <v>0</v>
      </c>
      <c r="I9003" t="n">
        <v>0</v>
      </c>
      <c r="J9003" t="n">
        <v>0</v>
      </c>
      <c r="K9003" t="n">
        <v>0</v>
      </c>
      <c r="L9003" t="n">
        <v>0</v>
      </c>
      <c r="M9003" t="n">
        <v>0</v>
      </c>
      <c r="N9003" t="n">
        <v>0</v>
      </c>
      <c r="O9003" t="n">
        <v>0</v>
      </c>
      <c r="P9003" t="n">
        <v>0</v>
      </c>
      <c r="Q9003" t="n">
        <v>0</v>
      </c>
      <c r="R9003" s="2" t="inlineStr"/>
    </row>
    <row r="9004" ht="15" customHeight="1">
      <c r="A9004" t="inlineStr">
        <is>
          <t>A 48955-2023</t>
        </is>
      </c>
      <c r="B9004" s="1" t="n">
        <v>45209</v>
      </c>
      <c r="C9004" s="1" t="n">
        <v>45344</v>
      </c>
      <c r="D9004" t="inlineStr">
        <is>
          <t>GÄVLEBORGS LÄN</t>
        </is>
      </c>
      <c r="E9004" t="inlineStr">
        <is>
          <t>LJUSDAL</t>
        </is>
      </c>
      <c r="F9004" t="inlineStr">
        <is>
          <t>Bergvik skog väst AB</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48879-2023</t>
        </is>
      </c>
      <c r="B9005" s="1" t="n">
        <v>45209</v>
      </c>
      <c r="C9005" s="1" t="n">
        <v>45344</v>
      </c>
      <c r="D9005" t="inlineStr">
        <is>
          <t>GÄVLEBORGS LÄN</t>
        </is>
      </c>
      <c r="E9005" t="inlineStr">
        <is>
          <t>LJUSDAL</t>
        </is>
      </c>
      <c r="F9005" t="inlineStr">
        <is>
          <t>Bergvik skog väst AB</t>
        </is>
      </c>
      <c r="G9005" t="n">
        <v>0.4</v>
      </c>
      <c r="H9005" t="n">
        <v>0</v>
      </c>
      <c r="I9005" t="n">
        <v>0</v>
      </c>
      <c r="J9005" t="n">
        <v>0</v>
      </c>
      <c r="K9005" t="n">
        <v>0</v>
      </c>
      <c r="L9005" t="n">
        <v>0</v>
      </c>
      <c r="M9005" t="n">
        <v>0</v>
      </c>
      <c r="N9005" t="n">
        <v>0</v>
      </c>
      <c r="O9005" t="n">
        <v>0</v>
      </c>
      <c r="P9005" t="n">
        <v>0</v>
      </c>
      <c r="Q9005" t="n">
        <v>0</v>
      </c>
      <c r="R9005" s="2" t="inlineStr"/>
    </row>
    <row r="9006" ht="15" customHeight="1">
      <c r="A9006" t="inlineStr">
        <is>
          <t>A 48919-2023</t>
        </is>
      </c>
      <c r="B9006" s="1" t="n">
        <v>45209</v>
      </c>
      <c r="C9006" s="1" t="n">
        <v>45344</v>
      </c>
      <c r="D9006" t="inlineStr">
        <is>
          <t>GÄVLEBORGS LÄN</t>
        </is>
      </c>
      <c r="E9006" t="inlineStr">
        <is>
          <t>LJUSDAL</t>
        </is>
      </c>
      <c r="F9006" t="inlineStr">
        <is>
          <t>Bergvik skog väst AB</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48945-2023</t>
        </is>
      </c>
      <c r="B9007" s="1" t="n">
        <v>45209</v>
      </c>
      <c r="C9007" s="1" t="n">
        <v>45344</v>
      </c>
      <c r="D9007" t="inlineStr">
        <is>
          <t>GÄVLEBORGS LÄN</t>
        </is>
      </c>
      <c r="E9007" t="inlineStr">
        <is>
          <t>LJUSDAL</t>
        </is>
      </c>
      <c r="F9007" t="inlineStr">
        <is>
          <t>Bergvik skog väst AB</t>
        </is>
      </c>
      <c r="G9007" t="n">
        <v>5.6</v>
      </c>
      <c r="H9007" t="n">
        <v>0</v>
      </c>
      <c r="I9007" t="n">
        <v>0</v>
      </c>
      <c r="J9007" t="n">
        <v>0</v>
      </c>
      <c r="K9007" t="n">
        <v>0</v>
      </c>
      <c r="L9007" t="n">
        <v>0</v>
      </c>
      <c r="M9007" t="n">
        <v>0</v>
      </c>
      <c r="N9007" t="n">
        <v>0</v>
      </c>
      <c r="O9007" t="n">
        <v>0</v>
      </c>
      <c r="P9007" t="n">
        <v>0</v>
      </c>
      <c r="Q9007" t="n">
        <v>0</v>
      </c>
      <c r="R9007" s="2" t="inlineStr"/>
    </row>
    <row r="9008" ht="15" customHeight="1">
      <c r="A9008" t="inlineStr">
        <is>
          <t>A 48959-2023</t>
        </is>
      </c>
      <c r="B9008" s="1" t="n">
        <v>45209</v>
      </c>
      <c r="C9008" s="1" t="n">
        <v>45344</v>
      </c>
      <c r="D9008" t="inlineStr">
        <is>
          <t>GÄVLEBORGS LÄN</t>
        </is>
      </c>
      <c r="E9008" t="inlineStr">
        <is>
          <t>LJUSDAL</t>
        </is>
      </c>
      <c r="F9008" t="inlineStr">
        <is>
          <t>Bergvik skog väst AB</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48971-2023</t>
        </is>
      </c>
      <c r="B9009" s="1" t="n">
        <v>45209</v>
      </c>
      <c r="C9009" s="1" t="n">
        <v>45344</v>
      </c>
      <c r="D9009" t="inlineStr">
        <is>
          <t>GÄVLEBORGS LÄN</t>
        </is>
      </c>
      <c r="E9009" t="inlineStr">
        <is>
          <t>LJUSDAL</t>
        </is>
      </c>
      <c r="F9009" t="inlineStr">
        <is>
          <t>Bergvik skog väst AB</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50329-2023</t>
        </is>
      </c>
      <c r="B9010" s="1" t="n">
        <v>45209</v>
      </c>
      <c r="C9010" s="1" t="n">
        <v>45344</v>
      </c>
      <c r="D9010" t="inlineStr">
        <is>
          <t>GÄVLEBORGS LÄN</t>
        </is>
      </c>
      <c r="E9010" t="inlineStr">
        <is>
          <t>BOLLNÄS</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48871-2023</t>
        </is>
      </c>
      <c r="B9011" s="1" t="n">
        <v>45209</v>
      </c>
      <c r="C9011" s="1" t="n">
        <v>45344</v>
      </c>
      <c r="D9011" t="inlineStr">
        <is>
          <t>GÄVLEBORGS LÄN</t>
        </is>
      </c>
      <c r="E9011" t="inlineStr">
        <is>
          <t>GÄVLE</t>
        </is>
      </c>
      <c r="F9011" t="inlineStr">
        <is>
          <t>Bergvik skog väst AB</t>
        </is>
      </c>
      <c r="G9011" t="n">
        <v>4.1</v>
      </c>
      <c r="H9011" t="n">
        <v>0</v>
      </c>
      <c r="I9011" t="n">
        <v>0</v>
      </c>
      <c r="J9011" t="n">
        <v>0</v>
      </c>
      <c r="K9011" t="n">
        <v>0</v>
      </c>
      <c r="L9011" t="n">
        <v>0</v>
      </c>
      <c r="M9011" t="n">
        <v>0</v>
      </c>
      <c r="N9011" t="n">
        <v>0</v>
      </c>
      <c r="O9011" t="n">
        <v>0</v>
      </c>
      <c r="P9011" t="n">
        <v>0</v>
      </c>
      <c r="Q9011" t="n">
        <v>0</v>
      </c>
      <c r="R9011" s="2" t="inlineStr"/>
    </row>
    <row r="9012" ht="15" customHeight="1">
      <c r="A9012" t="inlineStr">
        <is>
          <t>A 48968-2023</t>
        </is>
      </c>
      <c r="B9012" s="1" t="n">
        <v>45209</v>
      </c>
      <c r="C9012" s="1" t="n">
        <v>45344</v>
      </c>
      <c r="D9012" t="inlineStr">
        <is>
          <t>GÄVLEBORGS LÄN</t>
        </is>
      </c>
      <c r="E9012" t="inlineStr">
        <is>
          <t>LJUSDAL</t>
        </is>
      </c>
      <c r="F9012" t="inlineStr">
        <is>
          <t>Bergvik skog väst AB</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49019-2023</t>
        </is>
      </c>
      <c r="B9013" s="1" t="n">
        <v>45209</v>
      </c>
      <c r="C9013" s="1" t="n">
        <v>45344</v>
      </c>
      <c r="D9013" t="inlineStr">
        <is>
          <t>GÄVLEBORGS LÄN</t>
        </is>
      </c>
      <c r="E9013" t="inlineStr">
        <is>
          <t>LJUSDAL</t>
        </is>
      </c>
      <c r="G9013" t="n">
        <v>27.3</v>
      </c>
      <c r="H9013" t="n">
        <v>0</v>
      </c>
      <c r="I9013" t="n">
        <v>0</v>
      </c>
      <c r="J9013" t="n">
        <v>0</v>
      </c>
      <c r="K9013" t="n">
        <v>0</v>
      </c>
      <c r="L9013" t="n">
        <v>0</v>
      </c>
      <c r="M9013" t="n">
        <v>0</v>
      </c>
      <c r="N9013" t="n">
        <v>0</v>
      </c>
      <c r="O9013" t="n">
        <v>0</v>
      </c>
      <c r="P9013" t="n">
        <v>0</v>
      </c>
      <c r="Q9013" t="n">
        <v>0</v>
      </c>
      <c r="R9013" s="2" t="inlineStr"/>
    </row>
    <row r="9014" ht="15" customHeight="1">
      <c r="A9014" t="inlineStr">
        <is>
          <t>A 49118-2023</t>
        </is>
      </c>
      <c r="B9014" s="1" t="n">
        <v>45210</v>
      </c>
      <c r="C9014" s="1" t="n">
        <v>45344</v>
      </c>
      <c r="D9014" t="inlineStr">
        <is>
          <t>GÄVLEBORGS LÄN</t>
        </is>
      </c>
      <c r="E9014" t="inlineStr">
        <is>
          <t>SANDVIKEN</t>
        </is>
      </c>
      <c r="F9014" t="inlineStr">
        <is>
          <t>Bergvik skog öst AB</t>
        </is>
      </c>
      <c r="G9014" t="n">
        <v>13.3</v>
      </c>
      <c r="H9014" t="n">
        <v>0</v>
      </c>
      <c r="I9014" t="n">
        <v>0</v>
      </c>
      <c r="J9014" t="n">
        <v>0</v>
      </c>
      <c r="K9014" t="n">
        <v>0</v>
      </c>
      <c r="L9014" t="n">
        <v>0</v>
      </c>
      <c r="M9014" t="n">
        <v>0</v>
      </c>
      <c r="N9014" t="n">
        <v>0</v>
      </c>
      <c r="O9014" t="n">
        <v>0</v>
      </c>
      <c r="P9014" t="n">
        <v>0</v>
      </c>
      <c r="Q9014" t="n">
        <v>0</v>
      </c>
      <c r="R9014" s="2" t="inlineStr"/>
    </row>
    <row r="9015" ht="15" customHeight="1">
      <c r="A9015" t="inlineStr">
        <is>
          <t>A 49165-2023</t>
        </is>
      </c>
      <c r="B9015" s="1" t="n">
        <v>45210</v>
      </c>
      <c r="C9015" s="1" t="n">
        <v>45344</v>
      </c>
      <c r="D9015" t="inlineStr">
        <is>
          <t>GÄVLEBORGS LÄN</t>
        </is>
      </c>
      <c r="E9015" t="inlineStr">
        <is>
          <t>HUDIKSVALL</t>
        </is>
      </c>
      <c r="F9015" t="inlineStr">
        <is>
          <t>Holmen skog AB</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49178-2023</t>
        </is>
      </c>
      <c r="B9016" s="1" t="n">
        <v>45210</v>
      </c>
      <c r="C9016" s="1" t="n">
        <v>45344</v>
      </c>
      <c r="D9016" t="inlineStr">
        <is>
          <t>GÄVLEBORGS LÄN</t>
        </is>
      </c>
      <c r="E9016" t="inlineStr">
        <is>
          <t>OVANÅKER</t>
        </is>
      </c>
      <c r="F9016" t="inlineStr">
        <is>
          <t>Bergvik skog öst AB</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49125-2023</t>
        </is>
      </c>
      <c r="B9017" s="1" t="n">
        <v>45210</v>
      </c>
      <c r="C9017" s="1" t="n">
        <v>45344</v>
      </c>
      <c r="D9017" t="inlineStr">
        <is>
          <t>GÄVLEBORGS LÄN</t>
        </is>
      </c>
      <c r="E9017" t="inlineStr">
        <is>
          <t>OVANÅKER</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49139-2023</t>
        </is>
      </c>
      <c r="B9018" s="1" t="n">
        <v>45210</v>
      </c>
      <c r="C9018" s="1" t="n">
        <v>45344</v>
      </c>
      <c r="D9018" t="inlineStr">
        <is>
          <t>GÄVLEBORGS LÄN</t>
        </is>
      </c>
      <c r="E9018" t="inlineStr">
        <is>
          <t>LJUSDAL</t>
        </is>
      </c>
      <c r="F9018" t="inlineStr">
        <is>
          <t>Bergvik skog väst AB</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49171-2023</t>
        </is>
      </c>
      <c r="B9019" s="1" t="n">
        <v>45210</v>
      </c>
      <c r="C9019" s="1" t="n">
        <v>45344</v>
      </c>
      <c r="D9019" t="inlineStr">
        <is>
          <t>GÄVLEBORGS LÄN</t>
        </is>
      </c>
      <c r="E9019" t="inlineStr">
        <is>
          <t>LJUSDAL</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49204-2023</t>
        </is>
      </c>
      <c r="B9020" s="1" t="n">
        <v>45210</v>
      </c>
      <c r="C9020" s="1" t="n">
        <v>45344</v>
      </c>
      <c r="D9020" t="inlineStr">
        <is>
          <t>GÄVLEBORGS LÄN</t>
        </is>
      </c>
      <c r="E9020" t="inlineStr">
        <is>
          <t>OVANÅKER</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49273-2023</t>
        </is>
      </c>
      <c r="B9021" s="1" t="n">
        <v>45210</v>
      </c>
      <c r="C9021" s="1" t="n">
        <v>45344</v>
      </c>
      <c r="D9021" t="inlineStr">
        <is>
          <t>GÄVLEBORGS LÄN</t>
        </is>
      </c>
      <c r="E9021" t="inlineStr">
        <is>
          <t>BOLLNÄS</t>
        </is>
      </c>
      <c r="G9021" t="n">
        <v>5.3</v>
      </c>
      <c r="H9021" t="n">
        <v>0</v>
      </c>
      <c r="I9021" t="n">
        <v>0</v>
      </c>
      <c r="J9021" t="n">
        <v>0</v>
      </c>
      <c r="K9021" t="n">
        <v>0</v>
      </c>
      <c r="L9021" t="n">
        <v>0</v>
      </c>
      <c r="M9021" t="n">
        <v>0</v>
      </c>
      <c r="N9021" t="n">
        <v>0</v>
      </c>
      <c r="O9021" t="n">
        <v>0</v>
      </c>
      <c r="P9021" t="n">
        <v>0</v>
      </c>
      <c r="Q9021" t="n">
        <v>0</v>
      </c>
      <c r="R9021" s="2" t="inlineStr"/>
    </row>
    <row r="9022" ht="15" customHeight="1">
      <c r="A9022" t="inlineStr">
        <is>
          <t>A 49277-2023</t>
        </is>
      </c>
      <c r="B9022" s="1" t="n">
        <v>45210</v>
      </c>
      <c r="C9022" s="1" t="n">
        <v>45344</v>
      </c>
      <c r="D9022" t="inlineStr">
        <is>
          <t>GÄVLEBORGS LÄN</t>
        </is>
      </c>
      <c r="E9022" t="inlineStr">
        <is>
          <t>BOLLNÄS</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49121-2023</t>
        </is>
      </c>
      <c r="B9023" s="1" t="n">
        <v>45210</v>
      </c>
      <c r="C9023" s="1" t="n">
        <v>45344</v>
      </c>
      <c r="D9023" t="inlineStr">
        <is>
          <t>GÄVLEBORGS LÄN</t>
        </is>
      </c>
      <c r="E9023" t="inlineStr">
        <is>
          <t>LJUSDAL</t>
        </is>
      </c>
      <c r="G9023" t="n">
        <v>2</v>
      </c>
      <c r="H9023" t="n">
        <v>0</v>
      </c>
      <c r="I9023" t="n">
        <v>0</v>
      </c>
      <c r="J9023" t="n">
        <v>0</v>
      </c>
      <c r="K9023" t="n">
        <v>0</v>
      </c>
      <c r="L9023" t="n">
        <v>0</v>
      </c>
      <c r="M9023" t="n">
        <v>0</v>
      </c>
      <c r="N9023" t="n">
        <v>0</v>
      </c>
      <c r="O9023" t="n">
        <v>0</v>
      </c>
      <c r="P9023" t="n">
        <v>0</v>
      </c>
      <c r="Q9023" t="n">
        <v>0</v>
      </c>
      <c r="R9023" s="2" t="inlineStr"/>
    </row>
    <row r="9024" ht="15" customHeight="1">
      <c r="A9024" t="inlineStr">
        <is>
          <t>A 49133-2023</t>
        </is>
      </c>
      <c r="B9024" s="1" t="n">
        <v>45210</v>
      </c>
      <c r="C9024" s="1" t="n">
        <v>45344</v>
      </c>
      <c r="D9024" t="inlineStr">
        <is>
          <t>GÄVLEBORGS LÄN</t>
        </is>
      </c>
      <c r="E9024" t="inlineStr">
        <is>
          <t>OCKELBO</t>
        </is>
      </c>
      <c r="F9024" t="inlineStr">
        <is>
          <t>Bergvik skog väst AB</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49237-2023</t>
        </is>
      </c>
      <c r="B9025" s="1" t="n">
        <v>45210</v>
      </c>
      <c r="C9025" s="1" t="n">
        <v>45344</v>
      </c>
      <c r="D9025" t="inlineStr">
        <is>
          <t>GÄVLEBORGS LÄN</t>
        </is>
      </c>
      <c r="E9025" t="inlineStr">
        <is>
          <t>OVANÅKER</t>
        </is>
      </c>
      <c r="G9025" t="n">
        <v>3</v>
      </c>
      <c r="H9025" t="n">
        <v>0</v>
      </c>
      <c r="I9025" t="n">
        <v>0</v>
      </c>
      <c r="J9025" t="n">
        <v>0</v>
      </c>
      <c r="K9025" t="n">
        <v>0</v>
      </c>
      <c r="L9025" t="n">
        <v>0</v>
      </c>
      <c r="M9025" t="n">
        <v>0</v>
      </c>
      <c r="N9025" t="n">
        <v>0</v>
      </c>
      <c r="O9025" t="n">
        <v>0</v>
      </c>
      <c r="P9025" t="n">
        <v>0</v>
      </c>
      <c r="Q9025" t="n">
        <v>0</v>
      </c>
      <c r="R9025" s="2" t="inlineStr"/>
    </row>
    <row r="9026" ht="15" customHeight="1">
      <c r="A9026" t="inlineStr">
        <is>
          <t>A 49190-2023</t>
        </is>
      </c>
      <c r="B9026" s="1" t="n">
        <v>45210</v>
      </c>
      <c r="C9026" s="1" t="n">
        <v>45344</v>
      </c>
      <c r="D9026" t="inlineStr">
        <is>
          <t>GÄVLEBORGS LÄN</t>
        </is>
      </c>
      <c r="E9026" t="inlineStr">
        <is>
          <t>OVANÅKER</t>
        </is>
      </c>
      <c r="G9026" t="n">
        <v>3.1</v>
      </c>
      <c r="H9026" t="n">
        <v>0</v>
      </c>
      <c r="I9026" t="n">
        <v>0</v>
      </c>
      <c r="J9026" t="n">
        <v>0</v>
      </c>
      <c r="K9026" t="n">
        <v>0</v>
      </c>
      <c r="L9026" t="n">
        <v>0</v>
      </c>
      <c r="M9026" t="n">
        <v>0</v>
      </c>
      <c r="N9026" t="n">
        <v>0</v>
      </c>
      <c r="O9026" t="n">
        <v>0</v>
      </c>
      <c r="P9026" t="n">
        <v>0</v>
      </c>
      <c r="Q9026" t="n">
        <v>0</v>
      </c>
      <c r="R9026" s="2" t="inlineStr"/>
    </row>
    <row r="9027" ht="15" customHeight="1">
      <c r="A9027" t="inlineStr">
        <is>
          <t>A 49194-2023</t>
        </is>
      </c>
      <c r="B9027" s="1" t="n">
        <v>45210</v>
      </c>
      <c r="C9027" s="1" t="n">
        <v>45344</v>
      </c>
      <c r="D9027" t="inlineStr">
        <is>
          <t>GÄVLEBORGS LÄN</t>
        </is>
      </c>
      <c r="E9027" t="inlineStr">
        <is>
          <t>OVANÅKER</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49199-2023</t>
        </is>
      </c>
      <c r="B9028" s="1" t="n">
        <v>45210</v>
      </c>
      <c r="C9028" s="1" t="n">
        <v>45344</v>
      </c>
      <c r="D9028" t="inlineStr">
        <is>
          <t>GÄVLEBORGS LÄN</t>
        </is>
      </c>
      <c r="E9028" t="inlineStr">
        <is>
          <t>OCKELBO</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49207-2023</t>
        </is>
      </c>
      <c r="B9029" s="1" t="n">
        <v>45210</v>
      </c>
      <c r="C9029" s="1" t="n">
        <v>45344</v>
      </c>
      <c r="D9029" t="inlineStr">
        <is>
          <t>GÄVLEBORGS LÄN</t>
        </is>
      </c>
      <c r="E9029" t="inlineStr">
        <is>
          <t>OCKELBO</t>
        </is>
      </c>
      <c r="G9029" t="n">
        <v>0.1</v>
      </c>
      <c r="H9029" t="n">
        <v>0</v>
      </c>
      <c r="I9029" t="n">
        <v>0</v>
      </c>
      <c r="J9029" t="n">
        <v>0</v>
      </c>
      <c r="K9029" t="n">
        <v>0</v>
      </c>
      <c r="L9029" t="n">
        <v>0</v>
      </c>
      <c r="M9029" t="n">
        <v>0</v>
      </c>
      <c r="N9029" t="n">
        <v>0</v>
      </c>
      <c r="O9029" t="n">
        <v>0</v>
      </c>
      <c r="P9029" t="n">
        <v>0</v>
      </c>
      <c r="Q9029" t="n">
        <v>0</v>
      </c>
      <c r="R9029" s="2" t="inlineStr"/>
    </row>
    <row r="9030" ht="15" customHeight="1">
      <c r="A9030" t="inlineStr">
        <is>
          <t>A 49211-2023</t>
        </is>
      </c>
      <c r="B9030" s="1" t="n">
        <v>45210</v>
      </c>
      <c r="C9030" s="1" t="n">
        <v>45344</v>
      </c>
      <c r="D9030" t="inlineStr">
        <is>
          <t>GÄVLEBORGS LÄN</t>
        </is>
      </c>
      <c r="E9030" t="inlineStr">
        <is>
          <t>SANDVIKEN</t>
        </is>
      </c>
      <c r="G9030" t="n">
        <v>3.6</v>
      </c>
      <c r="H9030" t="n">
        <v>0</v>
      </c>
      <c r="I9030" t="n">
        <v>0</v>
      </c>
      <c r="J9030" t="n">
        <v>0</v>
      </c>
      <c r="K9030" t="n">
        <v>0</v>
      </c>
      <c r="L9030" t="n">
        <v>0</v>
      </c>
      <c r="M9030" t="n">
        <v>0</v>
      </c>
      <c r="N9030" t="n">
        <v>0</v>
      </c>
      <c r="O9030" t="n">
        <v>0</v>
      </c>
      <c r="P9030" t="n">
        <v>0</v>
      </c>
      <c r="Q9030" t="n">
        <v>0</v>
      </c>
      <c r="R9030" s="2" t="inlineStr"/>
    </row>
    <row r="9031" ht="15" customHeight="1">
      <c r="A9031" t="inlineStr">
        <is>
          <t>A 49305-2023</t>
        </is>
      </c>
      <c r="B9031" s="1" t="n">
        <v>45210</v>
      </c>
      <c r="C9031" s="1" t="n">
        <v>45344</v>
      </c>
      <c r="D9031" t="inlineStr">
        <is>
          <t>GÄVLEBORGS LÄN</t>
        </is>
      </c>
      <c r="E9031" t="inlineStr">
        <is>
          <t>SÖDERHAMN</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49306-2023</t>
        </is>
      </c>
      <c r="B9032" s="1" t="n">
        <v>45210</v>
      </c>
      <c r="C9032" s="1" t="n">
        <v>45344</v>
      </c>
      <c r="D9032" t="inlineStr">
        <is>
          <t>GÄVLEBORGS LÄN</t>
        </is>
      </c>
      <c r="E9032" t="inlineStr">
        <is>
          <t>SÖDERHAMN</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49304-2023</t>
        </is>
      </c>
      <c r="B9033" s="1" t="n">
        <v>45210</v>
      </c>
      <c r="C9033" s="1" t="n">
        <v>45344</v>
      </c>
      <c r="D9033" t="inlineStr">
        <is>
          <t>GÄVLEBORGS LÄN</t>
        </is>
      </c>
      <c r="E9033" t="inlineStr">
        <is>
          <t>HUDIKSVALL</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49401-2023</t>
        </is>
      </c>
      <c r="B9034" s="1" t="n">
        <v>45211</v>
      </c>
      <c r="C9034" s="1" t="n">
        <v>45344</v>
      </c>
      <c r="D9034" t="inlineStr">
        <is>
          <t>GÄVLEBORGS LÄN</t>
        </is>
      </c>
      <c r="E9034" t="inlineStr">
        <is>
          <t>BOLLNÄS</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49375-2023</t>
        </is>
      </c>
      <c r="B9035" s="1" t="n">
        <v>45211</v>
      </c>
      <c r="C9035" s="1" t="n">
        <v>45344</v>
      </c>
      <c r="D9035" t="inlineStr">
        <is>
          <t>GÄVLEBORGS LÄN</t>
        </is>
      </c>
      <c r="E9035" t="inlineStr">
        <is>
          <t>SANDVIKEN</t>
        </is>
      </c>
      <c r="G9035" t="n">
        <v>3.4</v>
      </c>
      <c r="H9035" t="n">
        <v>0</v>
      </c>
      <c r="I9035" t="n">
        <v>0</v>
      </c>
      <c r="J9035" t="n">
        <v>0</v>
      </c>
      <c r="K9035" t="n">
        <v>0</v>
      </c>
      <c r="L9035" t="n">
        <v>0</v>
      </c>
      <c r="M9035" t="n">
        <v>0</v>
      </c>
      <c r="N9035" t="n">
        <v>0</v>
      </c>
      <c r="O9035" t="n">
        <v>0</v>
      </c>
      <c r="P9035" t="n">
        <v>0</v>
      </c>
      <c r="Q9035" t="n">
        <v>0</v>
      </c>
      <c r="R9035" s="2" t="inlineStr"/>
    </row>
    <row r="9036" ht="15" customHeight="1">
      <c r="A9036" t="inlineStr">
        <is>
          <t>A 49392-2023</t>
        </is>
      </c>
      <c r="B9036" s="1" t="n">
        <v>45211</v>
      </c>
      <c r="C9036" s="1" t="n">
        <v>45344</v>
      </c>
      <c r="D9036" t="inlineStr">
        <is>
          <t>GÄVLEBORGS LÄN</t>
        </is>
      </c>
      <c r="E9036" t="inlineStr">
        <is>
          <t>BOLLNÄS</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49413-2023</t>
        </is>
      </c>
      <c r="B9037" s="1" t="n">
        <v>45211</v>
      </c>
      <c r="C9037" s="1" t="n">
        <v>45344</v>
      </c>
      <c r="D9037" t="inlineStr">
        <is>
          <t>GÄVLEBORGS LÄN</t>
        </is>
      </c>
      <c r="E9037" t="inlineStr">
        <is>
          <t>BOLLNÄS</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49445-2023</t>
        </is>
      </c>
      <c r="B9038" s="1" t="n">
        <v>45211</v>
      </c>
      <c r="C9038" s="1" t="n">
        <v>45344</v>
      </c>
      <c r="D9038" t="inlineStr">
        <is>
          <t>GÄVLEBORGS LÄN</t>
        </is>
      </c>
      <c r="E9038" t="inlineStr">
        <is>
          <t>OCKELBO</t>
        </is>
      </c>
      <c r="F9038" t="inlineStr">
        <is>
          <t>Bergvik skog väst AB</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49414-2023</t>
        </is>
      </c>
      <c r="B9039" s="1" t="n">
        <v>45211</v>
      </c>
      <c r="C9039" s="1" t="n">
        <v>45344</v>
      </c>
      <c r="D9039" t="inlineStr">
        <is>
          <t>GÄVLEBORGS LÄN</t>
        </is>
      </c>
      <c r="E9039" t="inlineStr">
        <is>
          <t>GÄVLE</t>
        </is>
      </c>
      <c r="F9039" t="inlineStr">
        <is>
          <t>Bergvik skog väst AB</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49448-2023</t>
        </is>
      </c>
      <c r="B9040" s="1" t="n">
        <v>45211</v>
      </c>
      <c r="C9040" s="1" t="n">
        <v>45344</v>
      </c>
      <c r="D9040" t="inlineStr">
        <is>
          <t>GÄVLEBORGS LÄN</t>
        </is>
      </c>
      <c r="E9040" t="inlineStr">
        <is>
          <t>OCKELBO</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49508-2023</t>
        </is>
      </c>
      <c r="B9041" s="1" t="n">
        <v>45211</v>
      </c>
      <c r="C9041" s="1" t="n">
        <v>45344</v>
      </c>
      <c r="D9041" t="inlineStr">
        <is>
          <t>GÄVLEBORGS LÄN</t>
        </is>
      </c>
      <c r="E9041" t="inlineStr">
        <is>
          <t>SANDVIKEN</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49527-2023</t>
        </is>
      </c>
      <c r="B9042" s="1" t="n">
        <v>45211</v>
      </c>
      <c r="C9042" s="1" t="n">
        <v>45344</v>
      </c>
      <c r="D9042" t="inlineStr">
        <is>
          <t>GÄVLEBORGS LÄN</t>
        </is>
      </c>
      <c r="E9042" t="inlineStr">
        <is>
          <t>SANDVIKEN</t>
        </is>
      </c>
      <c r="G9042" t="n">
        <v>10.6</v>
      </c>
      <c r="H9042" t="n">
        <v>0</v>
      </c>
      <c r="I9042" t="n">
        <v>0</v>
      </c>
      <c r="J9042" t="n">
        <v>0</v>
      </c>
      <c r="K9042" t="n">
        <v>0</v>
      </c>
      <c r="L9042" t="n">
        <v>0</v>
      </c>
      <c r="M9042" t="n">
        <v>0</v>
      </c>
      <c r="N9042" t="n">
        <v>0</v>
      </c>
      <c r="O9042" t="n">
        <v>0</v>
      </c>
      <c r="P9042" t="n">
        <v>0</v>
      </c>
      <c r="Q9042" t="n">
        <v>0</v>
      </c>
      <c r="R9042" s="2" t="inlineStr"/>
    </row>
    <row r="9043" ht="15" customHeight="1">
      <c r="A9043" t="inlineStr">
        <is>
          <t>A 49548-2023</t>
        </is>
      </c>
      <c r="B9043" s="1" t="n">
        <v>45211</v>
      </c>
      <c r="C9043" s="1" t="n">
        <v>45344</v>
      </c>
      <c r="D9043" t="inlineStr">
        <is>
          <t>GÄVLEBORGS LÄN</t>
        </is>
      </c>
      <c r="E9043" t="inlineStr">
        <is>
          <t>OVANÅKER</t>
        </is>
      </c>
      <c r="G9043" t="n">
        <v>5.6</v>
      </c>
      <c r="H9043" t="n">
        <v>0</v>
      </c>
      <c r="I9043" t="n">
        <v>0</v>
      </c>
      <c r="J9043" t="n">
        <v>0</v>
      </c>
      <c r="K9043" t="n">
        <v>0</v>
      </c>
      <c r="L9043" t="n">
        <v>0</v>
      </c>
      <c r="M9043" t="n">
        <v>0</v>
      </c>
      <c r="N9043" t="n">
        <v>0</v>
      </c>
      <c r="O9043" t="n">
        <v>0</v>
      </c>
      <c r="P9043" t="n">
        <v>0</v>
      </c>
      <c r="Q9043" t="n">
        <v>0</v>
      </c>
      <c r="R9043" s="2" t="inlineStr"/>
    </row>
    <row r="9044" ht="15" customHeight="1">
      <c r="A9044" t="inlineStr">
        <is>
          <t>A 49511-2023</t>
        </is>
      </c>
      <c r="B9044" s="1" t="n">
        <v>45211</v>
      </c>
      <c r="C9044" s="1" t="n">
        <v>45344</v>
      </c>
      <c r="D9044" t="inlineStr">
        <is>
          <t>GÄVLEBORGS LÄN</t>
        </is>
      </c>
      <c r="E9044" t="inlineStr">
        <is>
          <t>OVANÅKER</t>
        </is>
      </c>
      <c r="F9044" t="inlineStr">
        <is>
          <t>Holmen skog AB</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49546-2023</t>
        </is>
      </c>
      <c r="B9045" s="1" t="n">
        <v>45211</v>
      </c>
      <c r="C9045" s="1" t="n">
        <v>45344</v>
      </c>
      <c r="D9045" t="inlineStr">
        <is>
          <t>GÄVLEBORGS LÄN</t>
        </is>
      </c>
      <c r="E9045" t="inlineStr">
        <is>
          <t>SÖDERHAMN</t>
        </is>
      </c>
      <c r="F9045" t="inlineStr">
        <is>
          <t>Bergvik skog väst AB</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49512-2023</t>
        </is>
      </c>
      <c r="B9046" s="1" t="n">
        <v>45211</v>
      </c>
      <c r="C9046" s="1" t="n">
        <v>45344</v>
      </c>
      <c r="D9046" t="inlineStr">
        <is>
          <t>GÄVLEBORGS LÄN</t>
        </is>
      </c>
      <c r="E9046" t="inlineStr">
        <is>
          <t>SANDVIKEN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49376-2023</t>
        </is>
      </c>
      <c r="B9047" s="1" t="n">
        <v>45211</v>
      </c>
      <c r="C9047" s="1" t="n">
        <v>45344</v>
      </c>
      <c r="D9047" t="inlineStr">
        <is>
          <t>GÄVLEBORGS LÄN</t>
        </is>
      </c>
      <c r="E9047" t="inlineStr">
        <is>
          <t>OVANÅKER</t>
        </is>
      </c>
      <c r="F9047" t="inlineStr">
        <is>
          <t>Bergvik skog öst AB</t>
        </is>
      </c>
      <c r="G9047" t="n">
        <v>9.199999999999999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49391-2023</t>
        </is>
      </c>
      <c r="B9048" s="1" t="n">
        <v>45211</v>
      </c>
      <c r="C9048" s="1" t="n">
        <v>45344</v>
      </c>
      <c r="D9048" t="inlineStr">
        <is>
          <t>GÄVLEBORGS LÄN</t>
        </is>
      </c>
      <c r="E9048" t="inlineStr">
        <is>
          <t>SÖDERHAMN</t>
        </is>
      </c>
      <c r="G9048" t="n">
        <v>1.4</v>
      </c>
      <c r="H9048" t="n">
        <v>0</v>
      </c>
      <c r="I9048" t="n">
        <v>0</v>
      </c>
      <c r="J9048" t="n">
        <v>0</v>
      </c>
      <c r="K9048" t="n">
        <v>0</v>
      </c>
      <c r="L9048" t="n">
        <v>0</v>
      </c>
      <c r="M9048" t="n">
        <v>0</v>
      </c>
      <c r="N9048" t="n">
        <v>0</v>
      </c>
      <c r="O9048" t="n">
        <v>0</v>
      </c>
      <c r="P9048" t="n">
        <v>0</v>
      </c>
      <c r="Q9048" t="n">
        <v>0</v>
      </c>
      <c r="R9048" s="2" t="inlineStr"/>
    </row>
    <row r="9049" ht="15" customHeight="1">
      <c r="A9049" t="inlineStr">
        <is>
          <t>A 49518-2023</t>
        </is>
      </c>
      <c r="B9049" s="1" t="n">
        <v>45211</v>
      </c>
      <c r="C9049" s="1" t="n">
        <v>45344</v>
      </c>
      <c r="D9049" t="inlineStr">
        <is>
          <t>GÄVLEBORGS LÄN</t>
        </is>
      </c>
      <c r="E9049" t="inlineStr">
        <is>
          <t>SANDVIKEN</t>
        </is>
      </c>
      <c r="G9049" t="n">
        <v>7.4</v>
      </c>
      <c r="H9049" t="n">
        <v>0</v>
      </c>
      <c r="I9049" t="n">
        <v>0</v>
      </c>
      <c r="J9049" t="n">
        <v>0</v>
      </c>
      <c r="K9049" t="n">
        <v>0</v>
      </c>
      <c r="L9049" t="n">
        <v>0</v>
      </c>
      <c r="M9049" t="n">
        <v>0</v>
      </c>
      <c r="N9049" t="n">
        <v>0</v>
      </c>
      <c r="O9049" t="n">
        <v>0</v>
      </c>
      <c r="P9049" t="n">
        <v>0</v>
      </c>
      <c r="Q9049" t="n">
        <v>0</v>
      </c>
      <c r="R9049" s="2" t="inlineStr"/>
    </row>
    <row r="9050" ht="15" customHeight="1">
      <c r="A9050" t="inlineStr">
        <is>
          <t>A 49554-2023</t>
        </is>
      </c>
      <c r="B9050" s="1" t="n">
        <v>45211</v>
      </c>
      <c r="C9050" s="1" t="n">
        <v>45344</v>
      </c>
      <c r="D9050" t="inlineStr">
        <is>
          <t>GÄVLEBORGS LÄN</t>
        </is>
      </c>
      <c r="E9050" t="inlineStr">
        <is>
          <t>OVANÅKER</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49635-2023</t>
        </is>
      </c>
      <c r="B9051" s="1" t="n">
        <v>45211</v>
      </c>
      <c r="C9051" s="1" t="n">
        <v>45344</v>
      </c>
      <c r="D9051" t="inlineStr">
        <is>
          <t>GÄVLEBORGS LÄN</t>
        </is>
      </c>
      <c r="E9051" t="inlineStr">
        <is>
          <t>SÖDERHAMN</t>
        </is>
      </c>
      <c r="G9051" t="n">
        <v>7.5</v>
      </c>
      <c r="H9051" t="n">
        <v>0</v>
      </c>
      <c r="I9051" t="n">
        <v>0</v>
      </c>
      <c r="J9051" t="n">
        <v>0</v>
      </c>
      <c r="K9051" t="n">
        <v>0</v>
      </c>
      <c r="L9051" t="n">
        <v>0</v>
      </c>
      <c r="M9051" t="n">
        <v>0</v>
      </c>
      <c r="N9051" t="n">
        <v>0</v>
      </c>
      <c r="O9051" t="n">
        <v>0</v>
      </c>
      <c r="P9051" t="n">
        <v>0</v>
      </c>
      <c r="Q9051" t="n">
        <v>0</v>
      </c>
      <c r="R9051" s="2" t="inlineStr"/>
    </row>
    <row r="9052" ht="15" customHeight="1">
      <c r="A9052" t="inlineStr">
        <is>
          <t>A 49703-2023</t>
        </is>
      </c>
      <c r="B9052" s="1" t="n">
        <v>45212</v>
      </c>
      <c r="C9052" s="1" t="n">
        <v>45344</v>
      </c>
      <c r="D9052" t="inlineStr">
        <is>
          <t>GÄVLEBORGS LÄN</t>
        </is>
      </c>
      <c r="E9052" t="inlineStr">
        <is>
          <t>SÖDERHAMN</t>
        </is>
      </c>
      <c r="G9052" t="n">
        <v>1.3</v>
      </c>
      <c r="H9052" t="n">
        <v>0</v>
      </c>
      <c r="I9052" t="n">
        <v>0</v>
      </c>
      <c r="J9052" t="n">
        <v>0</v>
      </c>
      <c r="K9052" t="n">
        <v>0</v>
      </c>
      <c r="L9052" t="n">
        <v>0</v>
      </c>
      <c r="M9052" t="n">
        <v>0</v>
      </c>
      <c r="N9052" t="n">
        <v>0</v>
      </c>
      <c r="O9052" t="n">
        <v>0</v>
      </c>
      <c r="P9052" t="n">
        <v>0</v>
      </c>
      <c r="Q9052" t="n">
        <v>0</v>
      </c>
      <c r="R9052" s="2" t="inlineStr"/>
    </row>
    <row r="9053" ht="15" customHeight="1">
      <c r="A9053" t="inlineStr">
        <is>
          <t>A 49706-2023</t>
        </is>
      </c>
      <c r="B9053" s="1" t="n">
        <v>45212</v>
      </c>
      <c r="C9053" s="1" t="n">
        <v>45344</v>
      </c>
      <c r="D9053" t="inlineStr">
        <is>
          <t>GÄVLEBORGS LÄN</t>
        </is>
      </c>
      <c r="E9053" t="inlineStr">
        <is>
          <t>SANDVIKEN</t>
        </is>
      </c>
      <c r="F9053" t="inlineStr">
        <is>
          <t>Sveaskog</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49836-2023</t>
        </is>
      </c>
      <c r="B9054" s="1" t="n">
        <v>45212</v>
      </c>
      <c r="C9054" s="1" t="n">
        <v>45344</v>
      </c>
      <c r="D9054" t="inlineStr">
        <is>
          <t>GÄVLEBORGS LÄN</t>
        </is>
      </c>
      <c r="E9054" t="inlineStr">
        <is>
          <t>GÄVLE</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49704-2023</t>
        </is>
      </c>
      <c r="B9055" s="1" t="n">
        <v>45212</v>
      </c>
      <c r="C9055" s="1" t="n">
        <v>45344</v>
      </c>
      <c r="D9055" t="inlineStr">
        <is>
          <t>GÄVLEBORGS LÄN</t>
        </is>
      </c>
      <c r="E9055" t="inlineStr">
        <is>
          <t>SANDVIKEN</t>
        </is>
      </c>
      <c r="F9055" t="inlineStr">
        <is>
          <t>Sveaskog</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49713-2023</t>
        </is>
      </c>
      <c r="B9056" s="1" t="n">
        <v>45212</v>
      </c>
      <c r="C9056" s="1" t="n">
        <v>45344</v>
      </c>
      <c r="D9056" t="inlineStr">
        <is>
          <t>GÄVLEBORGS LÄN</t>
        </is>
      </c>
      <c r="E9056" t="inlineStr">
        <is>
          <t>BOLLNÄS</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49855-2023</t>
        </is>
      </c>
      <c r="B9057" s="1" t="n">
        <v>45213</v>
      </c>
      <c r="C9057" s="1" t="n">
        <v>45344</v>
      </c>
      <c r="D9057" t="inlineStr">
        <is>
          <t>GÄVLEBORGS LÄN</t>
        </is>
      </c>
      <c r="E9057" t="inlineStr">
        <is>
          <t>LJUSDAL</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51156-2023</t>
        </is>
      </c>
      <c r="B9058" s="1" t="n">
        <v>45212</v>
      </c>
      <c r="C9058" s="1" t="n">
        <v>45344</v>
      </c>
      <c r="D9058" t="inlineStr">
        <is>
          <t>GÄVLEBORGS LÄN</t>
        </is>
      </c>
      <c r="E9058" t="inlineStr">
        <is>
          <t>BOLLNÄS</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51149-2023</t>
        </is>
      </c>
      <c r="B9059" s="1" t="n">
        <v>45212</v>
      </c>
      <c r="C9059" s="1" t="n">
        <v>45344</v>
      </c>
      <c r="D9059" t="inlineStr">
        <is>
          <t>GÄVLEBORGS LÄN</t>
        </is>
      </c>
      <c r="E9059" t="inlineStr">
        <is>
          <t>BOLLNÄS</t>
        </is>
      </c>
      <c r="G9059" t="n">
        <v>1.6</v>
      </c>
      <c r="H9059" t="n">
        <v>0</v>
      </c>
      <c r="I9059" t="n">
        <v>0</v>
      </c>
      <c r="J9059" t="n">
        <v>0</v>
      </c>
      <c r="K9059" t="n">
        <v>0</v>
      </c>
      <c r="L9059" t="n">
        <v>0</v>
      </c>
      <c r="M9059" t="n">
        <v>0</v>
      </c>
      <c r="N9059" t="n">
        <v>0</v>
      </c>
      <c r="O9059" t="n">
        <v>0</v>
      </c>
      <c r="P9059" t="n">
        <v>0</v>
      </c>
      <c r="Q9059" t="n">
        <v>0</v>
      </c>
      <c r="R9059" s="2" t="inlineStr"/>
    </row>
    <row r="9060" ht="15" customHeight="1">
      <c r="A9060" t="inlineStr">
        <is>
          <t>A 49824-2023</t>
        </is>
      </c>
      <c r="B9060" s="1" t="n">
        <v>45212</v>
      </c>
      <c r="C9060" s="1" t="n">
        <v>45344</v>
      </c>
      <c r="D9060" t="inlineStr">
        <is>
          <t>GÄVLEBORGS LÄN</t>
        </is>
      </c>
      <c r="E9060" t="inlineStr">
        <is>
          <t>GÄVLE</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49832-2023</t>
        </is>
      </c>
      <c r="B9061" s="1" t="n">
        <v>45212</v>
      </c>
      <c r="C9061" s="1" t="n">
        <v>45344</v>
      </c>
      <c r="D9061" t="inlineStr">
        <is>
          <t>GÄVLEBORGS LÄN</t>
        </is>
      </c>
      <c r="E9061" t="inlineStr">
        <is>
          <t>GÄVLE</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51158-2023</t>
        </is>
      </c>
      <c r="B9062" s="1" t="n">
        <v>45212</v>
      </c>
      <c r="C9062" s="1" t="n">
        <v>45344</v>
      </c>
      <c r="D9062" t="inlineStr">
        <is>
          <t>GÄVLEBORGS LÄN</t>
        </is>
      </c>
      <c r="E9062" t="inlineStr">
        <is>
          <t>BOLLNÄS</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49883-2023</t>
        </is>
      </c>
      <c r="B9063" s="1" t="n">
        <v>45213</v>
      </c>
      <c r="C9063" s="1" t="n">
        <v>45344</v>
      </c>
      <c r="D9063" t="inlineStr">
        <is>
          <t>GÄVLEBORGS LÄN</t>
        </is>
      </c>
      <c r="E9063" t="inlineStr">
        <is>
          <t>BOLLNÄS</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49916-2023</t>
        </is>
      </c>
      <c r="B9064" s="1" t="n">
        <v>45214</v>
      </c>
      <c r="C9064" s="1" t="n">
        <v>45344</v>
      </c>
      <c r="D9064" t="inlineStr">
        <is>
          <t>GÄVLEBORGS LÄN</t>
        </is>
      </c>
      <c r="E9064" t="inlineStr">
        <is>
          <t>HUDIKSVALL</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49931-2023</t>
        </is>
      </c>
      <c r="B9065" s="1" t="n">
        <v>45215</v>
      </c>
      <c r="C9065" s="1" t="n">
        <v>45344</v>
      </c>
      <c r="D9065" t="inlineStr">
        <is>
          <t>GÄVLEBORGS LÄN</t>
        </is>
      </c>
      <c r="E9065" t="inlineStr">
        <is>
          <t>BOLLNÄS</t>
        </is>
      </c>
      <c r="G9065" t="n">
        <v>5.1</v>
      </c>
      <c r="H9065" t="n">
        <v>0</v>
      </c>
      <c r="I9065" t="n">
        <v>0</v>
      </c>
      <c r="J9065" t="n">
        <v>0</v>
      </c>
      <c r="K9065" t="n">
        <v>0</v>
      </c>
      <c r="L9065" t="n">
        <v>0</v>
      </c>
      <c r="M9065" t="n">
        <v>0</v>
      </c>
      <c r="N9065" t="n">
        <v>0</v>
      </c>
      <c r="O9065" t="n">
        <v>0</v>
      </c>
      <c r="P9065" t="n">
        <v>0</v>
      </c>
      <c r="Q9065" t="n">
        <v>0</v>
      </c>
      <c r="R9065" s="2" t="inlineStr"/>
    </row>
    <row r="9066" ht="15" customHeight="1">
      <c r="A9066" t="inlineStr">
        <is>
          <t>A 49935-2023</t>
        </is>
      </c>
      <c r="B9066" s="1" t="n">
        <v>45215</v>
      </c>
      <c r="C9066" s="1" t="n">
        <v>45344</v>
      </c>
      <c r="D9066" t="inlineStr">
        <is>
          <t>GÄVLEBORGS LÄN</t>
        </is>
      </c>
      <c r="E9066" t="inlineStr">
        <is>
          <t>LJUSDAL</t>
        </is>
      </c>
      <c r="G9066" t="n">
        <v>3.8</v>
      </c>
      <c r="H9066" t="n">
        <v>0</v>
      </c>
      <c r="I9066" t="n">
        <v>0</v>
      </c>
      <c r="J9066" t="n">
        <v>0</v>
      </c>
      <c r="K9066" t="n">
        <v>0</v>
      </c>
      <c r="L9066" t="n">
        <v>0</v>
      </c>
      <c r="M9066" t="n">
        <v>0</v>
      </c>
      <c r="N9066" t="n">
        <v>0</v>
      </c>
      <c r="O9066" t="n">
        <v>0</v>
      </c>
      <c r="P9066" t="n">
        <v>0</v>
      </c>
      <c r="Q9066" t="n">
        <v>0</v>
      </c>
      <c r="R9066" s="2" t="inlineStr"/>
    </row>
    <row r="9067" ht="15" customHeight="1">
      <c r="A9067" t="inlineStr">
        <is>
          <t>A 49939-2023</t>
        </is>
      </c>
      <c r="B9067" s="1" t="n">
        <v>45215</v>
      </c>
      <c r="C9067" s="1" t="n">
        <v>45344</v>
      </c>
      <c r="D9067" t="inlineStr">
        <is>
          <t>GÄVLEBORGS LÄN</t>
        </is>
      </c>
      <c r="E9067" t="inlineStr">
        <is>
          <t>NORDANSTIG</t>
        </is>
      </c>
      <c r="F9067" t="inlineStr">
        <is>
          <t>Holmen skog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49930-2023</t>
        </is>
      </c>
      <c r="B9068" s="1" t="n">
        <v>45215</v>
      </c>
      <c r="C9068" s="1" t="n">
        <v>45344</v>
      </c>
      <c r="D9068" t="inlineStr">
        <is>
          <t>GÄVLEBORGS LÄN</t>
        </is>
      </c>
      <c r="E9068" t="inlineStr">
        <is>
          <t>BOLLNÄS</t>
        </is>
      </c>
      <c r="G9068" t="n">
        <v>3.3</v>
      </c>
      <c r="H9068" t="n">
        <v>0</v>
      </c>
      <c r="I9068" t="n">
        <v>0</v>
      </c>
      <c r="J9068" t="n">
        <v>0</v>
      </c>
      <c r="K9068" t="n">
        <v>0</v>
      </c>
      <c r="L9068" t="n">
        <v>0</v>
      </c>
      <c r="M9068" t="n">
        <v>0</v>
      </c>
      <c r="N9068" t="n">
        <v>0</v>
      </c>
      <c r="O9068" t="n">
        <v>0</v>
      </c>
      <c r="P9068" t="n">
        <v>0</v>
      </c>
      <c r="Q9068" t="n">
        <v>0</v>
      </c>
      <c r="R9068" s="2" t="inlineStr"/>
    </row>
    <row r="9069" ht="15" customHeight="1">
      <c r="A9069" t="inlineStr">
        <is>
          <t>A 50059-2023</t>
        </is>
      </c>
      <c r="B9069" s="1" t="n">
        <v>45215</v>
      </c>
      <c r="C9069" s="1" t="n">
        <v>45344</v>
      </c>
      <c r="D9069" t="inlineStr">
        <is>
          <t>GÄVLEBORGS LÄN</t>
        </is>
      </c>
      <c r="E9069" t="inlineStr">
        <is>
          <t>SÖDERHAMN</t>
        </is>
      </c>
      <c r="G9069" t="n">
        <v>11.2</v>
      </c>
      <c r="H9069" t="n">
        <v>0</v>
      </c>
      <c r="I9069" t="n">
        <v>0</v>
      </c>
      <c r="J9069" t="n">
        <v>0</v>
      </c>
      <c r="K9069" t="n">
        <v>0</v>
      </c>
      <c r="L9069" t="n">
        <v>0</v>
      </c>
      <c r="M9069" t="n">
        <v>0</v>
      </c>
      <c r="N9069" t="n">
        <v>0</v>
      </c>
      <c r="O9069" t="n">
        <v>0</v>
      </c>
      <c r="P9069" t="n">
        <v>0</v>
      </c>
      <c r="Q9069" t="n">
        <v>0</v>
      </c>
      <c r="R9069" s="2" t="inlineStr"/>
    </row>
    <row r="9070" ht="15" customHeight="1">
      <c r="A9070" t="inlineStr">
        <is>
          <t>A 50063-2023</t>
        </is>
      </c>
      <c r="B9070" s="1" t="n">
        <v>45215</v>
      </c>
      <c r="C9070" s="1" t="n">
        <v>45344</v>
      </c>
      <c r="D9070" t="inlineStr">
        <is>
          <t>GÄVLEBORGS LÄN</t>
        </is>
      </c>
      <c r="E9070" t="inlineStr">
        <is>
          <t>SÖDERHAMN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50153-2023</t>
        </is>
      </c>
      <c r="B9071" s="1" t="n">
        <v>45215</v>
      </c>
      <c r="C9071" s="1" t="n">
        <v>45344</v>
      </c>
      <c r="D9071" t="inlineStr">
        <is>
          <t>GÄVLEBORGS LÄN</t>
        </is>
      </c>
      <c r="E9071" t="inlineStr">
        <is>
          <t>HUDIKSVALL</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50175-2023</t>
        </is>
      </c>
      <c r="B9072" s="1" t="n">
        <v>45215</v>
      </c>
      <c r="C9072" s="1" t="n">
        <v>45344</v>
      </c>
      <c r="D9072" t="inlineStr">
        <is>
          <t>GÄVLEBORGS LÄN</t>
        </is>
      </c>
      <c r="E9072" t="inlineStr">
        <is>
          <t>HUDIKSVALL</t>
        </is>
      </c>
      <c r="G9072" t="n">
        <v>16.7</v>
      </c>
      <c r="H9072" t="n">
        <v>0</v>
      </c>
      <c r="I9072" t="n">
        <v>0</v>
      </c>
      <c r="J9072" t="n">
        <v>0</v>
      </c>
      <c r="K9072" t="n">
        <v>0</v>
      </c>
      <c r="L9072" t="n">
        <v>0</v>
      </c>
      <c r="M9072" t="n">
        <v>0</v>
      </c>
      <c r="N9072" t="n">
        <v>0</v>
      </c>
      <c r="O9072" t="n">
        <v>0</v>
      </c>
      <c r="P9072" t="n">
        <v>0</v>
      </c>
      <c r="Q9072" t="n">
        <v>0</v>
      </c>
      <c r="R9072" s="2" t="inlineStr"/>
    </row>
    <row r="9073" ht="15" customHeight="1">
      <c r="A9073" t="inlineStr">
        <is>
          <t>A 50206-2023</t>
        </is>
      </c>
      <c r="B9073" s="1" t="n">
        <v>45216</v>
      </c>
      <c r="C9073" s="1" t="n">
        <v>45344</v>
      </c>
      <c r="D9073" t="inlineStr">
        <is>
          <t>GÄVLEBORGS LÄN</t>
        </is>
      </c>
      <c r="E9073" t="inlineStr">
        <is>
          <t>HUDIKSVALL</t>
        </is>
      </c>
      <c r="G9073" t="n">
        <v>5.8</v>
      </c>
      <c r="H9073" t="n">
        <v>0</v>
      </c>
      <c r="I9073" t="n">
        <v>0</v>
      </c>
      <c r="J9073" t="n">
        <v>0</v>
      </c>
      <c r="K9073" t="n">
        <v>0</v>
      </c>
      <c r="L9073" t="n">
        <v>0</v>
      </c>
      <c r="M9073" t="n">
        <v>0</v>
      </c>
      <c r="N9073" t="n">
        <v>0</v>
      </c>
      <c r="O9073" t="n">
        <v>0</v>
      </c>
      <c r="P9073" t="n">
        <v>0</v>
      </c>
      <c r="Q9073" t="n">
        <v>0</v>
      </c>
      <c r="R9073" s="2" t="inlineStr"/>
    </row>
    <row r="9074" ht="15" customHeight="1">
      <c r="A9074" t="inlineStr">
        <is>
          <t>A 50207-2023</t>
        </is>
      </c>
      <c r="B9074" s="1" t="n">
        <v>45216</v>
      </c>
      <c r="C9074" s="1" t="n">
        <v>45344</v>
      </c>
      <c r="D9074" t="inlineStr">
        <is>
          <t>GÄVLEBORGS LÄN</t>
        </is>
      </c>
      <c r="E9074" t="inlineStr">
        <is>
          <t>HUDIKSVALL</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50219-2023</t>
        </is>
      </c>
      <c r="B9075" s="1" t="n">
        <v>45215</v>
      </c>
      <c r="C9075" s="1" t="n">
        <v>45344</v>
      </c>
      <c r="D9075" t="inlineStr">
        <is>
          <t>GÄVLEBORGS LÄN</t>
        </is>
      </c>
      <c r="E9075" t="inlineStr">
        <is>
          <t>SÖDERHAMN</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50066-2023</t>
        </is>
      </c>
      <c r="B9076" s="1" t="n">
        <v>45215</v>
      </c>
      <c r="C9076" s="1" t="n">
        <v>45344</v>
      </c>
      <c r="D9076" t="inlineStr">
        <is>
          <t>GÄVLEBORGS LÄN</t>
        </is>
      </c>
      <c r="E9076" t="inlineStr">
        <is>
          <t>SÖDERHAMN</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50090-2023</t>
        </is>
      </c>
      <c r="B9077" s="1" t="n">
        <v>45215</v>
      </c>
      <c r="C9077" s="1" t="n">
        <v>45344</v>
      </c>
      <c r="D9077" t="inlineStr">
        <is>
          <t>GÄVLEBORGS LÄN</t>
        </is>
      </c>
      <c r="E9077" t="inlineStr">
        <is>
          <t>SÖDERHAMN</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50158-2023</t>
        </is>
      </c>
      <c r="B9078" s="1" t="n">
        <v>45215</v>
      </c>
      <c r="C9078" s="1" t="n">
        <v>45344</v>
      </c>
      <c r="D9078" t="inlineStr">
        <is>
          <t>GÄVLEBORGS LÄN</t>
        </is>
      </c>
      <c r="E9078" t="inlineStr">
        <is>
          <t>HUDIKSVALL</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50286-2023</t>
        </is>
      </c>
      <c r="B9079" s="1" t="n">
        <v>45216</v>
      </c>
      <c r="C9079" s="1" t="n">
        <v>45344</v>
      </c>
      <c r="D9079" t="inlineStr">
        <is>
          <t>GÄVLEBORGS LÄN</t>
        </is>
      </c>
      <c r="E9079" t="inlineStr">
        <is>
          <t>NORDANSTIG</t>
        </is>
      </c>
      <c r="F9079" t="inlineStr">
        <is>
          <t>Holmen skog AB</t>
        </is>
      </c>
      <c r="G9079" t="n">
        <v>10.3</v>
      </c>
      <c r="H9079" t="n">
        <v>0</v>
      </c>
      <c r="I9079" t="n">
        <v>0</v>
      </c>
      <c r="J9079" t="n">
        <v>0</v>
      </c>
      <c r="K9079" t="n">
        <v>0</v>
      </c>
      <c r="L9079" t="n">
        <v>0</v>
      </c>
      <c r="M9079" t="n">
        <v>0</v>
      </c>
      <c r="N9079" t="n">
        <v>0</v>
      </c>
      <c r="O9079" t="n">
        <v>0</v>
      </c>
      <c r="P9079" t="n">
        <v>0</v>
      </c>
      <c r="Q9079" t="n">
        <v>0</v>
      </c>
      <c r="R9079" s="2" t="inlineStr"/>
    </row>
    <row r="9080" ht="15" customHeight="1">
      <c r="A9080" t="inlineStr">
        <is>
          <t>A 50305-2023</t>
        </is>
      </c>
      <c r="B9080" s="1" t="n">
        <v>45216</v>
      </c>
      <c r="C9080" s="1" t="n">
        <v>45344</v>
      </c>
      <c r="D9080" t="inlineStr">
        <is>
          <t>GÄVLEBORGS LÄN</t>
        </is>
      </c>
      <c r="E9080" t="inlineStr">
        <is>
          <t>NORDANSTIG</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50271-2023</t>
        </is>
      </c>
      <c r="B9081" s="1" t="n">
        <v>45216</v>
      </c>
      <c r="C9081" s="1" t="n">
        <v>45344</v>
      </c>
      <c r="D9081" t="inlineStr">
        <is>
          <t>GÄVLEBORGS LÄN</t>
        </is>
      </c>
      <c r="E9081" t="inlineStr">
        <is>
          <t>LJUSDAL</t>
        </is>
      </c>
      <c r="G9081" t="n">
        <v>27.4</v>
      </c>
      <c r="H9081" t="n">
        <v>0</v>
      </c>
      <c r="I9081" t="n">
        <v>0</v>
      </c>
      <c r="J9081" t="n">
        <v>0</v>
      </c>
      <c r="K9081" t="n">
        <v>0</v>
      </c>
      <c r="L9081" t="n">
        <v>0</v>
      </c>
      <c r="M9081" t="n">
        <v>0</v>
      </c>
      <c r="N9081" t="n">
        <v>0</v>
      </c>
      <c r="O9081" t="n">
        <v>0</v>
      </c>
      <c r="P9081" t="n">
        <v>0</v>
      </c>
      <c r="Q9081" t="n">
        <v>0</v>
      </c>
      <c r="R9081" s="2" t="inlineStr"/>
    </row>
    <row r="9082" ht="15" customHeight="1">
      <c r="A9082" t="inlineStr">
        <is>
          <t>A 50373-2023</t>
        </is>
      </c>
      <c r="B9082" s="1" t="n">
        <v>45216</v>
      </c>
      <c r="C9082" s="1" t="n">
        <v>45344</v>
      </c>
      <c r="D9082" t="inlineStr">
        <is>
          <t>GÄVLEBORGS LÄN</t>
        </is>
      </c>
      <c r="E9082" t="inlineStr">
        <is>
          <t>LJUSDAL</t>
        </is>
      </c>
      <c r="G9082" t="n">
        <v>4.5</v>
      </c>
      <c r="H9082" t="n">
        <v>0</v>
      </c>
      <c r="I9082" t="n">
        <v>0</v>
      </c>
      <c r="J9082" t="n">
        <v>0</v>
      </c>
      <c r="K9082" t="n">
        <v>0</v>
      </c>
      <c r="L9082" t="n">
        <v>0</v>
      </c>
      <c r="M9082" t="n">
        <v>0</v>
      </c>
      <c r="N9082" t="n">
        <v>0</v>
      </c>
      <c r="O9082" t="n">
        <v>0</v>
      </c>
      <c r="P9082" t="n">
        <v>0</v>
      </c>
      <c r="Q9082" t="n">
        <v>0</v>
      </c>
      <c r="R9082" s="2" t="inlineStr"/>
    </row>
    <row r="9083" ht="15" customHeight="1">
      <c r="A9083" t="inlineStr">
        <is>
          <t>A 50237-2023</t>
        </is>
      </c>
      <c r="B9083" s="1" t="n">
        <v>45216</v>
      </c>
      <c r="C9083" s="1" t="n">
        <v>45344</v>
      </c>
      <c r="D9083" t="inlineStr">
        <is>
          <t>GÄVLEBORGS LÄN</t>
        </is>
      </c>
      <c r="E9083" t="inlineStr">
        <is>
          <t>OVANÅKER</t>
        </is>
      </c>
      <c r="G9083" t="n">
        <v>3.3</v>
      </c>
      <c r="H9083" t="n">
        <v>0</v>
      </c>
      <c r="I9083" t="n">
        <v>0</v>
      </c>
      <c r="J9083" t="n">
        <v>0</v>
      </c>
      <c r="K9083" t="n">
        <v>0</v>
      </c>
      <c r="L9083" t="n">
        <v>0</v>
      </c>
      <c r="M9083" t="n">
        <v>0</v>
      </c>
      <c r="N9083" t="n">
        <v>0</v>
      </c>
      <c r="O9083" t="n">
        <v>0</v>
      </c>
      <c r="P9083" t="n">
        <v>0</v>
      </c>
      <c r="Q9083" t="n">
        <v>0</v>
      </c>
      <c r="R9083" s="2" t="inlineStr"/>
    </row>
    <row r="9084" ht="15" customHeight="1">
      <c r="A9084" t="inlineStr">
        <is>
          <t>A 50326-2023</t>
        </is>
      </c>
      <c r="B9084" s="1" t="n">
        <v>45216</v>
      </c>
      <c r="C9084" s="1" t="n">
        <v>45344</v>
      </c>
      <c r="D9084" t="inlineStr">
        <is>
          <t>GÄVLEBORGS LÄN</t>
        </is>
      </c>
      <c r="E9084" t="inlineStr">
        <is>
          <t>NORDANSTIG</t>
        </is>
      </c>
      <c r="F9084" t="inlineStr">
        <is>
          <t>Holmen skog AB</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50433-2023</t>
        </is>
      </c>
      <c r="B9085" s="1" t="n">
        <v>45216</v>
      </c>
      <c r="C9085" s="1" t="n">
        <v>45344</v>
      </c>
      <c r="D9085" t="inlineStr">
        <is>
          <t>GÄVLEBORGS LÄN</t>
        </is>
      </c>
      <c r="E9085" t="inlineStr">
        <is>
          <t>NORDANSTIG</t>
        </is>
      </c>
      <c r="F9085" t="inlineStr">
        <is>
          <t>Holmen skog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50417-2023</t>
        </is>
      </c>
      <c r="B9086" s="1" t="n">
        <v>45216</v>
      </c>
      <c r="C9086" s="1" t="n">
        <v>45344</v>
      </c>
      <c r="D9086" t="inlineStr">
        <is>
          <t>GÄVLEBORGS LÄN</t>
        </is>
      </c>
      <c r="E9086" t="inlineStr">
        <is>
          <t>SANDVIKEN</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50413-2023</t>
        </is>
      </c>
      <c r="B9087" s="1" t="n">
        <v>45216</v>
      </c>
      <c r="C9087" s="1" t="n">
        <v>45344</v>
      </c>
      <c r="D9087" t="inlineStr">
        <is>
          <t>GÄVLEBORGS LÄN</t>
        </is>
      </c>
      <c r="E9087" t="inlineStr">
        <is>
          <t>NORDANSTIG</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50365-2023</t>
        </is>
      </c>
      <c r="B9088" s="1" t="n">
        <v>45216</v>
      </c>
      <c r="C9088" s="1" t="n">
        <v>45344</v>
      </c>
      <c r="D9088" t="inlineStr">
        <is>
          <t>GÄVLEBORGS LÄN</t>
        </is>
      </c>
      <c r="E9088" t="inlineStr">
        <is>
          <t>NORDANSTIG</t>
        </is>
      </c>
      <c r="F9088" t="inlineStr">
        <is>
          <t>Holmen skog AB</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50238-2023</t>
        </is>
      </c>
      <c r="B9089" s="1" t="n">
        <v>45216</v>
      </c>
      <c r="C9089" s="1" t="n">
        <v>45344</v>
      </c>
      <c r="D9089" t="inlineStr">
        <is>
          <t>GÄVLEBORGS LÄN</t>
        </is>
      </c>
      <c r="E9089" t="inlineStr">
        <is>
          <t>OCKELBO</t>
        </is>
      </c>
      <c r="F9089" t="inlineStr">
        <is>
          <t>Bergvik skog väst AB</t>
        </is>
      </c>
      <c r="G9089" t="n">
        <v>9.699999999999999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50391-2023</t>
        </is>
      </c>
      <c r="B9090" s="1" t="n">
        <v>45216</v>
      </c>
      <c r="C9090" s="1" t="n">
        <v>45344</v>
      </c>
      <c r="D9090" t="inlineStr">
        <is>
          <t>GÄVLEBORGS LÄN</t>
        </is>
      </c>
      <c r="E9090" t="inlineStr">
        <is>
          <t>NORDANSTIG</t>
        </is>
      </c>
      <c r="F9090" t="inlineStr">
        <is>
          <t>Holmen skog AB</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50385-2023</t>
        </is>
      </c>
      <c r="B9091" s="1" t="n">
        <v>45216</v>
      </c>
      <c r="C9091" s="1" t="n">
        <v>45344</v>
      </c>
      <c r="D9091" t="inlineStr">
        <is>
          <t>GÄVLEBORGS LÄN</t>
        </is>
      </c>
      <c r="E9091" t="inlineStr">
        <is>
          <t>LJUSDAL</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50340-2023</t>
        </is>
      </c>
      <c r="B9092" s="1" t="n">
        <v>45216</v>
      </c>
      <c r="C9092" s="1" t="n">
        <v>45344</v>
      </c>
      <c r="D9092" t="inlineStr">
        <is>
          <t>GÄVLEBORGS LÄN</t>
        </is>
      </c>
      <c r="E9092" t="inlineStr">
        <is>
          <t>OVANÅKER</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50336-2023</t>
        </is>
      </c>
      <c r="B9093" s="1" t="n">
        <v>45216</v>
      </c>
      <c r="C9093" s="1" t="n">
        <v>45344</v>
      </c>
      <c r="D9093" t="inlineStr">
        <is>
          <t>GÄVLEBORGS LÄN</t>
        </is>
      </c>
      <c r="E9093" t="inlineStr">
        <is>
          <t>NORDANSTIG</t>
        </is>
      </c>
      <c r="F9093" t="inlineStr">
        <is>
          <t>Holmen skog AB</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50273-2023</t>
        </is>
      </c>
      <c r="B9094" s="1" t="n">
        <v>45216</v>
      </c>
      <c r="C9094" s="1" t="n">
        <v>45344</v>
      </c>
      <c r="D9094" t="inlineStr">
        <is>
          <t>GÄVLEBORGS LÄN</t>
        </is>
      </c>
      <c r="E9094" t="inlineStr">
        <is>
          <t>LJUSDAL</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50239-2023</t>
        </is>
      </c>
      <c r="B9095" s="1" t="n">
        <v>45216</v>
      </c>
      <c r="C9095" s="1" t="n">
        <v>45344</v>
      </c>
      <c r="D9095" t="inlineStr">
        <is>
          <t>GÄVLEBORGS LÄN</t>
        </is>
      </c>
      <c r="E9095" t="inlineStr">
        <is>
          <t>OVANÅKER</t>
        </is>
      </c>
      <c r="G9095" t="n">
        <v>4</v>
      </c>
      <c r="H9095" t="n">
        <v>0</v>
      </c>
      <c r="I9095" t="n">
        <v>0</v>
      </c>
      <c r="J9095" t="n">
        <v>0</v>
      </c>
      <c r="K9095" t="n">
        <v>0</v>
      </c>
      <c r="L9095" t="n">
        <v>0</v>
      </c>
      <c r="M9095" t="n">
        <v>0</v>
      </c>
      <c r="N9095" t="n">
        <v>0</v>
      </c>
      <c r="O9095" t="n">
        <v>0</v>
      </c>
      <c r="P9095" t="n">
        <v>0</v>
      </c>
      <c r="Q9095" t="n">
        <v>0</v>
      </c>
      <c r="R9095" s="2" t="inlineStr"/>
    </row>
    <row r="9096" ht="15" customHeight="1">
      <c r="A9096" t="inlineStr">
        <is>
          <t>A 50235-2023</t>
        </is>
      </c>
      <c r="B9096" s="1" t="n">
        <v>45216</v>
      </c>
      <c r="C9096" s="1" t="n">
        <v>45344</v>
      </c>
      <c r="D9096" t="inlineStr">
        <is>
          <t>GÄVLEBORGS LÄN</t>
        </is>
      </c>
      <c r="E9096" t="inlineStr">
        <is>
          <t>OCKELBO</t>
        </is>
      </c>
      <c r="F9096" t="inlineStr">
        <is>
          <t>Bergvik skog väst AB</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50236-2023</t>
        </is>
      </c>
      <c r="B9097" s="1" t="n">
        <v>45216</v>
      </c>
      <c r="C9097" s="1" t="n">
        <v>45344</v>
      </c>
      <c r="D9097" t="inlineStr">
        <is>
          <t>GÄVLEBORGS LÄN</t>
        </is>
      </c>
      <c r="E9097" t="inlineStr">
        <is>
          <t>OVANÅKER</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50444-2023</t>
        </is>
      </c>
      <c r="B9098" s="1" t="n">
        <v>45216</v>
      </c>
      <c r="C9098" s="1" t="n">
        <v>45344</v>
      </c>
      <c r="D9098" t="inlineStr">
        <is>
          <t>GÄVLEBORGS LÄN</t>
        </is>
      </c>
      <c r="E9098" t="inlineStr">
        <is>
          <t>NORDANSTIG</t>
        </is>
      </c>
      <c r="F9098" t="inlineStr">
        <is>
          <t>Holmen skog AB</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50412-2023</t>
        </is>
      </c>
      <c r="B9099" s="1" t="n">
        <v>45216</v>
      </c>
      <c r="C9099" s="1" t="n">
        <v>45344</v>
      </c>
      <c r="D9099" t="inlineStr">
        <is>
          <t>GÄVLEBORGS LÄN</t>
        </is>
      </c>
      <c r="E9099" t="inlineStr">
        <is>
          <t>NORDANSTIG</t>
        </is>
      </c>
      <c r="F9099" t="inlineStr">
        <is>
          <t>Holmen skog AB</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50400-2023</t>
        </is>
      </c>
      <c r="B9100" s="1" t="n">
        <v>45216</v>
      </c>
      <c r="C9100" s="1" t="n">
        <v>45344</v>
      </c>
      <c r="D9100" t="inlineStr">
        <is>
          <t>GÄVLEBORGS LÄN</t>
        </is>
      </c>
      <c r="E9100" t="inlineStr">
        <is>
          <t>HUDIKSVALL</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50392-2023</t>
        </is>
      </c>
      <c r="B9101" s="1" t="n">
        <v>45216</v>
      </c>
      <c r="C9101" s="1" t="n">
        <v>45344</v>
      </c>
      <c r="D9101" t="inlineStr">
        <is>
          <t>GÄVLEBORGS LÄN</t>
        </is>
      </c>
      <c r="E9101" t="inlineStr">
        <is>
          <t>LJUSDAL</t>
        </is>
      </c>
      <c r="G9101" t="n">
        <v>6.5</v>
      </c>
      <c r="H9101" t="n">
        <v>0</v>
      </c>
      <c r="I9101" t="n">
        <v>0</v>
      </c>
      <c r="J9101" t="n">
        <v>0</v>
      </c>
      <c r="K9101" t="n">
        <v>0</v>
      </c>
      <c r="L9101" t="n">
        <v>0</v>
      </c>
      <c r="M9101" t="n">
        <v>0</v>
      </c>
      <c r="N9101" t="n">
        <v>0</v>
      </c>
      <c r="O9101" t="n">
        <v>0</v>
      </c>
      <c r="P9101" t="n">
        <v>0</v>
      </c>
      <c r="Q9101" t="n">
        <v>0</v>
      </c>
      <c r="R9101" s="2" t="inlineStr"/>
    </row>
    <row r="9102" ht="15" customHeight="1">
      <c r="A9102" t="inlineStr">
        <is>
          <t>A 50575-2023</t>
        </is>
      </c>
      <c r="B9102" s="1" t="n">
        <v>45217</v>
      </c>
      <c r="C9102" s="1" t="n">
        <v>45344</v>
      </c>
      <c r="D9102" t="inlineStr">
        <is>
          <t>GÄVLEBORGS LÄN</t>
        </is>
      </c>
      <c r="E9102" t="inlineStr">
        <is>
          <t>GÄVLE</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50550-2023</t>
        </is>
      </c>
      <c r="B9103" s="1" t="n">
        <v>45217</v>
      </c>
      <c r="C9103" s="1" t="n">
        <v>45344</v>
      </c>
      <c r="D9103" t="inlineStr">
        <is>
          <t>GÄVLEBORGS LÄN</t>
        </is>
      </c>
      <c r="E9103" t="inlineStr">
        <is>
          <t>OVANÅKER</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50556-2023</t>
        </is>
      </c>
      <c r="B9104" s="1" t="n">
        <v>45217</v>
      </c>
      <c r="C9104" s="1" t="n">
        <v>45344</v>
      </c>
      <c r="D9104" t="inlineStr">
        <is>
          <t>GÄVLEBORGS LÄN</t>
        </is>
      </c>
      <c r="E9104" t="inlineStr">
        <is>
          <t>OVANÅKER</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50561-2023</t>
        </is>
      </c>
      <c r="B9105" s="1" t="n">
        <v>45217</v>
      </c>
      <c r="C9105" s="1" t="n">
        <v>45344</v>
      </c>
      <c r="D9105" t="inlineStr">
        <is>
          <t>GÄVLEBORGS LÄN</t>
        </is>
      </c>
      <c r="E9105" t="inlineStr">
        <is>
          <t>BOLLNÄS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50582-2023</t>
        </is>
      </c>
      <c r="B9106" s="1" t="n">
        <v>45217</v>
      </c>
      <c r="C9106" s="1" t="n">
        <v>45344</v>
      </c>
      <c r="D9106" t="inlineStr">
        <is>
          <t>GÄVLEBORGS LÄN</t>
        </is>
      </c>
      <c r="E9106" t="inlineStr">
        <is>
          <t>GÄVLE</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50631-2023</t>
        </is>
      </c>
      <c r="B9107" s="1" t="n">
        <v>45217</v>
      </c>
      <c r="C9107" s="1" t="n">
        <v>45344</v>
      </c>
      <c r="D9107" t="inlineStr">
        <is>
          <t>GÄVLEBORGS LÄN</t>
        </is>
      </c>
      <c r="E9107" t="inlineStr">
        <is>
          <t>NORDANSTIG</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50736-2023</t>
        </is>
      </c>
      <c r="B9108" s="1" t="n">
        <v>45217</v>
      </c>
      <c r="C9108" s="1" t="n">
        <v>45344</v>
      </c>
      <c r="D9108" t="inlineStr">
        <is>
          <t>GÄVLEBORGS LÄN</t>
        </is>
      </c>
      <c r="E9108" t="inlineStr">
        <is>
          <t>SÖDERHAMN</t>
        </is>
      </c>
      <c r="G9108" t="n">
        <v>9.6</v>
      </c>
      <c r="H9108" t="n">
        <v>0</v>
      </c>
      <c r="I9108" t="n">
        <v>0</v>
      </c>
      <c r="J9108" t="n">
        <v>0</v>
      </c>
      <c r="K9108" t="n">
        <v>0</v>
      </c>
      <c r="L9108" t="n">
        <v>0</v>
      </c>
      <c r="M9108" t="n">
        <v>0</v>
      </c>
      <c r="N9108" t="n">
        <v>0</v>
      </c>
      <c r="O9108" t="n">
        <v>0</v>
      </c>
      <c r="P9108" t="n">
        <v>0</v>
      </c>
      <c r="Q9108" t="n">
        <v>0</v>
      </c>
      <c r="R9108" s="2" t="inlineStr"/>
    </row>
    <row r="9109" ht="15" customHeight="1">
      <c r="A9109" t="inlineStr">
        <is>
          <t>A 50740-2023</t>
        </is>
      </c>
      <c r="B9109" s="1" t="n">
        <v>45217</v>
      </c>
      <c r="C9109" s="1" t="n">
        <v>45344</v>
      </c>
      <c r="D9109" t="inlineStr">
        <is>
          <t>GÄVLEBORGS LÄN</t>
        </is>
      </c>
      <c r="E9109" t="inlineStr">
        <is>
          <t>OVANÅKER</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50744-2023</t>
        </is>
      </c>
      <c r="B9110" s="1" t="n">
        <v>45217</v>
      </c>
      <c r="C9110" s="1" t="n">
        <v>45344</v>
      </c>
      <c r="D9110" t="inlineStr">
        <is>
          <t>GÄVLEBORGS LÄN</t>
        </is>
      </c>
      <c r="E9110" t="inlineStr">
        <is>
          <t>OVANÅKER</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50833-2023</t>
        </is>
      </c>
      <c r="B9111" s="1" t="n">
        <v>45217</v>
      </c>
      <c r="C9111" s="1" t="n">
        <v>45344</v>
      </c>
      <c r="D9111" t="inlineStr">
        <is>
          <t>GÄVLEBORGS LÄN</t>
        </is>
      </c>
      <c r="E9111" t="inlineStr">
        <is>
          <t>SÖDERHAMN</t>
        </is>
      </c>
      <c r="G9111" t="n">
        <v>13.1</v>
      </c>
      <c r="H9111" t="n">
        <v>0</v>
      </c>
      <c r="I9111" t="n">
        <v>0</v>
      </c>
      <c r="J9111" t="n">
        <v>0</v>
      </c>
      <c r="K9111" t="n">
        <v>0</v>
      </c>
      <c r="L9111" t="n">
        <v>0</v>
      </c>
      <c r="M9111" t="n">
        <v>0</v>
      </c>
      <c r="N9111" t="n">
        <v>0</v>
      </c>
      <c r="O9111" t="n">
        <v>0</v>
      </c>
      <c r="P9111" t="n">
        <v>0</v>
      </c>
      <c r="Q9111" t="n">
        <v>0</v>
      </c>
      <c r="R9111" s="2" t="inlineStr"/>
    </row>
    <row r="9112" ht="15" customHeight="1">
      <c r="A9112" t="inlineStr">
        <is>
          <t>A 50544-2023</t>
        </is>
      </c>
      <c r="B9112" s="1" t="n">
        <v>45217</v>
      </c>
      <c r="C9112" s="1" t="n">
        <v>45344</v>
      </c>
      <c r="D9112" t="inlineStr">
        <is>
          <t>GÄVLEBORGS LÄN</t>
        </is>
      </c>
      <c r="E9112" t="inlineStr">
        <is>
          <t>BOLLNÄS</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50559-2023</t>
        </is>
      </c>
      <c r="B9113" s="1" t="n">
        <v>45217</v>
      </c>
      <c r="C9113" s="1" t="n">
        <v>45344</v>
      </c>
      <c r="D9113" t="inlineStr">
        <is>
          <t>GÄVLEBORGS LÄN</t>
        </is>
      </c>
      <c r="E9113" t="inlineStr">
        <is>
          <t>OVANÅKER</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50667-2023</t>
        </is>
      </c>
      <c r="B9114" s="1" t="n">
        <v>45217</v>
      </c>
      <c r="C9114" s="1" t="n">
        <v>45344</v>
      </c>
      <c r="D9114" t="inlineStr">
        <is>
          <t>GÄVLEBORGS LÄN</t>
        </is>
      </c>
      <c r="E9114" t="inlineStr">
        <is>
          <t>LJUSDAL</t>
        </is>
      </c>
      <c r="G9114" t="n">
        <v>9.9</v>
      </c>
      <c r="H9114" t="n">
        <v>0</v>
      </c>
      <c r="I9114" t="n">
        <v>0</v>
      </c>
      <c r="J9114" t="n">
        <v>0</v>
      </c>
      <c r="K9114" t="n">
        <v>0</v>
      </c>
      <c r="L9114" t="n">
        <v>0</v>
      </c>
      <c r="M9114" t="n">
        <v>0</v>
      </c>
      <c r="N9114" t="n">
        <v>0</v>
      </c>
      <c r="O9114" t="n">
        <v>0</v>
      </c>
      <c r="P9114" t="n">
        <v>0</v>
      </c>
      <c r="Q9114" t="n">
        <v>0</v>
      </c>
      <c r="R9114" s="2" t="inlineStr"/>
    </row>
    <row r="9115" ht="15" customHeight="1">
      <c r="A9115" t="inlineStr">
        <is>
          <t>A 50672-2023</t>
        </is>
      </c>
      <c r="B9115" s="1" t="n">
        <v>45217</v>
      </c>
      <c r="C9115" s="1" t="n">
        <v>45344</v>
      </c>
      <c r="D9115" t="inlineStr">
        <is>
          <t>GÄVLEBORGS LÄN</t>
        </is>
      </c>
      <c r="E9115" t="inlineStr">
        <is>
          <t>LJUSDAL</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50752-2023</t>
        </is>
      </c>
      <c r="B9116" s="1" t="n">
        <v>45217</v>
      </c>
      <c r="C9116" s="1" t="n">
        <v>45344</v>
      </c>
      <c r="D9116" t="inlineStr">
        <is>
          <t>GÄVLEBORGS LÄN</t>
        </is>
      </c>
      <c r="E9116" t="inlineStr">
        <is>
          <t>OVANÅKER</t>
        </is>
      </c>
      <c r="F9116" t="inlineStr">
        <is>
          <t>Bergvik skog väst AB</t>
        </is>
      </c>
      <c r="G9116" t="n">
        <v>3.3</v>
      </c>
      <c r="H9116" t="n">
        <v>0</v>
      </c>
      <c r="I9116" t="n">
        <v>0</v>
      </c>
      <c r="J9116" t="n">
        <v>0</v>
      </c>
      <c r="K9116" t="n">
        <v>0</v>
      </c>
      <c r="L9116" t="n">
        <v>0</v>
      </c>
      <c r="M9116" t="n">
        <v>0</v>
      </c>
      <c r="N9116" t="n">
        <v>0</v>
      </c>
      <c r="O9116" t="n">
        <v>0</v>
      </c>
      <c r="P9116" t="n">
        <v>0</v>
      </c>
      <c r="Q9116" t="n">
        <v>0</v>
      </c>
      <c r="R9116" s="2" t="inlineStr"/>
    </row>
    <row r="9117" ht="15" customHeight="1">
      <c r="A9117" t="inlineStr">
        <is>
          <t>A 50569-2023</t>
        </is>
      </c>
      <c r="B9117" s="1" t="n">
        <v>45217</v>
      </c>
      <c r="C9117" s="1" t="n">
        <v>45344</v>
      </c>
      <c r="D9117" t="inlineStr">
        <is>
          <t>GÄVLEBORGS LÄN</t>
        </is>
      </c>
      <c r="E9117" t="inlineStr">
        <is>
          <t>GÄVLE</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50601-2023</t>
        </is>
      </c>
      <c r="B9118" s="1" t="n">
        <v>45217</v>
      </c>
      <c r="C9118" s="1" t="n">
        <v>45344</v>
      </c>
      <c r="D9118" t="inlineStr">
        <is>
          <t>GÄVLEBORGS LÄN</t>
        </is>
      </c>
      <c r="E9118" t="inlineStr">
        <is>
          <t>OVANÅKER</t>
        </is>
      </c>
      <c r="G9118" t="n">
        <v>4.3</v>
      </c>
      <c r="H9118" t="n">
        <v>0</v>
      </c>
      <c r="I9118" t="n">
        <v>0</v>
      </c>
      <c r="J9118" t="n">
        <v>0</v>
      </c>
      <c r="K9118" t="n">
        <v>0</v>
      </c>
      <c r="L9118" t="n">
        <v>0</v>
      </c>
      <c r="M9118" t="n">
        <v>0</v>
      </c>
      <c r="N9118" t="n">
        <v>0</v>
      </c>
      <c r="O9118" t="n">
        <v>0</v>
      </c>
      <c r="P9118" t="n">
        <v>0</v>
      </c>
      <c r="Q9118" t="n">
        <v>0</v>
      </c>
      <c r="R9118" s="2" t="inlineStr"/>
    </row>
    <row r="9119" ht="15" customHeight="1">
      <c r="A9119" t="inlineStr">
        <is>
          <t>A 50620-2023</t>
        </is>
      </c>
      <c r="B9119" s="1" t="n">
        <v>45217</v>
      </c>
      <c r="C9119" s="1" t="n">
        <v>45344</v>
      </c>
      <c r="D9119" t="inlineStr">
        <is>
          <t>GÄVLEBORGS LÄN</t>
        </is>
      </c>
      <c r="E9119" t="inlineStr">
        <is>
          <t>OVANÅKER</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50651-2023</t>
        </is>
      </c>
      <c r="B9120" s="1" t="n">
        <v>45217</v>
      </c>
      <c r="C9120" s="1" t="n">
        <v>45344</v>
      </c>
      <c r="D9120" t="inlineStr">
        <is>
          <t>GÄVLEBORGS LÄN</t>
        </is>
      </c>
      <c r="E9120" t="inlineStr">
        <is>
          <t>OVANÅKER</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50750-2023</t>
        </is>
      </c>
      <c r="B9121" s="1" t="n">
        <v>45217</v>
      </c>
      <c r="C9121" s="1" t="n">
        <v>45344</v>
      </c>
      <c r="D9121" t="inlineStr">
        <is>
          <t>GÄVLEBORGS LÄN</t>
        </is>
      </c>
      <c r="E9121" t="inlineStr">
        <is>
          <t>SÖDERHAMN</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50786-2023</t>
        </is>
      </c>
      <c r="B9122" s="1" t="n">
        <v>45217</v>
      </c>
      <c r="C9122" s="1" t="n">
        <v>45344</v>
      </c>
      <c r="D9122" t="inlineStr">
        <is>
          <t>GÄVLEBORGS LÄN</t>
        </is>
      </c>
      <c r="E9122" t="inlineStr">
        <is>
          <t>OVANÅKER</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50823-2023</t>
        </is>
      </c>
      <c r="B9123" s="1" t="n">
        <v>45218</v>
      </c>
      <c r="C9123" s="1" t="n">
        <v>45344</v>
      </c>
      <c r="D9123" t="inlineStr">
        <is>
          <t>GÄVLEBORGS LÄN</t>
        </is>
      </c>
      <c r="E9123" t="inlineStr">
        <is>
          <t>OVANÅKER</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50758-2023</t>
        </is>
      </c>
      <c r="B9124" s="1" t="n">
        <v>45217</v>
      </c>
      <c r="C9124" s="1" t="n">
        <v>45344</v>
      </c>
      <c r="D9124" t="inlineStr">
        <is>
          <t>GÄVLEBORGS LÄN</t>
        </is>
      </c>
      <c r="E9124" t="inlineStr">
        <is>
          <t>OVANÅKER</t>
        </is>
      </c>
      <c r="F9124" t="inlineStr">
        <is>
          <t>Bergvik skog väst AB</t>
        </is>
      </c>
      <c r="G9124" t="n">
        <v>10.7</v>
      </c>
      <c r="H9124" t="n">
        <v>0</v>
      </c>
      <c r="I9124" t="n">
        <v>0</v>
      </c>
      <c r="J9124" t="n">
        <v>0</v>
      </c>
      <c r="K9124" t="n">
        <v>0</v>
      </c>
      <c r="L9124" t="n">
        <v>0</v>
      </c>
      <c r="M9124" t="n">
        <v>0</v>
      </c>
      <c r="N9124" t="n">
        <v>0</v>
      </c>
      <c r="O9124" t="n">
        <v>0</v>
      </c>
      <c r="P9124" t="n">
        <v>0</v>
      </c>
      <c r="Q9124" t="n">
        <v>0</v>
      </c>
      <c r="R9124" s="2" t="inlineStr"/>
    </row>
    <row r="9125" ht="15" customHeight="1">
      <c r="A9125" t="inlineStr">
        <is>
          <t>A 50769-2023</t>
        </is>
      </c>
      <c r="B9125" s="1" t="n">
        <v>45217</v>
      </c>
      <c r="C9125" s="1" t="n">
        <v>45344</v>
      </c>
      <c r="D9125" t="inlineStr">
        <is>
          <t>GÄVLEBORGS LÄN</t>
        </is>
      </c>
      <c r="E9125" t="inlineStr">
        <is>
          <t>OVANÅKER</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50776-2023</t>
        </is>
      </c>
      <c r="B9126" s="1" t="n">
        <v>45217</v>
      </c>
      <c r="C9126" s="1" t="n">
        <v>45344</v>
      </c>
      <c r="D9126" t="inlineStr">
        <is>
          <t>GÄVLEBORGS LÄN</t>
        </is>
      </c>
      <c r="E9126" t="inlineStr">
        <is>
          <t>OVANÅKER</t>
        </is>
      </c>
      <c r="G9126" t="n">
        <v>2.5</v>
      </c>
      <c r="H9126" t="n">
        <v>0</v>
      </c>
      <c r="I9126" t="n">
        <v>0</v>
      </c>
      <c r="J9126" t="n">
        <v>0</v>
      </c>
      <c r="K9126" t="n">
        <v>0</v>
      </c>
      <c r="L9126" t="n">
        <v>0</v>
      </c>
      <c r="M9126" t="n">
        <v>0</v>
      </c>
      <c r="N9126" t="n">
        <v>0</v>
      </c>
      <c r="O9126" t="n">
        <v>0</v>
      </c>
      <c r="P9126" t="n">
        <v>0</v>
      </c>
      <c r="Q9126" t="n">
        <v>0</v>
      </c>
      <c r="R9126" s="2" t="inlineStr"/>
    </row>
    <row r="9127" ht="15" customHeight="1">
      <c r="A9127" t="inlineStr">
        <is>
          <t>A 50797-2023</t>
        </is>
      </c>
      <c r="B9127" s="1" t="n">
        <v>45217</v>
      </c>
      <c r="C9127" s="1" t="n">
        <v>45344</v>
      </c>
      <c r="D9127" t="inlineStr">
        <is>
          <t>GÄVLEBORGS LÄN</t>
        </is>
      </c>
      <c r="E9127" t="inlineStr">
        <is>
          <t>SANDVIKEN</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50824-2023</t>
        </is>
      </c>
      <c r="B9128" s="1" t="n">
        <v>45217</v>
      </c>
      <c r="C9128" s="1" t="n">
        <v>45344</v>
      </c>
      <c r="D9128" t="inlineStr">
        <is>
          <t>GÄVLEBORGS LÄN</t>
        </is>
      </c>
      <c r="E9128" t="inlineStr">
        <is>
          <t>OVANÅKER</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50868-2023</t>
        </is>
      </c>
      <c r="B9129" s="1" t="n">
        <v>45218</v>
      </c>
      <c r="C9129" s="1" t="n">
        <v>45344</v>
      </c>
      <c r="D9129" t="inlineStr">
        <is>
          <t>GÄVLEBORGS LÄN</t>
        </is>
      </c>
      <c r="E9129" t="inlineStr">
        <is>
          <t>NORDANSTIG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50898-2023</t>
        </is>
      </c>
      <c r="B9130" s="1" t="n">
        <v>45218</v>
      </c>
      <c r="C9130" s="1" t="n">
        <v>45344</v>
      </c>
      <c r="D9130" t="inlineStr">
        <is>
          <t>GÄVLEBORGS LÄN</t>
        </is>
      </c>
      <c r="E9130" t="inlineStr">
        <is>
          <t>HUDIKSVALL</t>
        </is>
      </c>
      <c r="F9130" t="inlineStr">
        <is>
          <t>Holmen skog AB</t>
        </is>
      </c>
      <c r="G9130" t="n">
        <v>6.5</v>
      </c>
      <c r="H9130" t="n">
        <v>0</v>
      </c>
      <c r="I9130" t="n">
        <v>0</v>
      </c>
      <c r="J9130" t="n">
        <v>0</v>
      </c>
      <c r="K9130" t="n">
        <v>0</v>
      </c>
      <c r="L9130" t="n">
        <v>0</v>
      </c>
      <c r="M9130" t="n">
        <v>0</v>
      </c>
      <c r="N9130" t="n">
        <v>0</v>
      </c>
      <c r="O9130" t="n">
        <v>0</v>
      </c>
      <c r="P9130" t="n">
        <v>0</v>
      </c>
      <c r="Q9130" t="n">
        <v>0</v>
      </c>
      <c r="R9130" s="2" t="inlineStr"/>
    </row>
    <row r="9131" ht="15" customHeight="1">
      <c r="A9131" t="inlineStr">
        <is>
          <t>A 50907-2023</t>
        </is>
      </c>
      <c r="B9131" s="1" t="n">
        <v>45218</v>
      </c>
      <c r="C9131" s="1" t="n">
        <v>45344</v>
      </c>
      <c r="D9131" t="inlineStr">
        <is>
          <t>GÄVLEBORGS LÄN</t>
        </is>
      </c>
      <c r="E9131" t="inlineStr">
        <is>
          <t>GÄVLE</t>
        </is>
      </c>
      <c r="F9131" t="inlineStr">
        <is>
          <t>Bergvik skog öst AB</t>
        </is>
      </c>
      <c r="G9131" t="n">
        <v>18.1</v>
      </c>
      <c r="H9131" t="n">
        <v>0</v>
      </c>
      <c r="I9131" t="n">
        <v>0</v>
      </c>
      <c r="J9131" t="n">
        <v>0</v>
      </c>
      <c r="K9131" t="n">
        <v>0</v>
      </c>
      <c r="L9131" t="n">
        <v>0</v>
      </c>
      <c r="M9131" t="n">
        <v>0</v>
      </c>
      <c r="N9131" t="n">
        <v>0</v>
      </c>
      <c r="O9131" t="n">
        <v>0</v>
      </c>
      <c r="P9131" t="n">
        <v>0</v>
      </c>
      <c r="Q9131" t="n">
        <v>0</v>
      </c>
      <c r="R9131" s="2" t="inlineStr"/>
    </row>
    <row r="9132" ht="15" customHeight="1">
      <c r="A9132" t="inlineStr">
        <is>
          <t>A 50912-2023</t>
        </is>
      </c>
      <c r="B9132" s="1" t="n">
        <v>45218</v>
      </c>
      <c r="C9132" s="1" t="n">
        <v>45344</v>
      </c>
      <c r="D9132" t="inlineStr">
        <is>
          <t>GÄVLEBORGS LÄN</t>
        </is>
      </c>
      <c r="E9132" t="inlineStr">
        <is>
          <t>HUDIKSVALL</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50925-2023</t>
        </is>
      </c>
      <c r="B9133" s="1" t="n">
        <v>45218</v>
      </c>
      <c r="C9133" s="1" t="n">
        <v>45344</v>
      </c>
      <c r="D9133" t="inlineStr">
        <is>
          <t>GÄVLEBORGS LÄN</t>
        </is>
      </c>
      <c r="E9133" t="inlineStr">
        <is>
          <t>SÖDERHAMN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51033-2023</t>
        </is>
      </c>
      <c r="B9134" s="1" t="n">
        <v>45218</v>
      </c>
      <c r="C9134" s="1" t="n">
        <v>45344</v>
      </c>
      <c r="D9134" t="inlineStr">
        <is>
          <t>GÄVLEBORGS LÄN</t>
        </is>
      </c>
      <c r="E9134" t="inlineStr">
        <is>
          <t>BOLLNÄS</t>
        </is>
      </c>
      <c r="F9134" t="inlineStr">
        <is>
          <t>Bergvik skog väst AB</t>
        </is>
      </c>
      <c r="G9134" t="n">
        <v>6.2</v>
      </c>
      <c r="H9134" t="n">
        <v>0</v>
      </c>
      <c r="I9134" t="n">
        <v>0</v>
      </c>
      <c r="J9134" t="n">
        <v>0</v>
      </c>
      <c r="K9134" t="n">
        <v>0</v>
      </c>
      <c r="L9134" t="n">
        <v>0</v>
      </c>
      <c r="M9134" t="n">
        <v>0</v>
      </c>
      <c r="N9134" t="n">
        <v>0</v>
      </c>
      <c r="O9134" t="n">
        <v>0</v>
      </c>
      <c r="P9134" t="n">
        <v>0</v>
      </c>
      <c r="Q9134" t="n">
        <v>0</v>
      </c>
      <c r="R9134" s="2" t="inlineStr"/>
    </row>
    <row r="9135" ht="15" customHeight="1">
      <c r="A9135" t="inlineStr">
        <is>
          <t>A 50944-2023</t>
        </is>
      </c>
      <c r="B9135" s="1" t="n">
        <v>45218</v>
      </c>
      <c r="C9135" s="1" t="n">
        <v>45344</v>
      </c>
      <c r="D9135" t="inlineStr">
        <is>
          <t>GÄVLEBORGS LÄN</t>
        </is>
      </c>
      <c r="E9135" t="inlineStr">
        <is>
          <t>LJUSDAL</t>
        </is>
      </c>
      <c r="G9135" t="n">
        <v>1.4</v>
      </c>
      <c r="H9135" t="n">
        <v>0</v>
      </c>
      <c r="I9135" t="n">
        <v>0</v>
      </c>
      <c r="J9135" t="n">
        <v>0</v>
      </c>
      <c r="K9135" t="n">
        <v>0</v>
      </c>
      <c r="L9135" t="n">
        <v>0</v>
      </c>
      <c r="M9135" t="n">
        <v>0</v>
      </c>
      <c r="N9135" t="n">
        <v>0</v>
      </c>
      <c r="O9135" t="n">
        <v>0</v>
      </c>
      <c r="P9135" t="n">
        <v>0</v>
      </c>
      <c r="Q9135" t="n">
        <v>0</v>
      </c>
      <c r="R9135" s="2" t="inlineStr"/>
    </row>
    <row r="9136" ht="15" customHeight="1">
      <c r="A9136" t="inlineStr">
        <is>
          <t>A 51002-2023</t>
        </is>
      </c>
      <c r="B9136" s="1" t="n">
        <v>45218</v>
      </c>
      <c r="C9136" s="1" t="n">
        <v>45344</v>
      </c>
      <c r="D9136" t="inlineStr">
        <is>
          <t>GÄVLEBORGS LÄN</t>
        </is>
      </c>
      <c r="E9136" t="inlineStr">
        <is>
          <t>OVANÅKER</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51023-2023</t>
        </is>
      </c>
      <c r="B9137" s="1" t="n">
        <v>45218</v>
      </c>
      <c r="C9137" s="1" t="n">
        <v>45344</v>
      </c>
      <c r="D9137" t="inlineStr">
        <is>
          <t>GÄVLEBORGS LÄN</t>
        </is>
      </c>
      <c r="E9137" t="inlineStr">
        <is>
          <t>HUDIKSVALL</t>
        </is>
      </c>
      <c r="F9137" t="inlineStr">
        <is>
          <t>Holmen skog AB</t>
        </is>
      </c>
      <c r="G9137" t="n">
        <v>13.7</v>
      </c>
      <c r="H9137" t="n">
        <v>0</v>
      </c>
      <c r="I9137" t="n">
        <v>0</v>
      </c>
      <c r="J9137" t="n">
        <v>0</v>
      </c>
      <c r="K9137" t="n">
        <v>0</v>
      </c>
      <c r="L9137" t="n">
        <v>0</v>
      </c>
      <c r="M9137" t="n">
        <v>0</v>
      </c>
      <c r="N9137" t="n">
        <v>0</v>
      </c>
      <c r="O9137" t="n">
        <v>0</v>
      </c>
      <c r="P9137" t="n">
        <v>0</v>
      </c>
      <c r="Q9137" t="n">
        <v>0</v>
      </c>
      <c r="R9137" s="2" t="inlineStr"/>
    </row>
    <row r="9138" ht="15" customHeight="1">
      <c r="A9138" t="inlineStr">
        <is>
          <t>A 51044-2023</t>
        </is>
      </c>
      <c r="B9138" s="1" t="n">
        <v>45218</v>
      </c>
      <c r="C9138" s="1" t="n">
        <v>45344</v>
      </c>
      <c r="D9138" t="inlineStr">
        <is>
          <t>GÄVLEBORGS LÄN</t>
        </is>
      </c>
      <c r="E9138" t="inlineStr">
        <is>
          <t>BOLLNÄS</t>
        </is>
      </c>
      <c r="F9138" t="inlineStr">
        <is>
          <t>Bergvik skog väst AB</t>
        </is>
      </c>
      <c r="G9138" t="n">
        <v>13.9</v>
      </c>
      <c r="H9138" t="n">
        <v>0</v>
      </c>
      <c r="I9138" t="n">
        <v>0</v>
      </c>
      <c r="J9138" t="n">
        <v>0</v>
      </c>
      <c r="K9138" t="n">
        <v>0</v>
      </c>
      <c r="L9138" t="n">
        <v>0</v>
      </c>
      <c r="M9138" t="n">
        <v>0</v>
      </c>
      <c r="N9138" t="n">
        <v>0</v>
      </c>
      <c r="O9138" t="n">
        <v>0</v>
      </c>
      <c r="P9138" t="n">
        <v>0</v>
      </c>
      <c r="Q9138" t="n">
        <v>0</v>
      </c>
      <c r="R9138" s="2" t="inlineStr"/>
    </row>
    <row r="9139" ht="15" customHeight="1">
      <c r="A9139" t="inlineStr">
        <is>
          <t>A 51073-2023</t>
        </is>
      </c>
      <c r="B9139" s="1" t="n">
        <v>45218</v>
      </c>
      <c r="C9139" s="1" t="n">
        <v>45344</v>
      </c>
      <c r="D9139" t="inlineStr">
        <is>
          <t>GÄVLEBORGS LÄN</t>
        </is>
      </c>
      <c r="E9139" t="inlineStr">
        <is>
          <t>SANDVIKEN</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51064-2023</t>
        </is>
      </c>
      <c r="B9140" s="1" t="n">
        <v>45218</v>
      </c>
      <c r="C9140" s="1" t="n">
        <v>45344</v>
      </c>
      <c r="D9140" t="inlineStr">
        <is>
          <t>GÄVLEBORGS LÄN</t>
        </is>
      </c>
      <c r="E9140" t="inlineStr">
        <is>
          <t>NORDANSTIG</t>
        </is>
      </c>
      <c r="F9140" t="inlineStr">
        <is>
          <t>Holmen skog AB</t>
        </is>
      </c>
      <c r="G9140" t="n">
        <v>8.4</v>
      </c>
      <c r="H9140" t="n">
        <v>0</v>
      </c>
      <c r="I9140" t="n">
        <v>0</v>
      </c>
      <c r="J9140" t="n">
        <v>0</v>
      </c>
      <c r="K9140" t="n">
        <v>0</v>
      </c>
      <c r="L9140" t="n">
        <v>0</v>
      </c>
      <c r="M9140" t="n">
        <v>0</v>
      </c>
      <c r="N9140" t="n">
        <v>0</v>
      </c>
      <c r="O9140" t="n">
        <v>0</v>
      </c>
      <c r="P9140" t="n">
        <v>0</v>
      </c>
      <c r="Q9140" t="n">
        <v>0</v>
      </c>
      <c r="R9140" s="2" t="inlineStr"/>
    </row>
    <row r="9141" ht="15" customHeight="1">
      <c r="A9141" t="inlineStr">
        <is>
          <t>A 51071-2023</t>
        </is>
      </c>
      <c r="B9141" s="1" t="n">
        <v>45218</v>
      </c>
      <c r="C9141" s="1" t="n">
        <v>45344</v>
      </c>
      <c r="D9141" t="inlineStr">
        <is>
          <t>GÄVLEBORGS LÄN</t>
        </is>
      </c>
      <c r="E9141" t="inlineStr">
        <is>
          <t>GÄVLE</t>
        </is>
      </c>
      <c r="G9141" t="n">
        <v>3.1</v>
      </c>
      <c r="H9141" t="n">
        <v>0</v>
      </c>
      <c r="I9141" t="n">
        <v>0</v>
      </c>
      <c r="J9141" t="n">
        <v>0</v>
      </c>
      <c r="K9141" t="n">
        <v>0</v>
      </c>
      <c r="L9141" t="n">
        <v>0</v>
      </c>
      <c r="M9141" t="n">
        <v>0</v>
      </c>
      <c r="N9141" t="n">
        <v>0</v>
      </c>
      <c r="O9141" t="n">
        <v>0</v>
      </c>
      <c r="P9141" t="n">
        <v>0</v>
      </c>
      <c r="Q9141" t="n">
        <v>0</v>
      </c>
      <c r="R9141" s="2" t="inlineStr"/>
    </row>
    <row r="9142" ht="15" customHeight="1">
      <c r="A9142" t="inlineStr">
        <is>
          <t>A 51100-2023</t>
        </is>
      </c>
      <c r="B9142" s="1" t="n">
        <v>45218</v>
      </c>
      <c r="C9142" s="1" t="n">
        <v>45344</v>
      </c>
      <c r="D9142" t="inlineStr">
        <is>
          <t>GÄVLEBORGS LÄN</t>
        </is>
      </c>
      <c r="E9142" t="inlineStr">
        <is>
          <t>HUDIKSVALL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50980-2023</t>
        </is>
      </c>
      <c r="B9143" s="1" t="n">
        <v>45218</v>
      </c>
      <c r="C9143" s="1" t="n">
        <v>45344</v>
      </c>
      <c r="D9143" t="inlineStr">
        <is>
          <t>GÄVLEBORGS LÄN</t>
        </is>
      </c>
      <c r="E9143" t="inlineStr">
        <is>
          <t>GÄVLE</t>
        </is>
      </c>
      <c r="F9143" t="inlineStr">
        <is>
          <t>Bergvik skog öst AB</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51052-2023</t>
        </is>
      </c>
      <c r="B9144" s="1" t="n">
        <v>45218</v>
      </c>
      <c r="C9144" s="1" t="n">
        <v>45344</v>
      </c>
      <c r="D9144" t="inlineStr">
        <is>
          <t>GÄVLEBORGS LÄN</t>
        </is>
      </c>
      <c r="E9144" t="inlineStr">
        <is>
          <t>BOLLNÄS</t>
        </is>
      </c>
      <c r="F9144" t="inlineStr">
        <is>
          <t>Bergvik skog väst AB</t>
        </is>
      </c>
      <c r="G9144" t="n">
        <v>6.5</v>
      </c>
      <c r="H9144" t="n">
        <v>0</v>
      </c>
      <c r="I9144" t="n">
        <v>0</v>
      </c>
      <c r="J9144" t="n">
        <v>0</v>
      </c>
      <c r="K9144" t="n">
        <v>0</v>
      </c>
      <c r="L9144" t="n">
        <v>0</v>
      </c>
      <c r="M9144" t="n">
        <v>0</v>
      </c>
      <c r="N9144" t="n">
        <v>0</v>
      </c>
      <c r="O9144" t="n">
        <v>0</v>
      </c>
      <c r="P9144" t="n">
        <v>0</v>
      </c>
      <c r="Q9144" t="n">
        <v>0</v>
      </c>
      <c r="R9144" s="2" t="inlineStr"/>
    </row>
    <row r="9145" ht="15" customHeight="1">
      <c r="A9145" t="inlineStr">
        <is>
          <t>A 51081-2023</t>
        </is>
      </c>
      <c r="B9145" s="1" t="n">
        <v>45218</v>
      </c>
      <c r="C9145" s="1" t="n">
        <v>45344</v>
      </c>
      <c r="D9145" t="inlineStr">
        <is>
          <t>GÄVLEBORGS LÄN</t>
        </is>
      </c>
      <c r="E9145" t="inlineStr">
        <is>
          <t>NORDANSTIG</t>
        </is>
      </c>
      <c r="G9145" t="n">
        <v>3.9</v>
      </c>
      <c r="H9145" t="n">
        <v>0</v>
      </c>
      <c r="I9145" t="n">
        <v>0</v>
      </c>
      <c r="J9145" t="n">
        <v>0</v>
      </c>
      <c r="K9145" t="n">
        <v>0</v>
      </c>
      <c r="L9145" t="n">
        <v>0</v>
      </c>
      <c r="M9145" t="n">
        <v>0</v>
      </c>
      <c r="N9145" t="n">
        <v>0</v>
      </c>
      <c r="O9145" t="n">
        <v>0</v>
      </c>
      <c r="P9145" t="n">
        <v>0</v>
      </c>
      <c r="Q9145" t="n">
        <v>0</v>
      </c>
      <c r="R9145" s="2" t="inlineStr"/>
    </row>
    <row r="9146" ht="15" customHeight="1">
      <c r="A9146" t="inlineStr">
        <is>
          <t>A 51101-2023</t>
        </is>
      </c>
      <c r="B9146" s="1" t="n">
        <v>45219</v>
      </c>
      <c r="C9146" s="1" t="n">
        <v>45344</v>
      </c>
      <c r="D9146" t="inlineStr">
        <is>
          <t>GÄVLEBORGS LÄN</t>
        </is>
      </c>
      <c r="E9146" t="inlineStr">
        <is>
          <t>HUDIKSVALL</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51290-2023</t>
        </is>
      </c>
      <c r="B9147" s="1" t="n">
        <v>45219</v>
      </c>
      <c r="C9147" s="1" t="n">
        <v>45344</v>
      </c>
      <c r="D9147" t="inlineStr">
        <is>
          <t>GÄVLEBORGS LÄN</t>
        </is>
      </c>
      <c r="E9147" t="inlineStr">
        <is>
          <t>SÖDERHAMN</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51300-2023</t>
        </is>
      </c>
      <c r="B9148" s="1" t="n">
        <v>45219</v>
      </c>
      <c r="C9148" s="1" t="n">
        <v>45344</v>
      </c>
      <c r="D9148" t="inlineStr">
        <is>
          <t>GÄVLEBORGS LÄN</t>
        </is>
      </c>
      <c r="E9148" t="inlineStr">
        <is>
          <t>BOLLNÄS</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51346-2023</t>
        </is>
      </c>
      <c r="B9149" s="1" t="n">
        <v>45219</v>
      </c>
      <c r="C9149" s="1" t="n">
        <v>45344</v>
      </c>
      <c r="D9149" t="inlineStr">
        <is>
          <t>GÄVLEBORGS LÄN</t>
        </is>
      </c>
      <c r="E9149" t="inlineStr">
        <is>
          <t>BOLLNÄS</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51265-2023</t>
        </is>
      </c>
      <c r="B9150" s="1" t="n">
        <v>45219</v>
      </c>
      <c r="C9150" s="1" t="n">
        <v>45344</v>
      </c>
      <c r="D9150" t="inlineStr">
        <is>
          <t>GÄVLEBORGS LÄN</t>
        </is>
      </c>
      <c r="E9150" t="inlineStr">
        <is>
          <t>GÄVLE</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51238-2023</t>
        </is>
      </c>
      <c r="B9151" s="1" t="n">
        <v>45219</v>
      </c>
      <c r="C9151" s="1" t="n">
        <v>45344</v>
      </c>
      <c r="D9151" t="inlineStr">
        <is>
          <t>GÄVLEBORGS LÄN</t>
        </is>
      </c>
      <c r="E9151" t="inlineStr">
        <is>
          <t>LJUSDAL</t>
        </is>
      </c>
      <c r="F9151" t="inlineStr">
        <is>
          <t>Sveaskog</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51246-2023</t>
        </is>
      </c>
      <c r="B9152" s="1" t="n">
        <v>45219</v>
      </c>
      <c r="C9152" s="1" t="n">
        <v>45344</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51137-2023</t>
        </is>
      </c>
      <c r="B9153" s="1" t="n">
        <v>45219</v>
      </c>
      <c r="C9153" s="1" t="n">
        <v>45344</v>
      </c>
      <c r="D9153" t="inlineStr">
        <is>
          <t>GÄVLEBORGS LÄN</t>
        </is>
      </c>
      <c r="E9153" t="inlineStr">
        <is>
          <t>BOLLNÄS</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52674-2023</t>
        </is>
      </c>
      <c r="B9154" s="1" t="n">
        <v>45219</v>
      </c>
      <c r="C9154" s="1" t="n">
        <v>45344</v>
      </c>
      <c r="D9154" t="inlineStr">
        <is>
          <t>GÄVLEBORGS LÄN</t>
        </is>
      </c>
      <c r="E9154" t="inlineStr">
        <is>
          <t>LJUSDAL</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51310-2023</t>
        </is>
      </c>
      <c r="B9155" s="1" t="n">
        <v>45219</v>
      </c>
      <c r="C9155" s="1" t="n">
        <v>45344</v>
      </c>
      <c r="D9155" t="inlineStr">
        <is>
          <t>GÄVLEBORGS LÄN</t>
        </is>
      </c>
      <c r="E9155" t="inlineStr">
        <is>
          <t>BOLLNÄS</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51413-2023</t>
        </is>
      </c>
      <c r="B9156" s="1" t="n">
        <v>45219</v>
      </c>
      <c r="C9156" s="1" t="n">
        <v>45344</v>
      </c>
      <c r="D9156" t="inlineStr">
        <is>
          <t>GÄVLEBORGS LÄN</t>
        </is>
      </c>
      <c r="E9156" t="inlineStr">
        <is>
          <t>SÖDERHAMN</t>
        </is>
      </c>
      <c r="F9156" t="inlineStr">
        <is>
          <t>Kommuner</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51153-2023</t>
        </is>
      </c>
      <c r="B9157" s="1" t="n">
        <v>45219</v>
      </c>
      <c r="C9157" s="1" t="n">
        <v>45344</v>
      </c>
      <c r="D9157" t="inlineStr">
        <is>
          <t>GÄVLEBORGS LÄN</t>
        </is>
      </c>
      <c r="E9157" t="inlineStr">
        <is>
          <t>BOLLNÄS</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51438-2023</t>
        </is>
      </c>
      <c r="B9158" s="1" t="n">
        <v>45219</v>
      </c>
      <c r="C9158" s="1" t="n">
        <v>45344</v>
      </c>
      <c r="D9158" t="inlineStr">
        <is>
          <t>GÄVLEBORGS LÄN</t>
        </is>
      </c>
      <c r="E9158" t="inlineStr">
        <is>
          <t>NORDANSTIG</t>
        </is>
      </c>
      <c r="F9158" t="inlineStr">
        <is>
          <t>SCA</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51133-2023</t>
        </is>
      </c>
      <c r="B9159" s="1" t="n">
        <v>45219</v>
      </c>
      <c r="C9159" s="1" t="n">
        <v>45344</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51194-2023</t>
        </is>
      </c>
      <c r="B9160" s="1" t="n">
        <v>45219</v>
      </c>
      <c r="C9160" s="1" t="n">
        <v>45344</v>
      </c>
      <c r="D9160" t="inlineStr">
        <is>
          <t>GÄVLEBORGS LÄN</t>
        </is>
      </c>
      <c r="E9160" t="inlineStr">
        <is>
          <t>NORDANSTIG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51198-2023</t>
        </is>
      </c>
      <c r="B9161" s="1" t="n">
        <v>45219</v>
      </c>
      <c r="C9161" s="1" t="n">
        <v>45344</v>
      </c>
      <c r="D9161" t="inlineStr">
        <is>
          <t>GÄVLEBORGS LÄN</t>
        </is>
      </c>
      <c r="E9161" t="inlineStr">
        <is>
          <t>NORDANSTIG</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51211-2023</t>
        </is>
      </c>
      <c r="B9162" s="1" t="n">
        <v>45219</v>
      </c>
      <c r="C9162" s="1" t="n">
        <v>45344</v>
      </c>
      <c r="D9162" t="inlineStr">
        <is>
          <t>GÄVLEBORGS LÄN</t>
        </is>
      </c>
      <c r="E9162" t="inlineStr">
        <is>
          <t>BOLLNÄS</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51259-2023</t>
        </is>
      </c>
      <c r="B9163" s="1" t="n">
        <v>45219</v>
      </c>
      <c r="C9163" s="1" t="n">
        <v>45344</v>
      </c>
      <c r="D9163" t="inlineStr">
        <is>
          <t>GÄVLEBORGS LÄN</t>
        </is>
      </c>
      <c r="E9163" t="inlineStr">
        <is>
          <t>BOLLNÄS</t>
        </is>
      </c>
      <c r="G9163" t="n">
        <v>0.4</v>
      </c>
      <c r="H9163" t="n">
        <v>0</v>
      </c>
      <c r="I9163" t="n">
        <v>0</v>
      </c>
      <c r="J9163" t="n">
        <v>0</v>
      </c>
      <c r="K9163" t="n">
        <v>0</v>
      </c>
      <c r="L9163" t="n">
        <v>0</v>
      </c>
      <c r="M9163" t="n">
        <v>0</v>
      </c>
      <c r="N9163" t="n">
        <v>0</v>
      </c>
      <c r="O9163" t="n">
        <v>0</v>
      </c>
      <c r="P9163" t="n">
        <v>0</v>
      </c>
      <c r="Q9163" t="n">
        <v>0</v>
      </c>
      <c r="R9163" s="2" t="inlineStr"/>
    </row>
    <row r="9164" ht="15" customHeight="1">
      <c r="A9164" t="inlineStr">
        <is>
          <t>A 51292-2023</t>
        </is>
      </c>
      <c r="B9164" s="1" t="n">
        <v>45219</v>
      </c>
      <c r="C9164" s="1" t="n">
        <v>45344</v>
      </c>
      <c r="D9164" t="inlineStr">
        <is>
          <t>GÄVLEBORGS LÄN</t>
        </is>
      </c>
      <c r="E9164" t="inlineStr">
        <is>
          <t>SÖDERHAMN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51306-2023</t>
        </is>
      </c>
      <c r="B9165" s="1" t="n">
        <v>45219</v>
      </c>
      <c r="C9165" s="1" t="n">
        <v>45344</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51439-2023</t>
        </is>
      </c>
      <c r="B9166" s="1" t="n">
        <v>45219</v>
      </c>
      <c r="C9166" s="1" t="n">
        <v>45344</v>
      </c>
      <c r="D9166" t="inlineStr">
        <is>
          <t>GÄVLEBORGS LÄN</t>
        </is>
      </c>
      <c r="E9166" t="inlineStr">
        <is>
          <t>NORDANSTIG</t>
        </is>
      </c>
      <c r="F9166" t="inlineStr">
        <is>
          <t>SCA</t>
        </is>
      </c>
      <c r="G9166" t="n">
        <v>9.5</v>
      </c>
      <c r="H9166" t="n">
        <v>0</v>
      </c>
      <c r="I9166" t="n">
        <v>0</v>
      </c>
      <c r="J9166" t="n">
        <v>0</v>
      </c>
      <c r="K9166" t="n">
        <v>0</v>
      </c>
      <c r="L9166" t="n">
        <v>0</v>
      </c>
      <c r="M9166" t="n">
        <v>0</v>
      </c>
      <c r="N9166" t="n">
        <v>0</v>
      </c>
      <c r="O9166" t="n">
        <v>0</v>
      </c>
      <c r="P9166" t="n">
        <v>0</v>
      </c>
      <c r="Q9166" t="n">
        <v>0</v>
      </c>
      <c r="R9166" s="2" t="inlineStr"/>
    </row>
    <row r="9167" ht="15" customHeight="1">
      <c r="A9167" t="inlineStr">
        <is>
          <t>A 51353-2023</t>
        </is>
      </c>
      <c r="B9167" s="1" t="n">
        <v>45219</v>
      </c>
      <c r="C9167" s="1" t="n">
        <v>45344</v>
      </c>
      <c r="D9167" t="inlineStr">
        <is>
          <t>GÄVLEBORGS LÄN</t>
        </is>
      </c>
      <c r="E9167" t="inlineStr">
        <is>
          <t>LJUSDAL</t>
        </is>
      </c>
      <c r="G9167" t="n">
        <v>3.2</v>
      </c>
      <c r="H9167" t="n">
        <v>0</v>
      </c>
      <c r="I9167" t="n">
        <v>0</v>
      </c>
      <c r="J9167" t="n">
        <v>0</v>
      </c>
      <c r="K9167" t="n">
        <v>0</v>
      </c>
      <c r="L9167" t="n">
        <v>0</v>
      </c>
      <c r="M9167" t="n">
        <v>0</v>
      </c>
      <c r="N9167" t="n">
        <v>0</v>
      </c>
      <c r="O9167" t="n">
        <v>0</v>
      </c>
      <c r="P9167" t="n">
        <v>0</v>
      </c>
      <c r="Q9167" t="n">
        <v>0</v>
      </c>
      <c r="R9167" s="2" t="inlineStr"/>
    </row>
    <row r="9168" ht="15" customHeight="1">
      <c r="A9168" t="inlineStr">
        <is>
          <t>A 51338-2023</t>
        </is>
      </c>
      <c r="B9168" s="1" t="n">
        <v>45219</v>
      </c>
      <c r="C9168" s="1" t="n">
        <v>45344</v>
      </c>
      <c r="D9168" t="inlineStr">
        <is>
          <t>GÄVLEBORGS LÄN</t>
        </is>
      </c>
      <c r="E9168" t="inlineStr">
        <is>
          <t>BOLLNÄS</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51249-2023</t>
        </is>
      </c>
      <c r="B9169" s="1" t="n">
        <v>45219</v>
      </c>
      <c r="C9169" s="1" t="n">
        <v>45344</v>
      </c>
      <c r="D9169" t="inlineStr">
        <is>
          <t>GÄVLEBORGS LÄN</t>
        </is>
      </c>
      <c r="E9169" t="inlineStr">
        <is>
          <t>GÄVLE</t>
        </is>
      </c>
      <c r="G9169" t="n">
        <v>3.1</v>
      </c>
      <c r="H9169" t="n">
        <v>0</v>
      </c>
      <c r="I9169" t="n">
        <v>0</v>
      </c>
      <c r="J9169" t="n">
        <v>0</v>
      </c>
      <c r="K9169" t="n">
        <v>0</v>
      </c>
      <c r="L9169" t="n">
        <v>0</v>
      </c>
      <c r="M9169" t="n">
        <v>0</v>
      </c>
      <c r="N9169" t="n">
        <v>0</v>
      </c>
      <c r="O9169" t="n">
        <v>0</v>
      </c>
      <c r="P9169" t="n">
        <v>0</v>
      </c>
      <c r="Q9169" t="n">
        <v>0</v>
      </c>
      <c r="R9169" s="2" t="inlineStr"/>
    </row>
    <row r="9170" ht="15" customHeight="1">
      <c r="A9170" t="inlineStr">
        <is>
          <t>A 51244-2023</t>
        </is>
      </c>
      <c r="B9170" s="1" t="n">
        <v>45219</v>
      </c>
      <c r="C9170" s="1" t="n">
        <v>45344</v>
      </c>
      <c r="D9170" t="inlineStr">
        <is>
          <t>GÄVLEBORGS LÄN</t>
        </is>
      </c>
      <c r="E9170" t="inlineStr">
        <is>
          <t>BOLLNÄS</t>
        </is>
      </c>
      <c r="G9170" t="n">
        <v>1</v>
      </c>
      <c r="H9170" t="n">
        <v>0</v>
      </c>
      <c r="I9170" t="n">
        <v>0</v>
      </c>
      <c r="J9170" t="n">
        <v>0</v>
      </c>
      <c r="K9170" t="n">
        <v>0</v>
      </c>
      <c r="L9170" t="n">
        <v>0</v>
      </c>
      <c r="M9170" t="n">
        <v>0</v>
      </c>
      <c r="N9170" t="n">
        <v>0</v>
      </c>
      <c r="O9170" t="n">
        <v>0</v>
      </c>
      <c r="P9170" t="n">
        <v>0</v>
      </c>
      <c r="Q9170" t="n">
        <v>0</v>
      </c>
      <c r="R9170" s="2" t="inlineStr"/>
      <c r="U9170">
        <f>HYPERLINK("https://klasma.github.io/Logging_2183/knärot/A 51244-2023 karta knärot.png", "A 51244-2023")</f>
        <v/>
      </c>
      <c r="V9170">
        <f>HYPERLINK("https://klasma.github.io/Logging_2183/klagomål/A 51244-2023 FSC-klagomål.docx", "A 51244-2023")</f>
        <v/>
      </c>
      <c r="W9170">
        <f>HYPERLINK("https://klasma.github.io/Logging_2183/klagomålsmail/A 51244-2023 FSC-klagomål mail.docx", "A 51244-2023")</f>
        <v/>
      </c>
      <c r="X9170">
        <f>HYPERLINK("https://klasma.github.io/Logging_2183/tillsyn/A 51244-2023 tillsynsbegäran.docx", "A 51244-2023")</f>
        <v/>
      </c>
      <c r="Y9170">
        <f>HYPERLINK("https://klasma.github.io/Logging_2183/tillsynsmail/A 51244-2023 tillsynsbegäran mail.docx", "A 51244-2023")</f>
        <v/>
      </c>
    </row>
    <row r="9171" ht="15" customHeight="1">
      <c r="A9171" t="inlineStr">
        <is>
          <t>A 51227-2023</t>
        </is>
      </c>
      <c r="B9171" s="1" t="n">
        <v>45219</v>
      </c>
      <c r="C9171" s="1" t="n">
        <v>45344</v>
      </c>
      <c r="D9171" t="inlineStr">
        <is>
          <t>GÄVLEBORGS LÄN</t>
        </is>
      </c>
      <c r="E9171" t="inlineStr">
        <is>
          <t>NORDANSTIG</t>
        </is>
      </c>
      <c r="G9171" t="n">
        <v>10.2</v>
      </c>
      <c r="H9171" t="n">
        <v>0</v>
      </c>
      <c r="I9171" t="n">
        <v>0</v>
      </c>
      <c r="J9171" t="n">
        <v>0</v>
      </c>
      <c r="K9171" t="n">
        <v>0</v>
      </c>
      <c r="L9171" t="n">
        <v>0</v>
      </c>
      <c r="M9171" t="n">
        <v>0</v>
      </c>
      <c r="N9171" t="n">
        <v>0</v>
      </c>
      <c r="O9171" t="n">
        <v>0</v>
      </c>
      <c r="P9171" t="n">
        <v>0</v>
      </c>
      <c r="Q9171" t="n">
        <v>0</v>
      </c>
      <c r="R9171" s="2" t="inlineStr"/>
    </row>
    <row r="9172" ht="15" customHeight="1">
      <c r="A9172" t="inlineStr">
        <is>
          <t>A 51210-2023</t>
        </is>
      </c>
      <c r="B9172" s="1" t="n">
        <v>45219</v>
      </c>
      <c r="C9172" s="1" t="n">
        <v>45344</v>
      </c>
      <c r="D9172" t="inlineStr">
        <is>
          <t>GÄVLEBORGS LÄN</t>
        </is>
      </c>
      <c r="E9172" t="inlineStr">
        <is>
          <t>HUDIKSVALL</t>
        </is>
      </c>
      <c r="G9172" t="n">
        <v>15.3</v>
      </c>
      <c r="H9172" t="n">
        <v>0</v>
      </c>
      <c r="I9172" t="n">
        <v>0</v>
      </c>
      <c r="J9172" t="n">
        <v>0</v>
      </c>
      <c r="K9172" t="n">
        <v>0</v>
      </c>
      <c r="L9172" t="n">
        <v>0</v>
      </c>
      <c r="M9172" t="n">
        <v>0</v>
      </c>
      <c r="N9172" t="n">
        <v>0</v>
      </c>
      <c r="O9172" t="n">
        <v>0</v>
      </c>
      <c r="P9172" t="n">
        <v>0</v>
      </c>
      <c r="Q9172" t="n">
        <v>0</v>
      </c>
      <c r="R9172" s="2" t="inlineStr"/>
    </row>
    <row r="9173" ht="15" customHeight="1">
      <c r="A9173" t="inlineStr">
        <is>
          <t>A 51116-2023</t>
        </is>
      </c>
      <c r="B9173" s="1" t="n">
        <v>45219</v>
      </c>
      <c r="C9173" s="1" t="n">
        <v>45344</v>
      </c>
      <c r="D9173" t="inlineStr">
        <is>
          <t>GÄVLEBORGS LÄN</t>
        </is>
      </c>
      <c r="E9173" t="inlineStr">
        <is>
          <t>LJUSDAL</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51241-2023</t>
        </is>
      </c>
      <c r="B9174" s="1" t="n">
        <v>45219</v>
      </c>
      <c r="C9174" s="1" t="n">
        <v>45344</v>
      </c>
      <c r="D9174" t="inlineStr">
        <is>
          <t>GÄVLEBORGS LÄN</t>
        </is>
      </c>
      <c r="E9174" t="inlineStr">
        <is>
          <t>HUDIKSVALL</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51247-2023</t>
        </is>
      </c>
      <c r="B9175" s="1" t="n">
        <v>45219</v>
      </c>
      <c r="C9175" s="1" t="n">
        <v>45344</v>
      </c>
      <c r="D9175" t="inlineStr">
        <is>
          <t>GÄVLEBORGS LÄN</t>
        </is>
      </c>
      <c r="E9175" t="inlineStr">
        <is>
          <t>BOLLNÄS</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51255-2023</t>
        </is>
      </c>
      <c r="B9176" s="1" t="n">
        <v>45219</v>
      </c>
      <c r="C9176" s="1" t="n">
        <v>45344</v>
      </c>
      <c r="D9176" t="inlineStr">
        <is>
          <t>GÄVLEBORGS LÄN</t>
        </is>
      </c>
      <c r="E9176" t="inlineStr">
        <is>
          <t>HUDIKSVALL</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51260-2023</t>
        </is>
      </c>
      <c r="B9177" s="1" t="n">
        <v>45219</v>
      </c>
      <c r="C9177" s="1" t="n">
        <v>45344</v>
      </c>
      <c r="D9177" t="inlineStr">
        <is>
          <t>GÄVLEBORGS LÄN</t>
        </is>
      </c>
      <c r="E9177" t="inlineStr">
        <is>
          <t>HUDIKSVALL</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51293-2023</t>
        </is>
      </c>
      <c r="B9178" s="1" t="n">
        <v>45219</v>
      </c>
      <c r="C9178" s="1" t="n">
        <v>45344</v>
      </c>
      <c r="D9178" t="inlineStr">
        <is>
          <t>GÄVLEBORGS LÄN</t>
        </is>
      </c>
      <c r="E9178" t="inlineStr">
        <is>
          <t>SÖDERHAMN</t>
        </is>
      </c>
      <c r="G9178" t="n">
        <v>7.2</v>
      </c>
      <c r="H9178" t="n">
        <v>0</v>
      </c>
      <c r="I9178" t="n">
        <v>0</v>
      </c>
      <c r="J9178" t="n">
        <v>0</v>
      </c>
      <c r="K9178" t="n">
        <v>0</v>
      </c>
      <c r="L9178" t="n">
        <v>0</v>
      </c>
      <c r="M9178" t="n">
        <v>0</v>
      </c>
      <c r="N9178" t="n">
        <v>0</v>
      </c>
      <c r="O9178" t="n">
        <v>0</v>
      </c>
      <c r="P9178" t="n">
        <v>0</v>
      </c>
      <c r="Q9178" t="n">
        <v>0</v>
      </c>
      <c r="R9178" s="2" t="inlineStr"/>
    </row>
    <row r="9179" ht="15" customHeight="1">
      <c r="A9179" t="inlineStr">
        <is>
          <t>A 51355-2023</t>
        </is>
      </c>
      <c r="B9179" s="1" t="n">
        <v>45219</v>
      </c>
      <c r="C9179" s="1" t="n">
        <v>45344</v>
      </c>
      <c r="D9179" t="inlineStr">
        <is>
          <t>GÄVLEBORGS LÄN</t>
        </is>
      </c>
      <c r="E9179" t="inlineStr">
        <is>
          <t>BOLLNÄS</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51234-2023</t>
        </is>
      </c>
      <c r="B9180" s="1" t="n">
        <v>45219</v>
      </c>
      <c r="C9180" s="1" t="n">
        <v>45344</v>
      </c>
      <c r="D9180" t="inlineStr">
        <is>
          <t>GÄVLEBORGS LÄN</t>
        </is>
      </c>
      <c r="E9180" t="inlineStr">
        <is>
          <t>OVANÅKER</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51257-2023</t>
        </is>
      </c>
      <c r="B9181" s="1" t="n">
        <v>45219</v>
      </c>
      <c r="C9181" s="1" t="n">
        <v>45344</v>
      </c>
      <c r="D9181" t="inlineStr">
        <is>
          <t>GÄVLEBORGS LÄN</t>
        </is>
      </c>
      <c r="E9181" t="inlineStr">
        <is>
          <t>BOLLNÄS</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51261-2023</t>
        </is>
      </c>
      <c r="B9182" s="1" t="n">
        <v>45219</v>
      </c>
      <c r="C9182" s="1" t="n">
        <v>45344</v>
      </c>
      <c r="D9182" t="inlineStr">
        <is>
          <t>GÄVLEBORGS LÄN</t>
        </is>
      </c>
      <c r="E9182" t="inlineStr">
        <is>
          <t>BOLLNÄS</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51322-2023</t>
        </is>
      </c>
      <c r="B9183" s="1" t="n">
        <v>45219</v>
      </c>
      <c r="C9183" s="1" t="n">
        <v>45344</v>
      </c>
      <c r="D9183" t="inlineStr">
        <is>
          <t>GÄVLEBORGS LÄN</t>
        </is>
      </c>
      <c r="E9183" t="inlineStr">
        <is>
          <t>BOLLNÄS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51337-2023</t>
        </is>
      </c>
      <c r="B9184" s="1" t="n">
        <v>45219</v>
      </c>
      <c r="C9184" s="1" t="n">
        <v>45344</v>
      </c>
      <c r="D9184" t="inlineStr">
        <is>
          <t>GÄVLEBORGS LÄN</t>
        </is>
      </c>
      <c r="E9184" t="inlineStr">
        <is>
          <t>HOFORS</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51341-2023</t>
        </is>
      </c>
      <c r="B9185" s="1" t="n">
        <v>45219</v>
      </c>
      <c r="C9185" s="1" t="n">
        <v>45344</v>
      </c>
      <c r="D9185" t="inlineStr">
        <is>
          <t>GÄVLEBORGS LÄN</t>
        </is>
      </c>
      <c r="E9185" t="inlineStr">
        <is>
          <t>LJUSDAL</t>
        </is>
      </c>
      <c r="F9185" t="inlineStr">
        <is>
          <t>Sveaskog</t>
        </is>
      </c>
      <c r="G9185" t="n">
        <v>0.2</v>
      </c>
      <c r="H9185" t="n">
        <v>0</v>
      </c>
      <c r="I9185" t="n">
        <v>0</v>
      </c>
      <c r="J9185" t="n">
        <v>0</v>
      </c>
      <c r="K9185" t="n">
        <v>0</v>
      </c>
      <c r="L9185" t="n">
        <v>0</v>
      </c>
      <c r="M9185" t="n">
        <v>0</v>
      </c>
      <c r="N9185" t="n">
        <v>0</v>
      </c>
      <c r="O9185" t="n">
        <v>0</v>
      </c>
      <c r="P9185" t="n">
        <v>0</v>
      </c>
      <c r="Q9185" t="n">
        <v>0</v>
      </c>
      <c r="R9185" s="2" t="inlineStr"/>
    </row>
    <row r="9186" ht="15" customHeight="1">
      <c r="A9186" t="inlineStr">
        <is>
          <t>A 51454-2023</t>
        </is>
      </c>
      <c r="B9186" s="1" t="n">
        <v>45220</v>
      </c>
      <c r="C9186" s="1" t="n">
        <v>45344</v>
      </c>
      <c r="D9186" t="inlineStr">
        <is>
          <t>GÄVLEBORGS LÄN</t>
        </is>
      </c>
      <c r="E9186" t="inlineStr">
        <is>
          <t>GÄVLE</t>
        </is>
      </c>
      <c r="G9186" t="n">
        <v>10.9</v>
      </c>
      <c r="H9186" t="n">
        <v>0</v>
      </c>
      <c r="I9186" t="n">
        <v>0</v>
      </c>
      <c r="J9186" t="n">
        <v>0</v>
      </c>
      <c r="K9186" t="n">
        <v>0</v>
      </c>
      <c r="L9186" t="n">
        <v>0</v>
      </c>
      <c r="M9186" t="n">
        <v>0</v>
      </c>
      <c r="N9186" t="n">
        <v>0</v>
      </c>
      <c r="O9186" t="n">
        <v>0</v>
      </c>
      <c r="P9186" t="n">
        <v>0</v>
      </c>
      <c r="Q9186" t="n">
        <v>0</v>
      </c>
      <c r="R9186" s="2" t="inlineStr"/>
    </row>
    <row r="9187" ht="15" customHeight="1">
      <c r="A9187" t="inlineStr">
        <is>
          <t>A 51486-2023</t>
        </is>
      </c>
      <c r="B9187" s="1" t="n">
        <v>45222</v>
      </c>
      <c r="C9187" s="1" t="n">
        <v>45344</v>
      </c>
      <c r="D9187" t="inlineStr">
        <is>
          <t>GÄVLEBORGS LÄN</t>
        </is>
      </c>
      <c r="E9187" t="inlineStr">
        <is>
          <t>OVANÅKER</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51499-2023</t>
        </is>
      </c>
      <c r="B9188" s="1" t="n">
        <v>45222</v>
      </c>
      <c r="C9188" s="1" t="n">
        <v>45344</v>
      </c>
      <c r="D9188" t="inlineStr">
        <is>
          <t>GÄVLEBORGS LÄN</t>
        </is>
      </c>
      <c r="E9188" t="inlineStr">
        <is>
          <t>SANDVIKEN</t>
        </is>
      </c>
      <c r="F9188" t="inlineStr">
        <is>
          <t>Bergvik skog öst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51492-2023</t>
        </is>
      </c>
      <c r="B9189" s="1" t="n">
        <v>45222</v>
      </c>
      <c r="C9189" s="1" t="n">
        <v>45344</v>
      </c>
      <c r="D9189" t="inlineStr">
        <is>
          <t>GÄVLEBORGS LÄN</t>
        </is>
      </c>
      <c r="E9189" t="inlineStr">
        <is>
          <t>SÖDERHAMN</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51538-2023</t>
        </is>
      </c>
      <c r="B9190" s="1" t="n">
        <v>45222</v>
      </c>
      <c r="C9190" s="1" t="n">
        <v>45344</v>
      </c>
      <c r="D9190" t="inlineStr">
        <is>
          <t>GÄVLEBORGS LÄN</t>
        </is>
      </c>
      <c r="E9190" t="inlineStr">
        <is>
          <t>LJUSDAL</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51560-2023</t>
        </is>
      </c>
      <c r="B9191" s="1" t="n">
        <v>45222</v>
      </c>
      <c r="C9191" s="1" t="n">
        <v>45344</v>
      </c>
      <c r="D9191" t="inlineStr">
        <is>
          <t>GÄVLEBORGS LÄN</t>
        </is>
      </c>
      <c r="E9191" t="inlineStr">
        <is>
          <t>NORDANSTIG</t>
        </is>
      </c>
      <c r="G9191" t="n">
        <v>26.9</v>
      </c>
      <c r="H9191" t="n">
        <v>0</v>
      </c>
      <c r="I9191" t="n">
        <v>0</v>
      </c>
      <c r="J9191" t="n">
        <v>0</v>
      </c>
      <c r="K9191" t="n">
        <v>0</v>
      </c>
      <c r="L9191" t="n">
        <v>0</v>
      </c>
      <c r="M9191" t="n">
        <v>0</v>
      </c>
      <c r="N9191" t="n">
        <v>0</v>
      </c>
      <c r="O9191" t="n">
        <v>0</v>
      </c>
      <c r="P9191" t="n">
        <v>0</v>
      </c>
      <c r="Q9191" t="n">
        <v>0</v>
      </c>
      <c r="R9191" s="2" t="inlineStr"/>
    </row>
    <row r="9192" ht="15" customHeight="1">
      <c r="A9192" t="inlineStr">
        <is>
          <t>A 51568-2023</t>
        </is>
      </c>
      <c r="B9192" s="1" t="n">
        <v>45222</v>
      </c>
      <c r="C9192" s="1" t="n">
        <v>45344</v>
      </c>
      <c r="D9192" t="inlineStr">
        <is>
          <t>GÄVLEBORGS LÄN</t>
        </is>
      </c>
      <c r="E9192" t="inlineStr">
        <is>
          <t>SANDVIKEN</t>
        </is>
      </c>
      <c r="F9192" t="inlineStr">
        <is>
          <t>Bergvik skog öst AB</t>
        </is>
      </c>
      <c r="G9192" t="n">
        <v>8.699999999999999</v>
      </c>
      <c r="H9192" t="n">
        <v>0</v>
      </c>
      <c r="I9192" t="n">
        <v>0</v>
      </c>
      <c r="J9192" t="n">
        <v>0</v>
      </c>
      <c r="K9192" t="n">
        <v>0</v>
      </c>
      <c r="L9192" t="n">
        <v>0</v>
      </c>
      <c r="M9192" t="n">
        <v>0</v>
      </c>
      <c r="N9192" t="n">
        <v>0</v>
      </c>
      <c r="O9192" t="n">
        <v>0</v>
      </c>
      <c r="P9192" t="n">
        <v>0</v>
      </c>
      <c r="Q9192" t="n">
        <v>0</v>
      </c>
      <c r="R9192" s="2" t="inlineStr"/>
    </row>
    <row r="9193" ht="15" customHeight="1">
      <c r="A9193" t="inlineStr">
        <is>
          <t>A 51743-2023</t>
        </is>
      </c>
      <c r="B9193" s="1" t="n">
        <v>45222</v>
      </c>
      <c r="C9193" s="1" t="n">
        <v>45344</v>
      </c>
      <c r="D9193" t="inlineStr">
        <is>
          <t>GÄVLEBORGS LÄN</t>
        </is>
      </c>
      <c r="E9193" t="inlineStr">
        <is>
          <t>NORDANSTIG</t>
        </is>
      </c>
      <c r="G9193" t="n">
        <v>6.1</v>
      </c>
      <c r="H9193" t="n">
        <v>0</v>
      </c>
      <c r="I9193" t="n">
        <v>0</v>
      </c>
      <c r="J9193" t="n">
        <v>0</v>
      </c>
      <c r="K9193" t="n">
        <v>0</v>
      </c>
      <c r="L9193" t="n">
        <v>0</v>
      </c>
      <c r="M9193" t="n">
        <v>0</v>
      </c>
      <c r="N9193" t="n">
        <v>0</v>
      </c>
      <c r="O9193" t="n">
        <v>0</v>
      </c>
      <c r="P9193" t="n">
        <v>0</v>
      </c>
      <c r="Q9193" t="n">
        <v>0</v>
      </c>
      <c r="R9193" s="2" t="inlineStr"/>
    </row>
    <row r="9194" ht="15" customHeight="1">
      <c r="A9194" t="inlineStr">
        <is>
          <t>A 51483-2023</t>
        </is>
      </c>
      <c r="B9194" s="1" t="n">
        <v>45222</v>
      </c>
      <c r="C9194" s="1" t="n">
        <v>45344</v>
      </c>
      <c r="D9194" t="inlineStr">
        <is>
          <t>GÄVLEBORGS LÄN</t>
        </is>
      </c>
      <c r="E9194" t="inlineStr">
        <is>
          <t>BOLLNÄS</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51487-2023</t>
        </is>
      </c>
      <c r="B9195" s="1" t="n">
        <v>45222</v>
      </c>
      <c r="C9195" s="1" t="n">
        <v>45344</v>
      </c>
      <c r="D9195" t="inlineStr">
        <is>
          <t>GÄVLEBORGS LÄN</t>
        </is>
      </c>
      <c r="E9195" t="inlineStr">
        <is>
          <t>OVANÅKER</t>
        </is>
      </c>
      <c r="G9195" t="n">
        <v>0.7</v>
      </c>
      <c r="H9195" t="n">
        <v>0</v>
      </c>
      <c r="I9195" t="n">
        <v>0</v>
      </c>
      <c r="J9195" t="n">
        <v>0</v>
      </c>
      <c r="K9195" t="n">
        <v>0</v>
      </c>
      <c r="L9195" t="n">
        <v>0</v>
      </c>
      <c r="M9195" t="n">
        <v>0</v>
      </c>
      <c r="N9195" t="n">
        <v>0</v>
      </c>
      <c r="O9195" t="n">
        <v>0</v>
      </c>
      <c r="P9195" t="n">
        <v>0</v>
      </c>
      <c r="Q9195" t="n">
        <v>0</v>
      </c>
      <c r="R9195" s="2" t="inlineStr"/>
    </row>
    <row r="9196" ht="15" customHeight="1">
      <c r="A9196" t="inlineStr">
        <is>
          <t>A 51726-2023</t>
        </is>
      </c>
      <c r="B9196" s="1" t="n">
        <v>45222</v>
      </c>
      <c r="C9196" s="1" t="n">
        <v>45344</v>
      </c>
      <c r="D9196" t="inlineStr">
        <is>
          <t>GÄVLEBORGS LÄN</t>
        </is>
      </c>
      <c r="E9196" t="inlineStr">
        <is>
          <t>OCKELBO</t>
        </is>
      </c>
      <c r="F9196" t="inlineStr">
        <is>
          <t>Bergvik skog väst AB</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51740-2023</t>
        </is>
      </c>
      <c r="B9197" s="1" t="n">
        <v>45222</v>
      </c>
      <c r="C9197" s="1" t="n">
        <v>45344</v>
      </c>
      <c r="D9197" t="inlineStr">
        <is>
          <t>GÄVLEBORGS LÄN</t>
        </is>
      </c>
      <c r="E9197" t="inlineStr">
        <is>
          <t>NORDANSTIG</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51732-2023</t>
        </is>
      </c>
      <c r="B9198" s="1" t="n">
        <v>45222</v>
      </c>
      <c r="C9198" s="1" t="n">
        <v>45344</v>
      </c>
      <c r="D9198" t="inlineStr">
        <is>
          <t>GÄVLEBORGS LÄN</t>
        </is>
      </c>
      <c r="E9198" t="inlineStr">
        <is>
          <t>OCKELBO</t>
        </is>
      </c>
      <c r="F9198" t="inlineStr">
        <is>
          <t>Bergvik skog väst AB</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51797-2023</t>
        </is>
      </c>
      <c r="B9199" s="1" t="n">
        <v>45222</v>
      </c>
      <c r="C9199" s="1" t="n">
        <v>45344</v>
      </c>
      <c r="D9199" t="inlineStr">
        <is>
          <t>GÄVLEBORGS LÄN</t>
        </is>
      </c>
      <c r="E9199" t="inlineStr">
        <is>
          <t>BOLLNÄS</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51498-2023</t>
        </is>
      </c>
      <c r="B9200" s="1" t="n">
        <v>45222</v>
      </c>
      <c r="C9200" s="1" t="n">
        <v>45344</v>
      </c>
      <c r="D9200" t="inlineStr">
        <is>
          <t>GÄVLEBORGS LÄN</t>
        </is>
      </c>
      <c r="E9200" t="inlineStr">
        <is>
          <t>LJUSDAL</t>
        </is>
      </c>
      <c r="G9200" t="n">
        <v>4.9</v>
      </c>
      <c r="H9200" t="n">
        <v>0</v>
      </c>
      <c r="I9200" t="n">
        <v>0</v>
      </c>
      <c r="J9200" t="n">
        <v>0</v>
      </c>
      <c r="K9200" t="n">
        <v>0</v>
      </c>
      <c r="L9200" t="n">
        <v>0</v>
      </c>
      <c r="M9200" t="n">
        <v>0</v>
      </c>
      <c r="N9200" t="n">
        <v>0</v>
      </c>
      <c r="O9200" t="n">
        <v>0</v>
      </c>
      <c r="P9200" t="n">
        <v>0</v>
      </c>
      <c r="Q9200" t="n">
        <v>0</v>
      </c>
      <c r="R9200" s="2" t="inlineStr"/>
    </row>
    <row r="9201" ht="15" customHeight="1">
      <c r="A9201" t="inlineStr">
        <is>
          <t>A 51525-2023</t>
        </is>
      </c>
      <c r="B9201" s="1" t="n">
        <v>45222</v>
      </c>
      <c r="C9201" s="1" t="n">
        <v>45344</v>
      </c>
      <c r="D9201" t="inlineStr">
        <is>
          <t>GÄVLEBORGS LÄN</t>
        </is>
      </c>
      <c r="E9201" t="inlineStr">
        <is>
          <t>LJUSDAL</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51719-2023</t>
        </is>
      </c>
      <c r="B9202" s="1" t="n">
        <v>45222</v>
      </c>
      <c r="C9202" s="1" t="n">
        <v>45344</v>
      </c>
      <c r="D9202" t="inlineStr">
        <is>
          <t>GÄVLEBORGS LÄN</t>
        </is>
      </c>
      <c r="E9202" t="inlineStr">
        <is>
          <t>HUDIKSVALL</t>
        </is>
      </c>
      <c r="F9202" t="inlineStr">
        <is>
          <t>Holmen skog AB</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51750-2023</t>
        </is>
      </c>
      <c r="B9203" s="1" t="n">
        <v>45222</v>
      </c>
      <c r="C9203" s="1" t="n">
        <v>45344</v>
      </c>
      <c r="D9203" t="inlineStr">
        <is>
          <t>GÄVLEBORGS LÄN</t>
        </is>
      </c>
      <c r="E9203" t="inlineStr">
        <is>
          <t>NORDANSTIG</t>
        </is>
      </c>
      <c r="G9203" t="n">
        <v>3.3</v>
      </c>
      <c r="H9203" t="n">
        <v>0</v>
      </c>
      <c r="I9203" t="n">
        <v>0</v>
      </c>
      <c r="J9203" t="n">
        <v>0</v>
      </c>
      <c r="K9203" t="n">
        <v>0</v>
      </c>
      <c r="L9203" t="n">
        <v>0</v>
      </c>
      <c r="M9203" t="n">
        <v>0</v>
      </c>
      <c r="N9203" t="n">
        <v>0</v>
      </c>
      <c r="O9203" t="n">
        <v>0</v>
      </c>
      <c r="P9203" t="n">
        <v>0</v>
      </c>
      <c r="Q9203" t="n">
        <v>0</v>
      </c>
      <c r="R9203" s="2" t="inlineStr"/>
    </row>
    <row r="9204" ht="15" customHeight="1">
      <c r="A9204" t="inlineStr">
        <is>
          <t>A 51798-2023</t>
        </is>
      </c>
      <c r="B9204" s="1" t="n">
        <v>45222</v>
      </c>
      <c r="C9204" s="1" t="n">
        <v>45344</v>
      </c>
      <c r="D9204" t="inlineStr">
        <is>
          <t>GÄVLEBORGS LÄN</t>
        </is>
      </c>
      <c r="E9204" t="inlineStr">
        <is>
          <t>LJUSDAL</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51904-2023</t>
        </is>
      </c>
      <c r="B9205" s="1" t="n">
        <v>45223</v>
      </c>
      <c r="C9205" s="1" t="n">
        <v>45344</v>
      </c>
      <c r="D9205" t="inlineStr">
        <is>
          <t>GÄVLEBORGS LÄN</t>
        </is>
      </c>
      <c r="E9205" t="inlineStr">
        <is>
          <t>SÖDERHAMN</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51922-2023</t>
        </is>
      </c>
      <c r="B9206" s="1" t="n">
        <v>45223</v>
      </c>
      <c r="C9206" s="1" t="n">
        <v>45344</v>
      </c>
      <c r="D9206" t="inlineStr">
        <is>
          <t>GÄVLEBORGS LÄN</t>
        </is>
      </c>
      <c r="E9206" t="inlineStr">
        <is>
          <t>SÖDERHAMN</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51949-2023</t>
        </is>
      </c>
      <c r="B9207" s="1" t="n">
        <v>45223</v>
      </c>
      <c r="C9207" s="1" t="n">
        <v>45344</v>
      </c>
      <c r="D9207" t="inlineStr">
        <is>
          <t>GÄVLEBORGS LÄN</t>
        </is>
      </c>
      <c r="E9207" t="inlineStr">
        <is>
          <t>BOLLNÄS</t>
        </is>
      </c>
      <c r="G9207" t="n">
        <v>5</v>
      </c>
      <c r="H9207" t="n">
        <v>0</v>
      </c>
      <c r="I9207" t="n">
        <v>0</v>
      </c>
      <c r="J9207" t="n">
        <v>0</v>
      </c>
      <c r="K9207" t="n">
        <v>0</v>
      </c>
      <c r="L9207" t="n">
        <v>0</v>
      </c>
      <c r="M9207" t="n">
        <v>0</v>
      </c>
      <c r="N9207" t="n">
        <v>0</v>
      </c>
      <c r="O9207" t="n">
        <v>0</v>
      </c>
      <c r="P9207" t="n">
        <v>0</v>
      </c>
      <c r="Q9207" t="n">
        <v>0</v>
      </c>
      <c r="R9207" s="2" t="inlineStr"/>
    </row>
    <row r="9208" ht="15" customHeight="1">
      <c r="A9208" t="inlineStr">
        <is>
          <t>A 51981-2023</t>
        </is>
      </c>
      <c r="B9208" s="1" t="n">
        <v>45223</v>
      </c>
      <c r="C9208" s="1" t="n">
        <v>45344</v>
      </c>
      <c r="D9208" t="inlineStr">
        <is>
          <t>GÄVLEBORGS LÄN</t>
        </is>
      </c>
      <c r="E9208" t="inlineStr">
        <is>
          <t>HUDIKSVALL</t>
        </is>
      </c>
      <c r="F9208" t="inlineStr">
        <is>
          <t>Holmen skog AB</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52000-2023</t>
        </is>
      </c>
      <c r="B9209" s="1" t="n">
        <v>45223</v>
      </c>
      <c r="C9209" s="1" t="n">
        <v>45344</v>
      </c>
      <c r="D9209" t="inlineStr">
        <is>
          <t>GÄVLEBORGS LÄN</t>
        </is>
      </c>
      <c r="E9209" t="inlineStr">
        <is>
          <t>SANDVIKEN</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52009-2023</t>
        </is>
      </c>
      <c r="B9210" s="1" t="n">
        <v>45223</v>
      </c>
      <c r="C9210" s="1" t="n">
        <v>45344</v>
      </c>
      <c r="D9210" t="inlineStr">
        <is>
          <t>GÄVLEBORGS LÄN</t>
        </is>
      </c>
      <c r="E9210" t="inlineStr">
        <is>
          <t>SANDVIKEN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51850-2023</t>
        </is>
      </c>
      <c r="B9211" s="1" t="n">
        <v>45223</v>
      </c>
      <c r="C9211" s="1" t="n">
        <v>45344</v>
      </c>
      <c r="D9211" t="inlineStr">
        <is>
          <t>GÄVLEBORGS LÄN</t>
        </is>
      </c>
      <c r="E9211" t="inlineStr">
        <is>
          <t>OVANÅKER</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51854-2023</t>
        </is>
      </c>
      <c r="B9212" s="1" t="n">
        <v>45223</v>
      </c>
      <c r="C9212" s="1" t="n">
        <v>45344</v>
      </c>
      <c r="D9212" t="inlineStr">
        <is>
          <t>GÄVLEBORGS LÄN</t>
        </is>
      </c>
      <c r="E9212" t="inlineStr">
        <is>
          <t>OVANÅKER</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51892-2023</t>
        </is>
      </c>
      <c r="B9213" s="1" t="n">
        <v>45223</v>
      </c>
      <c r="C9213" s="1" t="n">
        <v>45344</v>
      </c>
      <c r="D9213" t="inlineStr">
        <is>
          <t>GÄVLEBORGS LÄN</t>
        </is>
      </c>
      <c r="E9213" t="inlineStr">
        <is>
          <t>SÖDERHAMN</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51952-2023</t>
        </is>
      </c>
      <c r="B9214" s="1" t="n">
        <v>45223</v>
      </c>
      <c r="C9214" s="1" t="n">
        <v>45344</v>
      </c>
      <c r="D9214" t="inlineStr">
        <is>
          <t>GÄVLEBORGS LÄN</t>
        </is>
      </c>
      <c r="E9214" t="inlineStr">
        <is>
          <t>BOLLNÄS</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52091-2023</t>
        </is>
      </c>
      <c r="B9215" s="1" t="n">
        <v>45223</v>
      </c>
      <c r="C9215" s="1" t="n">
        <v>45344</v>
      </c>
      <c r="D9215" t="inlineStr">
        <is>
          <t>GÄVLEBORGS LÄN</t>
        </is>
      </c>
      <c r="E9215" t="inlineStr">
        <is>
          <t>SÖDERHAMN</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51838-2023</t>
        </is>
      </c>
      <c r="B9216" s="1" t="n">
        <v>45223</v>
      </c>
      <c r="C9216" s="1" t="n">
        <v>45344</v>
      </c>
      <c r="D9216" t="inlineStr">
        <is>
          <t>GÄVLEBORGS LÄN</t>
        </is>
      </c>
      <c r="E9216" t="inlineStr">
        <is>
          <t>GÄVLE</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51866-2023</t>
        </is>
      </c>
      <c r="B9217" s="1" t="n">
        <v>45223</v>
      </c>
      <c r="C9217" s="1" t="n">
        <v>45344</v>
      </c>
      <c r="D9217" t="inlineStr">
        <is>
          <t>GÄVLEBORGS LÄN</t>
        </is>
      </c>
      <c r="E9217" t="inlineStr">
        <is>
          <t>BOLLNÄS</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51924-2023</t>
        </is>
      </c>
      <c r="B9218" s="1" t="n">
        <v>45223</v>
      </c>
      <c r="C9218" s="1" t="n">
        <v>45344</v>
      </c>
      <c r="D9218" t="inlineStr">
        <is>
          <t>GÄVLEBORGS LÄN</t>
        </is>
      </c>
      <c r="E9218" t="inlineStr">
        <is>
          <t>OVANÅKER</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51965-2023</t>
        </is>
      </c>
      <c r="B9219" s="1" t="n">
        <v>45223</v>
      </c>
      <c r="C9219" s="1" t="n">
        <v>45344</v>
      </c>
      <c r="D9219" t="inlineStr">
        <is>
          <t>GÄVLEBORGS LÄN</t>
        </is>
      </c>
      <c r="E9219" t="inlineStr">
        <is>
          <t>BOLLNÄS</t>
        </is>
      </c>
      <c r="F9219" t="inlineStr">
        <is>
          <t>Bergvik skog väst AB</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51989-2023</t>
        </is>
      </c>
      <c r="B9220" s="1" t="n">
        <v>45223</v>
      </c>
      <c r="C9220" s="1" t="n">
        <v>45344</v>
      </c>
      <c r="D9220" t="inlineStr">
        <is>
          <t>GÄVLEBORGS LÄN</t>
        </is>
      </c>
      <c r="E9220" t="inlineStr">
        <is>
          <t>OCKELBO</t>
        </is>
      </c>
      <c r="F9220" t="inlineStr">
        <is>
          <t>Bergvik skog väst AB</t>
        </is>
      </c>
      <c r="G9220" t="n">
        <v>2.9</v>
      </c>
      <c r="H9220" t="n">
        <v>0</v>
      </c>
      <c r="I9220" t="n">
        <v>0</v>
      </c>
      <c r="J9220" t="n">
        <v>0</v>
      </c>
      <c r="K9220" t="n">
        <v>0</v>
      </c>
      <c r="L9220" t="n">
        <v>0</v>
      </c>
      <c r="M9220" t="n">
        <v>0</v>
      </c>
      <c r="N9220" t="n">
        <v>0</v>
      </c>
      <c r="O9220" t="n">
        <v>0</v>
      </c>
      <c r="P9220" t="n">
        <v>0</v>
      </c>
      <c r="Q9220" t="n">
        <v>0</v>
      </c>
      <c r="R9220" s="2" t="inlineStr"/>
    </row>
    <row r="9221" ht="15" customHeight="1">
      <c r="A9221" t="inlineStr">
        <is>
          <t>A 51998-2023</t>
        </is>
      </c>
      <c r="B9221" s="1" t="n">
        <v>45223</v>
      </c>
      <c r="C9221" s="1" t="n">
        <v>45344</v>
      </c>
      <c r="D9221" t="inlineStr">
        <is>
          <t>GÄVLEBORGS LÄN</t>
        </is>
      </c>
      <c r="E9221" t="inlineStr">
        <is>
          <t>NORDANSTIG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52051-2023</t>
        </is>
      </c>
      <c r="B9222" s="1" t="n">
        <v>45223</v>
      </c>
      <c r="C9222" s="1" t="n">
        <v>45344</v>
      </c>
      <c r="D9222" t="inlineStr">
        <is>
          <t>GÄVLEBORGS LÄN</t>
        </is>
      </c>
      <c r="E9222" t="inlineStr">
        <is>
          <t>NORDANSTIG</t>
        </is>
      </c>
      <c r="F9222" t="inlineStr">
        <is>
          <t>Holmen skog AB</t>
        </is>
      </c>
      <c r="G9222" t="n">
        <v>4</v>
      </c>
      <c r="H9222" t="n">
        <v>0</v>
      </c>
      <c r="I9222" t="n">
        <v>0</v>
      </c>
      <c r="J9222" t="n">
        <v>0</v>
      </c>
      <c r="K9222" t="n">
        <v>0</v>
      </c>
      <c r="L9222" t="n">
        <v>0</v>
      </c>
      <c r="M9222" t="n">
        <v>0</v>
      </c>
      <c r="N9222" t="n">
        <v>0</v>
      </c>
      <c r="O9222" t="n">
        <v>0</v>
      </c>
      <c r="P9222" t="n">
        <v>0</v>
      </c>
      <c r="Q9222" t="n">
        <v>0</v>
      </c>
      <c r="R9222" s="2" t="inlineStr"/>
    </row>
    <row r="9223" ht="15" customHeight="1">
      <c r="A9223" t="inlineStr">
        <is>
          <t>A 52090-2023</t>
        </is>
      </c>
      <c r="B9223" s="1" t="n">
        <v>45223</v>
      </c>
      <c r="C9223" s="1" t="n">
        <v>45344</v>
      </c>
      <c r="D9223" t="inlineStr">
        <is>
          <t>GÄVLEBORGS LÄN</t>
        </is>
      </c>
      <c r="E9223" t="inlineStr">
        <is>
          <t>SÖDERHAMN</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51861-2023</t>
        </is>
      </c>
      <c r="B9224" s="1" t="n">
        <v>45223</v>
      </c>
      <c r="C9224" s="1" t="n">
        <v>45344</v>
      </c>
      <c r="D9224" t="inlineStr">
        <is>
          <t>GÄVLEBORGS LÄN</t>
        </is>
      </c>
      <c r="E9224" t="inlineStr">
        <is>
          <t>OVANÅKER</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51876-2023</t>
        </is>
      </c>
      <c r="B9225" s="1" t="n">
        <v>45223</v>
      </c>
      <c r="C9225" s="1" t="n">
        <v>45344</v>
      </c>
      <c r="D9225" t="inlineStr">
        <is>
          <t>GÄVLEBORGS LÄN</t>
        </is>
      </c>
      <c r="E9225" t="inlineStr">
        <is>
          <t>GÄVLE</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51894-2023</t>
        </is>
      </c>
      <c r="B9226" s="1" t="n">
        <v>45223</v>
      </c>
      <c r="C9226" s="1" t="n">
        <v>45344</v>
      </c>
      <c r="D9226" t="inlineStr">
        <is>
          <t>GÄVLEBORGS LÄN</t>
        </is>
      </c>
      <c r="E9226" t="inlineStr">
        <is>
          <t>BOLLNÄS</t>
        </is>
      </c>
      <c r="G9226" t="n">
        <v>4.9</v>
      </c>
      <c r="H9226" t="n">
        <v>0</v>
      </c>
      <c r="I9226" t="n">
        <v>0</v>
      </c>
      <c r="J9226" t="n">
        <v>0</v>
      </c>
      <c r="K9226" t="n">
        <v>0</v>
      </c>
      <c r="L9226" t="n">
        <v>0</v>
      </c>
      <c r="M9226" t="n">
        <v>0</v>
      </c>
      <c r="N9226" t="n">
        <v>0</v>
      </c>
      <c r="O9226" t="n">
        <v>0</v>
      </c>
      <c r="P9226" t="n">
        <v>0</v>
      </c>
      <c r="Q9226" t="n">
        <v>0</v>
      </c>
      <c r="R9226" s="2" t="inlineStr"/>
    </row>
    <row r="9227" ht="15" customHeight="1">
      <c r="A9227" t="inlineStr">
        <is>
          <t>A 51930-2023</t>
        </is>
      </c>
      <c r="B9227" s="1" t="n">
        <v>45223</v>
      </c>
      <c r="C9227" s="1" t="n">
        <v>45344</v>
      </c>
      <c r="D9227" t="inlineStr">
        <is>
          <t>GÄVLEBORGS LÄN</t>
        </is>
      </c>
      <c r="E9227" t="inlineStr">
        <is>
          <t>NORDANSTIG</t>
        </is>
      </c>
      <c r="F9227" t="inlineStr">
        <is>
          <t>Holmen skog AB</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51977-2023</t>
        </is>
      </c>
      <c r="B9228" s="1" t="n">
        <v>45223</v>
      </c>
      <c r="C9228" s="1" t="n">
        <v>45344</v>
      </c>
      <c r="D9228" t="inlineStr">
        <is>
          <t>GÄVLEBORGS LÄN</t>
        </is>
      </c>
      <c r="E9228" t="inlineStr">
        <is>
          <t>OCKELBO</t>
        </is>
      </c>
      <c r="F9228" t="inlineStr">
        <is>
          <t>Bergvik skog väst AB</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51982-2023</t>
        </is>
      </c>
      <c r="B9229" s="1" t="n">
        <v>45223</v>
      </c>
      <c r="C9229" s="1" t="n">
        <v>45344</v>
      </c>
      <c r="D9229" t="inlineStr">
        <is>
          <t>GÄVLEBORGS LÄN</t>
        </is>
      </c>
      <c r="E9229" t="inlineStr">
        <is>
          <t>SANDVIKEN</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52014-2023</t>
        </is>
      </c>
      <c r="B9230" s="1" t="n">
        <v>45223</v>
      </c>
      <c r="C9230" s="1" t="n">
        <v>45344</v>
      </c>
      <c r="D9230" t="inlineStr">
        <is>
          <t>GÄVLEBORGS LÄN</t>
        </is>
      </c>
      <c r="E9230" t="inlineStr">
        <is>
          <t>HUDIKSVALL</t>
        </is>
      </c>
      <c r="F9230" t="inlineStr">
        <is>
          <t>Holmen skog AB</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52045-2023</t>
        </is>
      </c>
      <c r="B9231" s="1" t="n">
        <v>45223</v>
      </c>
      <c r="C9231" s="1" t="n">
        <v>45344</v>
      </c>
      <c r="D9231" t="inlineStr">
        <is>
          <t>GÄVLEBORGS LÄN</t>
        </is>
      </c>
      <c r="E9231" t="inlineStr">
        <is>
          <t>BOLLNÄS</t>
        </is>
      </c>
      <c r="G9231" t="n">
        <v>1.3</v>
      </c>
      <c r="H9231" t="n">
        <v>0</v>
      </c>
      <c r="I9231" t="n">
        <v>0</v>
      </c>
      <c r="J9231" t="n">
        <v>0</v>
      </c>
      <c r="K9231" t="n">
        <v>0</v>
      </c>
      <c r="L9231" t="n">
        <v>0</v>
      </c>
      <c r="M9231" t="n">
        <v>0</v>
      </c>
      <c r="N9231" t="n">
        <v>0</v>
      </c>
      <c r="O9231" t="n">
        <v>0</v>
      </c>
      <c r="P9231" t="n">
        <v>0</v>
      </c>
      <c r="Q9231" t="n">
        <v>0</v>
      </c>
      <c r="R9231" s="2" t="inlineStr"/>
    </row>
    <row r="9232" ht="15" customHeight="1">
      <c r="A9232" t="inlineStr">
        <is>
          <t>A 52057-2023</t>
        </is>
      </c>
      <c r="B9232" s="1" t="n">
        <v>45223</v>
      </c>
      <c r="C9232" s="1" t="n">
        <v>45344</v>
      </c>
      <c r="D9232" t="inlineStr">
        <is>
          <t>GÄVLEBORGS LÄN</t>
        </is>
      </c>
      <c r="E9232" t="inlineStr">
        <is>
          <t>LJUSDAL</t>
        </is>
      </c>
      <c r="G9232" t="n">
        <v>4.7</v>
      </c>
      <c r="H9232" t="n">
        <v>0</v>
      </c>
      <c r="I9232" t="n">
        <v>0</v>
      </c>
      <c r="J9232" t="n">
        <v>0</v>
      </c>
      <c r="K9232" t="n">
        <v>0</v>
      </c>
      <c r="L9232" t="n">
        <v>0</v>
      </c>
      <c r="M9232" t="n">
        <v>0</v>
      </c>
      <c r="N9232" t="n">
        <v>0</v>
      </c>
      <c r="O9232" t="n">
        <v>0</v>
      </c>
      <c r="P9232" t="n">
        <v>0</v>
      </c>
      <c r="Q9232" t="n">
        <v>0</v>
      </c>
      <c r="R9232" s="2" t="inlineStr"/>
    </row>
    <row r="9233" ht="15" customHeight="1">
      <c r="A9233" t="inlineStr">
        <is>
          <t>A 52092-2023</t>
        </is>
      </c>
      <c r="B9233" s="1" t="n">
        <v>45223</v>
      </c>
      <c r="C9233" s="1" t="n">
        <v>45344</v>
      </c>
      <c r="D9233" t="inlineStr">
        <is>
          <t>GÄVLEBORGS LÄN</t>
        </is>
      </c>
      <c r="E9233" t="inlineStr">
        <is>
          <t>SÖDERHAMN</t>
        </is>
      </c>
      <c r="G9233" t="n">
        <v>3.6</v>
      </c>
      <c r="H9233" t="n">
        <v>0</v>
      </c>
      <c r="I9233" t="n">
        <v>0</v>
      </c>
      <c r="J9233" t="n">
        <v>0</v>
      </c>
      <c r="K9233" t="n">
        <v>0</v>
      </c>
      <c r="L9233" t="n">
        <v>0</v>
      </c>
      <c r="M9233" t="n">
        <v>0</v>
      </c>
      <c r="N9233" t="n">
        <v>0</v>
      </c>
      <c r="O9233" t="n">
        <v>0</v>
      </c>
      <c r="P9233" t="n">
        <v>0</v>
      </c>
      <c r="Q9233" t="n">
        <v>0</v>
      </c>
      <c r="R9233" s="2" t="inlineStr"/>
    </row>
    <row r="9234" ht="15" customHeight="1">
      <c r="A9234" t="inlineStr">
        <is>
          <t>A 52093-2023</t>
        </is>
      </c>
      <c r="B9234" s="1" t="n">
        <v>45223</v>
      </c>
      <c r="C9234" s="1" t="n">
        <v>45344</v>
      </c>
      <c r="D9234" t="inlineStr">
        <is>
          <t>GÄVLEBORGS LÄN</t>
        </is>
      </c>
      <c r="E9234" t="inlineStr">
        <is>
          <t>SANDVIKEN</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53508-2023</t>
        </is>
      </c>
      <c r="B9235" s="1" t="n">
        <v>45223</v>
      </c>
      <c r="C9235" s="1" t="n">
        <v>45344</v>
      </c>
      <c r="D9235" t="inlineStr">
        <is>
          <t>GÄVLEBORGS LÄN</t>
        </is>
      </c>
      <c r="E9235" t="inlineStr">
        <is>
          <t>OVANÅKER</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53384-2023</t>
        </is>
      </c>
      <c r="B9236" s="1" t="n">
        <v>45223</v>
      </c>
      <c r="C9236" s="1" t="n">
        <v>45344</v>
      </c>
      <c r="D9236" t="inlineStr">
        <is>
          <t>GÄVLEBORGS LÄN</t>
        </is>
      </c>
      <c r="E9236" t="inlineStr">
        <is>
          <t>BOLLNÄS</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53506-2023</t>
        </is>
      </c>
      <c r="B9237" s="1" t="n">
        <v>45223</v>
      </c>
      <c r="C9237" s="1" t="n">
        <v>45344</v>
      </c>
      <c r="D9237" t="inlineStr">
        <is>
          <t>GÄVLEBORGS LÄN</t>
        </is>
      </c>
      <c r="E9237" t="inlineStr">
        <is>
          <t>OVANÅKER</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52145-2023</t>
        </is>
      </c>
      <c r="B9238" s="1" t="n">
        <v>45224</v>
      </c>
      <c r="C9238" s="1" t="n">
        <v>45344</v>
      </c>
      <c r="D9238" t="inlineStr">
        <is>
          <t>GÄVLEBORGS LÄN</t>
        </is>
      </c>
      <c r="E9238" t="inlineStr">
        <is>
          <t>LJUSDAL</t>
        </is>
      </c>
      <c r="F9238" t="inlineStr">
        <is>
          <t>Naturvårdsverket</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52165-2023</t>
        </is>
      </c>
      <c r="B9239" s="1" t="n">
        <v>45224</v>
      </c>
      <c r="C9239" s="1" t="n">
        <v>45344</v>
      </c>
      <c r="D9239" t="inlineStr">
        <is>
          <t>GÄVLEBORGS LÄN</t>
        </is>
      </c>
      <c r="E9239" t="inlineStr">
        <is>
          <t>OVANÅKER</t>
        </is>
      </c>
      <c r="G9239" t="n">
        <v>1.5</v>
      </c>
      <c r="H9239" t="n">
        <v>0</v>
      </c>
      <c r="I9239" t="n">
        <v>0</v>
      </c>
      <c r="J9239" t="n">
        <v>0</v>
      </c>
      <c r="K9239" t="n">
        <v>0</v>
      </c>
      <c r="L9239" t="n">
        <v>0</v>
      </c>
      <c r="M9239" t="n">
        <v>0</v>
      </c>
      <c r="N9239" t="n">
        <v>0</v>
      </c>
      <c r="O9239" t="n">
        <v>0</v>
      </c>
      <c r="P9239" t="n">
        <v>0</v>
      </c>
      <c r="Q9239" t="n">
        <v>0</v>
      </c>
      <c r="R9239" s="2" t="inlineStr"/>
    </row>
    <row r="9240" ht="15" customHeight="1">
      <c r="A9240" t="inlineStr">
        <is>
          <t>A 52170-2023</t>
        </is>
      </c>
      <c r="B9240" s="1" t="n">
        <v>45224</v>
      </c>
      <c r="C9240" s="1" t="n">
        <v>45344</v>
      </c>
      <c r="D9240" t="inlineStr">
        <is>
          <t>GÄVLEBORGS LÄN</t>
        </is>
      </c>
      <c r="E9240" t="inlineStr">
        <is>
          <t>GÄVLE</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52174-2023</t>
        </is>
      </c>
      <c r="B9241" s="1" t="n">
        <v>45224</v>
      </c>
      <c r="C9241" s="1" t="n">
        <v>45344</v>
      </c>
      <c r="D9241" t="inlineStr">
        <is>
          <t>GÄVLEBORGS LÄN</t>
        </is>
      </c>
      <c r="E9241" t="inlineStr">
        <is>
          <t>LJUSDAL</t>
        </is>
      </c>
      <c r="G9241" t="n">
        <v>2.4</v>
      </c>
      <c r="H9241" t="n">
        <v>0</v>
      </c>
      <c r="I9241" t="n">
        <v>0</v>
      </c>
      <c r="J9241" t="n">
        <v>0</v>
      </c>
      <c r="K9241" t="n">
        <v>0</v>
      </c>
      <c r="L9241" t="n">
        <v>0</v>
      </c>
      <c r="M9241" t="n">
        <v>0</v>
      </c>
      <c r="N9241" t="n">
        <v>0</v>
      </c>
      <c r="O9241" t="n">
        <v>0</v>
      </c>
      <c r="P9241" t="n">
        <v>0</v>
      </c>
      <c r="Q9241" t="n">
        <v>0</v>
      </c>
      <c r="R9241" s="2" t="inlineStr"/>
    </row>
    <row r="9242" ht="15" customHeight="1">
      <c r="A9242" t="inlineStr">
        <is>
          <t>A 52184-2023</t>
        </is>
      </c>
      <c r="B9242" s="1" t="n">
        <v>45224</v>
      </c>
      <c r="C9242" s="1" t="n">
        <v>45344</v>
      </c>
      <c r="D9242" t="inlineStr">
        <is>
          <t>GÄVLEBORGS LÄN</t>
        </is>
      </c>
      <c r="E9242" t="inlineStr">
        <is>
          <t>LJUSDAL</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52219-2023</t>
        </is>
      </c>
      <c r="B9243" s="1" t="n">
        <v>45224</v>
      </c>
      <c r="C9243" s="1" t="n">
        <v>45344</v>
      </c>
      <c r="D9243" t="inlineStr">
        <is>
          <t>GÄVLEBORGS LÄN</t>
        </is>
      </c>
      <c r="E9243" t="inlineStr">
        <is>
          <t>HUDIKSVALL</t>
        </is>
      </c>
      <c r="F9243" t="inlineStr">
        <is>
          <t>Holmen skog AB</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52158-2023</t>
        </is>
      </c>
      <c r="B9244" s="1" t="n">
        <v>45224</v>
      </c>
      <c r="C9244" s="1" t="n">
        <v>45344</v>
      </c>
      <c r="D9244" t="inlineStr">
        <is>
          <t>GÄVLEBORGS LÄN</t>
        </is>
      </c>
      <c r="E9244" t="inlineStr">
        <is>
          <t>OVANÅKER</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52162-2023</t>
        </is>
      </c>
      <c r="B9245" s="1" t="n">
        <v>45224</v>
      </c>
      <c r="C9245" s="1" t="n">
        <v>45344</v>
      </c>
      <c r="D9245" t="inlineStr">
        <is>
          <t>GÄVLEBORGS LÄN</t>
        </is>
      </c>
      <c r="E9245" t="inlineStr">
        <is>
          <t>OVANÅKER</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52171-2023</t>
        </is>
      </c>
      <c r="B9246" s="1" t="n">
        <v>45224</v>
      </c>
      <c r="C9246" s="1" t="n">
        <v>45344</v>
      </c>
      <c r="D9246" t="inlineStr">
        <is>
          <t>GÄVLEBORGS LÄN</t>
        </is>
      </c>
      <c r="E9246" t="inlineStr">
        <is>
          <t>HUDIKSVALL</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53871-2023</t>
        </is>
      </c>
      <c r="B9247" s="1" t="n">
        <v>45224</v>
      </c>
      <c r="C9247" s="1" t="n">
        <v>45344</v>
      </c>
      <c r="D9247" t="inlineStr">
        <is>
          <t>GÄVLEBORGS LÄN</t>
        </is>
      </c>
      <c r="E9247" t="inlineStr">
        <is>
          <t>BOLLNÄS</t>
        </is>
      </c>
      <c r="F9247" t="inlineStr">
        <is>
          <t>Kommuner</t>
        </is>
      </c>
      <c r="G9247" t="n">
        <v>10.7</v>
      </c>
      <c r="H9247" t="n">
        <v>0</v>
      </c>
      <c r="I9247" t="n">
        <v>0</v>
      </c>
      <c r="J9247" t="n">
        <v>0</v>
      </c>
      <c r="K9247" t="n">
        <v>0</v>
      </c>
      <c r="L9247" t="n">
        <v>0</v>
      </c>
      <c r="M9247" t="n">
        <v>0</v>
      </c>
      <c r="N9247" t="n">
        <v>0</v>
      </c>
      <c r="O9247" t="n">
        <v>0</v>
      </c>
      <c r="P9247" t="n">
        <v>0</v>
      </c>
      <c r="Q9247" t="n">
        <v>0</v>
      </c>
      <c r="R9247" s="2" t="inlineStr"/>
    </row>
    <row r="9248" ht="15" customHeight="1">
      <c r="A9248" t="inlineStr">
        <is>
          <t>A 52391-2023</t>
        </is>
      </c>
      <c r="B9248" s="1" t="n">
        <v>45225</v>
      </c>
      <c r="C9248" s="1" t="n">
        <v>45344</v>
      </c>
      <c r="D9248" t="inlineStr">
        <is>
          <t>GÄVLEBORGS LÄN</t>
        </is>
      </c>
      <c r="E9248" t="inlineStr">
        <is>
          <t>LJUSDAL</t>
        </is>
      </c>
      <c r="G9248" t="n">
        <v>4.4</v>
      </c>
      <c r="H9248" t="n">
        <v>0</v>
      </c>
      <c r="I9248" t="n">
        <v>0</v>
      </c>
      <c r="J9248" t="n">
        <v>0</v>
      </c>
      <c r="K9248" t="n">
        <v>0</v>
      </c>
      <c r="L9248" t="n">
        <v>0</v>
      </c>
      <c r="M9248" t="n">
        <v>0</v>
      </c>
      <c r="N9248" t="n">
        <v>0</v>
      </c>
      <c r="O9248" t="n">
        <v>0</v>
      </c>
      <c r="P9248" t="n">
        <v>0</v>
      </c>
      <c r="Q9248" t="n">
        <v>0</v>
      </c>
      <c r="R9248" s="2" t="inlineStr"/>
    </row>
    <row r="9249" ht="15" customHeight="1">
      <c r="A9249" t="inlineStr">
        <is>
          <t>A 52350-2023</t>
        </is>
      </c>
      <c r="B9249" s="1" t="n">
        <v>45224</v>
      </c>
      <c r="C9249" s="1" t="n">
        <v>45344</v>
      </c>
      <c r="D9249" t="inlineStr">
        <is>
          <t>GÄVLEBORGS LÄN</t>
        </is>
      </c>
      <c r="E9249" t="inlineStr">
        <is>
          <t>HUDIKSVALL</t>
        </is>
      </c>
      <c r="G9249" t="n">
        <v>5.3</v>
      </c>
      <c r="H9249" t="n">
        <v>0</v>
      </c>
      <c r="I9249" t="n">
        <v>0</v>
      </c>
      <c r="J9249" t="n">
        <v>0</v>
      </c>
      <c r="K9249" t="n">
        <v>0</v>
      </c>
      <c r="L9249" t="n">
        <v>0</v>
      </c>
      <c r="M9249" t="n">
        <v>0</v>
      </c>
      <c r="N9249" t="n">
        <v>0</v>
      </c>
      <c r="O9249" t="n">
        <v>0</v>
      </c>
      <c r="P9249" t="n">
        <v>0</v>
      </c>
      <c r="Q9249" t="n">
        <v>0</v>
      </c>
      <c r="R9249" s="2" t="inlineStr"/>
    </row>
    <row r="9250" ht="15" customHeight="1">
      <c r="A9250" t="inlineStr">
        <is>
          <t>A 52423-2023</t>
        </is>
      </c>
      <c r="B9250" s="1" t="n">
        <v>45225</v>
      </c>
      <c r="C9250" s="1" t="n">
        <v>45344</v>
      </c>
      <c r="D9250" t="inlineStr">
        <is>
          <t>GÄVLEBORGS LÄN</t>
        </is>
      </c>
      <c r="E9250" t="inlineStr">
        <is>
          <t>OVANÅKER</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52479-2023</t>
        </is>
      </c>
      <c r="B9251" s="1" t="n">
        <v>45225</v>
      </c>
      <c r="C9251" s="1" t="n">
        <v>45344</v>
      </c>
      <c r="D9251" t="inlineStr">
        <is>
          <t>GÄVLEBORGS LÄN</t>
        </is>
      </c>
      <c r="E9251" t="inlineStr">
        <is>
          <t>OCKELBO</t>
        </is>
      </c>
      <c r="F9251" t="inlineStr">
        <is>
          <t>Bergvik skog väst AB</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52488-2023</t>
        </is>
      </c>
      <c r="B9252" s="1" t="n">
        <v>45225</v>
      </c>
      <c r="C9252" s="1" t="n">
        <v>45344</v>
      </c>
      <c r="D9252" t="inlineStr">
        <is>
          <t>GÄVLEBORGS LÄN</t>
        </is>
      </c>
      <c r="E9252" t="inlineStr">
        <is>
          <t>OCKELBO</t>
        </is>
      </c>
      <c r="G9252" t="n">
        <v>15.8</v>
      </c>
      <c r="H9252" t="n">
        <v>0</v>
      </c>
      <c r="I9252" t="n">
        <v>0</v>
      </c>
      <c r="J9252" t="n">
        <v>0</v>
      </c>
      <c r="K9252" t="n">
        <v>0</v>
      </c>
      <c r="L9252" t="n">
        <v>0</v>
      </c>
      <c r="M9252" t="n">
        <v>0</v>
      </c>
      <c r="N9252" t="n">
        <v>0</v>
      </c>
      <c r="O9252" t="n">
        <v>0</v>
      </c>
      <c r="P9252" t="n">
        <v>0</v>
      </c>
      <c r="Q9252" t="n">
        <v>0</v>
      </c>
      <c r="R9252" s="2" t="inlineStr"/>
    </row>
    <row r="9253" ht="15" customHeight="1">
      <c r="A9253" t="inlineStr">
        <is>
          <t>A 52497-2023</t>
        </is>
      </c>
      <c r="B9253" s="1" t="n">
        <v>45225</v>
      </c>
      <c r="C9253" s="1" t="n">
        <v>45344</v>
      </c>
      <c r="D9253" t="inlineStr">
        <is>
          <t>GÄVLEBORGS LÄN</t>
        </is>
      </c>
      <c r="E9253" t="inlineStr">
        <is>
          <t>LJUSDAL</t>
        </is>
      </c>
      <c r="G9253" t="n">
        <v>2.8</v>
      </c>
      <c r="H9253" t="n">
        <v>0</v>
      </c>
      <c r="I9253" t="n">
        <v>0</v>
      </c>
      <c r="J9253" t="n">
        <v>0</v>
      </c>
      <c r="K9253" t="n">
        <v>0</v>
      </c>
      <c r="L9253" t="n">
        <v>0</v>
      </c>
      <c r="M9253" t="n">
        <v>0</v>
      </c>
      <c r="N9253" t="n">
        <v>0</v>
      </c>
      <c r="O9253" t="n">
        <v>0</v>
      </c>
      <c r="P9253" t="n">
        <v>0</v>
      </c>
      <c r="Q9253" t="n">
        <v>0</v>
      </c>
      <c r="R9253" s="2" t="inlineStr"/>
    </row>
    <row r="9254" ht="15" customHeight="1">
      <c r="A9254" t="inlineStr">
        <is>
          <t>A 52509-2023</t>
        </is>
      </c>
      <c r="B9254" s="1" t="n">
        <v>45225</v>
      </c>
      <c r="C9254" s="1" t="n">
        <v>45344</v>
      </c>
      <c r="D9254" t="inlineStr">
        <is>
          <t>GÄVLEBORGS LÄN</t>
        </is>
      </c>
      <c r="E9254" t="inlineStr">
        <is>
          <t>SÖDERHAMN</t>
        </is>
      </c>
      <c r="G9254" t="n">
        <v>3.3</v>
      </c>
      <c r="H9254" t="n">
        <v>0</v>
      </c>
      <c r="I9254" t="n">
        <v>0</v>
      </c>
      <c r="J9254" t="n">
        <v>0</v>
      </c>
      <c r="K9254" t="n">
        <v>0</v>
      </c>
      <c r="L9254" t="n">
        <v>0</v>
      </c>
      <c r="M9254" t="n">
        <v>0</v>
      </c>
      <c r="N9254" t="n">
        <v>0</v>
      </c>
      <c r="O9254" t="n">
        <v>0</v>
      </c>
      <c r="P9254" t="n">
        <v>0</v>
      </c>
      <c r="Q9254" t="n">
        <v>0</v>
      </c>
      <c r="R9254" s="2" t="inlineStr"/>
    </row>
    <row r="9255" ht="15" customHeight="1">
      <c r="A9255" t="inlineStr">
        <is>
          <t>A 52514-2023</t>
        </is>
      </c>
      <c r="B9255" s="1" t="n">
        <v>45225</v>
      </c>
      <c r="C9255" s="1" t="n">
        <v>45344</v>
      </c>
      <c r="D9255" t="inlineStr">
        <is>
          <t>GÄVLEBORGS LÄN</t>
        </is>
      </c>
      <c r="E9255" t="inlineStr">
        <is>
          <t>OVANÅKER</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52426-2023</t>
        </is>
      </c>
      <c r="B9256" s="1" t="n">
        <v>45225</v>
      </c>
      <c r="C9256" s="1" t="n">
        <v>45344</v>
      </c>
      <c r="D9256" t="inlineStr">
        <is>
          <t>GÄVLEBORGS LÄN</t>
        </is>
      </c>
      <c r="E9256" t="inlineStr">
        <is>
          <t>LJUSDAL</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52438-2023</t>
        </is>
      </c>
      <c r="B9257" s="1" t="n">
        <v>45225</v>
      </c>
      <c r="C9257" s="1" t="n">
        <v>45344</v>
      </c>
      <c r="D9257" t="inlineStr">
        <is>
          <t>GÄVLEBORGS LÄN</t>
        </is>
      </c>
      <c r="E9257" t="inlineStr">
        <is>
          <t>HUDIKSVALL</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52427-2023</t>
        </is>
      </c>
      <c r="B9258" s="1" t="n">
        <v>45225</v>
      </c>
      <c r="C9258" s="1" t="n">
        <v>45344</v>
      </c>
      <c r="D9258" t="inlineStr">
        <is>
          <t>GÄVLEBORGS LÄN</t>
        </is>
      </c>
      <c r="E9258" t="inlineStr">
        <is>
          <t>LJUSDAL</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52473-2023</t>
        </is>
      </c>
      <c r="B9259" s="1" t="n">
        <v>45225</v>
      </c>
      <c r="C9259" s="1" t="n">
        <v>45344</v>
      </c>
      <c r="D9259" t="inlineStr">
        <is>
          <t>GÄVLEBORGS LÄN</t>
        </is>
      </c>
      <c r="E9259" t="inlineStr">
        <is>
          <t>LJUSDAL</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52491-2023</t>
        </is>
      </c>
      <c r="B9260" s="1" t="n">
        <v>45225</v>
      </c>
      <c r="C9260" s="1" t="n">
        <v>45344</v>
      </c>
      <c r="D9260" t="inlineStr">
        <is>
          <t>GÄVLEBORGS LÄN</t>
        </is>
      </c>
      <c r="E9260" t="inlineStr">
        <is>
          <t>OVANÅKER</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52538-2023</t>
        </is>
      </c>
      <c r="B9261" s="1" t="n">
        <v>45225</v>
      </c>
      <c r="C9261" s="1" t="n">
        <v>45344</v>
      </c>
      <c r="D9261" t="inlineStr">
        <is>
          <t>GÄVLEBORGS LÄN</t>
        </is>
      </c>
      <c r="E9261" t="inlineStr">
        <is>
          <t>SÖDERHAMN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52589-2023</t>
        </is>
      </c>
      <c r="B9262" s="1" t="n">
        <v>45225</v>
      </c>
      <c r="C9262" s="1" t="n">
        <v>45344</v>
      </c>
      <c r="D9262" t="inlineStr">
        <is>
          <t>GÄVLEBORGS LÄN</t>
        </is>
      </c>
      <c r="E9262" t="inlineStr">
        <is>
          <t>HUDIKSVALL</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52729-2023</t>
        </is>
      </c>
      <c r="B9263" s="1" t="n">
        <v>45226</v>
      </c>
      <c r="C9263" s="1" t="n">
        <v>45344</v>
      </c>
      <c r="D9263" t="inlineStr">
        <is>
          <t>GÄVLEBORGS LÄN</t>
        </is>
      </c>
      <c r="E9263" t="inlineStr">
        <is>
          <t>LJUSDAL</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54099-2023</t>
        </is>
      </c>
      <c r="B9264" s="1" t="n">
        <v>45225</v>
      </c>
      <c r="C9264" s="1" t="n">
        <v>45344</v>
      </c>
      <c r="D9264" t="inlineStr">
        <is>
          <t>GÄVLEBORGS LÄN</t>
        </is>
      </c>
      <c r="E9264" t="inlineStr">
        <is>
          <t>OVANÅKER</t>
        </is>
      </c>
      <c r="G9264" t="n">
        <v>2.5</v>
      </c>
      <c r="H9264" t="n">
        <v>0</v>
      </c>
      <c r="I9264" t="n">
        <v>0</v>
      </c>
      <c r="J9264" t="n">
        <v>0</v>
      </c>
      <c r="K9264" t="n">
        <v>0</v>
      </c>
      <c r="L9264" t="n">
        <v>0</v>
      </c>
      <c r="M9264" t="n">
        <v>0</v>
      </c>
      <c r="N9264" t="n">
        <v>0</v>
      </c>
      <c r="O9264" t="n">
        <v>0</v>
      </c>
      <c r="P9264" t="n">
        <v>0</v>
      </c>
      <c r="Q9264" t="n">
        <v>0</v>
      </c>
      <c r="R9264" s="2" t="inlineStr"/>
    </row>
    <row r="9265" ht="15" customHeight="1">
      <c r="A9265" t="inlineStr">
        <is>
          <t>A 52892-2023</t>
        </is>
      </c>
      <c r="B9265" s="1" t="n">
        <v>45226</v>
      </c>
      <c r="C9265" s="1" t="n">
        <v>45344</v>
      </c>
      <c r="D9265" t="inlineStr">
        <is>
          <t>GÄVLEBORGS LÄN</t>
        </is>
      </c>
      <c r="E9265" t="inlineStr">
        <is>
          <t>HUDIKSVALL</t>
        </is>
      </c>
      <c r="F9265" t="inlineStr">
        <is>
          <t>Holmen skog AB</t>
        </is>
      </c>
      <c r="G9265" t="n">
        <v>12.4</v>
      </c>
      <c r="H9265" t="n">
        <v>0</v>
      </c>
      <c r="I9265" t="n">
        <v>0</v>
      </c>
      <c r="J9265" t="n">
        <v>0</v>
      </c>
      <c r="K9265" t="n">
        <v>0</v>
      </c>
      <c r="L9265" t="n">
        <v>0</v>
      </c>
      <c r="M9265" t="n">
        <v>0</v>
      </c>
      <c r="N9265" t="n">
        <v>0</v>
      </c>
      <c r="O9265" t="n">
        <v>0</v>
      </c>
      <c r="P9265" t="n">
        <v>0</v>
      </c>
      <c r="Q9265" t="n">
        <v>0</v>
      </c>
      <c r="R9265" s="2" t="inlineStr"/>
    </row>
    <row r="9266" ht="15" customHeight="1">
      <c r="A9266" t="inlineStr">
        <is>
          <t>A 52917-2023</t>
        </is>
      </c>
      <c r="B9266" s="1" t="n">
        <v>45226</v>
      </c>
      <c r="C9266" s="1" t="n">
        <v>45344</v>
      </c>
      <c r="D9266" t="inlineStr">
        <is>
          <t>GÄVLEBORGS LÄN</t>
        </is>
      </c>
      <c r="E9266" t="inlineStr">
        <is>
          <t>HUDIKSVALL</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52934-2023</t>
        </is>
      </c>
      <c r="B9267" s="1" t="n">
        <v>45226</v>
      </c>
      <c r="C9267" s="1" t="n">
        <v>45344</v>
      </c>
      <c r="D9267" t="inlineStr">
        <is>
          <t>GÄVLEBORGS LÄN</t>
        </is>
      </c>
      <c r="E9267" t="inlineStr">
        <is>
          <t>HOFORS</t>
        </is>
      </c>
      <c r="F9267" t="inlineStr">
        <is>
          <t>Sveaskog</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52785-2023</t>
        </is>
      </c>
      <c r="B9268" s="1" t="n">
        <v>45226</v>
      </c>
      <c r="C9268" s="1" t="n">
        <v>45344</v>
      </c>
      <c r="D9268" t="inlineStr">
        <is>
          <t>GÄVLEBORGS LÄN</t>
        </is>
      </c>
      <c r="E9268" t="inlineStr">
        <is>
          <t>SANDVIKEN</t>
        </is>
      </c>
      <c r="F9268" t="inlineStr">
        <is>
          <t>Bergvik skog öst AB</t>
        </is>
      </c>
      <c r="G9268" t="n">
        <v>5.4</v>
      </c>
      <c r="H9268" t="n">
        <v>0</v>
      </c>
      <c r="I9268" t="n">
        <v>0</v>
      </c>
      <c r="J9268" t="n">
        <v>0</v>
      </c>
      <c r="K9268" t="n">
        <v>0</v>
      </c>
      <c r="L9268" t="n">
        <v>0</v>
      </c>
      <c r="M9268" t="n">
        <v>0</v>
      </c>
      <c r="N9268" t="n">
        <v>0</v>
      </c>
      <c r="O9268" t="n">
        <v>0</v>
      </c>
      <c r="P9268" t="n">
        <v>0</v>
      </c>
      <c r="Q9268" t="n">
        <v>0</v>
      </c>
      <c r="R9268" s="2" t="inlineStr"/>
    </row>
    <row r="9269" ht="15" customHeight="1">
      <c r="A9269" t="inlineStr">
        <is>
          <t>A 53013-2023</t>
        </is>
      </c>
      <c r="B9269" s="1" t="n">
        <v>45226</v>
      </c>
      <c r="C9269" s="1" t="n">
        <v>45344</v>
      </c>
      <c r="D9269" t="inlineStr">
        <is>
          <t>GÄVLEBORGS LÄN</t>
        </is>
      </c>
      <c r="E9269" t="inlineStr">
        <is>
          <t>LJUSDAL</t>
        </is>
      </c>
      <c r="F9269" t="inlineStr">
        <is>
          <t>Sveaskog</t>
        </is>
      </c>
      <c r="G9269" t="n">
        <v>21.1</v>
      </c>
      <c r="H9269" t="n">
        <v>0</v>
      </c>
      <c r="I9269" t="n">
        <v>0</v>
      </c>
      <c r="J9269" t="n">
        <v>0</v>
      </c>
      <c r="K9269" t="n">
        <v>0</v>
      </c>
      <c r="L9269" t="n">
        <v>0</v>
      </c>
      <c r="M9269" t="n">
        <v>0</v>
      </c>
      <c r="N9269" t="n">
        <v>0</v>
      </c>
      <c r="O9269" t="n">
        <v>0</v>
      </c>
      <c r="P9269" t="n">
        <v>0</v>
      </c>
      <c r="Q9269" t="n">
        <v>0</v>
      </c>
      <c r="R9269" s="2" t="inlineStr"/>
    </row>
    <row r="9270" ht="15" customHeight="1">
      <c r="A9270" t="inlineStr">
        <is>
          <t>A 52931-2023</t>
        </is>
      </c>
      <c r="B9270" s="1" t="n">
        <v>45226</v>
      </c>
      <c r="C9270" s="1" t="n">
        <v>45344</v>
      </c>
      <c r="D9270" t="inlineStr">
        <is>
          <t>GÄVLEBORGS LÄN</t>
        </is>
      </c>
      <c r="E9270" t="inlineStr">
        <is>
          <t>SANDVIKEN</t>
        </is>
      </c>
      <c r="F9270" t="inlineStr">
        <is>
          <t>Sveaskog</t>
        </is>
      </c>
      <c r="G9270" t="n">
        <v>1.4</v>
      </c>
      <c r="H9270" t="n">
        <v>0</v>
      </c>
      <c r="I9270" t="n">
        <v>0</v>
      </c>
      <c r="J9270" t="n">
        <v>0</v>
      </c>
      <c r="K9270" t="n">
        <v>0</v>
      </c>
      <c r="L9270" t="n">
        <v>0</v>
      </c>
      <c r="M9270" t="n">
        <v>0</v>
      </c>
      <c r="N9270" t="n">
        <v>0</v>
      </c>
      <c r="O9270" t="n">
        <v>0</v>
      </c>
      <c r="P9270" t="n">
        <v>0</v>
      </c>
      <c r="Q9270" t="n">
        <v>0</v>
      </c>
      <c r="R9270" s="2" t="inlineStr"/>
    </row>
    <row r="9271" ht="15" customHeight="1">
      <c r="A9271" t="inlineStr">
        <is>
          <t>A 52903-2023</t>
        </is>
      </c>
      <c r="B9271" s="1" t="n">
        <v>45226</v>
      </c>
      <c r="C9271" s="1" t="n">
        <v>45344</v>
      </c>
      <c r="D9271" t="inlineStr">
        <is>
          <t>GÄVLEBORGS LÄN</t>
        </is>
      </c>
      <c r="E9271" t="inlineStr">
        <is>
          <t>LJUSDAL</t>
        </is>
      </c>
      <c r="G9271" t="n">
        <v>3.9</v>
      </c>
      <c r="H9271" t="n">
        <v>0</v>
      </c>
      <c r="I9271" t="n">
        <v>0</v>
      </c>
      <c r="J9271" t="n">
        <v>0</v>
      </c>
      <c r="K9271" t="n">
        <v>0</v>
      </c>
      <c r="L9271" t="n">
        <v>0</v>
      </c>
      <c r="M9271" t="n">
        <v>0</v>
      </c>
      <c r="N9271" t="n">
        <v>0</v>
      </c>
      <c r="O9271" t="n">
        <v>0</v>
      </c>
      <c r="P9271" t="n">
        <v>0</v>
      </c>
      <c r="Q9271" t="n">
        <v>0</v>
      </c>
      <c r="R9271" s="2" t="inlineStr"/>
    </row>
    <row r="9272" ht="15" customHeight="1">
      <c r="A9272" t="inlineStr">
        <is>
          <t>A 52920-2023</t>
        </is>
      </c>
      <c r="B9272" s="1" t="n">
        <v>45226</v>
      </c>
      <c r="C9272" s="1" t="n">
        <v>45344</v>
      </c>
      <c r="D9272" t="inlineStr">
        <is>
          <t>GÄVLEBORGS LÄN</t>
        </is>
      </c>
      <c r="E9272" t="inlineStr">
        <is>
          <t>HUDIKSVALL</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52965-2023</t>
        </is>
      </c>
      <c r="B9273" s="1" t="n">
        <v>45226</v>
      </c>
      <c r="C9273" s="1" t="n">
        <v>45344</v>
      </c>
      <c r="D9273" t="inlineStr">
        <is>
          <t>GÄVLEBORGS LÄN</t>
        </is>
      </c>
      <c r="E9273" t="inlineStr">
        <is>
          <t>LJUSDAL</t>
        </is>
      </c>
      <c r="G9273" t="n">
        <v>2.8</v>
      </c>
      <c r="H9273" t="n">
        <v>0</v>
      </c>
      <c r="I9273" t="n">
        <v>0</v>
      </c>
      <c r="J9273" t="n">
        <v>0</v>
      </c>
      <c r="K9273" t="n">
        <v>0</v>
      </c>
      <c r="L9273" t="n">
        <v>0</v>
      </c>
      <c r="M9273" t="n">
        <v>0</v>
      </c>
      <c r="N9273" t="n">
        <v>0</v>
      </c>
      <c r="O9273" t="n">
        <v>0</v>
      </c>
      <c r="P9273" t="n">
        <v>0</v>
      </c>
      <c r="Q9273" t="n">
        <v>0</v>
      </c>
      <c r="R9273" s="2" t="inlineStr"/>
    </row>
    <row r="9274" ht="15" customHeight="1">
      <c r="A9274" t="inlineStr">
        <is>
          <t>A 52842-2023</t>
        </is>
      </c>
      <c r="B9274" s="1" t="n">
        <v>45226</v>
      </c>
      <c r="C9274" s="1" t="n">
        <v>45344</v>
      </c>
      <c r="D9274" t="inlineStr">
        <is>
          <t>GÄVLEBORGS LÄN</t>
        </is>
      </c>
      <c r="E9274" t="inlineStr">
        <is>
          <t>LJUSDAL</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52983-2023</t>
        </is>
      </c>
      <c r="B9275" s="1" t="n">
        <v>45226</v>
      </c>
      <c r="C9275" s="1" t="n">
        <v>45344</v>
      </c>
      <c r="D9275" t="inlineStr">
        <is>
          <t>GÄVLEBORGS LÄN</t>
        </is>
      </c>
      <c r="E9275" t="inlineStr">
        <is>
          <t>HUDIKSVALL</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52822-2023</t>
        </is>
      </c>
      <c r="B9276" s="1" t="n">
        <v>45226</v>
      </c>
      <c r="C9276" s="1" t="n">
        <v>45344</v>
      </c>
      <c r="D9276" t="inlineStr">
        <is>
          <t>GÄVLEBORGS LÄN</t>
        </is>
      </c>
      <c r="E9276" t="inlineStr">
        <is>
          <t>OCKELBO</t>
        </is>
      </c>
      <c r="F9276" t="inlineStr">
        <is>
          <t>Bergvik skog väst AB</t>
        </is>
      </c>
      <c r="G9276" t="n">
        <v>5.6</v>
      </c>
      <c r="H9276" t="n">
        <v>0</v>
      </c>
      <c r="I9276" t="n">
        <v>0</v>
      </c>
      <c r="J9276" t="n">
        <v>0</v>
      </c>
      <c r="K9276" t="n">
        <v>0</v>
      </c>
      <c r="L9276" t="n">
        <v>0</v>
      </c>
      <c r="M9276" t="n">
        <v>0</v>
      </c>
      <c r="N9276" t="n">
        <v>0</v>
      </c>
      <c r="O9276" t="n">
        <v>0</v>
      </c>
      <c r="P9276" t="n">
        <v>0</v>
      </c>
      <c r="Q9276" t="n">
        <v>0</v>
      </c>
      <c r="R9276" s="2" t="inlineStr"/>
    </row>
    <row r="9277" ht="15" customHeight="1">
      <c r="A9277" t="inlineStr">
        <is>
          <t>A 53006-2023</t>
        </is>
      </c>
      <c r="B9277" s="1" t="n">
        <v>45226</v>
      </c>
      <c r="C9277" s="1" t="n">
        <v>45344</v>
      </c>
      <c r="D9277" t="inlineStr">
        <is>
          <t>GÄVLEBORGS LÄN</t>
        </is>
      </c>
      <c r="E9277" t="inlineStr">
        <is>
          <t>SANDVIKEN</t>
        </is>
      </c>
      <c r="G9277" t="n">
        <v>6.4</v>
      </c>
      <c r="H9277" t="n">
        <v>0</v>
      </c>
      <c r="I9277" t="n">
        <v>0</v>
      </c>
      <c r="J9277" t="n">
        <v>0</v>
      </c>
      <c r="K9277" t="n">
        <v>0</v>
      </c>
      <c r="L9277" t="n">
        <v>0</v>
      </c>
      <c r="M9277" t="n">
        <v>0</v>
      </c>
      <c r="N9277" t="n">
        <v>0</v>
      </c>
      <c r="O9277" t="n">
        <v>0</v>
      </c>
      <c r="P9277" t="n">
        <v>0</v>
      </c>
      <c r="Q9277" t="n">
        <v>0</v>
      </c>
      <c r="R9277" s="2" t="inlineStr"/>
    </row>
    <row r="9278" ht="15" customHeight="1">
      <c r="A9278" t="inlineStr">
        <is>
          <t>A 52949-2023</t>
        </is>
      </c>
      <c r="B9278" s="1" t="n">
        <v>45226</v>
      </c>
      <c r="C9278" s="1" t="n">
        <v>45344</v>
      </c>
      <c r="D9278" t="inlineStr">
        <is>
          <t>GÄVLEBORGS LÄN</t>
        </is>
      </c>
      <c r="E9278" t="inlineStr">
        <is>
          <t>LJUSDAL</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52935-2023</t>
        </is>
      </c>
      <c r="B9279" s="1" t="n">
        <v>45226</v>
      </c>
      <c r="C9279" s="1" t="n">
        <v>45344</v>
      </c>
      <c r="D9279" t="inlineStr">
        <is>
          <t>GÄVLEBORGS LÄN</t>
        </is>
      </c>
      <c r="E9279" t="inlineStr">
        <is>
          <t>LJUSDAL</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52837-2023</t>
        </is>
      </c>
      <c r="B9280" s="1" t="n">
        <v>45226</v>
      </c>
      <c r="C9280" s="1" t="n">
        <v>45344</v>
      </c>
      <c r="D9280" t="inlineStr">
        <is>
          <t>GÄVLEBORGS LÄN</t>
        </is>
      </c>
      <c r="E9280" t="inlineStr">
        <is>
          <t>LJUSDAL</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52772-2023</t>
        </is>
      </c>
      <c r="B9281" s="1" t="n">
        <v>45226</v>
      </c>
      <c r="C9281" s="1" t="n">
        <v>45344</v>
      </c>
      <c r="D9281" t="inlineStr">
        <is>
          <t>GÄVLEBORGS LÄN</t>
        </is>
      </c>
      <c r="E9281" t="inlineStr">
        <is>
          <t>SANDVIKEN</t>
        </is>
      </c>
      <c r="F9281" t="inlineStr">
        <is>
          <t>Bergvik skog öst AB</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53007-2023</t>
        </is>
      </c>
      <c r="B9282" s="1" t="n">
        <v>45226</v>
      </c>
      <c r="C9282" s="1" t="n">
        <v>45344</v>
      </c>
      <c r="D9282" t="inlineStr">
        <is>
          <t>GÄVLEBORGS LÄN</t>
        </is>
      </c>
      <c r="E9282" t="inlineStr">
        <is>
          <t>SANDVIKEN</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52970-2023</t>
        </is>
      </c>
      <c r="B9283" s="1" t="n">
        <v>45226</v>
      </c>
      <c r="C9283" s="1" t="n">
        <v>45344</v>
      </c>
      <c r="D9283" t="inlineStr">
        <is>
          <t>GÄVLEBORGS LÄN</t>
        </is>
      </c>
      <c r="E9283" t="inlineStr">
        <is>
          <t>LJUSDAL</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52938-2023</t>
        </is>
      </c>
      <c r="B9284" s="1" t="n">
        <v>45226</v>
      </c>
      <c r="C9284" s="1" t="n">
        <v>45344</v>
      </c>
      <c r="D9284" t="inlineStr">
        <is>
          <t>GÄVLEBORGS LÄN</t>
        </is>
      </c>
      <c r="E9284" t="inlineStr">
        <is>
          <t>LJUSDAL</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53298-2023</t>
        </is>
      </c>
      <c r="B9285" s="1" t="n">
        <v>45229</v>
      </c>
      <c r="C9285" s="1" t="n">
        <v>45344</v>
      </c>
      <c r="D9285" t="inlineStr">
        <is>
          <t>GÄVLEBORGS LÄN</t>
        </is>
      </c>
      <c r="E9285" t="inlineStr">
        <is>
          <t>BOLLNÄS</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53178-2023</t>
        </is>
      </c>
      <c r="B9286" s="1" t="n">
        <v>45229</v>
      </c>
      <c r="C9286" s="1" t="n">
        <v>45344</v>
      </c>
      <c r="D9286" t="inlineStr">
        <is>
          <t>GÄVLEBORGS LÄN</t>
        </is>
      </c>
      <c r="E9286" t="inlineStr">
        <is>
          <t>OCKELBO</t>
        </is>
      </c>
      <c r="F9286" t="inlineStr">
        <is>
          <t>Bergvik skog väst AB</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53330-2023</t>
        </is>
      </c>
      <c r="B9287" s="1" t="n">
        <v>45229</v>
      </c>
      <c r="C9287" s="1" t="n">
        <v>45344</v>
      </c>
      <c r="D9287" t="inlineStr">
        <is>
          <t>GÄVLEBORGS LÄN</t>
        </is>
      </c>
      <c r="E9287" t="inlineStr">
        <is>
          <t>BOLLNÄS</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53270-2023</t>
        </is>
      </c>
      <c r="B9288" s="1" t="n">
        <v>45229</v>
      </c>
      <c r="C9288" s="1" t="n">
        <v>45344</v>
      </c>
      <c r="D9288" t="inlineStr">
        <is>
          <t>GÄVLEBORGS LÄN</t>
        </is>
      </c>
      <c r="E9288" t="inlineStr">
        <is>
          <t>GÄVLE</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53321-2023</t>
        </is>
      </c>
      <c r="B9289" s="1" t="n">
        <v>45229</v>
      </c>
      <c r="C9289" s="1" t="n">
        <v>45344</v>
      </c>
      <c r="D9289" t="inlineStr">
        <is>
          <t>GÄVLEBORGS LÄN</t>
        </is>
      </c>
      <c r="E9289" t="inlineStr">
        <is>
          <t>BOLLNÄS</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53435-2023</t>
        </is>
      </c>
      <c r="B9290" s="1" t="n">
        <v>45229</v>
      </c>
      <c r="C9290" s="1" t="n">
        <v>45344</v>
      </c>
      <c r="D9290" t="inlineStr">
        <is>
          <t>GÄVLEBORGS LÄN</t>
        </is>
      </c>
      <c r="E9290" t="inlineStr">
        <is>
          <t>HUDIKSVALL</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53198-2023</t>
        </is>
      </c>
      <c r="B9291" s="1" t="n">
        <v>45229</v>
      </c>
      <c r="C9291" s="1" t="n">
        <v>45344</v>
      </c>
      <c r="D9291" t="inlineStr">
        <is>
          <t>GÄVLEBORGS LÄN</t>
        </is>
      </c>
      <c r="E9291" t="inlineStr">
        <is>
          <t>GÄVLE</t>
        </is>
      </c>
      <c r="F9291" t="inlineStr">
        <is>
          <t>Bergvik skog öst AB</t>
        </is>
      </c>
      <c r="G9291" t="n">
        <v>3.3</v>
      </c>
      <c r="H9291" t="n">
        <v>0</v>
      </c>
      <c r="I9291" t="n">
        <v>0</v>
      </c>
      <c r="J9291" t="n">
        <v>0</v>
      </c>
      <c r="K9291" t="n">
        <v>0</v>
      </c>
      <c r="L9291" t="n">
        <v>0</v>
      </c>
      <c r="M9291" t="n">
        <v>0</v>
      </c>
      <c r="N9291" t="n">
        <v>0</v>
      </c>
      <c r="O9291" t="n">
        <v>0</v>
      </c>
      <c r="P9291" t="n">
        <v>0</v>
      </c>
      <c r="Q9291" t="n">
        <v>0</v>
      </c>
      <c r="R9291" s="2" t="inlineStr"/>
    </row>
    <row r="9292" ht="15" customHeight="1">
      <c r="A9292" t="inlineStr">
        <is>
          <t>A 53289-2023</t>
        </is>
      </c>
      <c r="B9292" s="1" t="n">
        <v>45229</v>
      </c>
      <c r="C9292" s="1" t="n">
        <v>45344</v>
      </c>
      <c r="D9292" t="inlineStr">
        <is>
          <t>GÄVLEBORGS LÄN</t>
        </is>
      </c>
      <c r="E9292" t="inlineStr">
        <is>
          <t>SANDVIKEN</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53301-2023</t>
        </is>
      </c>
      <c r="B9293" s="1" t="n">
        <v>45229</v>
      </c>
      <c r="C9293" s="1" t="n">
        <v>45344</v>
      </c>
      <c r="D9293" t="inlineStr">
        <is>
          <t>GÄVLEBORGS LÄN</t>
        </is>
      </c>
      <c r="E9293" t="inlineStr">
        <is>
          <t>BOLLNÄS</t>
        </is>
      </c>
      <c r="G9293" t="n">
        <v>1.1</v>
      </c>
      <c r="H9293" t="n">
        <v>0</v>
      </c>
      <c r="I9293" t="n">
        <v>0</v>
      </c>
      <c r="J9293" t="n">
        <v>0</v>
      </c>
      <c r="K9293" t="n">
        <v>0</v>
      </c>
      <c r="L9293" t="n">
        <v>0</v>
      </c>
      <c r="M9293" t="n">
        <v>0</v>
      </c>
      <c r="N9293" t="n">
        <v>0</v>
      </c>
      <c r="O9293" t="n">
        <v>0</v>
      </c>
      <c r="P9293" t="n">
        <v>0</v>
      </c>
      <c r="Q9293" t="n">
        <v>0</v>
      </c>
      <c r="R9293" s="2" t="inlineStr"/>
    </row>
    <row r="9294" ht="15" customHeight="1">
      <c r="A9294" t="inlineStr">
        <is>
          <t>A 53314-2023</t>
        </is>
      </c>
      <c r="B9294" s="1" t="n">
        <v>45229</v>
      </c>
      <c r="C9294" s="1" t="n">
        <v>45344</v>
      </c>
      <c r="D9294" t="inlineStr">
        <is>
          <t>GÄVLEBORGS LÄN</t>
        </is>
      </c>
      <c r="E9294" t="inlineStr">
        <is>
          <t>BOLLNÄS</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53318-2023</t>
        </is>
      </c>
      <c r="B9295" s="1" t="n">
        <v>45229</v>
      </c>
      <c r="C9295" s="1" t="n">
        <v>45344</v>
      </c>
      <c r="D9295" t="inlineStr">
        <is>
          <t>GÄVLEBORGS LÄN</t>
        </is>
      </c>
      <c r="E9295" t="inlineStr">
        <is>
          <t>SANDVIKEN</t>
        </is>
      </c>
      <c r="F9295" t="inlineStr">
        <is>
          <t>Bergvik skog öst AB</t>
        </is>
      </c>
      <c r="G9295" t="n">
        <v>7.4</v>
      </c>
      <c r="H9295" t="n">
        <v>0</v>
      </c>
      <c r="I9295" t="n">
        <v>0</v>
      </c>
      <c r="J9295" t="n">
        <v>0</v>
      </c>
      <c r="K9295" t="n">
        <v>0</v>
      </c>
      <c r="L9295" t="n">
        <v>0</v>
      </c>
      <c r="M9295" t="n">
        <v>0</v>
      </c>
      <c r="N9295" t="n">
        <v>0</v>
      </c>
      <c r="O9295" t="n">
        <v>0</v>
      </c>
      <c r="P9295" t="n">
        <v>0</v>
      </c>
      <c r="Q9295" t="n">
        <v>0</v>
      </c>
      <c r="R9295" s="2" t="inlineStr"/>
    </row>
    <row r="9296" ht="15" customHeight="1">
      <c r="A9296" t="inlineStr">
        <is>
          <t>A 53166-2023</t>
        </is>
      </c>
      <c r="B9296" s="1" t="n">
        <v>45229</v>
      </c>
      <c r="C9296" s="1" t="n">
        <v>45344</v>
      </c>
      <c r="D9296" t="inlineStr">
        <is>
          <t>GÄVLEBORGS LÄN</t>
        </is>
      </c>
      <c r="E9296" t="inlineStr">
        <is>
          <t>LJUSDAL</t>
        </is>
      </c>
      <c r="F9296" t="inlineStr">
        <is>
          <t>Allmännings- och besparingsskogar</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53226-2023</t>
        </is>
      </c>
      <c r="B9297" s="1" t="n">
        <v>45229</v>
      </c>
      <c r="C9297" s="1" t="n">
        <v>45344</v>
      </c>
      <c r="D9297" t="inlineStr">
        <is>
          <t>GÄVLEBORGS LÄN</t>
        </is>
      </c>
      <c r="E9297" t="inlineStr">
        <is>
          <t>SANDVIKEN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53269-2023</t>
        </is>
      </c>
      <c r="B9298" s="1" t="n">
        <v>45229</v>
      </c>
      <c r="C9298" s="1" t="n">
        <v>45344</v>
      </c>
      <c r="D9298" t="inlineStr">
        <is>
          <t>GÄVLEBORGS LÄN</t>
        </is>
      </c>
      <c r="E9298" t="inlineStr">
        <is>
          <t>SANDVIKEN</t>
        </is>
      </c>
      <c r="F9298" t="inlineStr">
        <is>
          <t>Bergvik skog öst AB</t>
        </is>
      </c>
      <c r="G9298" t="n">
        <v>13.6</v>
      </c>
      <c r="H9298" t="n">
        <v>0</v>
      </c>
      <c r="I9298" t="n">
        <v>0</v>
      </c>
      <c r="J9298" t="n">
        <v>0</v>
      </c>
      <c r="K9298" t="n">
        <v>0</v>
      </c>
      <c r="L9298" t="n">
        <v>0</v>
      </c>
      <c r="M9298" t="n">
        <v>0</v>
      </c>
      <c r="N9298" t="n">
        <v>0</v>
      </c>
      <c r="O9298" t="n">
        <v>0</v>
      </c>
      <c r="P9298" t="n">
        <v>0</v>
      </c>
      <c r="Q9298" t="n">
        <v>0</v>
      </c>
      <c r="R9298" s="2" t="inlineStr"/>
    </row>
    <row r="9299" ht="15" customHeight="1">
      <c r="A9299" t="inlineStr">
        <is>
          <t>A 53325-2023</t>
        </is>
      </c>
      <c r="B9299" s="1" t="n">
        <v>45229</v>
      </c>
      <c r="C9299" s="1" t="n">
        <v>45344</v>
      </c>
      <c r="D9299" t="inlineStr">
        <is>
          <t>GÄVLEBORGS LÄN</t>
        </is>
      </c>
      <c r="E9299" t="inlineStr">
        <is>
          <t>BOLLNÄS</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53434-2023</t>
        </is>
      </c>
      <c r="B9300" s="1" t="n">
        <v>45229</v>
      </c>
      <c r="C9300" s="1" t="n">
        <v>45344</v>
      </c>
      <c r="D9300" t="inlineStr">
        <is>
          <t>GÄVLEBORGS LÄN</t>
        </is>
      </c>
      <c r="E9300" t="inlineStr">
        <is>
          <t>HUDIKSVALL</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53494-2023</t>
        </is>
      </c>
      <c r="B9301" s="1" t="n">
        <v>45230</v>
      </c>
      <c r="C9301" s="1" t="n">
        <v>45344</v>
      </c>
      <c r="D9301" t="inlineStr">
        <is>
          <t>GÄVLEBORGS LÄN</t>
        </is>
      </c>
      <c r="E9301" t="inlineStr">
        <is>
          <t>BOLLNÄS</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53503-2023</t>
        </is>
      </c>
      <c r="B9302" s="1" t="n">
        <v>45230</v>
      </c>
      <c r="C9302" s="1" t="n">
        <v>45344</v>
      </c>
      <c r="D9302" t="inlineStr">
        <is>
          <t>GÄVLEBORGS LÄN</t>
        </is>
      </c>
      <c r="E9302" t="inlineStr">
        <is>
          <t>SÖDERHAMN</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53734-2023</t>
        </is>
      </c>
      <c r="B9303" s="1" t="n">
        <v>45230</v>
      </c>
      <c r="C9303" s="1" t="n">
        <v>45344</v>
      </c>
      <c r="D9303" t="inlineStr">
        <is>
          <t>GÄVLEBORGS LÄN</t>
        </is>
      </c>
      <c r="E9303" t="inlineStr">
        <is>
          <t>HUDIKSVALL</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53723-2023</t>
        </is>
      </c>
      <c r="B9304" s="1" t="n">
        <v>45230</v>
      </c>
      <c r="C9304" s="1" t="n">
        <v>45344</v>
      </c>
      <c r="D9304" t="inlineStr">
        <is>
          <t>GÄVLEBORGS LÄN</t>
        </is>
      </c>
      <c r="E9304" t="inlineStr">
        <is>
          <t>HUDIKSVALL</t>
        </is>
      </c>
      <c r="G9304" t="n">
        <v>2.6</v>
      </c>
      <c r="H9304" t="n">
        <v>0</v>
      </c>
      <c r="I9304" t="n">
        <v>0</v>
      </c>
      <c r="J9304" t="n">
        <v>0</v>
      </c>
      <c r="K9304" t="n">
        <v>0</v>
      </c>
      <c r="L9304" t="n">
        <v>0</v>
      </c>
      <c r="M9304" t="n">
        <v>0</v>
      </c>
      <c r="N9304" t="n">
        <v>0</v>
      </c>
      <c r="O9304" t="n">
        <v>0</v>
      </c>
      <c r="P9304" t="n">
        <v>0</v>
      </c>
      <c r="Q9304" t="n">
        <v>0</v>
      </c>
      <c r="R9304" s="2" t="inlineStr"/>
    </row>
    <row r="9305" ht="15" customHeight="1">
      <c r="A9305" t="inlineStr">
        <is>
          <t>A 53724-2023</t>
        </is>
      </c>
      <c r="B9305" s="1" t="n">
        <v>45230</v>
      </c>
      <c r="C9305" s="1" t="n">
        <v>45344</v>
      </c>
      <c r="D9305" t="inlineStr">
        <is>
          <t>GÄVLEBORGS LÄN</t>
        </is>
      </c>
      <c r="E9305" t="inlineStr">
        <is>
          <t>HUDIKSVALL</t>
        </is>
      </c>
      <c r="G9305" t="n">
        <v>4.7</v>
      </c>
      <c r="H9305" t="n">
        <v>0</v>
      </c>
      <c r="I9305" t="n">
        <v>0</v>
      </c>
      <c r="J9305" t="n">
        <v>0</v>
      </c>
      <c r="K9305" t="n">
        <v>0</v>
      </c>
      <c r="L9305" t="n">
        <v>0</v>
      </c>
      <c r="M9305" t="n">
        <v>0</v>
      </c>
      <c r="N9305" t="n">
        <v>0</v>
      </c>
      <c r="O9305" t="n">
        <v>0</v>
      </c>
      <c r="P9305" t="n">
        <v>0</v>
      </c>
      <c r="Q9305" t="n">
        <v>0</v>
      </c>
      <c r="R9305" s="2" t="inlineStr"/>
    </row>
    <row r="9306" ht="15" customHeight="1">
      <c r="A9306" t="inlineStr">
        <is>
          <t>A 53569-2023</t>
        </is>
      </c>
      <c r="B9306" s="1" t="n">
        <v>45230</v>
      </c>
      <c r="C9306" s="1" t="n">
        <v>45344</v>
      </c>
      <c r="D9306" t="inlineStr">
        <is>
          <t>GÄVLEBORGS LÄN</t>
        </is>
      </c>
      <c r="E9306" t="inlineStr">
        <is>
          <t>LJUSDAL</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53604-2023</t>
        </is>
      </c>
      <c r="B9307" s="1" t="n">
        <v>45230</v>
      </c>
      <c r="C9307" s="1" t="n">
        <v>45344</v>
      </c>
      <c r="D9307" t="inlineStr">
        <is>
          <t>GÄVLEBORGS LÄN</t>
        </is>
      </c>
      <c r="E9307" t="inlineStr">
        <is>
          <t>OVANÅKER</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53644-2023</t>
        </is>
      </c>
      <c r="B9308" s="1" t="n">
        <v>45230</v>
      </c>
      <c r="C9308" s="1" t="n">
        <v>45344</v>
      </c>
      <c r="D9308" t="inlineStr">
        <is>
          <t>GÄVLEBORGS LÄN</t>
        </is>
      </c>
      <c r="E9308" t="inlineStr">
        <is>
          <t>BOLLNÄS</t>
        </is>
      </c>
      <c r="F9308" t="inlineStr">
        <is>
          <t>Bergvik skog väst AB</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53631-2023</t>
        </is>
      </c>
      <c r="B9309" s="1" t="n">
        <v>45230</v>
      </c>
      <c r="C9309" s="1" t="n">
        <v>45344</v>
      </c>
      <c r="D9309" t="inlineStr">
        <is>
          <t>GÄVLEBORGS LÄN</t>
        </is>
      </c>
      <c r="E9309" t="inlineStr">
        <is>
          <t>OVANÅKER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53542-2023</t>
        </is>
      </c>
      <c r="B9310" s="1" t="n">
        <v>45230</v>
      </c>
      <c r="C9310" s="1" t="n">
        <v>45344</v>
      </c>
      <c r="D9310" t="inlineStr">
        <is>
          <t>GÄVLEBORGS LÄN</t>
        </is>
      </c>
      <c r="E9310" t="inlineStr">
        <is>
          <t>LJUSDAL</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53711-2023</t>
        </is>
      </c>
      <c r="B9311" s="1" t="n">
        <v>45230</v>
      </c>
      <c r="C9311" s="1" t="n">
        <v>45344</v>
      </c>
      <c r="D9311" t="inlineStr">
        <is>
          <t>GÄVLEBORGS LÄN</t>
        </is>
      </c>
      <c r="E9311" t="inlineStr">
        <is>
          <t>OVANÅKER</t>
        </is>
      </c>
      <c r="G9311" t="n">
        <v>2.9</v>
      </c>
      <c r="H9311" t="n">
        <v>0</v>
      </c>
      <c r="I9311" t="n">
        <v>0</v>
      </c>
      <c r="J9311" t="n">
        <v>0</v>
      </c>
      <c r="K9311" t="n">
        <v>0</v>
      </c>
      <c r="L9311" t="n">
        <v>0</v>
      </c>
      <c r="M9311" t="n">
        <v>0</v>
      </c>
      <c r="N9311" t="n">
        <v>0</v>
      </c>
      <c r="O9311" t="n">
        <v>0</v>
      </c>
      <c r="P9311" t="n">
        <v>0</v>
      </c>
      <c r="Q9311" t="n">
        <v>0</v>
      </c>
      <c r="R9311" s="2" t="inlineStr"/>
    </row>
    <row r="9312" ht="15" customHeight="1">
      <c r="A9312" t="inlineStr">
        <is>
          <t>A 53687-2023</t>
        </is>
      </c>
      <c r="B9312" s="1" t="n">
        <v>45230</v>
      </c>
      <c r="C9312" s="1" t="n">
        <v>45344</v>
      </c>
      <c r="D9312" t="inlineStr">
        <is>
          <t>GÄVLEBORGS LÄN</t>
        </is>
      </c>
      <c r="E9312" t="inlineStr">
        <is>
          <t>BOLLNÄS</t>
        </is>
      </c>
      <c r="F9312" t="inlineStr">
        <is>
          <t>Bergvik skog väst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53526-2023</t>
        </is>
      </c>
      <c r="B9313" s="1" t="n">
        <v>45230</v>
      </c>
      <c r="C9313" s="1" t="n">
        <v>45344</v>
      </c>
      <c r="D9313" t="inlineStr">
        <is>
          <t>GÄVLEBORGS LÄN</t>
        </is>
      </c>
      <c r="E9313" t="inlineStr">
        <is>
          <t>BOLLNÄS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53520-2023</t>
        </is>
      </c>
      <c r="B9314" s="1" t="n">
        <v>45230</v>
      </c>
      <c r="C9314" s="1" t="n">
        <v>45344</v>
      </c>
      <c r="D9314" t="inlineStr">
        <is>
          <t>GÄVLEBORGS LÄN</t>
        </is>
      </c>
      <c r="E9314" t="inlineStr">
        <is>
          <t>HUDIKSVALL</t>
        </is>
      </c>
      <c r="F9314" t="inlineStr">
        <is>
          <t>Holmen skog AB</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53483-2023</t>
        </is>
      </c>
      <c r="B9315" s="1" t="n">
        <v>45230</v>
      </c>
      <c r="C9315" s="1" t="n">
        <v>45344</v>
      </c>
      <c r="D9315" t="inlineStr">
        <is>
          <t>GÄVLEBORGS LÄN</t>
        </is>
      </c>
      <c r="E9315" t="inlineStr">
        <is>
          <t>BOLLNÄS</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53477-2023</t>
        </is>
      </c>
      <c r="B9316" s="1" t="n">
        <v>45230</v>
      </c>
      <c r="C9316" s="1" t="n">
        <v>45344</v>
      </c>
      <c r="D9316" t="inlineStr">
        <is>
          <t>GÄVLEBORGS LÄN</t>
        </is>
      </c>
      <c r="E9316" t="inlineStr">
        <is>
          <t>LJUSDAL</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53695-2023</t>
        </is>
      </c>
      <c r="B9317" s="1" t="n">
        <v>45230</v>
      </c>
      <c r="C9317" s="1" t="n">
        <v>45344</v>
      </c>
      <c r="D9317" t="inlineStr">
        <is>
          <t>GÄVLEBORGS LÄN</t>
        </is>
      </c>
      <c r="E9317" t="inlineStr">
        <is>
          <t>LJUSDAL</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53709-2023</t>
        </is>
      </c>
      <c r="B9318" s="1" t="n">
        <v>45230</v>
      </c>
      <c r="C9318" s="1" t="n">
        <v>45344</v>
      </c>
      <c r="D9318" t="inlineStr">
        <is>
          <t>GÄVLEBORGS LÄN</t>
        </is>
      </c>
      <c r="E9318" t="inlineStr">
        <is>
          <t>LJUSDAL</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53692-2023</t>
        </is>
      </c>
      <c r="B9319" s="1" t="n">
        <v>45230</v>
      </c>
      <c r="C9319" s="1" t="n">
        <v>45344</v>
      </c>
      <c r="D9319" t="inlineStr">
        <is>
          <t>GÄVLEBORGS LÄN</t>
        </is>
      </c>
      <c r="E9319" t="inlineStr">
        <is>
          <t>BOLLNÄS</t>
        </is>
      </c>
      <c r="F9319" t="inlineStr">
        <is>
          <t>Bergvik skog väst AB</t>
        </is>
      </c>
      <c r="G9319" t="n">
        <v>2.6</v>
      </c>
      <c r="H9319" t="n">
        <v>0</v>
      </c>
      <c r="I9319" t="n">
        <v>0</v>
      </c>
      <c r="J9319" t="n">
        <v>0</v>
      </c>
      <c r="K9319" t="n">
        <v>0</v>
      </c>
      <c r="L9319" t="n">
        <v>0</v>
      </c>
      <c r="M9319" t="n">
        <v>0</v>
      </c>
      <c r="N9319" t="n">
        <v>0</v>
      </c>
      <c r="O9319" t="n">
        <v>0</v>
      </c>
      <c r="P9319" t="n">
        <v>0</v>
      </c>
      <c r="Q9319" t="n">
        <v>0</v>
      </c>
      <c r="R9319" s="2" t="inlineStr"/>
    </row>
    <row r="9320" ht="15" customHeight="1">
      <c r="A9320" t="inlineStr">
        <is>
          <t>A 53673-2023</t>
        </is>
      </c>
      <c r="B9320" s="1" t="n">
        <v>45230</v>
      </c>
      <c r="C9320" s="1" t="n">
        <v>45344</v>
      </c>
      <c r="D9320" t="inlineStr">
        <is>
          <t>GÄVLEBORGS LÄN</t>
        </is>
      </c>
      <c r="E9320" t="inlineStr">
        <is>
          <t>BOLLNÄS</t>
        </is>
      </c>
      <c r="F9320" t="inlineStr">
        <is>
          <t>Bergvik skog väst AB</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53660-2023</t>
        </is>
      </c>
      <c r="B9321" s="1" t="n">
        <v>45230</v>
      </c>
      <c r="C9321" s="1" t="n">
        <v>45344</v>
      </c>
      <c r="D9321" t="inlineStr">
        <is>
          <t>GÄVLEBORGS LÄN</t>
        </is>
      </c>
      <c r="E9321" t="inlineStr">
        <is>
          <t>LJUSDAL</t>
        </is>
      </c>
      <c r="G9321" t="n">
        <v>8.199999999999999</v>
      </c>
      <c r="H9321" t="n">
        <v>0</v>
      </c>
      <c r="I9321" t="n">
        <v>0</v>
      </c>
      <c r="J9321" t="n">
        <v>0</v>
      </c>
      <c r="K9321" t="n">
        <v>0</v>
      </c>
      <c r="L9321" t="n">
        <v>0</v>
      </c>
      <c r="M9321" t="n">
        <v>0</v>
      </c>
      <c r="N9321" t="n">
        <v>0</v>
      </c>
      <c r="O9321" t="n">
        <v>0</v>
      </c>
      <c r="P9321" t="n">
        <v>0</v>
      </c>
      <c r="Q9321" t="n">
        <v>0</v>
      </c>
      <c r="R9321" s="2" t="inlineStr"/>
    </row>
    <row r="9322" ht="15" customHeight="1">
      <c r="A9322" t="inlineStr">
        <is>
          <t>A 53544-2023</t>
        </is>
      </c>
      <c r="B9322" s="1" t="n">
        <v>45230</v>
      </c>
      <c r="C9322" s="1" t="n">
        <v>45344</v>
      </c>
      <c r="D9322" t="inlineStr">
        <is>
          <t>GÄVLEBORGS LÄN</t>
        </is>
      </c>
      <c r="E9322" t="inlineStr">
        <is>
          <t>LJUSDAL</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53553-2023</t>
        </is>
      </c>
      <c r="B9323" s="1" t="n">
        <v>45230</v>
      </c>
      <c r="C9323" s="1" t="n">
        <v>45344</v>
      </c>
      <c r="D9323" t="inlineStr">
        <is>
          <t>GÄVLEBORGS LÄN</t>
        </is>
      </c>
      <c r="E9323" t="inlineStr">
        <is>
          <t>HUDIKSVALL</t>
        </is>
      </c>
      <c r="F9323" t="inlineStr">
        <is>
          <t>Holmen skog AB</t>
        </is>
      </c>
      <c r="G9323" t="n">
        <v>5</v>
      </c>
      <c r="H9323" t="n">
        <v>0</v>
      </c>
      <c r="I9323" t="n">
        <v>0</v>
      </c>
      <c r="J9323" t="n">
        <v>0</v>
      </c>
      <c r="K9323" t="n">
        <v>0</v>
      </c>
      <c r="L9323" t="n">
        <v>0</v>
      </c>
      <c r="M9323" t="n">
        <v>0</v>
      </c>
      <c r="N9323" t="n">
        <v>0</v>
      </c>
      <c r="O9323" t="n">
        <v>0</v>
      </c>
      <c r="P9323" t="n">
        <v>0</v>
      </c>
      <c r="Q9323" t="n">
        <v>0</v>
      </c>
      <c r="R9323" s="2" t="inlineStr"/>
    </row>
    <row r="9324" ht="15" customHeight="1">
      <c r="A9324" t="inlineStr">
        <is>
          <t>A 53525-2023</t>
        </is>
      </c>
      <c r="B9324" s="1" t="n">
        <v>45230</v>
      </c>
      <c r="C9324" s="1" t="n">
        <v>45344</v>
      </c>
      <c r="D9324" t="inlineStr">
        <is>
          <t>GÄVLEBORGS LÄN</t>
        </is>
      </c>
      <c r="E9324" t="inlineStr">
        <is>
          <t>OVANÅKER</t>
        </is>
      </c>
      <c r="F9324" t="inlineStr">
        <is>
          <t>Bergvik skog öst AB</t>
        </is>
      </c>
      <c r="G9324" t="n">
        <v>3.7</v>
      </c>
      <c r="H9324" t="n">
        <v>0</v>
      </c>
      <c r="I9324" t="n">
        <v>0</v>
      </c>
      <c r="J9324" t="n">
        <v>0</v>
      </c>
      <c r="K9324" t="n">
        <v>0</v>
      </c>
      <c r="L9324" t="n">
        <v>0</v>
      </c>
      <c r="M9324" t="n">
        <v>0</v>
      </c>
      <c r="N9324" t="n">
        <v>0</v>
      </c>
      <c r="O9324" t="n">
        <v>0</v>
      </c>
      <c r="P9324" t="n">
        <v>0</v>
      </c>
      <c r="Q9324" t="n">
        <v>0</v>
      </c>
      <c r="R9324" s="2" t="inlineStr"/>
    </row>
    <row r="9325" ht="15" customHeight="1">
      <c r="A9325" t="inlineStr">
        <is>
          <t>A 53510-2023</t>
        </is>
      </c>
      <c r="B9325" s="1" t="n">
        <v>45230</v>
      </c>
      <c r="C9325" s="1" t="n">
        <v>45344</v>
      </c>
      <c r="D9325" t="inlineStr">
        <is>
          <t>GÄVLEBORGS LÄN</t>
        </is>
      </c>
      <c r="E9325" t="inlineStr">
        <is>
          <t>OVANÅKER</t>
        </is>
      </c>
      <c r="F9325" t="inlineStr">
        <is>
          <t>Bergvik skog öst AB</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53694-2023</t>
        </is>
      </c>
      <c r="B9326" s="1" t="n">
        <v>45230</v>
      </c>
      <c r="C9326" s="1" t="n">
        <v>45344</v>
      </c>
      <c r="D9326" t="inlineStr">
        <is>
          <t>GÄVLEBORGS LÄN</t>
        </is>
      </c>
      <c r="E9326" t="inlineStr">
        <is>
          <t>HUDIKSVALL</t>
        </is>
      </c>
      <c r="F9326" t="inlineStr">
        <is>
          <t>Holmen skog AB</t>
        </is>
      </c>
      <c r="G9326" t="n">
        <v>4.8</v>
      </c>
      <c r="H9326" t="n">
        <v>0</v>
      </c>
      <c r="I9326" t="n">
        <v>0</v>
      </c>
      <c r="J9326" t="n">
        <v>0</v>
      </c>
      <c r="K9326" t="n">
        <v>0</v>
      </c>
      <c r="L9326" t="n">
        <v>0</v>
      </c>
      <c r="M9326" t="n">
        <v>0</v>
      </c>
      <c r="N9326" t="n">
        <v>0</v>
      </c>
      <c r="O9326" t="n">
        <v>0</v>
      </c>
      <c r="P9326" t="n">
        <v>0</v>
      </c>
      <c r="Q9326" t="n">
        <v>0</v>
      </c>
      <c r="R9326" s="2" t="inlineStr"/>
    </row>
    <row r="9327" ht="15" customHeight="1">
      <c r="A9327" t="inlineStr">
        <is>
          <t>A 53663-2023</t>
        </is>
      </c>
      <c r="B9327" s="1" t="n">
        <v>45230</v>
      </c>
      <c r="C9327" s="1" t="n">
        <v>45344</v>
      </c>
      <c r="D9327" t="inlineStr">
        <is>
          <t>GÄVLEBORGS LÄN</t>
        </is>
      </c>
      <c r="E9327" t="inlineStr">
        <is>
          <t>BOLLNÄS</t>
        </is>
      </c>
      <c r="F9327" t="inlineStr">
        <is>
          <t>Bergvik skog väst AB</t>
        </is>
      </c>
      <c r="G9327" t="n">
        <v>6.9</v>
      </c>
      <c r="H9327" t="n">
        <v>0</v>
      </c>
      <c r="I9327" t="n">
        <v>0</v>
      </c>
      <c r="J9327" t="n">
        <v>0</v>
      </c>
      <c r="K9327" t="n">
        <v>0</v>
      </c>
      <c r="L9327" t="n">
        <v>0</v>
      </c>
      <c r="M9327" t="n">
        <v>0</v>
      </c>
      <c r="N9327" t="n">
        <v>0</v>
      </c>
      <c r="O9327" t="n">
        <v>0</v>
      </c>
      <c r="P9327" t="n">
        <v>0</v>
      </c>
      <c r="Q9327" t="n">
        <v>0</v>
      </c>
      <c r="R9327" s="2" t="inlineStr"/>
    </row>
    <row r="9328" ht="15" customHeight="1">
      <c r="A9328" t="inlineStr">
        <is>
          <t>A 53488-2023</t>
        </is>
      </c>
      <c r="B9328" s="1" t="n">
        <v>45230</v>
      </c>
      <c r="C9328" s="1" t="n">
        <v>45344</v>
      </c>
      <c r="D9328" t="inlineStr">
        <is>
          <t>GÄVLEBORGS LÄN</t>
        </is>
      </c>
      <c r="E9328" t="inlineStr">
        <is>
          <t>OCKELBO</t>
        </is>
      </c>
      <c r="F9328" t="inlineStr">
        <is>
          <t>Bergvik skog väst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53478-2023</t>
        </is>
      </c>
      <c r="B9329" s="1" t="n">
        <v>45230</v>
      </c>
      <c r="C9329" s="1" t="n">
        <v>45344</v>
      </c>
      <c r="D9329" t="inlineStr">
        <is>
          <t>GÄVLEBORGS LÄN</t>
        </is>
      </c>
      <c r="E9329" t="inlineStr">
        <is>
          <t>HUDIKSVALL</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53461-2023</t>
        </is>
      </c>
      <c r="B9330" s="1" t="n">
        <v>45230</v>
      </c>
      <c r="C9330" s="1" t="n">
        <v>45344</v>
      </c>
      <c r="D9330" t="inlineStr">
        <is>
          <t>GÄVLEBORGS LÄN</t>
        </is>
      </c>
      <c r="E9330" t="inlineStr">
        <is>
          <t>LJUSDAL</t>
        </is>
      </c>
      <c r="G9330" t="n">
        <v>5.7</v>
      </c>
      <c r="H9330" t="n">
        <v>0</v>
      </c>
      <c r="I9330" t="n">
        <v>0</v>
      </c>
      <c r="J9330" t="n">
        <v>0</v>
      </c>
      <c r="K9330" t="n">
        <v>0</v>
      </c>
      <c r="L9330" t="n">
        <v>0</v>
      </c>
      <c r="M9330" t="n">
        <v>0</v>
      </c>
      <c r="N9330" t="n">
        <v>0</v>
      </c>
      <c r="O9330" t="n">
        <v>0</v>
      </c>
      <c r="P9330" t="n">
        <v>0</v>
      </c>
      <c r="Q9330" t="n">
        <v>0</v>
      </c>
      <c r="R9330" s="2" t="inlineStr"/>
    </row>
    <row r="9331" ht="15" customHeight="1">
      <c r="A9331" t="inlineStr">
        <is>
          <t>A 53463-2023</t>
        </is>
      </c>
      <c r="B9331" s="1" t="n">
        <v>45230</v>
      </c>
      <c r="C9331" s="1" t="n">
        <v>45344</v>
      </c>
      <c r="D9331" t="inlineStr">
        <is>
          <t>GÄVLEBORGS LÄN</t>
        </is>
      </c>
      <c r="E9331" t="inlineStr">
        <is>
          <t>LJUSDAL</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55182-2023</t>
        </is>
      </c>
      <c r="B9332" s="1" t="n">
        <v>45230</v>
      </c>
      <c r="C9332" s="1" t="n">
        <v>45344</v>
      </c>
      <c r="D9332" t="inlineStr">
        <is>
          <t>GÄVLEBORGS LÄN</t>
        </is>
      </c>
      <c r="E9332" t="inlineStr">
        <is>
          <t>HUDIKSVALL</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53790-2023</t>
        </is>
      </c>
      <c r="B9333" s="1" t="n">
        <v>45231</v>
      </c>
      <c r="C9333" s="1" t="n">
        <v>45344</v>
      </c>
      <c r="D9333" t="inlineStr">
        <is>
          <t>GÄVLEBORGS LÄN</t>
        </is>
      </c>
      <c r="E9333" t="inlineStr">
        <is>
          <t>BOLLNÄS</t>
        </is>
      </c>
      <c r="F9333" t="inlineStr">
        <is>
          <t>Sveaskog</t>
        </is>
      </c>
      <c r="G9333" t="n">
        <v>4.9</v>
      </c>
      <c r="H9333" t="n">
        <v>0</v>
      </c>
      <c r="I9333" t="n">
        <v>0</v>
      </c>
      <c r="J9333" t="n">
        <v>0</v>
      </c>
      <c r="K9333" t="n">
        <v>0</v>
      </c>
      <c r="L9333" t="n">
        <v>0</v>
      </c>
      <c r="M9333" t="n">
        <v>0</v>
      </c>
      <c r="N9333" t="n">
        <v>0</v>
      </c>
      <c r="O9333" t="n">
        <v>0</v>
      </c>
      <c r="P9333" t="n">
        <v>0</v>
      </c>
      <c r="Q9333" t="n">
        <v>0</v>
      </c>
      <c r="R9333" s="2" t="inlineStr"/>
    </row>
    <row r="9334" ht="15" customHeight="1">
      <c r="A9334" t="inlineStr">
        <is>
          <t>A 53818-2023</t>
        </is>
      </c>
      <c r="B9334" s="1" t="n">
        <v>45231</v>
      </c>
      <c r="C9334" s="1" t="n">
        <v>45344</v>
      </c>
      <c r="D9334" t="inlineStr">
        <is>
          <t>GÄVLEBORGS LÄN</t>
        </is>
      </c>
      <c r="E9334" t="inlineStr">
        <is>
          <t>OVANÅKER</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53828-2023</t>
        </is>
      </c>
      <c r="B9335" s="1" t="n">
        <v>45231</v>
      </c>
      <c r="C9335" s="1" t="n">
        <v>45344</v>
      </c>
      <c r="D9335" t="inlineStr">
        <is>
          <t>GÄVLEBORGS LÄN</t>
        </is>
      </c>
      <c r="E9335" t="inlineStr">
        <is>
          <t>BOLLNÄS</t>
        </is>
      </c>
      <c r="F9335" t="inlineStr">
        <is>
          <t>Sveaskog</t>
        </is>
      </c>
      <c r="G9335" t="n">
        <v>2.1</v>
      </c>
      <c r="H9335" t="n">
        <v>0</v>
      </c>
      <c r="I9335" t="n">
        <v>0</v>
      </c>
      <c r="J9335" t="n">
        <v>0</v>
      </c>
      <c r="K9335" t="n">
        <v>0</v>
      </c>
      <c r="L9335" t="n">
        <v>0</v>
      </c>
      <c r="M9335" t="n">
        <v>0</v>
      </c>
      <c r="N9335" t="n">
        <v>0</v>
      </c>
      <c r="O9335" t="n">
        <v>0</v>
      </c>
      <c r="P9335" t="n">
        <v>0</v>
      </c>
      <c r="Q9335" t="n">
        <v>0</v>
      </c>
      <c r="R9335" s="2" t="inlineStr"/>
    </row>
    <row r="9336" ht="15" customHeight="1">
      <c r="A9336" t="inlineStr">
        <is>
          <t>A 53884-2023</t>
        </is>
      </c>
      <c r="B9336" s="1" t="n">
        <v>45231</v>
      </c>
      <c r="C9336" s="1" t="n">
        <v>45344</v>
      </c>
      <c r="D9336" t="inlineStr">
        <is>
          <t>GÄVLEBORGS LÄN</t>
        </is>
      </c>
      <c r="E9336" t="inlineStr">
        <is>
          <t>SANDVIKEN</t>
        </is>
      </c>
      <c r="F9336" t="inlineStr">
        <is>
          <t>Sveaskog</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53889-2023</t>
        </is>
      </c>
      <c r="B9337" s="1" t="n">
        <v>45231</v>
      </c>
      <c r="C9337" s="1" t="n">
        <v>45344</v>
      </c>
      <c r="D9337" t="inlineStr">
        <is>
          <t>GÄVLEBORGS LÄN</t>
        </is>
      </c>
      <c r="E9337" t="inlineStr">
        <is>
          <t>SANDVIKEN</t>
        </is>
      </c>
      <c r="F9337" t="inlineStr">
        <is>
          <t>Sveaskog</t>
        </is>
      </c>
      <c r="G9337" t="n">
        <v>1</v>
      </c>
      <c r="H9337" t="n">
        <v>0</v>
      </c>
      <c r="I9337" t="n">
        <v>0</v>
      </c>
      <c r="J9337" t="n">
        <v>0</v>
      </c>
      <c r="K9337" t="n">
        <v>0</v>
      </c>
      <c r="L9337" t="n">
        <v>0</v>
      </c>
      <c r="M9337" t="n">
        <v>0</v>
      </c>
      <c r="N9337" t="n">
        <v>0</v>
      </c>
      <c r="O9337" t="n">
        <v>0</v>
      </c>
      <c r="P9337" t="n">
        <v>0</v>
      </c>
      <c r="Q9337" t="n">
        <v>0</v>
      </c>
      <c r="R9337" s="2" t="inlineStr"/>
    </row>
    <row r="9338" ht="15" customHeight="1">
      <c r="A9338" t="inlineStr">
        <is>
          <t>A 53785-2023</t>
        </is>
      </c>
      <c r="B9338" s="1" t="n">
        <v>45231</v>
      </c>
      <c r="C9338" s="1" t="n">
        <v>45344</v>
      </c>
      <c r="D9338" t="inlineStr">
        <is>
          <t>GÄVLEBORGS LÄN</t>
        </is>
      </c>
      <c r="E9338" t="inlineStr">
        <is>
          <t>LJUSDAL</t>
        </is>
      </c>
      <c r="F9338" t="inlineStr">
        <is>
          <t>Allmännings- och besparingsskogar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53783-2023</t>
        </is>
      </c>
      <c r="B9339" s="1" t="n">
        <v>45231</v>
      </c>
      <c r="C9339" s="1" t="n">
        <v>45344</v>
      </c>
      <c r="D9339" t="inlineStr">
        <is>
          <t>GÄVLEBORGS LÄN</t>
        </is>
      </c>
      <c r="E9339" t="inlineStr">
        <is>
          <t>BOLLNÄS</t>
        </is>
      </c>
      <c r="F9339" t="inlineStr">
        <is>
          <t>Sveaskog</t>
        </is>
      </c>
      <c r="G9339" t="n">
        <v>3.8</v>
      </c>
      <c r="H9339" t="n">
        <v>0</v>
      </c>
      <c r="I9339" t="n">
        <v>0</v>
      </c>
      <c r="J9339" t="n">
        <v>0</v>
      </c>
      <c r="K9339" t="n">
        <v>0</v>
      </c>
      <c r="L9339" t="n">
        <v>0</v>
      </c>
      <c r="M9339" t="n">
        <v>0</v>
      </c>
      <c r="N9339" t="n">
        <v>0</v>
      </c>
      <c r="O9339" t="n">
        <v>0</v>
      </c>
      <c r="P9339" t="n">
        <v>0</v>
      </c>
      <c r="Q9339" t="n">
        <v>0</v>
      </c>
      <c r="R9339" s="2" t="inlineStr"/>
    </row>
    <row r="9340" ht="15" customHeight="1">
      <c r="A9340" t="inlineStr">
        <is>
          <t>A 53867-2023</t>
        </is>
      </c>
      <c r="B9340" s="1" t="n">
        <v>45231</v>
      </c>
      <c r="C9340" s="1" t="n">
        <v>45344</v>
      </c>
      <c r="D9340" t="inlineStr">
        <is>
          <t>GÄVLEBORGS LÄN</t>
        </is>
      </c>
      <c r="E9340" t="inlineStr">
        <is>
          <t>LJUSDAL</t>
        </is>
      </c>
      <c r="F9340" t="inlineStr">
        <is>
          <t>Allmännings- och besparingsskogar</t>
        </is>
      </c>
      <c r="G9340" t="n">
        <v>2.8</v>
      </c>
      <c r="H9340" t="n">
        <v>0</v>
      </c>
      <c r="I9340" t="n">
        <v>0</v>
      </c>
      <c r="J9340" t="n">
        <v>0</v>
      </c>
      <c r="K9340" t="n">
        <v>0</v>
      </c>
      <c r="L9340" t="n">
        <v>0</v>
      </c>
      <c r="M9340" t="n">
        <v>0</v>
      </c>
      <c r="N9340" t="n">
        <v>0</v>
      </c>
      <c r="O9340" t="n">
        <v>0</v>
      </c>
      <c r="P9340" t="n">
        <v>0</v>
      </c>
      <c r="Q9340" t="n">
        <v>0</v>
      </c>
      <c r="R9340" s="2" t="inlineStr"/>
    </row>
    <row r="9341" ht="15" customHeight="1">
      <c r="A9341" t="inlineStr">
        <is>
          <t>A 53873-2023</t>
        </is>
      </c>
      <c r="B9341" s="1" t="n">
        <v>45231</v>
      </c>
      <c r="C9341" s="1" t="n">
        <v>45344</v>
      </c>
      <c r="D9341" t="inlineStr">
        <is>
          <t>GÄVLEBORGS LÄN</t>
        </is>
      </c>
      <c r="E9341" t="inlineStr">
        <is>
          <t>LJUSDAL</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53912-2023</t>
        </is>
      </c>
      <c r="B9342" s="1" t="n">
        <v>45231</v>
      </c>
      <c r="C9342" s="1" t="n">
        <v>45344</v>
      </c>
      <c r="D9342" t="inlineStr">
        <is>
          <t>GÄVLEBORGS LÄN</t>
        </is>
      </c>
      <c r="E9342" t="inlineStr">
        <is>
          <t>HUDIKSVALL</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54004-2023</t>
        </is>
      </c>
      <c r="B9343" s="1" t="n">
        <v>45231</v>
      </c>
      <c r="C9343" s="1" t="n">
        <v>45344</v>
      </c>
      <c r="D9343" t="inlineStr">
        <is>
          <t>GÄVLEBORGS LÄN</t>
        </is>
      </c>
      <c r="E9343" t="inlineStr">
        <is>
          <t>NORDANSTIG</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53948-2023</t>
        </is>
      </c>
      <c r="B9344" s="1" t="n">
        <v>45231</v>
      </c>
      <c r="C9344" s="1" t="n">
        <v>45344</v>
      </c>
      <c r="D9344" t="inlineStr">
        <is>
          <t>GÄVLEBORGS LÄN</t>
        </is>
      </c>
      <c r="E9344" t="inlineStr">
        <is>
          <t>LJUSDAL</t>
        </is>
      </c>
      <c r="F9344" t="inlineStr">
        <is>
          <t>Holmen skog AB</t>
        </is>
      </c>
      <c r="G9344" t="n">
        <v>3</v>
      </c>
      <c r="H9344" t="n">
        <v>0</v>
      </c>
      <c r="I9344" t="n">
        <v>0</v>
      </c>
      <c r="J9344" t="n">
        <v>0</v>
      </c>
      <c r="K9344" t="n">
        <v>0</v>
      </c>
      <c r="L9344" t="n">
        <v>0</v>
      </c>
      <c r="M9344" t="n">
        <v>0</v>
      </c>
      <c r="N9344" t="n">
        <v>0</v>
      </c>
      <c r="O9344" t="n">
        <v>0</v>
      </c>
      <c r="P9344" t="n">
        <v>0</v>
      </c>
      <c r="Q9344" t="n">
        <v>0</v>
      </c>
      <c r="R9344" s="2" t="inlineStr"/>
    </row>
    <row r="9345" ht="15" customHeight="1">
      <c r="A9345" t="inlineStr">
        <is>
          <t>A 53969-2023</t>
        </is>
      </c>
      <c r="B9345" s="1" t="n">
        <v>45231</v>
      </c>
      <c r="C9345" s="1" t="n">
        <v>45344</v>
      </c>
      <c r="D9345" t="inlineStr">
        <is>
          <t>GÄVLEBORGS LÄN</t>
        </is>
      </c>
      <c r="E9345" t="inlineStr">
        <is>
          <t>NORDANSTIG</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54007-2023</t>
        </is>
      </c>
      <c r="B9346" s="1" t="n">
        <v>45231</v>
      </c>
      <c r="C9346" s="1" t="n">
        <v>45344</v>
      </c>
      <c r="D9346" t="inlineStr">
        <is>
          <t>GÄVLEBORGS LÄN</t>
        </is>
      </c>
      <c r="E9346" t="inlineStr">
        <is>
          <t>SÖDERHAMN</t>
        </is>
      </c>
      <c r="F9346" t="inlineStr">
        <is>
          <t>Kommuner</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53796-2023</t>
        </is>
      </c>
      <c r="B9347" s="1" t="n">
        <v>45231</v>
      </c>
      <c r="C9347" s="1" t="n">
        <v>45344</v>
      </c>
      <c r="D9347" t="inlineStr">
        <is>
          <t>GÄVLEBORGS LÄN</t>
        </is>
      </c>
      <c r="E9347" t="inlineStr">
        <is>
          <t>HUDIKSVALL</t>
        </is>
      </c>
      <c r="G9347" t="n">
        <v>17.6</v>
      </c>
      <c r="H9347" t="n">
        <v>0</v>
      </c>
      <c r="I9347" t="n">
        <v>0</v>
      </c>
      <c r="J9347" t="n">
        <v>0</v>
      </c>
      <c r="K9347" t="n">
        <v>0</v>
      </c>
      <c r="L9347" t="n">
        <v>0</v>
      </c>
      <c r="M9347" t="n">
        <v>0</v>
      </c>
      <c r="N9347" t="n">
        <v>0</v>
      </c>
      <c r="O9347" t="n">
        <v>0</v>
      </c>
      <c r="P9347" t="n">
        <v>0</v>
      </c>
      <c r="Q9347" t="n">
        <v>0</v>
      </c>
      <c r="R9347" s="2" t="inlineStr"/>
    </row>
    <row r="9348" ht="15" customHeight="1">
      <c r="A9348" t="inlineStr">
        <is>
          <t>A 53831-2023</t>
        </is>
      </c>
      <c r="B9348" s="1" t="n">
        <v>45231</v>
      </c>
      <c r="C9348" s="1" t="n">
        <v>45344</v>
      </c>
      <c r="D9348" t="inlineStr">
        <is>
          <t>GÄVLEBORGS LÄN</t>
        </is>
      </c>
      <c r="E9348" t="inlineStr">
        <is>
          <t>LJUSDAL</t>
        </is>
      </c>
      <c r="F9348" t="inlineStr">
        <is>
          <t>Allmännings- och besparingsskogar</t>
        </is>
      </c>
      <c r="G9348" t="n">
        <v>9.199999999999999</v>
      </c>
      <c r="H9348" t="n">
        <v>0</v>
      </c>
      <c r="I9348" t="n">
        <v>0</v>
      </c>
      <c r="J9348" t="n">
        <v>0</v>
      </c>
      <c r="K9348" t="n">
        <v>0</v>
      </c>
      <c r="L9348" t="n">
        <v>0</v>
      </c>
      <c r="M9348" t="n">
        <v>0</v>
      </c>
      <c r="N9348" t="n">
        <v>0</v>
      </c>
      <c r="O9348" t="n">
        <v>0</v>
      </c>
      <c r="P9348" t="n">
        <v>0</v>
      </c>
      <c r="Q9348" t="n">
        <v>0</v>
      </c>
      <c r="R9348" s="2" t="inlineStr"/>
    </row>
    <row r="9349" ht="15" customHeight="1">
      <c r="A9349" t="inlineStr">
        <is>
          <t>A 53845-2023</t>
        </is>
      </c>
      <c r="B9349" s="1" t="n">
        <v>45231</v>
      </c>
      <c r="C9349" s="1" t="n">
        <v>45344</v>
      </c>
      <c r="D9349" t="inlineStr">
        <is>
          <t>GÄVLEBORGS LÄN</t>
        </is>
      </c>
      <c r="E9349" t="inlineStr">
        <is>
          <t>OVANÅKER</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53852-2023</t>
        </is>
      </c>
      <c r="B9350" s="1" t="n">
        <v>45231</v>
      </c>
      <c r="C9350" s="1" t="n">
        <v>45344</v>
      </c>
      <c r="D9350" t="inlineStr">
        <is>
          <t>GÄVLEBORGS LÄN</t>
        </is>
      </c>
      <c r="E9350" t="inlineStr">
        <is>
          <t>LJUSDAL</t>
        </is>
      </c>
      <c r="G9350" t="n">
        <v>0.1</v>
      </c>
      <c r="H9350" t="n">
        <v>0</v>
      </c>
      <c r="I9350" t="n">
        <v>0</v>
      </c>
      <c r="J9350" t="n">
        <v>0</v>
      </c>
      <c r="K9350" t="n">
        <v>0</v>
      </c>
      <c r="L9350" t="n">
        <v>0</v>
      </c>
      <c r="M9350" t="n">
        <v>0</v>
      </c>
      <c r="N9350" t="n">
        <v>0</v>
      </c>
      <c r="O9350" t="n">
        <v>0</v>
      </c>
      <c r="P9350" t="n">
        <v>0</v>
      </c>
      <c r="Q9350" t="n">
        <v>0</v>
      </c>
      <c r="R9350" s="2" t="inlineStr"/>
    </row>
    <row r="9351" ht="15" customHeight="1">
      <c r="A9351" t="inlineStr">
        <is>
          <t>A 53857-2023</t>
        </is>
      </c>
      <c r="B9351" s="1" t="n">
        <v>45231</v>
      </c>
      <c r="C9351" s="1" t="n">
        <v>45344</v>
      </c>
      <c r="D9351" t="inlineStr">
        <is>
          <t>GÄVLEBORGS LÄN</t>
        </is>
      </c>
      <c r="E9351" t="inlineStr">
        <is>
          <t>LJUSDAL</t>
        </is>
      </c>
      <c r="G9351" t="n">
        <v>3</v>
      </c>
      <c r="H9351" t="n">
        <v>0</v>
      </c>
      <c r="I9351" t="n">
        <v>0</v>
      </c>
      <c r="J9351" t="n">
        <v>0</v>
      </c>
      <c r="K9351" t="n">
        <v>0</v>
      </c>
      <c r="L9351" t="n">
        <v>0</v>
      </c>
      <c r="M9351" t="n">
        <v>0</v>
      </c>
      <c r="N9351" t="n">
        <v>0</v>
      </c>
      <c r="O9351" t="n">
        <v>0</v>
      </c>
      <c r="P9351" t="n">
        <v>0</v>
      </c>
      <c r="Q9351" t="n">
        <v>0</v>
      </c>
      <c r="R9351" s="2" t="inlineStr"/>
    </row>
    <row r="9352" ht="15" customHeight="1">
      <c r="A9352" t="inlineStr">
        <is>
          <t>A 53868-2023</t>
        </is>
      </c>
      <c r="B9352" s="1" t="n">
        <v>45231</v>
      </c>
      <c r="C9352" s="1" t="n">
        <v>45344</v>
      </c>
      <c r="D9352" t="inlineStr">
        <is>
          <t>GÄVLEBORGS LÄN</t>
        </is>
      </c>
      <c r="E9352" t="inlineStr">
        <is>
          <t>NORDANSTIG</t>
        </is>
      </c>
      <c r="F9352" t="inlineStr">
        <is>
          <t>Holmen skog AB</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53905-2023</t>
        </is>
      </c>
      <c r="B9353" s="1" t="n">
        <v>45231</v>
      </c>
      <c r="C9353" s="1" t="n">
        <v>45344</v>
      </c>
      <c r="D9353" t="inlineStr">
        <is>
          <t>GÄVLEBORGS LÄN</t>
        </is>
      </c>
      <c r="E9353" t="inlineStr">
        <is>
          <t>HUDIKSVALL</t>
        </is>
      </c>
      <c r="G9353" t="n">
        <v>3.9</v>
      </c>
      <c r="H9353" t="n">
        <v>0</v>
      </c>
      <c r="I9353" t="n">
        <v>0</v>
      </c>
      <c r="J9353" t="n">
        <v>0</v>
      </c>
      <c r="K9353" t="n">
        <v>0</v>
      </c>
      <c r="L9353" t="n">
        <v>0</v>
      </c>
      <c r="M9353" t="n">
        <v>0</v>
      </c>
      <c r="N9353" t="n">
        <v>0</v>
      </c>
      <c r="O9353" t="n">
        <v>0</v>
      </c>
      <c r="P9353" t="n">
        <v>0</v>
      </c>
      <c r="Q9353" t="n">
        <v>0</v>
      </c>
      <c r="R9353" s="2" t="inlineStr"/>
    </row>
    <row r="9354" ht="15" customHeight="1">
      <c r="A9354" t="inlineStr">
        <is>
          <t>A 53988-2023</t>
        </is>
      </c>
      <c r="B9354" s="1" t="n">
        <v>45231</v>
      </c>
      <c r="C9354" s="1" t="n">
        <v>45344</v>
      </c>
      <c r="D9354" t="inlineStr">
        <is>
          <t>GÄVLEBORGS LÄN</t>
        </is>
      </c>
      <c r="E9354" t="inlineStr">
        <is>
          <t>NORDANSTIG</t>
        </is>
      </c>
      <c r="G9354" t="n">
        <v>6.2</v>
      </c>
      <c r="H9354" t="n">
        <v>0</v>
      </c>
      <c r="I9354" t="n">
        <v>0</v>
      </c>
      <c r="J9354" t="n">
        <v>0</v>
      </c>
      <c r="K9354" t="n">
        <v>0</v>
      </c>
      <c r="L9354" t="n">
        <v>0</v>
      </c>
      <c r="M9354" t="n">
        <v>0</v>
      </c>
      <c r="N9354" t="n">
        <v>0</v>
      </c>
      <c r="O9354" t="n">
        <v>0</v>
      </c>
      <c r="P9354" t="n">
        <v>0</v>
      </c>
      <c r="Q9354" t="n">
        <v>0</v>
      </c>
      <c r="R9354" s="2" t="inlineStr"/>
    </row>
    <row r="9355" ht="15" customHeight="1">
      <c r="A9355" t="inlineStr">
        <is>
          <t>A 53997-2023</t>
        </is>
      </c>
      <c r="B9355" s="1" t="n">
        <v>45231</v>
      </c>
      <c r="C9355" s="1" t="n">
        <v>45344</v>
      </c>
      <c r="D9355" t="inlineStr">
        <is>
          <t>GÄVLEBORGS LÄN</t>
        </is>
      </c>
      <c r="E9355" t="inlineStr">
        <is>
          <t>NORDANSTIG</t>
        </is>
      </c>
      <c r="G9355" t="n">
        <v>8.300000000000001</v>
      </c>
      <c r="H9355" t="n">
        <v>0</v>
      </c>
      <c r="I9355" t="n">
        <v>0</v>
      </c>
      <c r="J9355" t="n">
        <v>0</v>
      </c>
      <c r="K9355" t="n">
        <v>0</v>
      </c>
      <c r="L9355" t="n">
        <v>0</v>
      </c>
      <c r="M9355" t="n">
        <v>0</v>
      </c>
      <c r="N9355" t="n">
        <v>0</v>
      </c>
      <c r="O9355" t="n">
        <v>0</v>
      </c>
      <c r="P9355" t="n">
        <v>0</v>
      </c>
      <c r="Q9355" t="n">
        <v>0</v>
      </c>
      <c r="R9355" s="2" t="inlineStr"/>
    </row>
    <row r="9356" ht="15" customHeight="1">
      <c r="A9356" t="inlineStr">
        <is>
          <t>A 55473-2023</t>
        </is>
      </c>
      <c r="B9356" s="1" t="n">
        <v>45231</v>
      </c>
      <c r="C9356" s="1" t="n">
        <v>45344</v>
      </c>
      <c r="D9356" t="inlineStr">
        <is>
          <t>GÄVLEBORGS LÄN</t>
        </is>
      </c>
      <c r="E9356" t="inlineStr">
        <is>
          <t>GÄVLE</t>
        </is>
      </c>
      <c r="F9356" t="inlineStr">
        <is>
          <t>Bergvik skog väst AB</t>
        </is>
      </c>
      <c r="G9356" t="n">
        <v>5</v>
      </c>
      <c r="H9356" t="n">
        <v>0</v>
      </c>
      <c r="I9356" t="n">
        <v>0</v>
      </c>
      <c r="J9356" t="n">
        <v>0</v>
      </c>
      <c r="K9356" t="n">
        <v>0</v>
      </c>
      <c r="L9356" t="n">
        <v>0</v>
      </c>
      <c r="M9356" t="n">
        <v>0</v>
      </c>
      <c r="N9356" t="n">
        <v>0</v>
      </c>
      <c r="O9356" t="n">
        <v>0</v>
      </c>
      <c r="P9356" t="n">
        <v>0</v>
      </c>
      <c r="Q9356" t="n">
        <v>0</v>
      </c>
      <c r="R9356" s="2" t="inlineStr"/>
    </row>
    <row r="9357" ht="15" customHeight="1">
      <c r="A9357" t="inlineStr">
        <is>
          <t>A 53821-2023</t>
        </is>
      </c>
      <c r="B9357" s="1" t="n">
        <v>45231</v>
      </c>
      <c r="C9357" s="1" t="n">
        <v>45344</v>
      </c>
      <c r="D9357" t="inlineStr">
        <is>
          <t>GÄVLEBORGS LÄN</t>
        </is>
      </c>
      <c r="E9357" t="inlineStr">
        <is>
          <t>OVANÅKER</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53826-2023</t>
        </is>
      </c>
      <c r="B9358" s="1" t="n">
        <v>45231</v>
      </c>
      <c r="C9358" s="1" t="n">
        <v>45344</v>
      </c>
      <c r="D9358" t="inlineStr">
        <is>
          <t>GÄVLEBORGS LÄN</t>
        </is>
      </c>
      <c r="E9358" t="inlineStr">
        <is>
          <t>OVANÅKER</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53858-2023</t>
        </is>
      </c>
      <c r="B9359" s="1" t="n">
        <v>45231</v>
      </c>
      <c r="C9359" s="1" t="n">
        <v>45344</v>
      </c>
      <c r="D9359" t="inlineStr">
        <is>
          <t>GÄVLEBORGS LÄN</t>
        </is>
      </c>
      <c r="E9359" t="inlineStr">
        <is>
          <t>LJUSDAL</t>
        </is>
      </c>
      <c r="F9359" t="inlineStr">
        <is>
          <t>Allmännings- och besparingsskogar</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53926-2023</t>
        </is>
      </c>
      <c r="B9360" s="1" t="n">
        <v>45231</v>
      </c>
      <c r="C9360" s="1" t="n">
        <v>45344</v>
      </c>
      <c r="D9360" t="inlineStr">
        <is>
          <t>GÄVLEBORGS LÄN</t>
        </is>
      </c>
      <c r="E9360" t="inlineStr">
        <is>
          <t>OVANÅKER</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54119-2023</t>
        </is>
      </c>
      <c r="B9361" s="1" t="n">
        <v>45232</v>
      </c>
      <c r="C9361" s="1" t="n">
        <v>45344</v>
      </c>
      <c r="D9361" t="inlineStr">
        <is>
          <t>GÄVLEBORGS LÄN</t>
        </is>
      </c>
      <c r="E9361" t="inlineStr">
        <is>
          <t>GÄVLE</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54140-2023</t>
        </is>
      </c>
      <c r="B9362" s="1" t="n">
        <v>45232</v>
      </c>
      <c r="C9362" s="1" t="n">
        <v>45344</v>
      </c>
      <c r="D9362" t="inlineStr">
        <is>
          <t>GÄVLEBORGS LÄN</t>
        </is>
      </c>
      <c r="E9362" t="inlineStr">
        <is>
          <t>SANDVIKEN</t>
        </is>
      </c>
      <c r="G9362" t="n">
        <v>2.8</v>
      </c>
      <c r="H9362" t="n">
        <v>0</v>
      </c>
      <c r="I9362" t="n">
        <v>0</v>
      </c>
      <c r="J9362" t="n">
        <v>0</v>
      </c>
      <c r="K9362" t="n">
        <v>0</v>
      </c>
      <c r="L9362" t="n">
        <v>0</v>
      </c>
      <c r="M9362" t="n">
        <v>0</v>
      </c>
      <c r="N9362" t="n">
        <v>0</v>
      </c>
      <c r="O9362" t="n">
        <v>0</v>
      </c>
      <c r="P9362" t="n">
        <v>0</v>
      </c>
      <c r="Q9362" t="n">
        <v>0</v>
      </c>
      <c r="R9362" s="2" t="inlineStr"/>
    </row>
    <row r="9363" ht="15" customHeight="1">
      <c r="A9363" t="inlineStr">
        <is>
          <t>A 54149-2023</t>
        </is>
      </c>
      <c r="B9363" s="1" t="n">
        <v>45232</v>
      </c>
      <c r="C9363" s="1" t="n">
        <v>45344</v>
      </c>
      <c r="D9363" t="inlineStr">
        <is>
          <t>GÄVLEBORGS LÄN</t>
        </is>
      </c>
      <c r="E9363" t="inlineStr">
        <is>
          <t>HOFORS</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54197-2023</t>
        </is>
      </c>
      <c r="B9364" s="1" t="n">
        <v>45232</v>
      </c>
      <c r="C9364" s="1" t="n">
        <v>45344</v>
      </c>
      <c r="D9364" t="inlineStr">
        <is>
          <t>GÄVLEBORGS LÄN</t>
        </is>
      </c>
      <c r="E9364" t="inlineStr">
        <is>
          <t>NORDANSTIG</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54147-2023</t>
        </is>
      </c>
      <c r="B9365" s="1" t="n">
        <v>45232</v>
      </c>
      <c r="C9365" s="1" t="n">
        <v>45344</v>
      </c>
      <c r="D9365" t="inlineStr">
        <is>
          <t>GÄVLEBORGS LÄN</t>
        </is>
      </c>
      <c r="E9365" t="inlineStr">
        <is>
          <t>GÄVLE</t>
        </is>
      </c>
      <c r="F9365" t="inlineStr">
        <is>
          <t>Bergvik skog öst AB</t>
        </is>
      </c>
      <c r="G9365" t="n">
        <v>12.3</v>
      </c>
      <c r="H9365" t="n">
        <v>0</v>
      </c>
      <c r="I9365" t="n">
        <v>0</v>
      </c>
      <c r="J9365" t="n">
        <v>0</v>
      </c>
      <c r="K9365" t="n">
        <v>0</v>
      </c>
      <c r="L9365" t="n">
        <v>0</v>
      </c>
      <c r="M9365" t="n">
        <v>0</v>
      </c>
      <c r="N9365" t="n">
        <v>0</v>
      </c>
      <c r="O9365" t="n">
        <v>0</v>
      </c>
      <c r="P9365" t="n">
        <v>0</v>
      </c>
      <c r="Q9365" t="n">
        <v>0</v>
      </c>
      <c r="R9365" s="2" t="inlineStr"/>
    </row>
    <row r="9366" ht="15" customHeight="1">
      <c r="A9366" t="inlineStr">
        <is>
          <t>A 54167-2023</t>
        </is>
      </c>
      <c r="B9366" s="1" t="n">
        <v>45232</v>
      </c>
      <c r="C9366" s="1" t="n">
        <v>45344</v>
      </c>
      <c r="D9366" t="inlineStr">
        <is>
          <t>GÄVLEBORGS LÄN</t>
        </is>
      </c>
      <c r="E9366" t="inlineStr">
        <is>
          <t>LJUSDAL</t>
        </is>
      </c>
      <c r="F9366" t="inlineStr">
        <is>
          <t>Sveaskog</t>
        </is>
      </c>
      <c r="G9366" t="n">
        <v>20.5</v>
      </c>
      <c r="H9366" t="n">
        <v>0</v>
      </c>
      <c r="I9366" t="n">
        <v>0</v>
      </c>
      <c r="J9366" t="n">
        <v>0</v>
      </c>
      <c r="K9366" t="n">
        <v>0</v>
      </c>
      <c r="L9366" t="n">
        <v>0</v>
      </c>
      <c r="M9366" t="n">
        <v>0</v>
      </c>
      <c r="N9366" t="n">
        <v>0</v>
      </c>
      <c r="O9366" t="n">
        <v>0</v>
      </c>
      <c r="P9366" t="n">
        <v>0</v>
      </c>
      <c r="Q9366" t="n">
        <v>0</v>
      </c>
      <c r="R9366" s="2" t="inlineStr"/>
    </row>
    <row r="9367" ht="15" customHeight="1">
      <c r="A9367" t="inlineStr">
        <is>
          <t>A 54202-2023</t>
        </is>
      </c>
      <c r="B9367" s="1" t="n">
        <v>45232</v>
      </c>
      <c r="C9367" s="1" t="n">
        <v>45344</v>
      </c>
      <c r="D9367" t="inlineStr">
        <is>
          <t>GÄVLEBORGS LÄN</t>
        </is>
      </c>
      <c r="E9367" t="inlineStr">
        <is>
          <t>GÄVLE</t>
        </is>
      </c>
      <c r="F9367" t="inlineStr">
        <is>
          <t>Bergvik skog väst AB</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54207-2023</t>
        </is>
      </c>
      <c r="B9368" s="1" t="n">
        <v>45232</v>
      </c>
      <c r="C9368" s="1" t="n">
        <v>45344</v>
      </c>
      <c r="D9368" t="inlineStr">
        <is>
          <t>GÄVLEBORGS LÄN</t>
        </is>
      </c>
      <c r="E9368" t="inlineStr">
        <is>
          <t>GÄVLE</t>
        </is>
      </c>
      <c r="F9368" t="inlineStr">
        <is>
          <t>Bergvik skog väst AB</t>
        </is>
      </c>
      <c r="G9368" t="n">
        <v>3.3</v>
      </c>
      <c r="H9368" t="n">
        <v>0</v>
      </c>
      <c r="I9368" t="n">
        <v>0</v>
      </c>
      <c r="J9368" t="n">
        <v>0</v>
      </c>
      <c r="K9368" t="n">
        <v>0</v>
      </c>
      <c r="L9368" t="n">
        <v>0</v>
      </c>
      <c r="M9368" t="n">
        <v>0</v>
      </c>
      <c r="N9368" t="n">
        <v>0</v>
      </c>
      <c r="O9368" t="n">
        <v>0</v>
      </c>
      <c r="P9368" t="n">
        <v>0</v>
      </c>
      <c r="Q9368" t="n">
        <v>0</v>
      </c>
      <c r="R9368" s="2" t="inlineStr"/>
    </row>
    <row r="9369" ht="15" customHeight="1">
      <c r="A9369" t="inlineStr">
        <is>
          <t>A 54090-2023</t>
        </is>
      </c>
      <c r="B9369" s="1" t="n">
        <v>45232</v>
      </c>
      <c r="C9369" s="1" t="n">
        <v>45344</v>
      </c>
      <c r="D9369" t="inlineStr">
        <is>
          <t>GÄVLEBORGS LÄN</t>
        </is>
      </c>
      <c r="E9369" t="inlineStr">
        <is>
          <t>LJUSDAL</t>
        </is>
      </c>
      <c r="G9369" t="n">
        <v>4.2</v>
      </c>
      <c r="H9369" t="n">
        <v>0</v>
      </c>
      <c r="I9369" t="n">
        <v>0</v>
      </c>
      <c r="J9369" t="n">
        <v>0</v>
      </c>
      <c r="K9369" t="n">
        <v>0</v>
      </c>
      <c r="L9369" t="n">
        <v>0</v>
      </c>
      <c r="M9369" t="n">
        <v>0</v>
      </c>
      <c r="N9369" t="n">
        <v>0</v>
      </c>
      <c r="O9369" t="n">
        <v>0</v>
      </c>
      <c r="P9369" t="n">
        <v>0</v>
      </c>
      <c r="Q9369" t="n">
        <v>0</v>
      </c>
      <c r="R9369" s="2" t="inlineStr"/>
    </row>
    <row r="9370" ht="15" customHeight="1">
      <c r="A9370" t="inlineStr">
        <is>
          <t>A 54106-2023</t>
        </is>
      </c>
      <c r="B9370" s="1" t="n">
        <v>45232</v>
      </c>
      <c r="C9370" s="1" t="n">
        <v>45344</v>
      </c>
      <c r="D9370" t="inlineStr">
        <is>
          <t>GÄVLEBORGS LÄN</t>
        </is>
      </c>
      <c r="E9370" t="inlineStr">
        <is>
          <t>SANDVIKEN</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54203-2023</t>
        </is>
      </c>
      <c r="B9371" s="1" t="n">
        <v>45232</v>
      </c>
      <c r="C9371" s="1" t="n">
        <v>45344</v>
      </c>
      <c r="D9371" t="inlineStr">
        <is>
          <t>GÄVLEBORGS LÄN</t>
        </is>
      </c>
      <c r="E9371" t="inlineStr">
        <is>
          <t>BOLLNÄS</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54235-2023</t>
        </is>
      </c>
      <c r="B9372" s="1" t="n">
        <v>45232</v>
      </c>
      <c r="C9372" s="1" t="n">
        <v>45344</v>
      </c>
      <c r="D9372" t="inlineStr">
        <is>
          <t>GÄVLEBORGS LÄN</t>
        </is>
      </c>
      <c r="E9372" t="inlineStr">
        <is>
          <t>OCKELBO</t>
        </is>
      </c>
      <c r="G9372" t="n">
        <v>5.5</v>
      </c>
      <c r="H9372" t="n">
        <v>0</v>
      </c>
      <c r="I9372" t="n">
        <v>0</v>
      </c>
      <c r="J9372" t="n">
        <v>0</v>
      </c>
      <c r="K9372" t="n">
        <v>0</v>
      </c>
      <c r="L9372" t="n">
        <v>0</v>
      </c>
      <c r="M9372" t="n">
        <v>0</v>
      </c>
      <c r="N9372" t="n">
        <v>0</v>
      </c>
      <c r="O9372" t="n">
        <v>0</v>
      </c>
      <c r="P9372" t="n">
        <v>0</v>
      </c>
      <c r="Q9372" t="n">
        <v>0</v>
      </c>
      <c r="R9372" s="2" t="inlineStr"/>
    </row>
    <row r="9373" ht="15" customHeight="1">
      <c r="A9373" t="inlineStr">
        <is>
          <t>A 54126-2023</t>
        </is>
      </c>
      <c r="B9373" s="1" t="n">
        <v>45232</v>
      </c>
      <c r="C9373" s="1" t="n">
        <v>45344</v>
      </c>
      <c r="D9373" t="inlineStr">
        <is>
          <t>GÄVLEBORGS LÄN</t>
        </is>
      </c>
      <c r="E9373" t="inlineStr">
        <is>
          <t>GÄVLE</t>
        </is>
      </c>
      <c r="F9373" t="inlineStr">
        <is>
          <t>Bergvik skog öst AB</t>
        </is>
      </c>
      <c r="G9373" t="n">
        <v>2.3</v>
      </c>
      <c r="H9373" t="n">
        <v>0</v>
      </c>
      <c r="I9373" t="n">
        <v>0</v>
      </c>
      <c r="J9373" t="n">
        <v>0</v>
      </c>
      <c r="K9373" t="n">
        <v>0</v>
      </c>
      <c r="L9373" t="n">
        <v>0</v>
      </c>
      <c r="M9373" t="n">
        <v>0</v>
      </c>
      <c r="N9373" t="n">
        <v>0</v>
      </c>
      <c r="O9373" t="n">
        <v>0</v>
      </c>
      <c r="P9373" t="n">
        <v>0</v>
      </c>
      <c r="Q9373" t="n">
        <v>0</v>
      </c>
      <c r="R9373" s="2" t="inlineStr"/>
    </row>
    <row r="9374" ht="15" customHeight="1">
      <c r="A9374" t="inlineStr">
        <is>
          <t>A 54157-2023</t>
        </is>
      </c>
      <c r="B9374" s="1" t="n">
        <v>45232</v>
      </c>
      <c r="C9374" s="1" t="n">
        <v>45344</v>
      </c>
      <c r="D9374" t="inlineStr">
        <is>
          <t>GÄVLEBORGS LÄN</t>
        </is>
      </c>
      <c r="E9374" t="inlineStr">
        <is>
          <t>GÄVLE</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54304-2023</t>
        </is>
      </c>
      <c r="B9375" s="1" t="n">
        <v>45232</v>
      </c>
      <c r="C9375" s="1" t="n">
        <v>45344</v>
      </c>
      <c r="D9375" t="inlineStr">
        <is>
          <t>GÄVLEBORGS LÄN</t>
        </is>
      </c>
      <c r="E9375" t="inlineStr">
        <is>
          <t>HUDIKSVALL</t>
        </is>
      </c>
      <c r="F9375" t="inlineStr">
        <is>
          <t>Holmen skog AB</t>
        </is>
      </c>
      <c r="G9375" t="n">
        <v>3.4</v>
      </c>
      <c r="H9375" t="n">
        <v>0</v>
      </c>
      <c r="I9375" t="n">
        <v>0</v>
      </c>
      <c r="J9375" t="n">
        <v>0</v>
      </c>
      <c r="K9375" t="n">
        <v>0</v>
      </c>
      <c r="L9375" t="n">
        <v>0</v>
      </c>
      <c r="M9375" t="n">
        <v>0</v>
      </c>
      <c r="N9375" t="n">
        <v>0</v>
      </c>
      <c r="O9375" t="n">
        <v>0</v>
      </c>
      <c r="P9375" t="n">
        <v>0</v>
      </c>
      <c r="Q9375" t="n">
        <v>0</v>
      </c>
      <c r="R9375" s="2" t="inlineStr"/>
    </row>
    <row r="9376" ht="15" customHeight="1">
      <c r="A9376" t="inlineStr">
        <is>
          <t>A 54173-2023</t>
        </is>
      </c>
      <c r="B9376" s="1" t="n">
        <v>45232</v>
      </c>
      <c r="C9376" s="1" t="n">
        <v>45344</v>
      </c>
      <c r="D9376" t="inlineStr">
        <is>
          <t>GÄVLEBORGS LÄN</t>
        </is>
      </c>
      <c r="E9376" t="inlineStr">
        <is>
          <t>HUDIKSVALL</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54205-2023</t>
        </is>
      </c>
      <c r="B9377" s="1" t="n">
        <v>45232</v>
      </c>
      <c r="C9377" s="1" t="n">
        <v>45344</v>
      </c>
      <c r="D9377" t="inlineStr">
        <is>
          <t>GÄVLEBORGS LÄN</t>
        </is>
      </c>
      <c r="E9377" t="inlineStr">
        <is>
          <t>NORDANSTIG</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54225-2023</t>
        </is>
      </c>
      <c r="B9378" s="1" t="n">
        <v>45232</v>
      </c>
      <c r="C9378" s="1" t="n">
        <v>45344</v>
      </c>
      <c r="D9378" t="inlineStr">
        <is>
          <t>GÄVLEBORGS LÄN</t>
        </is>
      </c>
      <c r="E9378" t="inlineStr">
        <is>
          <t>HUDIKSVALL</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54349-2023</t>
        </is>
      </c>
      <c r="B9379" s="1" t="n">
        <v>45232</v>
      </c>
      <c r="C9379" s="1" t="n">
        <v>45344</v>
      </c>
      <c r="D9379" t="inlineStr">
        <is>
          <t>GÄVLEBORGS LÄN</t>
        </is>
      </c>
      <c r="E9379" t="inlineStr">
        <is>
          <t>NORDANSTIG</t>
        </is>
      </c>
      <c r="F9379" t="inlineStr">
        <is>
          <t>SCA</t>
        </is>
      </c>
      <c r="G9379" t="n">
        <v>3.8</v>
      </c>
      <c r="H9379" t="n">
        <v>0</v>
      </c>
      <c r="I9379" t="n">
        <v>0</v>
      </c>
      <c r="J9379" t="n">
        <v>0</v>
      </c>
      <c r="K9379" t="n">
        <v>0</v>
      </c>
      <c r="L9379" t="n">
        <v>0</v>
      </c>
      <c r="M9379" t="n">
        <v>0</v>
      </c>
      <c r="N9379" t="n">
        <v>0</v>
      </c>
      <c r="O9379" t="n">
        <v>0</v>
      </c>
      <c r="P9379" t="n">
        <v>0</v>
      </c>
      <c r="Q9379" t="n">
        <v>0</v>
      </c>
      <c r="R9379" s="2" t="inlineStr"/>
    </row>
    <row r="9380" ht="15" customHeight="1">
      <c r="A9380" t="inlineStr">
        <is>
          <t>A 54353-2023</t>
        </is>
      </c>
      <c r="B9380" s="1" t="n">
        <v>45233</v>
      </c>
      <c r="C9380" s="1" t="n">
        <v>45344</v>
      </c>
      <c r="D9380" t="inlineStr">
        <is>
          <t>GÄVLEBORGS LÄN</t>
        </is>
      </c>
      <c r="E9380" t="inlineStr">
        <is>
          <t>NORDANSTIG</t>
        </is>
      </c>
      <c r="F9380" t="inlineStr">
        <is>
          <t>SCA</t>
        </is>
      </c>
      <c r="G9380" t="n">
        <v>7.9</v>
      </c>
      <c r="H9380" t="n">
        <v>0</v>
      </c>
      <c r="I9380" t="n">
        <v>0</v>
      </c>
      <c r="J9380" t="n">
        <v>0</v>
      </c>
      <c r="K9380" t="n">
        <v>0</v>
      </c>
      <c r="L9380" t="n">
        <v>0</v>
      </c>
      <c r="M9380" t="n">
        <v>0</v>
      </c>
      <c r="N9380" t="n">
        <v>0</v>
      </c>
      <c r="O9380" t="n">
        <v>0</v>
      </c>
      <c r="P9380" t="n">
        <v>0</v>
      </c>
      <c r="Q9380" t="n">
        <v>0</v>
      </c>
      <c r="R9380" s="2" t="inlineStr"/>
    </row>
    <row r="9381" ht="15" customHeight="1">
      <c r="A9381" t="inlineStr">
        <is>
          <t>A 54171-2023</t>
        </is>
      </c>
      <c r="B9381" s="1" t="n">
        <v>45232</v>
      </c>
      <c r="C9381" s="1" t="n">
        <v>45344</v>
      </c>
      <c r="D9381" t="inlineStr">
        <is>
          <t>GÄVLEBORGS LÄN</t>
        </is>
      </c>
      <c r="E9381" t="inlineStr">
        <is>
          <t>HUDIKSVALL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54183-2023</t>
        </is>
      </c>
      <c r="B9382" s="1" t="n">
        <v>45232</v>
      </c>
      <c r="C9382" s="1" t="n">
        <v>45344</v>
      </c>
      <c r="D9382" t="inlineStr">
        <is>
          <t>GÄVLEBORGS LÄN</t>
        </is>
      </c>
      <c r="E9382" t="inlineStr">
        <is>
          <t>GÄVLE</t>
        </is>
      </c>
      <c r="F9382" t="inlineStr">
        <is>
          <t>Bergvik skog öst AB</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54200-2023</t>
        </is>
      </c>
      <c r="B9383" s="1" t="n">
        <v>45232</v>
      </c>
      <c r="C9383" s="1" t="n">
        <v>45344</v>
      </c>
      <c r="D9383" t="inlineStr">
        <is>
          <t>GÄVLEBORGS LÄN</t>
        </is>
      </c>
      <c r="E9383" t="inlineStr">
        <is>
          <t>NORDANSTIG</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54209-2023</t>
        </is>
      </c>
      <c r="B9384" s="1" t="n">
        <v>45232</v>
      </c>
      <c r="C9384" s="1" t="n">
        <v>45344</v>
      </c>
      <c r="D9384" t="inlineStr">
        <is>
          <t>GÄVLEBORGS LÄN</t>
        </is>
      </c>
      <c r="E9384" t="inlineStr">
        <is>
          <t>BOLLNÄS</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54219-2023</t>
        </is>
      </c>
      <c r="B9385" s="1" t="n">
        <v>45232</v>
      </c>
      <c r="C9385" s="1" t="n">
        <v>45344</v>
      </c>
      <c r="D9385" t="inlineStr">
        <is>
          <t>GÄVLEBORGS LÄN</t>
        </is>
      </c>
      <c r="E9385" t="inlineStr">
        <is>
          <t>HUDIKSVALL</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54236-2023</t>
        </is>
      </c>
      <c r="B9386" s="1" t="n">
        <v>45232</v>
      </c>
      <c r="C9386" s="1" t="n">
        <v>45344</v>
      </c>
      <c r="D9386" t="inlineStr">
        <is>
          <t>GÄVLEBORGS LÄN</t>
        </is>
      </c>
      <c r="E9386" t="inlineStr">
        <is>
          <t>BOLLNÄS</t>
        </is>
      </c>
      <c r="G9386" t="n">
        <v>1.7</v>
      </c>
      <c r="H9386" t="n">
        <v>0</v>
      </c>
      <c r="I9386" t="n">
        <v>0</v>
      </c>
      <c r="J9386" t="n">
        <v>0</v>
      </c>
      <c r="K9386" t="n">
        <v>0</v>
      </c>
      <c r="L9386" t="n">
        <v>0</v>
      </c>
      <c r="M9386" t="n">
        <v>0</v>
      </c>
      <c r="N9386" t="n">
        <v>0</v>
      </c>
      <c r="O9386" t="n">
        <v>0</v>
      </c>
      <c r="P9386" t="n">
        <v>0</v>
      </c>
      <c r="Q9386" t="n">
        <v>0</v>
      </c>
      <c r="R9386" s="2" t="inlineStr"/>
    </row>
    <row r="9387" ht="15" customHeight="1">
      <c r="A9387" t="inlineStr">
        <is>
          <t>A 54248-2023</t>
        </is>
      </c>
      <c r="B9387" s="1" t="n">
        <v>45232</v>
      </c>
      <c r="C9387" s="1" t="n">
        <v>45344</v>
      </c>
      <c r="D9387" t="inlineStr">
        <is>
          <t>GÄVLEBORGS LÄN</t>
        </is>
      </c>
      <c r="E9387" t="inlineStr">
        <is>
          <t>BOLLNÄS</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54268-2023</t>
        </is>
      </c>
      <c r="B9388" s="1" t="n">
        <v>45232</v>
      </c>
      <c r="C9388" s="1" t="n">
        <v>45344</v>
      </c>
      <c r="D9388" t="inlineStr">
        <is>
          <t>GÄVLEBORGS LÄN</t>
        </is>
      </c>
      <c r="E9388" t="inlineStr">
        <is>
          <t>GÄVLE</t>
        </is>
      </c>
      <c r="F9388" t="inlineStr">
        <is>
          <t>Bergvik skog väst AB</t>
        </is>
      </c>
      <c r="G9388" t="n">
        <v>1.9</v>
      </c>
      <c r="H9388" t="n">
        <v>0</v>
      </c>
      <c r="I9388" t="n">
        <v>0</v>
      </c>
      <c r="J9388" t="n">
        <v>0</v>
      </c>
      <c r="K9388" t="n">
        <v>0</v>
      </c>
      <c r="L9388" t="n">
        <v>0</v>
      </c>
      <c r="M9388" t="n">
        <v>0</v>
      </c>
      <c r="N9388" t="n">
        <v>0</v>
      </c>
      <c r="O9388" t="n">
        <v>0</v>
      </c>
      <c r="P9388" t="n">
        <v>0</v>
      </c>
      <c r="Q9388" t="n">
        <v>0</v>
      </c>
      <c r="R9388" s="2" t="inlineStr"/>
    </row>
    <row r="9389" ht="15" customHeight="1">
      <c r="A9389" t="inlineStr">
        <is>
          <t>A 54595-2023</t>
        </is>
      </c>
      <c r="B9389" s="1" t="n">
        <v>45233</v>
      </c>
      <c r="C9389" s="1" t="n">
        <v>45344</v>
      </c>
      <c r="D9389" t="inlineStr">
        <is>
          <t>GÄVLEBORGS LÄN</t>
        </is>
      </c>
      <c r="E9389" t="inlineStr">
        <is>
          <t>LJUSDAL</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54467-2023</t>
        </is>
      </c>
      <c r="B9390" s="1" t="n">
        <v>45233</v>
      </c>
      <c r="C9390" s="1" t="n">
        <v>45344</v>
      </c>
      <c r="D9390" t="inlineStr">
        <is>
          <t>GÄVLEBORGS LÄN</t>
        </is>
      </c>
      <c r="E9390" t="inlineStr">
        <is>
          <t>HUDIKSVALL</t>
        </is>
      </c>
      <c r="G9390" t="n">
        <v>8</v>
      </c>
      <c r="H9390" t="n">
        <v>0</v>
      </c>
      <c r="I9390" t="n">
        <v>0</v>
      </c>
      <c r="J9390" t="n">
        <v>0</v>
      </c>
      <c r="K9390" t="n">
        <v>0</v>
      </c>
      <c r="L9390" t="n">
        <v>0</v>
      </c>
      <c r="M9390" t="n">
        <v>0</v>
      </c>
      <c r="N9390" t="n">
        <v>0</v>
      </c>
      <c r="O9390" t="n">
        <v>0</v>
      </c>
      <c r="P9390" t="n">
        <v>0</v>
      </c>
      <c r="Q9390" t="n">
        <v>0</v>
      </c>
      <c r="R9390" s="2" t="inlineStr"/>
    </row>
    <row r="9391" ht="15" customHeight="1">
      <c r="A9391" t="inlineStr">
        <is>
          <t>A 54559-2023</t>
        </is>
      </c>
      <c r="B9391" s="1" t="n">
        <v>45233</v>
      </c>
      <c r="C9391" s="1" t="n">
        <v>45344</v>
      </c>
      <c r="D9391" t="inlineStr">
        <is>
          <t>GÄVLEBORGS LÄN</t>
        </is>
      </c>
      <c r="E9391" t="inlineStr">
        <is>
          <t>OVANÅKER</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54396-2023</t>
        </is>
      </c>
      <c r="B9392" s="1" t="n">
        <v>45233</v>
      </c>
      <c r="C9392" s="1" t="n">
        <v>45344</v>
      </c>
      <c r="D9392" t="inlineStr">
        <is>
          <t>GÄVLEBORGS LÄN</t>
        </is>
      </c>
      <c r="E9392" t="inlineStr">
        <is>
          <t>NORDANSTIG</t>
        </is>
      </c>
      <c r="F9392" t="inlineStr">
        <is>
          <t>Holmen skog AB</t>
        </is>
      </c>
      <c r="G9392" t="n">
        <v>9.1</v>
      </c>
      <c r="H9392" t="n">
        <v>0</v>
      </c>
      <c r="I9392" t="n">
        <v>0</v>
      </c>
      <c r="J9392" t="n">
        <v>0</v>
      </c>
      <c r="K9392" t="n">
        <v>0</v>
      </c>
      <c r="L9392" t="n">
        <v>0</v>
      </c>
      <c r="M9392" t="n">
        <v>0</v>
      </c>
      <c r="N9392" t="n">
        <v>0</v>
      </c>
      <c r="O9392" t="n">
        <v>0</v>
      </c>
      <c r="P9392" t="n">
        <v>0</v>
      </c>
      <c r="Q9392" t="n">
        <v>0</v>
      </c>
      <c r="R9392" s="2" t="inlineStr"/>
    </row>
    <row r="9393" ht="15" customHeight="1">
      <c r="A9393" t="inlineStr">
        <is>
          <t>A 54426-2023</t>
        </is>
      </c>
      <c r="B9393" s="1" t="n">
        <v>45233</v>
      </c>
      <c r="C9393" s="1" t="n">
        <v>45344</v>
      </c>
      <c r="D9393" t="inlineStr">
        <is>
          <t>GÄVLEBORGS LÄN</t>
        </is>
      </c>
      <c r="E9393" t="inlineStr">
        <is>
          <t>BOLLNÄS</t>
        </is>
      </c>
      <c r="F9393" t="inlineStr">
        <is>
          <t>Sveaskog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54425-2023</t>
        </is>
      </c>
      <c r="B9394" s="1" t="n">
        <v>45233</v>
      </c>
      <c r="C9394" s="1" t="n">
        <v>45344</v>
      </c>
      <c r="D9394" t="inlineStr">
        <is>
          <t>GÄVLEBORGS LÄN</t>
        </is>
      </c>
      <c r="E9394" t="inlineStr">
        <is>
          <t>BOLLNÄS</t>
        </is>
      </c>
      <c r="F9394" t="inlineStr">
        <is>
          <t>Sveaskog</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54625-2023</t>
        </is>
      </c>
      <c r="B9395" s="1" t="n">
        <v>45234</v>
      </c>
      <c r="C9395" s="1" t="n">
        <v>45344</v>
      </c>
      <c r="D9395" t="inlineStr">
        <is>
          <t>GÄVLEBORGS LÄN</t>
        </is>
      </c>
      <c r="E9395" t="inlineStr">
        <is>
          <t>HUDIKSVALL</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54705-2023</t>
        </is>
      </c>
      <c r="B9396" s="1" t="n">
        <v>45236</v>
      </c>
      <c r="C9396" s="1" t="n">
        <v>45344</v>
      </c>
      <c r="D9396" t="inlineStr">
        <is>
          <t>GÄVLEBORGS LÄN</t>
        </is>
      </c>
      <c r="E9396" t="inlineStr">
        <is>
          <t>BOLLNÄS</t>
        </is>
      </c>
      <c r="F9396" t="inlineStr">
        <is>
          <t>Sveaskog</t>
        </is>
      </c>
      <c r="G9396" t="n">
        <v>4.1</v>
      </c>
      <c r="H9396" t="n">
        <v>0</v>
      </c>
      <c r="I9396" t="n">
        <v>0</v>
      </c>
      <c r="J9396" t="n">
        <v>0</v>
      </c>
      <c r="K9396" t="n">
        <v>0</v>
      </c>
      <c r="L9396" t="n">
        <v>0</v>
      </c>
      <c r="M9396" t="n">
        <v>0</v>
      </c>
      <c r="N9396" t="n">
        <v>0</v>
      </c>
      <c r="O9396" t="n">
        <v>0</v>
      </c>
      <c r="P9396" t="n">
        <v>0</v>
      </c>
      <c r="Q9396" t="n">
        <v>0</v>
      </c>
      <c r="R9396" s="2" t="inlineStr"/>
    </row>
    <row r="9397" ht="15" customHeight="1">
      <c r="A9397" t="inlineStr">
        <is>
          <t>A 54720-2023</t>
        </is>
      </c>
      <c r="B9397" s="1" t="n">
        <v>45236</v>
      </c>
      <c r="C9397" s="1" t="n">
        <v>45344</v>
      </c>
      <c r="D9397" t="inlineStr">
        <is>
          <t>GÄVLEBORGS LÄN</t>
        </is>
      </c>
      <c r="E9397" t="inlineStr">
        <is>
          <t>NORDANSTIG</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54721-2023</t>
        </is>
      </c>
      <c r="B9398" s="1" t="n">
        <v>45236</v>
      </c>
      <c r="C9398" s="1" t="n">
        <v>45344</v>
      </c>
      <c r="D9398" t="inlineStr">
        <is>
          <t>GÄVLEBORGS LÄN</t>
        </is>
      </c>
      <c r="E9398" t="inlineStr">
        <is>
          <t>NORDANSTIG</t>
        </is>
      </c>
      <c r="F9398" t="inlineStr">
        <is>
          <t>Holmen skog AB</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54760-2023</t>
        </is>
      </c>
      <c r="B9399" s="1" t="n">
        <v>45236</v>
      </c>
      <c r="C9399" s="1" t="n">
        <v>45344</v>
      </c>
      <c r="D9399" t="inlineStr">
        <is>
          <t>GÄVLEBORGS LÄN</t>
        </is>
      </c>
      <c r="E9399" t="inlineStr">
        <is>
          <t>LJUSDAL</t>
        </is>
      </c>
      <c r="G9399" t="n">
        <v>3.5</v>
      </c>
      <c r="H9399" t="n">
        <v>0</v>
      </c>
      <c r="I9399" t="n">
        <v>0</v>
      </c>
      <c r="J9399" t="n">
        <v>0</v>
      </c>
      <c r="K9399" t="n">
        <v>0</v>
      </c>
      <c r="L9399" t="n">
        <v>0</v>
      </c>
      <c r="M9399" t="n">
        <v>0</v>
      </c>
      <c r="N9399" t="n">
        <v>0</v>
      </c>
      <c r="O9399" t="n">
        <v>0</v>
      </c>
      <c r="P9399" t="n">
        <v>0</v>
      </c>
      <c r="Q9399" t="n">
        <v>0</v>
      </c>
      <c r="R9399" s="2" t="inlineStr"/>
    </row>
    <row r="9400" ht="15" customHeight="1">
      <c r="A9400" t="inlineStr">
        <is>
          <t>A 54788-2023</t>
        </is>
      </c>
      <c r="B9400" s="1" t="n">
        <v>45236</v>
      </c>
      <c r="C9400" s="1" t="n">
        <v>45344</v>
      </c>
      <c r="D9400" t="inlineStr">
        <is>
          <t>GÄVLEBORGS LÄN</t>
        </is>
      </c>
      <c r="E9400" t="inlineStr">
        <is>
          <t>NORDANSTIG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54938-2023</t>
        </is>
      </c>
      <c r="B9401" s="1" t="n">
        <v>45236</v>
      </c>
      <c r="C9401" s="1" t="n">
        <v>45344</v>
      </c>
      <c r="D9401" t="inlineStr">
        <is>
          <t>GÄVLEBORGS LÄN</t>
        </is>
      </c>
      <c r="E9401" t="inlineStr">
        <is>
          <t>NORDANSTIG</t>
        </is>
      </c>
      <c r="F9401" t="inlineStr">
        <is>
          <t>Holmen skog AB</t>
        </is>
      </c>
      <c r="G9401" t="n">
        <v>14.3</v>
      </c>
      <c r="H9401" t="n">
        <v>0</v>
      </c>
      <c r="I9401" t="n">
        <v>0</v>
      </c>
      <c r="J9401" t="n">
        <v>0</v>
      </c>
      <c r="K9401" t="n">
        <v>0</v>
      </c>
      <c r="L9401" t="n">
        <v>0</v>
      </c>
      <c r="M9401" t="n">
        <v>0</v>
      </c>
      <c r="N9401" t="n">
        <v>0</v>
      </c>
      <c r="O9401" t="n">
        <v>0</v>
      </c>
      <c r="P9401" t="n">
        <v>0</v>
      </c>
      <c r="Q9401" t="n">
        <v>0</v>
      </c>
      <c r="R9401" s="2" t="inlineStr"/>
    </row>
    <row r="9402" ht="15" customHeight="1">
      <c r="A9402" t="inlineStr">
        <is>
          <t>A 55002-2023</t>
        </is>
      </c>
      <c r="B9402" s="1" t="n">
        <v>45236</v>
      </c>
      <c r="C9402" s="1" t="n">
        <v>45344</v>
      </c>
      <c r="D9402" t="inlineStr">
        <is>
          <t>GÄVLEBORGS LÄN</t>
        </is>
      </c>
      <c r="E9402" t="inlineStr">
        <is>
          <t>NORDANSTIG</t>
        </is>
      </c>
      <c r="F9402" t="inlineStr">
        <is>
          <t>SCA</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55006-2023</t>
        </is>
      </c>
      <c r="B9403" s="1" t="n">
        <v>45236</v>
      </c>
      <c r="C9403" s="1" t="n">
        <v>45344</v>
      </c>
      <c r="D9403" t="inlineStr">
        <is>
          <t>GÄVLEBORGS LÄN</t>
        </is>
      </c>
      <c r="E9403" t="inlineStr">
        <is>
          <t>NORDANSTIG</t>
        </is>
      </c>
      <c r="F9403" t="inlineStr">
        <is>
          <t>SCA</t>
        </is>
      </c>
      <c r="G9403" t="n">
        <v>5</v>
      </c>
      <c r="H9403" t="n">
        <v>0</v>
      </c>
      <c r="I9403" t="n">
        <v>0</v>
      </c>
      <c r="J9403" t="n">
        <v>0</v>
      </c>
      <c r="K9403" t="n">
        <v>0</v>
      </c>
      <c r="L9403" t="n">
        <v>0</v>
      </c>
      <c r="M9403" t="n">
        <v>0</v>
      </c>
      <c r="N9403" t="n">
        <v>0</v>
      </c>
      <c r="O9403" t="n">
        <v>0</v>
      </c>
      <c r="P9403" t="n">
        <v>0</v>
      </c>
      <c r="Q9403" t="n">
        <v>0</v>
      </c>
      <c r="R9403" s="2" t="inlineStr"/>
    </row>
    <row r="9404" ht="15" customHeight="1">
      <c r="A9404" t="inlineStr">
        <is>
          <t>A 54803-2023</t>
        </is>
      </c>
      <c r="B9404" s="1" t="n">
        <v>45236</v>
      </c>
      <c r="C9404" s="1" t="n">
        <v>45344</v>
      </c>
      <c r="D9404" t="inlineStr">
        <is>
          <t>GÄVLEBORGS LÄN</t>
        </is>
      </c>
      <c r="E9404" t="inlineStr">
        <is>
          <t>NORDANSTIG</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54860-2023</t>
        </is>
      </c>
      <c r="B9405" s="1" t="n">
        <v>45236</v>
      </c>
      <c r="C9405" s="1" t="n">
        <v>45344</v>
      </c>
      <c r="D9405" t="inlineStr">
        <is>
          <t>GÄVLEBORGS LÄN</t>
        </is>
      </c>
      <c r="E9405" t="inlineStr">
        <is>
          <t>NORDANSTIG</t>
        </is>
      </c>
      <c r="F9405" t="inlineStr">
        <is>
          <t>Holmen skog AB</t>
        </is>
      </c>
      <c r="G9405" t="n">
        <v>2.6</v>
      </c>
      <c r="H9405" t="n">
        <v>0</v>
      </c>
      <c r="I9405" t="n">
        <v>0</v>
      </c>
      <c r="J9405" t="n">
        <v>0</v>
      </c>
      <c r="K9405" t="n">
        <v>0</v>
      </c>
      <c r="L9405" t="n">
        <v>0</v>
      </c>
      <c r="M9405" t="n">
        <v>0</v>
      </c>
      <c r="N9405" t="n">
        <v>0</v>
      </c>
      <c r="O9405" t="n">
        <v>0</v>
      </c>
      <c r="P9405" t="n">
        <v>0</v>
      </c>
      <c r="Q9405" t="n">
        <v>0</v>
      </c>
      <c r="R9405" s="2" t="inlineStr"/>
    </row>
    <row r="9406" ht="15" customHeight="1">
      <c r="A9406" t="inlineStr">
        <is>
          <t>A 54881-2023</t>
        </is>
      </c>
      <c r="B9406" s="1" t="n">
        <v>45236</v>
      </c>
      <c r="C9406" s="1" t="n">
        <v>45344</v>
      </c>
      <c r="D9406" t="inlineStr">
        <is>
          <t>GÄVLEBORGS LÄN</t>
        </is>
      </c>
      <c r="E9406" t="inlineStr">
        <is>
          <t>OCKELBO</t>
        </is>
      </c>
      <c r="G9406" t="n">
        <v>4.3</v>
      </c>
      <c r="H9406" t="n">
        <v>0</v>
      </c>
      <c r="I9406" t="n">
        <v>0</v>
      </c>
      <c r="J9406" t="n">
        <v>0</v>
      </c>
      <c r="K9406" t="n">
        <v>0</v>
      </c>
      <c r="L9406" t="n">
        <v>0</v>
      </c>
      <c r="M9406" t="n">
        <v>0</v>
      </c>
      <c r="N9406" t="n">
        <v>0</v>
      </c>
      <c r="O9406" t="n">
        <v>0</v>
      </c>
      <c r="P9406" t="n">
        <v>0</v>
      </c>
      <c r="Q9406" t="n">
        <v>0</v>
      </c>
      <c r="R9406" s="2" t="inlineStr"/>
    </row>
    <row r="9407" ht="15" customHeight="1">
      <c r="A9407" t="inlineStr">
        <is>
          <t>A 56377-2023</t>
        </is>
      </c>
      <c r="B9407" s="1" t="n">
        <v>45236</v>
      </c>
      <c r="C9407" s="1" t="n">
        <v>45344</v>
      </c>
      <c r="D9407" t="inlineStr">
        <is>
          <t>GÄVLEBORGS LÄN</t>
        </is>
      </c>
      <c r="E9407" t="inlineStr">
        <is>
          <t>SANDVIKEN</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55070-2023</t>
        </is>
      </c>
      <c r="B9408" s="1" t="n">
        <v>45237</v>
      </c>
      <c r="C9408" s="1" t="n">
        <v>45344</v>
      </c>
      <c r="D9408" t="inlineStr">
        <is>
          <t>GÄVLEBORGS LÄN</t>
        </is>
      </c>
      <c r="E9408" t="inlineStr">
        <is>
          <t>OCKELBO</t>
        </is>
      </c>
      <c r="G9408" t="n">
        <v>3.2</v>
      </c>
      <c r="H9408" t="n">
        <v>0</v>
      </c>
      <c r="I9408" t="n">
        <v>0</v>
      </c>
      <c r="J9408" t="n">
        <v>0</v>
      </c>
      <c r="K9408" t="n">
        <v>0</v>
      </c>
      <c r="L9408" t="n">
        <v>0</v>
      </c>
      <c r="M9408" t="n">
        <v>0</v>
      </c>
      <c r="N9408" t="n">
        <v>0</v>
      </c>
      <c r="O9408" t="n">
        <v>0</v>
      </c>
      <c r="P9408" t="n">
        <v>0</v>
      </c>
      <c r="Q9408" t="n">
        <v>0</v>
      </c>
      <c r="R9408" s="2" t="inlineStr"/>
    </row>
    <row r="9409" ht="15" customHeight="1">
      <c r="A9409" t="inlineStr">
        <is>
          <t>A 55025-2023</t>
        </is>
      </c>
      <c r="B9409" s="1" t="n">
        <v>45237</v>
      </c>
      <c r="C9409" s="1" t="n">
        <v>45344</v>
      </c>
      <c r="D9409" t="inlineStr">
        <is>
          <t>GÄVLEBORGS LÄN</t>
        </is>
      </c>
      <c r="E9409" t="inlineStr">
        <is>
          <t>LJUSDAL</t>
        </is>
      </c>
      <c r="F9409" t="inlineStr">
        <is>
          <t>Allmännings- och besparingsskogar</t>
        </is>
      </c>
      <c r="G9409" t="n">
        <v>4.8</v>
      </c>
      <c r="H9409" t="n">
        <v>0</v>
      </c>
      <c r="I9409" t="n">
        <v>0</v>
      </c>
      <c r="J9409" t="n">
        <v>0</v>
      </c>
      <c r="K9409" t="n">
        <v>0</v>
      </c>
      <c r="L9409" t="n">
        <v>0</v>
      </c>
      <c r="M9409" t="n">
        <v>0</v>
      </c>
      <c r="N9409" t="n">
        <v>0</v>
      </c>
      <c r="O9409" t="n">
        <v>0</v>
      </c>
      <c r="P9409" t="n">
        <v>0</v>
      </c>
      <c r="Q9409" t="n">
        <v>0</v>
      </c>
      <c r="R9409" s="2" t="inlineStr"/>
    </row>
    <row r="9410" ht="15" customHeight="1">
      <c r="A9410" t="inlineStr">
        <is>
          <t>A 55078-2023</t>
        </is>
      </c>
      <c r="B9410" s="1" t="n">
        <v>45237</v>
      </c>
      <c r="C9410" s="1" t="n">
        <v>45344</v>
      </c>
      <c r="D9410" t="inlineStr">
        <is>
          <t>GÄVLEBORGS LÄN</t>
        </is>
      </c>
      <c r="E9410" t="inlineStr">
        <is>
          <t>LJUSDAL</t>
        </is>
      </c>
      <c r="F9410" t="inlineStr">
        <is>
          <t>Bergvik skog väst AB</t>
        </is>
      </c>
      <c r="G9410" t="n">
        <v>8.199999999999999</v>
      </c>
      <c r="H9410" t="n">
        <v>0</v>
      </c>
      <c r="I9410" t="n">
        <v>0</v>
      </c>
      <c r="J9410" t="n">
        <v>0</v>
      </c>
      <c r="K9410" t="n">
        <v>0</v>
      </c>
      <c r="L9410" t="n">
        <v>0</v>
      </c>
      <c r="M9410" t="n">
        <v>0</v>
      </c>
      <c r="N9410" t="n">
        <v>0</v>
      </c>
      <c r="O9410" t="n">
        <v>0</v>
      </c>
      <c r="P9410" t="n">
        <v>0</v>
      </c>
      <c r="Q9410" t="n">
        <v>0</v>
      </c>
      <c r="R9410" s="2" t="inlineStr"/>
    </row>
    <row r="9411" ht="15" customHeight="1">
      <c r="A9411" t="inlineStr">
        <is>
          <t>A 55112-2023</t>
        </is>
      </c>
      <c r="B9411" s="1" t="n">
        <v>45237</v>
      </c>
      <c r="C9411" s="1" t="n">
        <v>45344</v>
      </c>
      <c r="D9411" t="inlineStr">
        <is>
          <t>GÄVLEBORGS LÄN</t>
        </is>
      </c>
      <c r="E9411" t="inlineStr">
        <is>
          <t>OCKELBO</t>
        </is>
      </c>
      <c r="G9411" t="n">
        <v>14.6</v>
      </c>
      <c r="H9411" t="n">
        <v>0</v>
      </c>
      <c r="I9411" t="n">
        <v>0</v>
      </c>
      <c r="J9411" t="n">
        <v>0</v>
      </c>
      <c r="K9411" t="n">
        <v>0</v>
      </c>
      <c r="L9411" t="n">
        <v>0</v>
      </c>
      <c r="M9411" t="n">
        <v>0</v>
      </c>
      <c r="N9411" t="n">
        <v>0</v>
      </c>
      <c r="O9411" t="n">
        <v>0</v>
      </c>
      <c r="P9411" t="n">
        <v>0</v>
      </c>
      <c r="Q9411" t="n">
        <v>0</v>
      </c>
      <c r="R9411" s="2" t="inlineStr"/>
    </row>
    <row r="9412" ht="15" customHeight="1">
      <c r="A9412" t="inlineStr">
        <is>
          <t>A 55136-2023</t>
        </is>
      </c>
      <c r="B9412" s="1" t="n">
        <v>45237</v>
      </c>
      <c r="C9412" s="1" t="n">
        <v>45344</v>
      </c>
      <c r="D9412" t="inlineStr">
        <is>
          <t>GÄVLEBORGS LÄN</t>
        </is>
      </c>
      <c r="E9412" t="inlineStr">
        <is>
          <t>LJUSDAL</t>
        </is>
      </c>
      <c r="G9412" t="n">
        <v>12.7</v>
      </c>
      <c r="H9412" t="n">
        <v>0</v>
      </c>
      <c r="I9412" t="n">
        <v>0</v>
      </c>
      <c r="J9412" t="n">
        <v>0</v>
      </c>
      <c r="K9412" t="n">
        <v>0</v>
      </c>
      <c r="L9412" t="n">
        <v>0</v>
      </c>
      <c r="M9412" t="n">
        <v>0</v>
      </c>
      <c r="N9412" t="n">
        <v>0</v>
      </c>
      <c r="O9412" t="n">
        <v>0</v>
      </c>
      <c r="P9412" t="n">
        <v>0</v>
      </c>
      <c r="Q9412" t="n">
        <v>0</v>
      </c>
      <c r="R9412" s="2" t="inlineStr"/>
    </row>
    <row r="9413" ht="15" customHeight="1">
      <c r="A9413" t="inlineStr">
        <is>
          <t>A 55201-2023</t>
        </is>
      </c>
      <c r="B9413" s="1" t="n">
        <v>45237</v>
      </c>
      <c r="C9413" s="1" t="n">
        <v>45344</v>
      </c>
      <c r="D9413" t="inlineStr">
        <is>
          <t>GÄVLEBORGS LÄN</t>
        </is>
      </c>
      <c r="E9413" t="inlineStr">
        <is>
          <t>HUDIKSVALL</t>
        </is>
      </c>
      <c r="F9413" t="inlineStr">
        <is>
          <t>Holmen skog AB</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55176-2023</t>
        </is>
      </c>
      <c r="B9414" s="1" t="n">
        <v>45237</v>
      </c>
      <c r="C9414" s="1" t="n">
        <v>45344</v>
      </c>
      <c r="D9414" t="inlineStr">
        <is>
          <t>GÄVLEBORGS LÄN</t>
        </is>
      </c>
      <c r="E9414" t="inlineStr">
        <is>
          <t>LJUSDAL</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55199-2023</t>
        </is>
      </c>
      <c r="B9415" s="1" t="n">
        <v>45237</v>
      </c>
      <c r="C9415" s="1" t="n">
        <v>45344</v>
      </c>
      <c r="D9415" t="inlineStr">
        <is>
          <t>GÄVLEBORGS LÄN</t>
        </is>
      </c>
      <c r="E9415" t="inlineStr">
        <is>
          <t>BOLLNÄS</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55219-2023</t>
        </is>
      </c>
      <c r="B9416" s="1" t="n">
        <v>45237</v>
      </c>
      <c r="C9416" s="1" t="n">
        <v>45344</v>
      </c>
      <c r="D9416" t="inlineStr">
        <is>
          <t>GÄVLEBORGS LÄN</t>
        </is>
      </c>
      <c r="E9416" t="inlineStr">
        <is>
          <t>LJUSDAL</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55123-2023</t>
        </is>
      </c>
      <c r="B9417" s="1" t="n">
        <v>45237</v>
      </c>
      <c r="C9417" s="1" t="n">
        <v>45344</v>
      </c>
      <c r="D9417" t="inlineStr">
        <is>
          <t>GÄVLEBORGS LÄN</t>
        </is>
      </c>
      <c r="E9417" t="inlineStr">
        <is>
          <t>LJUSDAL</t>
        </is>
      </c>
      <c r="F9417" t="inlineStr">
        <is>
          <t>Allmännings- och besparingsskogar</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55129-2023</t>
        </is>
      </c>
      <c r="B9418" s="1" t="n">
        <v>45237</v>
      </c>
      <c r="C9418" s="1" t="n">
        <v>45344</v>
      </c>
      <c r="D9418" t="inlineStr">
        <is>
          <t>GÄVLEBORGS LÄN</t>
        </is>
      </c>
      <c r="E9418" t="inlineStr">
        <is>
          <t>OVANÅKER</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55151-2023</t>
        </is>
      </c>
      <c r="B9419" s="1" t="n">
        <v>45237</v>
      </c>
      <c r="C9419" s="1" t="n">
        <v>45344</v>
      </c>
      <c r="D9419" t="inlineStr">
        <is>
          <t>GÄVLEBORGS LÄN</t>
        </is>
      </c>
      <c r="E9419" t="inlineStr">
        <is>
          <t>LJUSDAL</t>
        </is>
      </c>
      <c r="G9419" t="n">
        <v>8.300000000000001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55179-2023</t>
        </is>
      </c>
      <c r="B9420" s="1" t="n">
        <v>45237</v>
      </c>
      <c r="C9420" s="1" t="n">
        <v>45344</v>
      </c>
      <c r="D9420" t="inlineStr">
        <is>
          <t>GÄVLEBORGS LÄN</t>
        </is>
      </c>
      <c r="E9420" t="inlineStr">
        <is>
          <t>BOLLNÄS</t>
        </is>
      </c>
      <c r="G9420" t="n">
        <v>4</v>
      </c>
      <c r="H9420" t="n">
        <v>0</v>
      </c>
      <c r="I9420" t="n">
        <v>0</v>
      </c>
      <c r="J9420" t="n">
        <v>0</v>
      </c>
      <c r="K9420" t="n">
        <v>0</v>
      </c>
      <c r="L9420" t="n">
        <v>0</v>
      </c>
      <c r="M9420" t="n">
        <v>0</v>
      </c>
      <c r="N9420" t="n">
        <v>0</v>
      </c>
      <c r="O9420" t="n">
        <v>0</v>
      </c>
      <c r="P9420" t="n">
        <v>0</v>
      </c>
      <c r="Q9420" t="n">
        <v>0</v>
      </c>
      <c r="R9420" s="2" t="inlineStr"/>
    </row>
    <row r="9421" ht="15" customHeight="1">
      <c r="A9421" t="inlineStr">
        <is>
          <t>A 55238-2023</t>
        </is>
      </c>
      <c r="B9421" s="1" t="n">
        <v>45237</v>
      </c>
      <c r="C9421" s="1" t="n">
        <v>45344</v>
      </c>
      <c r="D9421" t="inlineStr">
        <is>
          <t>GÄVLEBORGS LÄN</t>
        </is>
      </c>
      <c r="E9421" t="inlineStr">
        <is>
          <t>LJUSDAL</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55248-2023</t>
        </is>
      </c>
      <c r="B9422" s="1" t="n">
        <v>45237</v>
      </c>
      <c r="C9422" s="1" t="n">
        <v>45344</v>
      </c>
      <c r="D9422" t="inlineStr">
        <is>
          <t>GÄVLEBORGS LÄN</t>
        </is>
      </c>
      <c r="E9422" t="inlineStr">
        <is>
          <t>LJUSDAL</t>
        </is>
      </c>
      <c r="G9422" t="n">
        <v>6.2</v>
      </c>
      <c r="H9422" t="n">
        <v>0</v>
      </c>
      <c r="I9422" t="n">
        <v>0</v>
      </c>
      <c r="J9422" t="n">
        <v>0</v>
      </c>
      <c r="K9422" t="n">
        <v>0</v>
      </c>
      <c r="L9422" t="n">
        <v>0</v>
      </c>
      <c r="M9422" t="n">
        <v>0</v>
      </c>
      <c r="N9422" t="n">
        <v>0</v>
      </c>
      <c r="O9422" t="n">
        <v>0</v>
      </c>
      <c r="P9422" t="n">
        <v>0</v>
      </c>
      <c r="Q9422" t="n">
        <v>0</v>
      </c>
      <c r="R9422" s="2" t="inlineStr"/>
    </row>
    <row r="9423" ht="15" customHeight="1">
      <c r="A9423" t="inlineStr">
        <is>
          <t>A 55281-2023</t>
        </is>
      </c>
      <c r="B9423" s="1" t="n">
        <v>45237</v>
      </c>
      <c r="C9423" s="1" t="n">
        <v>45344</v>
      </c>
      <c r="D9423" t="inlineStr">
        <is>
          <t>GÄVLEBORGS LÄN</t>
        </is>
      </c>
      <c r="E9423" t="inlineStr">
        <is>
          <t>OVANÅKER</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55356-2023</t>
        </is>
      </c>
      <c r="B9424" s="1" t="n">
        <v>45238</v>
      </c>
      <c r="C9424" s="1" t="n">
        <v>45344</v>
      </c>
      <c r="D9424" t="inlineStr">
        <is>
          <t>GÄVLEBORGS LÄN</t>
        </is>
      </c>
      <c r="E9424" t="inlineStr">
        <is>
          <t>LJUSDAL</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55475-2023</t>
        </is>
      </c>
      <c r="B9425" s="1" t="n">
        <v>45238</v>
      </c>
      <c r="C9425" s="1" t="n">
        <v>45344</v>
      </c>
      <c r="D9425" t="inlineStr">
        <is>
          <t>GÄVLEBORGS LÄN</t>
        </is>
      </c>
      <c r="E9425" t="inlineStr">
        <is>
          <t>BOLLNÄS</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55358-2023</t>
        </is>
      </c>
      <c r="B9426" s="1" t="n">
        <v>45238</v>
      </c>
      <c r="C9426" s="1" t="n">
        <v>45344</v>
      </c>
      <c r="D9426" t="inlineStr">
        <is>
          <t>GÄVLEBORGS LÄN</t>
        </is>
      </c>
      <c r="E9426" t="inlineStr">
        <is>
          <t>LJUSDAL</t>
        </is>
      </c>
      <c r="G9426" t="n">
        <v>9.800000000000001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55370-2023</t>
        </is>
      </c>
      <c r="B9427" s="1" t="n">
        <v>45238</v>
      </c>
      <c r="C9427" s="1" t="n">
        <v>45344</v>
      </c>
      <c r="D9427" t="inlineStr">
        <is>
          <t>GÄVLEBORGS LÄN</t>
        </is>
      </c>
      <c r="E9427" t="inlineStr">
        <is>
          <t>LJUSDAL</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55545-2023</t>
        </is>
      </c>
      <c r="B9428" s="1" t="n">
        <v>45238</v>
      </c>
      <c r="C9428" s="1" t="n">
        <v>45344</v>
      </c>
      <c r="D9428" t="inlineStr">
        <is>
          <t>GÄVLEBORGS LÄN</t>
        </is>
      </c>
      <c r="E9428" t="inlineStr">
        <is>
          <t>SANDVIKEN</t>
        </is>
      </c>
      <c r="G9428" t="n">
        <v>1.8</v>
      </c>
      <c r="H9428" t="n">
        <v>0</v>
      </c>
      <c r="I9428" t="n">
        <v>0</v>
      </c>
      <c r="J9428" t="n">
        <v>0</v>
      </c>
      <c r="K9428" t="n">
        <v>0</v>
      </c>
      <c r="L9428" t="n">
        <v>0</v>
      </c>
      <c r="M9428" t="n">
        <v>0</v>
      </c>
      <c r="N9428" t="n">
        <v>0</v>
      </c>
      <c r="O9428" t="n">
        <v>0</v>
      </c>
      <c r="P9428" t="n">
        <v>0</v>
      </c>
      <c r="Q9428" t="n">
        <v>0</v>
      </c>
      <c r="R9428" s="2" t="inlineStr"/>
    </row>
    <row r="9429" ht="15" customHeight="1">
      <c r="A9429" t="inlineStr">
        <is>
          <t>A 55558-2023</t>
        </is>
      </c>
      <c r="B9429" s="1" t="n">
        <v>45238</v>
      </c>
      <c r="C9429" s="1" t="n">
        <v>45344</v>
      </c>
      <c r="D9429" t="inlineStr">
        <is>
          <t>GÄVLEBORGS LÄN</t>
        </is>
      </c>
      <c r="E9429" t="inlineStr">
        <is>
          <t>BOLLNÄS</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55347-2023</t>
        </is>
      </c>
      <c r="B9430" s="1" t="n">
        <v>45238</v>
      </c>
      <c r="C9430" s="1" t="n">
        <v>45344</v>
      </c>
      <c r="D9430" t="inlineStr">
        <is>
          <t>GÄVLEBORGS LÄN</t>
        </is>
      </c>
      <c r="E9430" t="inlineStr">
        <is>
          <t>HUDIKSVALL</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55367-2023</t>
        </is>
      </c>
      <c r="B9431" s="1" t="n">
        <v>45238</v>
      </c>
      <c r="C9431" s="1" t="n">
        <v>45344</v>
      </c>
      <c r="D9431" t="inlineStr">
        <is>
          <t>GÄVLEBORGS LÄN</t>
        </is>
      </c>
      <c r="E9431" t="inlineStr">
        <is>
          <t>BOLLNÄS</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55375-2023</t>
        </is>
      </c>
      <c r="B9432" s="1" t="n">
        <v>45238</v>
      </c>
      <c r="C9432" s="1" t="n">
        <v>45344</v>
      </c>
      <c r="D9432" t="inlineStr">
        <is>
          <t>GÄVLEBORGS LÄN</t>
        </is>
      </c>
      <c r="E9432" t="inlineStr">
        <is>
          <t>LJUSDAL</t>
        </is>
      </c>
      <c r="G9432" t="n">
        <v>2.8</v>
      </c>
      <c r="H9432" t="n">
        <v>0</v>
      </c>
      <c r="I9432" t="n">
        <v>0</v>
      </c>
      <c r="J9432" t="n">
        <v>0</v>
      </c>
      <c r="K9432" t="n">
        <v>0</v>
      </c>
      <c r="L9432" t="n">
        <v>0</v>
      </c>
      <c r="M9432" t="n">
        <v>0</v>
      </c>
      <c r="N9432" t="n">
        <v>0</v>
      </c>
      <c r="O9432" t="n">
        <v>0</v>
      </c>
      <c r="P9432" t="n">
        <v>0</v>
      </c>
      <c r="Q9432" t="n">
        <v>0</v>
      </c>
      <c r="R9432" s="2" t="inlineStr"/>
    </row>
    <row r="9433" ht="15" customHeight="1">
      <c r="A9433" t="inlineStr">
        <is>
          <t>A 55423-2023</t>
        </is>
      </c>
      <c r="B9433" s="1" t="n">
        <v>45238</v>
      </c>
      <c r="C9433" s="1" t="n">
        <v>45344</v>
      </c>
      <c r="D9433" t="inlineStr">
        <is>
          <t>GÄVLEBORGS LÄN</t>
        </is>
      </c>
      <c r="E9433" t="inlineStr">
        <is>
          <t>OVANÅKER</t>
        </is>
      </c>
      <c r="G9433" t="n">
        <v>1.3</v>
      </c>
      <c r="H9433" t="n">
        <v>0</v>
      </c>
      <c r="I9433" t="n">
        <v>0</v>
      </c>
      <c r="J9433" t="n">
        <v>0</v>
      </c>
      <c r="K9433" t="n">
        <v>0</v>
      </c>
      <c r="L9433" t="n">
        <v>0</v>
      </c>
      <c r="M9433" t="n">
        <v>0</v>
      </c>
      <c r="N9433" t="n">
        <v>0</v>
      </c>
      <c r="O9433" t="n">
        <v>0</v>
      </c>
      <c r="P9433" t="n">
        <v>0</v>
      </c>
      <c r="Q9433" t="n">
        <v>0</v>
      </c>
      <c r="R9433" s="2" t="inlineStr"/>
    </row>
    <row r="9434" ht="15" customHeight="1">
      <c r="A9434" t="inlineStr">
        <is>
          <t>A 55489-2023</t>
        </is>
      </c>
      <c r="B9434" s="1" t="n">
        <v>45238</v>
      </c>
      <c r="C9434" s="1" t="n">
        <v>45344</v>
      </c>
      <c r="D9434" t="inlineStr">
        <is>
          <t>GÄVLEBORGS LÄN</t>
        </is>
      </c>
      <c r="E9434" t="inlineStr">
        <is>
          <t>OVANÅKER</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55507-2023</t>
        </is>
      </c>
      <c r="B9435" s="1" t="n">
        <v>45238</v>
      </c>
      <c r="C9435" s="1" t="n">
        <v>45344</v>
      </c>
      <c r="D9435" t="inlineStr">
        <is>
          <t>GÄVLEBORGS LÄN</t>
        </is>
      </c>
      <c r="E9435" t="inlineStr">
        <is>
          <t>OVANÅKER</t>
        </is>
      </c>
      <c r="G9435" t="n">
        <v>3.8</v>
      </c>
      <c r="H9435" t="n">
        <v>0</v>
      </c>
      <c r="I9435" t="n">
        <v>0</v>
      </c>
      <c r="J9435" t="n">
        <v>0</v>
      </c>
      <c r="K9435" t="n">
        <v>0</v>
      </c>
      <c r="L9435" t="n">
        <v>0</v>
      </c>
      <c r="M9435" t="n">
        <v>0</v>
      </c>
      <c r="N9435" t="n">
        <v>0</v>
      </c>
      <c r="O9435" t="n">
        <v>0</v>
      </c>
      <c r="P9435" t="n">
        <v>0</v>
      </c>
      <c r="Q9435" t="n">
        <v>0</v>
      </c>
      <c r="R9435" s="2" t="inlineStr"/>
    </row>
    <row r="9436" ht="15" customHeight="1">
      <c r="A9436" t="inlineStr">
        <is>
          <t>A 55539-2023</t>
        </is>
      </c>
      <c r="B9436" s="1" t="n">
        <v>45238</v>
      </c>
      <c r="C9436" s="1" t="n">
        <v>45344</v>
      </c>
      <c r="D9436" t="inlineStr">
        <is>
          <t>GÄVLEBORGS LÄN</t>
        </is>
      </c>
      <c r="E9436" t="inlineStr">
        <is>
          <t>SANDVIKEN</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55561-2023</t>
        </is>
      </c>
      <c r="B9437" s="1" t="n">
        <v>45238</v>
      </c>
      <c r="C9437" s="1" t="n">
        <v>45344</v>
      </c>
      <c r="D9437" t="inlineStr">
        <is>
          <t>GÄVLEBORGS LÄN</t>
        </is>
      </c>
      <c r="E9437" t="inlineStr">
        <is>
          <t>SANDVIKEN</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55526-2023</t>
        </is>
      </c>
      <c r="B9438" s="1" t="n">
        <v>45238</v>
      </c>
      <c r="C9438" s="1" t="n">
        <v>45344</v>
      </c>
      <c r="D9438" t="inlineStr">
        <is>
          <t>GÄVLEBORGS LÄN</t>
        </is>
      </c>
      <c r="E9438" t="inlineStr">
        <is>
          <t>OVANÅKER</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55571-2023</t>
        </is>
      </c>
      <c r="B9439" s="1" t="n">
        <v>45238</v>
      </c>
      <c r="C9439" s="1" t="n">
        <v>45344</v>
      </c>
      <c r="D9439" t="inlineStr">
        <is>
          <t>GÄVLEBORGS LÄN</t>
        </is>
      </c>
      <c r="E9439" t="inlineStr">
        <is>
          <t>GÄVLE</t>
        </is>
      </c>
      <c r="G9439" t="n">
        <v>2.4</v>
      </c>
      <c r="H9439" t="n">
        <v>0</v>
      </c>
      <c r="I9439" t="n">
        <v>0</v>
      </c>
      <c r="J9439" t="n">
        <v>0</v>
      </c>
      <c r="K9439" t="n">
        <v>0</v>
      </c>
      <c r="L9439" t="n">
        <v>0</v>
      </c>
      <c r="M9439" t="n">
        <v>0</v>
      </c>
      <c r="N9439" t="n">
        <v>0</v>
      </c>
      <c r="O9439" t="n">
        <v>0</v>
      </c>
      <c r="P9439" t="n">
        <v>0</v>
      </c>
      <c r="Q9439" t="n">
        <v>0</v>
      </c>
      <c r="R9439" s="2" t="inlineStr"/>
    </row>
    <row r="9440" ht="15" customHeight="1">
      <c r="A9440" t="inlineStr">
        <is>
          <t>A 55608-2023</t>
        </is>
      </c>
      <c r="B9440" s="1" t="n">
        <v>45238</v>
      </c>
      <c r="C9440" s="1" t="n">
        <v>45344</v>
      </c>
      <c r="D9440" t="inlineStr">
        <is>
          <t>GÄVLEBORGS LÄN</t>
        </is>
      </c>
      <c r="E9440" t="inlineStr">
        <is>
          <t>NORDANSTIG</t>
        </is>
      </c>
      <c r="F9440" t="inlineStr">
        <is>
          <t>Holmen skog AB</t>
        </is>
      </c>
      <c r="G9440" t="n">
        <v>5.2</v>
      </c>
      <c r="H9440" t="n">
        <v>0</v>
      </c>
      <c r="I9440" t="n">
        <v>0</v>
      </c>
      <c r="J9440" t="n">
        <v>0</v>
      </c>
      <c r="K9440" t="n">
        <v>0</v>
      </c>
      <c r="L9440" t="n">
        <v>0</v>
      </c>
      <c r="M9440" t="n">
        <v>0</v>
      </c>
      <c r="N9440" t="n">
        <v>0</v>
      </c>
      <c r="O9440" t="n">
        <v>0</v>
      </c>
      <c r="P9440" t="n">
        <v>0</v>
      </c>
      <c r="Q9440" t="n">
        <v>0</v>
      </c>
      <c r="R9440" s="2" t="inlineStr"/>
    </row>
    <row r="9441" ht="15" customHeight="1">
      <c r="A9441" t="inlineStr">
        <is>
          <t>A 55361-2023</t>
        </is>
      </c>
      <c r="B9441" s="1" t="n">
        <v>45238</v>
      </c>
      <c r="C9441" s="1" t="n">
        <v>45344</v>
      </c>
      <c r="D9441" t="inlineStr">
        <is>
          <t>GÄVLEBORGS LÄN</t>
        </is>
      </c>
      <c r="E9441" t="inlineStr">
        <is>
          <t>SÖDERHAMN</t>
        </is>
      </c>
      <c r="G9441" t="n">
        <v>4.1</v>
      </c>
      <c r="H9441" t="n">
        <v>0</v>
      </c>
      <c r="I9441" t="n">
        <v>0</v>
      </c>
      <c r="J9441" t="n">
        <v>0</v>
      </c>
      <c r="K9441" t="n">
        <v>0</v>
      </c>
      <c r="L9441" t="n">
        <v>0</v>
      </c>
      <c r="M9441" t="n">
        <v>0</v>
      </c>
      <c r="N9441" t="n">
        <v>0</v>
      </c>
      <c r="O9441" t="n">
        <v>0</v>
      </c>
      <c r="P9441" t="n">
        <v>0</v>
      </c>
      <c r="Q9441" t="n">
        <v>0</v>
      </c>
      <c r="R9441" s="2" t="inlineStr"/>
    </row>
    <row r="9442" ht="15" customHeight="1">
      <c r="A9442" t="inlineStr">
        <is>
          <t>A 55435-2023</t>
        </is>
      </c>
      <c r="B9442" s="1" t="n">
        <v>45238</v>
      </c>
      <c r="C9442" s="1" t="n">
        <v>45344</v>
      </c>
      <c r="D9442" t="inlineStr">
        <is>
          <t>GÄVLEBORGS LÄN</t>
        </is>
      </c>
      <c r="E9442" t="inlineStr">
        <is>
          <t>SÖDERHAMN</t>
        </is>
      </c>
      <c r="G9442" t="n">
        <v>0.9</v>
      </c>
      <c r="H9442" t="n">
        <v>0</v>
      </c>
      <c r="I9442" t="n">
        <v>0</v>
      </c>
      <c r="J9442" t="n">
        <v>0</v>
      </c>
      <c r="K9442" t="n">
        <v>0</v>
      </c>
      <c r="L9442" t="n">
        <v>0</v>
      </c>
      <c r="M9442" t="n">
        <v>0</v>
      </c>
      <c r="N9442" t="n">
        <v>0</v>
      </c>
      <c r="O9442" t="n">
        <v>0</v>
      </c>
      <c r="P9442" t="n">
        <v>0</v>
      </c>
      <c r="Q9442" t="n">
        <v>0</v>
      </c>
      <c r="R9442" s="2" t="inlineStr"/>
    </row>
    <row r="9443" ht="15" customHeight="1">
      <c r="A9443" t="inlineStr">
        <is>
          <t>A 55520-2023</t>
        </is>
      </c>
      <c r="B9443" s="1" t="n">
        <v>45238</v>
      </c>
      <c r="C9443" s="1" t="n">
        <v>45344</v>
      </c>
      <c r="D9443" t="inlineStr">
        <is>
          <t>GÄVLEBORGS LÄN</t>
        </is>
      </c>
      <c r="E9443" t="inlineStr">
        <is>
          <t>BOLLNÄS</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55565-2023</t>
        </is>
      </c>
      <c r="B9444" s="1" t="n">
        <v>45238</v>
      </c>
      <c r="C9444" s="1" t="n">
        <v>45344</v>
      </c>
      <c r="D9444" t="inlineStr">
        <is>
          <t>GÄVLEBORGS LÄN</t>
        </is>
      </c>
      <c r="E9444" t="inlineStr">
        <is>
          <t>SANDVIKEN</t>
        </is>
      </c>
      <c r="G9444" t="n">
        <v>2.3</v>
      </c>
      <c r="H9444" t="n">
        <v>0</v>
      </c>
      <c r="I9444" t="n">
        <v>0</v>
      </c>
      <c r="J9444" t="n">
        <v>0</v>
      </c>
      <c r="K9444" t="n">
        <v>0</v>
      </c>
      <c r="L9444" t="n">
        <v>0</v>
      </c>
      <c r="M9444" t="n">
        <v>0</v>
      </c>
      <c r="N9444" t="n">
        <v>0</v>
      </c>
      <c r="O9444" t="n">
        <v>0</v>
      </c>
      <c r="P9444" t="n">
        <v>0</v>
      </c>
      <c r="Q9444" t="n">
        <v>0</v>
      </c>
      <c r="R9444" s="2" t="inlineStr"/>
    </row>
    <row r="9445" ht="15" customHeight="1">
      <c r="A9445" t="inlineStr">
        <is>
          <t>A 55585-2023</t>
        </is>
      </c>
      <c r="B9445" s="1" t="n">
        <v>45238</v>
      </c>
      <c r="C9445" s="1" t="n">
        <v>45344</v>
      </c>
      <c r="D9445" t="inlineStr">
        <is>
          <t>GÄVLEBORGS LÄN</t>
        </is>
      </c>
      <c r="E9445" t="inlineStr">
        <is>
          <t>NORDANSTIG</t>
        </is>
      </c>
      <c r="G9445" t="n">
        <v>5.6</v>
      </c>
      <c r="H9445" t="n">
        <v>0</v>
      </c>
      <c r="I9445" t="n">
        <v>0</v>
      </c>
      <c r="J9445" t="n">
        <v>0</v>
      </c>
      <c r="K9445" t="n">
        <v>0</v>
      </c>
      <c r="L9445" t="n">
        <v>0</v>
      </c>
      <c r="M9445" t="n">
        <v>0</v>
      </c>
      <c r="N9445" t="n">
        <v>0</v>
      </c>
      <c r="O9445" t="n">
        <v>0</v>
      </c>
      <c r="P9445" t="n">
        <v>0</v>
      </c>
      <c r="Q9445" t="n">
        <v>0</v>
      </c>
      <c r="R9445" s="2" t="inlineStr"/>
    </row>
    <row r="9446" ht="15" customHeight="1">
      <c r="A9446" t="inlineStr">
        <is>
          <t>A 55681-2023</t>
        </is>
      </c>
      <c r="B9446" s="1" t="n">
        <v>45239</v>
      </c>
      <c r="C9446" s="1" t="n">
        <v>45344</v>
      </c>
      <c r="D9446" t="inlineStr">
        <is>
          <t>GÄVLEBORGS LÄN</t>
        </is>
      </c>
      <c r="E9446" t="inlineStr">
        <is>
          <t>LJUSDAL</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55675-2023</t>
        </is>
      </c>
      <c r="B9447" s="1" t="n">
        <v>45239</v>
      </c>
      <c r="C9447" s="1" t="n">
        <v>45344</v>
      </c>
      <c r="D9447" t="inlineStr">
        <is>
          <t>GÄVLEBORGS LÄN</t>
        </is>
      </c>
      <c r="E9447" t="inlineStr">
        <is>
          <t>LJUSDAL</t>
        </is>
      </c>
      <c r="G9447" t="n">
        <v>11.1</v>
      </c>
      <c r="H9447" t="n">
        <v>0</v>
      </c>
      <c r="I9447" t="n">
        <v>0</v>
      </c>
      <c r="J9447" t="n">
        <v>0</v>
      </c>
      <c r="K9447" t="n">
        <v>0</v>
      </c>
      <c r="L9447" t="n">
        <v>0</v>
      </c>
      <c r="M9447" t="n">
        <v>0</v>
      </c>
      <c r="N9447" t="n">
        <v>0</v>
      </c>
      <c r="O9447" t="n">
        <v>0</v>
      </c>
      <c r="P9447" t="n">
        <v>0</v>
      </c>
      <c r="Q9447" t="n">
        <v>0</v>
      </c>
      <c r="R9447" s="2" t="inlineStr"/>
    </row>
    <row r="9448" ht="15" customHeight="1">
      <c r="A9448" t="inlineStr">
        <is>
          <t>A 55690-2023</t>
        </is>
      </c>
      <c r="B9448" s="1" t="n">
        <v>45239</v>
      </c>
      <c r="C9448" s="1" t="n">
        <v>45344</v>
      </c>
      <c r="D9448" t="inlineStr">
        <is>
          <t>GÄVLEBORGS LÄN</t>
        </is>
      </c>
      <c r="E9448" t="inlineStr">
        <is>
          <t>LJUSDAL</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55715-2023</t>
        </is>
      </c>
      <c r="B9449" s="1" t="n">
        <v>45239</v>
      </c>
      <c r="C9449" s="1" t="n">
        <v>45344</v>
      </c>
      <c r="D9449" t="inlineStr">
        <is>
          <t>GÄVLEBORGS LÄN</t>
        </is>
      </c>
      <c r="E9449" t="inlineStr">
        <is>
          <t>OCKELBO</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55757-2023</t>
        </is>
      </c>
      <c r="B9450" s="1" t="n">
        <v>45239</v>
      </c>
      <c r="C9450" s="1" t="n">
        <v>45344</v>
      </c>
      <c r="D9450" t="inlineStr">
        <is>
          <t>GÄVLEBORGS LÄN</t>
        </is>
      </c>
      <c r="E9450" t="inlineStr">
        <is>
          <t>HUDIKSVALL</t>
        </is>
      </c>
      <c r="F9450" t="inlineStr">
        <is>
          <t>Holmen skog AB</t>
        </is>
      </c>
      <c r="G9450" t="n">
        <v>4</v>
      </c>
      <c r="H9450" t="n">
        <v>0</v>
      </c>
      <c r="I9450" t="n">
        <v>0</v>
      </c>
      <c r="J9450" t="n">
        <v>0</v>
      </c>
      <c r="K9450" t="n">
        <v>0</v>
      </c>
      <c r="L9450" t="n">
        <v>0</v>
      </c>
      <c r="M9450" t="n">
        <v>0</v>
      </c>
      <c r="N9450" t="n">
        <v>0</v>
      </c>
      <c r="O9450" t="n">
        <v>0</v>
      </c>
      <c r="P9450" t="n">
        <v>0</v>
      </c>
      <c r="Q9450" t="n">
        <v>0</v>
      </c>
      <c r="R9450" s="2" t="inlineStr"/>
    </row>
    <row r="9451" ht="15" customHeight="1">
      <c r="A9451" t="inlineStr">
        <is>
          <t>A 55811-2023</t>
        </is>
      </c>
      <c r="B9451" s="1" t="n">
        <v>45239</v>
      </c>
      <c r="C9451" s="1" t="n">
        <v>45344</v>
      </c>
      <c r="D9451" t="inlineStr">
        <is>
          <t>GÄVLEBORGS LÄN</t>
        </is>
      </c>
      <c r="E9451" t="inlineStr">
        <is>
          <t>OVANÅKER</t>
        </is>
      </c>
      <c r="G9451" t="n">
        <v>2.1</v>
      </c>
      <c r="H9451" t="n">
        <v>0</v>
      </c>
      <c r="I9451" t="n">
        <v>0</v>
      </c>
      <c r="J9451" t="n">
        <v>0</v>
      </c>
      <c r="K9451" t="n">
        <v>0</v>
      </c>
      <c r="L9451" t="n">
        <v>0</v>
      </c>
      <c r="M9451" t="n">
        <v>0</v>
      </c>
      <c r="N9451" t="n">
        <v>0</v>
      </c>
      <c r="O9451" t="n">
        <v>0</v>
      </c>
      <c r="P9451" t="n">
        <v>0</v>
      </c>
      <c r="Q9451" t="n">
        <v>0</v>
      </c>
      <c r="R9451" s="2" t="inlineStr"/>
    </row>
    <row r="9452" ht="15" customHeight="1">
      <c r="A9452" t="inlineStr">
        <is>
          <t>A 55854-2023</t>
        </is>
      </c>
      <c r="B9452" s="1" t="n">
        <v>45239</v>
      </c>
      <c r="C9452" s="1" t="n">
        <v>45344</v>
      </c>
      <c r="D9452" t="inlineStr">
        <is>
          <t>GÄVLEBORGS LÄN</t>
        </is>
      </c>
      <c r="E9452" t="inlineStr">
        <is>
          <t>GÄVLE</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55918-2023</t>
        </is>
      </c>
      <c r="B9453" s="1" t="n">
        <v>45239</v>
      </c>
      <c r="C9453" s="1" t="n">
        <v>45344</v>
      </c>
      <c r="D9453" t="inlineStr">
        <is>
          <t>GÄVLEBORGS LÄN</t>
        </is>
      </c>
      <c r="E9453" t="inlineStr">
        <is>
          <t>NORDANSTIG</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55917-2023</t>
        </is>
      </c>
      <c r="B9454" s="1" t="n">
        <v>45239</v>
      </c>
      <c r="C9454" s="1" t="n">
        <v>45344</v>
      </c>
      <c r="D9454" t="inlineStr">
        <is>
          <t>GÄVLEBORGS LÄN</t>
        </is>
      </c>
      <c r="E9454" t="inlineStr">
        <is>
          <t>NORDANSTIG</t>
        </is>
      </c>
      <c r="F9454" t="inlineStr">
        <is>
          <t>SCA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57250-2023</t>
        </is>
      </c>
      <c r="B9455" s="1" t="n">
        <v>45239</v>
      </c>
      <c r="C9455" s="1" t="n">
        <v>45344</v>
      </c>
      <c r="D9455" t="inlineStr">
        <is>
          <t>GÄVLEBORGS LÄN</t>
        </is>
      </c>
      <c r="E9455" t="inlineStr">
        <is>
          <t>BOLLNÄS</t>
        </is>
      </c>
      <c r="F9455" t="inlineStr">
        <is>
          <t>Kommuner</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55741-2023</t>
        </is>
      </c>
      <c r="B9456" s="1" t="n">
        <v>45239</v>
      </c>
      <c r="C9456" s="1" t="n">
        <v>45344</v>
      </c>
      <c r="D9456" t="inlineStr">
        <is>
          <t>GÄVLEBORGS LÄN</t>
        </is>
      </c>
      <c r="E9456" t="inlineStr">
        <is>
          <t>HUDIKSVALL</t>
        </is>
      </c>
      <c r="F9456" t="inlineStr">
        <is>
          <t>Holmen skog AB</t>
        </is>
      </c>
      <c r="G9456" t="n">
        <v>7.1</v>
      </c>
      <c r="H9456" t="n">
        <v>0</v>
      </c>
      <c r="I9456" t="n">
        <v>0</v>
      </c>
      <c r="J9456" t="n">
        <v>0</v>
      </c>
      <c r="K9456" t="n">
        <v>0</v>
      </c>
      <c r="L9456" t="n">
        <v>0</v>
      </c>
      <c r="M9456" t="n">
        <v>0</v>
      </c>
      <c r="N9456" t="n">
        <v>0</v>
      </c>
      <c r="O9456" t="n">
        <v>0</v>
      </c>
      <c r="P9456" t="n">
        <v>0</v>
      </c>
      <c r="Q9456" t="n">
        <v>0</v>
      </c>
      <c r="R9456" s="2" t="inlineStr"/>
    </row>
    <row r="9457" ht="15" customHeight="1">
      <c r="A9457" t="inlineStr">
        <is>
          <t>A 55870-2023</t>
        </is>
      </c>
      <c r="B9457" s="1" t="n">
        <v>45239</v>
      </c>
      <c r="C9457" s="1" t="n">
        <v>45344</v>
      </c>
      <c r="D9457" t="inlineStr">
        <is>
          <t>GÄVLEBORGS LÄN</t>
        </is>
      </c>
      <c r="E9457" t="inlineStr">
        <is>
          <t>LJUSDAL</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57260-2023</t>
        </is>
      </c>
      <c r="B9458" s="1" t="n">
        <v>45239</v>
      </c>
      <c r="C9458" s="1" t="n">
        <v>45344</v>
      </c>
      <c r="D9458" t="inlineStr">
        <is>
          <t>GÄVLEBORGS LÄN</t>
        </is>
      </c>
      <c r="E9458" t="inlineStr">
        <is>
          <t>BOLLNÄS</t>
        </is>
      </c>
      <c r="F9458" t="inlineStr">
        <is>
          <t>Kommuner</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56217-2023</t>
        </is>
      </c>
      <c r="B9459" s="1" t="n">
        <v>45240</v>
      </c>
      <c r="C9459" s="1" t="n">
        <v>45344</v>
      </c>
      <c r="D9459" t="inlineStr">
        <is>
          <t>GÄVLEBORGS LÄN</t>
        </is>
      </c>
      <c r="E9459" t="inlineStr">
        <is>
          <t>SANDVIKEN</t>
        </is>
      </c>
      <c r="F9459" t="inlineStr">
        <is>
          <t>Sveaskog</t>
        </is>
      </c>
      <c r="G9459" t="n">
        <v>10.6</v>
      </c>
      <c r="H9459" t="n">
        <v>0</v>
      </c>
      <c r="I9459" t="n">
        <v>0</v>
      </c>
      <c r="J9459" t="n">
        <v>0</v>
      </c>
      <c r="K9459" t="n">
        <v>0</v>
      </c>
      <c r="L9459" t="n">
        <v>0</v>
      </c>
      <c r="M9459" t="n">
        <v>0</v>
      </c>
      <c r="N9459" t="n">
        <v>0</v>
      </c>
      <c r="O9459" t="n">
        <v>0</v>
      </c>
      <c r="P9459" t="n">
        <v>0</v>
      </c>
      <c r="Q9459" t="n">
        <v>0</v>
      </c>
      <c r="R9459" s="2" t="inlineStr"/>
    </row>
    <row r="9460" ht="15" customHeight="1">
      <c r="A9460" t="inlineStr">
        <is>
          <t>A 56209-2023</t>
        </is>
      </c>
      <c r="B9460" s="1" t="n">
        <v>45240</v>
      </c>
      <c r="C9460" s="1" t="n">
        <v>45344</v>
      </c>
      <c r="D9460" t="inlineStr">
        <is>
          <t>GÄVLEBORGS LÄN</t>
        </is>
      </c>
      <c r="E9460" t="inlineStr">
        <is>
          <t>BOLLNÄS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56160-2023</t>
        </is>
      </c>
      <c r="B9461" s="1" t="n">
        <v>45240</v>
      </c>
      <c r="C9461" s="1" t="n">
        <v>45344</v>
      </c>
      <c r="D9461" t="inlineStr">
        <is>
          <t>GÄVLEBORGS LÄN</t>
        </is>
      </c>
      <c r="E9461" t="inlineStr">
        <is>
          <t>SÖDERHAMN</t>
        </is>
      </c>
      <c r="G9461" t="n">
        <v>2.8</v>
      </c>
      <c r="H9461" t="n">
        <v>0</v>
      </c>
      <c r="I9461" t="n">
        <v>0</v>
      </c>
      <c r="J9461" t="n">
        <v>0</v>
      </c>
      <c r="K9461" t="n">
        <v>0</v>
      </c>
      <c r="L9461" t="n">
        <v>0</v>
      </c>
      <c r="M9461" t="n">
        <v>0</v>
      </c>
      <c r="N9461" t="n">
        <v>0</v>
      </c>
      <c r="O9461" t="n">
        <v>0</v>
      </c>
      <c r="P9461" t="n">
        <v>0</v>
      </c>
      <c r="Q9461" t="n">
        <v>0</v>
      </c>
      <c r="R9461" s="2" t="inlineStr"/>
    </row>
    <row r="9462" ht="15" customHeight="1">
      <c r="A9462" t="inlineStr">
        <is>
          <t>A 56198-2023</t>
        </is>
      </c>
      <c r="B9462" s="1" t="n">
        <v>45240</v>
      </c>
      <c r="C9462" s="1" t="n">
        <v>45344</v>
      </c>
      <c r="D9462" t="inlineStr">
        <is>
          <t>GÄVLEBORGS LÄN</t>
        </is>
      </c>
      <c r="E9462" t="inlineStr">
        <is>
          <t>SÖDERHAMN</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56165-2023</t>
        </is>
      </c>
      <c r="B9463" s="1" t="n">
        <v>45240</v>
      </c>
      <c r="C9463" s="1" t="n">
        <v>45344</v>
      </c>
      <c r="D9463" t="inlineStr">
        <is>
          <t>GÄVLEBORGS LÄN</t>
        </is>
      </c>
      <c r="E9463" t="inlineStr">
        <is>
          <t>BOLLNÄS</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56132-2023</t>
        </is>
      </c>
      <c r="B9464" s="1" t="n">
        <v>45240</v>
      </c>
      <c r="C9464" s="1" t="n">
        <v>45344</v>
      </c>
      <c r="D9464" t="inlineStr">
        <is>
          <t>GÄVLEBORGS LÄN</t>
        </is>
      </c>
      <c r="E9464" t="inlineStr">
        <is>
          <t>OVANÅKER</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56018-2023</t>
        </is>
      </c>
      <c r="B9465" s="1" t="n">
        <v>45240</v>
      </c>
      <c r="C9465" s="1" t="n">
        <v>45344</v>
      </c>
      <c r="D9465" t="inlineStr">
        <is>
          <t>GÄVLEBORGS LÄN</t>
        </is>
      </c>
      <c r="E9465" t="inlineStr">
        <is>
          <t>SANDVIKEN</t>
        </is>
      </c>
      <c r="F9465" t="inlineStr">
        <is>
          <t>Sveaskog</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56208-2023</t>
        </is>
      </c>
      <c r="B9466" s="1" t="n">
        <v>45240</v>
      </c>
      <c r="C9466" s="1" t="n">
        <v>45344</v>
      </c>
      <c r="D9466" t="inlineStr">
        <is>
          <t>GÄVLEBORGS LÄN</t>
        </is>
      </c>
      <c r="E9466" t="inlineStr">
        <is>
          <t>BOLLNÄS</t>
        </is>
      </c>
      <c r="G9466" t="n">
        <v>1.3</v>
      </c>
      <c r="H9466" t="n">
        <v>0</v>
      </c>
      <c r="I9466" t="n">
        <v>0</v>
      </c>
      <c r="J9466" t="n">
        <v>0</v>
      </c>
      <c r="K9466" t="n">
        <v>0</v>
      </c>
      <c r="L9466" t="n">
        <v>0</v>
      </c>
      <c r="M9466" t="n">
        <v>0</v>
      </c>
      <c r="N9466" t="n">
        <v>0</v>
      </c>
      <c r="O9466" t="n">
        <v>0</v>
      </c>
      <c r="P9466" t="n">
        <v>0</v>
      </c>
      <c r="Q9466" t="n">
        <v>0</v>
      </c>
      <c r="R9466" s="2" t="inlineStr"/>
    </row>
    <row r="9467" ht="15" customHeight="1">
      <c r="A9467" t="inlineStr">
        <is>
          <t>A 56200-2023</t>
        </is>
      </c>
      <c r="B9467" s="1" t="n">
        <v>45240</v>
      </c>
      <c r="C9467" s="1" t="n">
        <v>45344</v>
      </c>
      <c r="D9467" t="inlineStr">
        <is>
          <t>GÄVLEBORGS LÄN</t>
        </is>
      </c>
      <c r="E9467" t="inlineStr">
        <is>
          <t>SÖDERHAMN</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56142-2023</t>
        </is>
      </c>
      <c r="B9468" s="1" t="n">
        <v>45240</v>
      </c>
      <c r="C9468" s="1" t="n">
        <v>45344</v>
      </c>
      <c r="D9468" t="inlineStr">
        <is>
          <t>GÄVLEBORGS LÄN</t>
        </is>
      </c>
      <c r="E9468" t="inlineStr">
        <is>
          <t>LJUSDAL</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56138-2023</t>
        </is>
      </c>
      <c r="B9469" s="1" t="n">
        <v>45240</v>
      </c>
      <c r="C9469" s="1" t="n">
        <v>45344</v>
      </c>
      <c r="D9469" t="inlineStr">
        <is>
          <t>GÄVLEBORGS LÄN</t>
        </is>
      </c>
      <c r="E9469" t="inlineStr">
        <is>
          <t>GÄVLE</t>
        </is>
      </c>
      <c r="G9469" t="n">
        <v>2.9</v>
      </c>
      <c r="H9469" t="n">
        <v>0</v>
      </c>
      <c r="I9469" t="n">
        <v>0</v>
      </c>
      <c r="J9469" t="n">
        <v>0</v>
      </c>
      <c r="K9469" t="n">
        <v>0</v>
      </c>
      <c r="L9469" t="n">
        <v>0</v>
      </c>
      <c r="M9469" t="n">
        <v>0</v>
      </c>
      <c r="N9469" t="n">
        <v>0</v>
      </c>
      <c r="O9469" t="n">
        <v>0</v>
      </c>
      <c r="P9469" t="n">
        <v>0</v>
      </c>
      <c r="Q9469" t="n">
        <v>0</v>
      </c>
      <c r="R9469" s="2" t="inlineStr"/>
    </row>
    <row r="9470" ht="15" customHeight="1">
      <c r="A9470" t="inlineStr">
        <is>
          <t>A 56126-2023</t>
        </is>
      </c>
      <c r="B9470" s="1" t="n">
        <v>45240</v>
      </c>
      <c r="C9470" s="1" t="n">
        <v>45344</v>
      </c>
      <c r="D9470" t="inlineStr">
        <is>
          <t>GÄVLEBORGS LÄN</t>
        </is>
      </c>
      <c r="E9470" t="inlineStr">
        <is>
          <t>SÖDERHAMN</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55978-2023</t>
        </is>
      </c>
      <c r="B9471" s="1" t="n">
        <v>45240</v>
      </c>
      <c r="C9471" s="1" t="n">
        <v>45344</v>
      </c>
      <c r="D9471" t="inlineStr">
        <is>
          <t>GÄVLEBORGS LÄN</t>
        </is>
      </c>
      <c r="E9471" t="inlineStr">
        <is>
          <t>HUDIKSVALL</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56176-2023</t>
        </is>
      </c>
      <c r="B9472" s="1" t="n">
        <v>45240</v>
      </c>
      <c r="C9472" s="1" t="n">
        <v>45344</v>
      </c>
      <c r="D9472" t="inlineStr">
        <is>
          <t>GÄVLEBORGS LÄN</t>
        </is>
      </c>
      <c r="E9472" t="inlineStr">
        <is>
          <t>SÖDERHAMN</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56162-2023</t>
        </is>
      </c>
      <c r="B9473" s="1" t="n">
        <v>45240</v>
      </c>
      <c r="C9473" s="1" t="n">
        <v>45344</v>
      </c>
      <c r="D9473" t="inlineStr">
        <is>
          <t>GÄVLEBORGS LÄN</t>
        </is>
      </c>
      <c r="E9473" t="inlineStr">
        <is>
          <t>HOFORS</t>
        </is>
      </c>
      <c r="F9473" t="inlineStr">
        <is>
          <t>Sveaskog</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56150-2023</t>
        </is>
      </c>
      <c r="B9474" s="1" t="n">
        <v>45240</v>
      </c>
      <c r="C9474" s="1" t="n">
        <v>45344</v>
      </c>
      <c r="D9474" t="inlineStr">
        <is>
          <t>GÄVLEBORGS LÄN</t>
        </is>
      </c>
      <c r="E9474" t="inlineStr">
        <is>
          <t>SANDVIKEN</t>
        </is>
      </c>
      <c r="F9474" t="inlineStr">
        <is>
          <t>Sveaskog</t>
        </is>
      </c>
      <c r="G9474" t="n">
        <v>2.8</v>
      </c>
      <c r="H9474" t="n">
        <v>0</v>
      </c>
      <c r="I9474" t="n">
        <v>0</v>
      </c>
      <c r="J9474" t="n">
        <v>0</v>
      </c>
      <c r="K9474" t="n">
        <v>0</v>
      </c>
      <c r="L9474" t="n">
        <v>0</v>
      </c>
      <c r="M9474" t="n">
        <v>0</v>
      </c>
      <c r="N9474" t="n">
        <v>0</v>
      </c>
      <c r="O9474" t="n">
        <v>0</v>
      </c>
      <c r="P9474" t="n">
        <v>0</v>
      </c>
      <c r="Q9474" t="n">
        <v>0</v>
      </c>
      <c r="R9474" s="2" t="inlineStr"/>
    </row>
    <row r="9475" ht="15" customHeight="1">
      <c r="A9475" t="inlineStr">
        <is>
          <t>A 56145-2023</t>
        </is>
      </c>
      <c r="B9475" s="1" t="n">
        <v>45240</v>
      </c>
      <c r="C9475" s="1" t="n">
        <v>45344</v>
      </c>
      <c r="D9475" t="inlineStr">
        <is>
          <t>GÄVLEBORGS LÄN</t>
        </is>
      </c>
      <c r="E9475" t="inlineStr">
        <is>
          <t>NORDANSTIG</t>
        </is>
      </c>
      <c r="G9475" t="n">
        <v>3.4</v>
      </c>
      <c r="H9475" t="n">
        <v>0</v>
      </c>
      <c r="I9475" t="n">
        <v>0</v>
      </c>
      <c r="J9475" t="n">
        <v>0</v>
      </c>
      <c r="K9475" t="n">
        <v>0</v>
      </c>
      <c r="L9475" t="n">
        <v>0</v>
      </c>
      <c r="M9475" t="n">
        <v>0</v>
      </c>
      <c r="N9475" t="n">
        <v>0</v>
      </c>
      <c r="O9475" t="n">
        <v>0</v>
      </c>
      <c r="P9475" t="n">
        <v>0</v>
      </c>
      <c r="Q9475" t="n">
        <v>0</v>
      </c>
      <c r="R9475" s="2" t="inlineStr"/>
    </row>
    <row r="9476" ht="15" customHeight="1">
      <c r="A9476" t="inlineStr">
        <is>
          <t>A 56113-2023</t>
        </is>
      </c>
      <c r="B9476" s="1" t="n">
        <v>45240</v>
      </c>
      <c r="C9476" s="1" t="n">
        <v>45344</v>
      </c>
      <c r="D9476" t="inlineStr">
        <is>
          <t>GÄVLEBORGS LÄN</t>
        </is>
      </c>
      <c r="E9476" t="inlineStr">
        <is>
          <t>LJUSDAL</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56036-2023</t>
        </is>
      </c>
      <c r="B9477" s="1" t="n">
        <v>45240</v>
      </c>
      <c r="C9477" s="1" t="n">
        <v>45344</v>
      </c>
      <c r="D9477" t="inlineStr">
        <is>
          <t>GÄVLEBORGS LÄN</t>
        </is>
      </c>
      <c r="E9477" t="inlineStr">
        <is>
          <t>SANDVIKEN</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56019-2023</t>
        </is>
      </c>
      <c r="B9478" s="1" t="n">
        <v>45240</v>
      </c>
      <c r="C9478" s="1" t="n">
        <v>45344</v>
      </c>
      <c r="D9478" t="inlineStr">
        <is>
          <t>GÄVLEBORGS LÄN</t>
        </is>
      </c>
      <c r="E9478" t="inlineStr">
        <is>
          <t>SANDVIKEN</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56156-2023</t>
        </is>
      </c>
      <c r="B9479" s="1" t="n">
        <v>45240</v>
      </c>
      <c r="C9479" s="1" t="n">
        <v>45344</v>
      </c>
      <c r="D9479" t="inlineStr">
        <is>
          <t>GÄVLEBORGS LÄN</t>
        </is>
      </c>
      <c r="E9479" t="inlineStr">
        <is>
          <t>HOFORS</t>
        </is>
      </c>
      <c r="F9479" t="inlineStr">
        <is>
          <t>Sveaskog</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56152-2023</t>
        </is>
      </c>
      <c r="B9480" s="1" t="n">
        <v>45240</v>
      </c>
      <c r="C9480" s="1" t="n">
        <v>45344</v>
      </c>
      <c r="D9480" t="inlineStr">
        <is>
          <t>GÄVLEBORGS LÄN</t>
        </is>
      </c>
      <c r="E9480" t="inlineStr">
        <is>
          <t>OVANÅKER</t>
        </is>
      </c>
      <c r="G9480" t="n">
        <v>2.9</v>
      </c>
      <c r="H9480" t="n">
        <v>0</v>
      </c>
      <c r="I9480" t="n">
        <v>0</v>
      </c>
      <c r="J9480" t="n">
        <v>0</v>
      </c>
      <c r="K9480" t="n">
        <v>0</v>
      </c>
      <c r="L9480" t="n">
        <v>0</v>
      </c>
      <c r="M9480" t="n">
        <v>0</v>
      </c>
      <c r="N9480" t="n">
        <v>0</v>
      </c>
      <c r="O9480" t="n">
        <v>0</v>
      </c>
      <c r="P9480" t="n">
        <v>0</v>
      </c>
      <c r="Q9480" t="n">
        <v>0</v>
      </c>
      <c r="R9480" s="2" t="inlineStr"/>
    </row>
    <row r="9481" ht="15" customHeight="1">
      <c r="A9481" t="inlineStr">
        <is>
          <t>A 56135-2023</t>
        </is>
      </c>
      <c r="B9481" s="1" t="n">
        <v>45240</v>
      </c>
      <c r="C9481" s="1" t="n">
        <v>45344</v>
      </c>
      <c r="D9481" t="inlineStr">
        <is>
          <t>GÄVLEBORGS LÄN</t>
        </is>
      </c>
      <c r="E9481" t="inlineStr">
        <is>
          <t>NORDANSTIG</t>
        </is>
      </c>
      <c r="G9481" t="n">
        <v>2.5</v>
      </c>
      <c r="H9481" t="n">
        <v>0</v>
      </c>
      <c r="I9481" t="n">
        <v>0</v>
      </c>
      <c r="J9481" t="n">
        <v>0</v>
      </c>
      <c r="K9481" t="n">
        <v>0</v>
      </c>
      <c r="L9481" t="n">
        <v>0</v>
      </c>
      <c r="M9481" t="n">
        <v>0</v>
      </c>
      <c r="N9481" t="n">
        <v>0</v>
      </c>
      <c r="O9481" t="n">
        <v>0</v>
      </c>
      <c r="P9481" t="n">
        <v>0</v>
      </c>
      <c r="Q9481" t="n">
        <v>0</v>
      </c>
      <c r="R9481" s="2" t="inlineStr"/>
    </row>
    <row r="9482" ht="15" customHeight="1">
      <c r="A9482" t="inlineStr">
        <is>
          <t>A 56127-2023</t>
        </is>
      </c>
      <c r="B9482" s="1" t="n">
        <v>45240</v>
      </c>
      <c r="C9482" s="1" t="n">
        <v>45344</v>
      </c>
      <c r="D9482" t="inlineStr">
        <is>
          <t>GÄVLEBORGS LÄN</t>
        </is>
      </c>
      <c r="E9482" t="inlineStr">
        <is>
          <t>OVANÅKER</t>
        </is>
      </c>
      <c r="G9482" t="n">
        <v>0.4</v>
      </c>
      <c r="H9482" t="n">
        <v>0</v>
      </c>
      <c r="I9482" t="n">
        <v>0</v>
      </c>
      <c r="J9482" t="n">
        <v>0</v>
      </c>
      <c r="K9482" t="n">
        <v>0</v>
      </c>
      <c r="L9482" t="n">
        <v>0</v>
      </c>
      <c r="M9482" t="n">
        <v>0</v>
      </c>
      <c r="N9482" t="n">
        <v>0</v>
      </c>
      <c r="O9482" t="n">
        <v>0</v>
      </c>
      <c r="P9482" t="n">
        <v>0</v>
      </c>
      <c r="Q9482" t="n">
        <v>0</v>
      </c>
      <c r="R9482" s="2" t="inlineStr"/>
    </row>
    <row r="9483" ht="15" customHeight="1">
      <c r="A9483" t="inlineStr">
        <is>
          <t>A 56117-2023</t>
        </is>
      </c>
      <c r="B9483" s="1" t="n">
        <v>45240</v>
      </c>
      <c r="C9483" s="1" t="n">
        <v>45344</v>
      </c>
      <c r="D9483" t="inlineStr">
        <is>
          <t>GÄVLEBORGS LÄN</t>
        </is>
      </c>
      <c r="E9483" t="inlineStr">
        <is>
          <t>HOFORS</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56087-2023</t>
        </is>
      </c>
      <c r="B9484" s="1" t="n">
        <v>45240</v>
      </c>
      <c r="C9484" s="1" t="n">
        <v>45344</v>
      </c>
      <c r="D9484" t="inlineStr">
        <is>
          <t>GÄVLEBORGS LÄN</t>
        </is>
      </c>
      <c r="E9484" t="inlineStr">
        <is>
          <t>HUDIKSVALL</t>
        </is>
      </c>
      <c r="F9484" t="inlineStr">
        <is>
          <t>Holmen skog AB</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56034-2023</t>
        </is>
      </c>
      <c r="B9485" s="1" t="n">
        <v>45240</v>
      </c>
      <c r="C9485" s="1" t="n">
        <v>45344</v>
      </c>
      <c r="D9485" t="inlineStr">
        <is>
          <t>GÄVLEBORGS LÄN</t>
        </is>
      </c>
      <c r="E9485" t="inlineStr">
        <is>
          <t>OCKELBO</t>
        </is>
      </c>
      <c r="F9485" t="inlineStr">
        <is>
          <t>Bergvik skog väst AB</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56017-2023</t>
        </is>
      </c>
      <c r="B9486" s="1" t="n">
        <v>45240</v>
      </c>
      <c r="C9486" s="1" t="n">
        <v>45344</v>
      </c>
      <c r="D9486" t="inlineStr">
        <is>
          <t>GÄVLEBORGS LÄN</t>
        </is>
      </c>
      <c r="E9486" t="inlineStr">
        <is>
          <t>SANDVIKEN</t>
        </is>
      </c>
      <c r="F9486" t="inlineStr">
        <is>
          <t>Sveaskog</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56318-2023</t>
        </is>
      </c>
      <c r="B9487" s="1" t="n">
        <v>45243</v>
      </c>
      <c r="C9487" s="1" t="n">
        <v>45344</v>
      </c>
      <c r="D9487" t="inlineStr">
        <is>
          <t>GÄVLEBORGS LÄN</t>
        </is>
      </c>
      <c r="E9487" t="inlineStr">
        <is>
          <t>SANDVIKEN</t>
        </is>
      </c>
      <c r="F9487" t="inlineStr">
        <is>
          <t>Bergvik skog öst AB</t>
        </is>
      </c>
      <c r="G9487" t="n">
        <v>0.6</v>
      </c>
      <c r="H9487" t="n">
        <v>0</v>
      </c>
      <c r="I9487" t="n">
        <v>0</v>
      </c>
      <c r="J9487" t="n">
        <v>0</v>
      </c>
      <c r="K9487" t="n">
        <v>0</v>
      </c>
      <c r="L9487" t="n">
        <v>0</v>
      </c>
      <c r="M9487" t="n">
        <v>0</v>
      </c>
      <c r="N9487" t="n">
        <v>0</v>
      </c>
      <c r="O9487" t="n">
        <v>0</v>
      </c>
      <c r="P9487" t="n">
        <v>0</v>
      </c>
      <c r="Q9487" t="n">
        <v>0</v>
      </c>
      <c r="R9487" s="2" t="inlineStr"/>
    </row>
    <row r="9488" ht="15" customHeight="1">
      <c r="A9488" t="inlineStr">
        <is>
          <t>A 56461-2023</t>
        </is>
      </c>
      <c r="B9488" s="1" t="n">
        <v>45243</v>
      </c>
      <c r="C9488" s="1" t="n">
        <v>45344</v>
      </c>
      <c r="D9488" t="inlineStr">
        <is>
          <t>GÄVLEBORGS LÄN</t>
        </is>
      </c>
      <c r="E9488" t="inlineStr">
        <is>
          <t>BOLLNÄS</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56542-2023</t>
        </is>
      </c>
      <c r="B9489" s="1" t="n">
        <v>45243</v>
      </c>
      <c r="C9489" s="1" t="n">
        <v>45344</v>
      </c>
      <c r="D9489" t="inlineStr">
        <is>
          <t>GÄVLEBORGS LÄN</t>
        </is>
      </c>
      <c r="E9489" t="inlineStr">
        <is>
          <t>BOLLNÄS</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56547-2023</t>
        </is>
      </c>
      <c r="B9490" s="1" t="n">
        <v>45243</v>
      </c>
      <c r="C9490" s="1" t="n">
        <v>45344</v>
      </c>
      <c r="D9490" t="inlineStr">
        <is>
          <t>GÄVLEBORGS LÄN</t>
        </is>
      </c>
      <c r="E9490" t="inlineStr">
        <is>
          <t>BOLLNÄS</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56634-2023</t>
        </is>
      </c>
      <c r="B9491" s="1" t="n">
        <v>45243</v>
      </c>
      <c r="C9491" s="1" t="n">
        <v>45344</v>
      </c>
      <c r="D9491" t="inlineStr">
        <is>
          <t>GÄVLEBORGS LÄN</t>
        </is>
      </c>
      <c r="E9491" t="inlineStr">
        <is>
          <t>OCKELBO</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56638-2023</t>
        </is>
      </c>
      <c r="B9492" s="1" t="n">
        <v>45243</v>
      </c>
      <c r="C9492" s="1" t="n">
        <v>45344</v>
      </c>
      <c r="D9492" t="inlineStr">
        <is>
          <t>GÄVLEBORGS LÄN</t>
        </is>
      </c>
      <c r="E9492" t="inlineStr">
        <is>
          <t>OCKELBO</t>
        </is>
      </c>
      <c r="G9492" t="n">
        <v>22.7</v>
      </c>
      <c r="H9492" t="n">
        <v>0</v>
      </c>
      <c r="I9492" t="n">
        <v>0</v>
      </c>
      <c r="J9492" t="n">
        <v>0</v>
      </c>
      <c r="K9492" t="n">
        <v>0</v>
      </c>
      <c r="L9492" t="n">
        <v>0</v>
      </c>
      <c r="M9492" t="n">
        <v>0</v>
      </c>
      <c r="N9492" t="n">
        <v>0</v>
      </c>
      <c r="O9492" t="n">
        <v>0</v>
      </c>
      <c r="P9492" t="n">
        <v>0</v>
      </c>
      <c r="Q9492" t="n">
        <v>0</v>
      </c>
      <c r="R9492" s="2" t="inlineStr"/>
    </row>
    <row r="9493" ht="15" customHeight="1">
      <c r="A9493" t="inlineStr">
        <is>
          <t>A 56320-2023</t>
        </is>
      </c>
      <c r="B9493" s="1" t="n">
        <v>45243</v>
      </c>
      <c r="C9493" s="1" t="n">
        <v>45344</v>
      </c>
      <c r="D9493" t="inlineStr">
        <is>
          <t>GÄVLEBORGS LÄN</t>
        </is>
      </c>
      <c r="E9493" t="inlineStr">
        <is>
          <t>SANDVIKEN</t>
        </is>
      </c>
      <c r="F9493" t="inlineStr">
        <is>
          <t>Bergvik skog öst AB</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56380-2023</t>
        </is>
      </c>
      <c r="B9494" s="1" t="n">
        <v>45243</v>
      </c>
      <c r="C9494" s="1" t="n">
        <v>45344</v>
      </c>
      <c r="D9494" t="inlineStr">
        <is>
          <t>GÄVLEBORGS LÄN</t>
        </is>
      </c>
      <c r="E9494" t="inlineStr">
        <is>
          <t>HUDIKSVALL</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56425-2023</t>
        </is>
      </c>
      <c r="B9495" s="1" t="n">
        <v>45243</v>
      </c>
      <c r="C9495" s="1" t="n">
        <v>45344</v>
      </c>
      <c r="D9495" t="inlineStr">
        <is>
          <t>GÄVLEBORGS LÄN</t>
        </is>
      </c>
      <c r="E9495" t="inlineStr">
        <is>
          <t>LJUSDAL</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56446-2023</t>
        </is>
      </c>
      <c r="B9496" s="1" t="n">
        <v>45243</v>
      </c>
      <c r="C9496" s="1" t="n">
        <v>45344</v>
      </c>
      <c r="D9496" t="inlineStr">
        <is>
          <t>GÄVLEBORGS LÄN</t>
        </is>
      </c>
      <c r="E9496" t="inlineStr">
        <is>
          <t>GÄVLE</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56453-2023</t>
        </is>
      </c>
      <c r="B9497" s="1" t="n">
        <v>45243</v>
      </c>
      <c r="C9497" s="1" t="n">
        <v>45344</v>
      </c>
      <c r="D9497" t="inlineStr">
        <is>
          <t>GÄVLEBORGS LÄN</t>
        </is>
      </c>
      <c r="E9497" t="inlineStr">
        <is>
          <t>BOLLNÄS</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56457-2023</t>
        </is>
      </c>
      <c r="B9498" s="1" t="n">
        <v>45243</v>
      </c>
      <c r="C9498" s="1" t="n">
        <v>45344</v>
      </c>
      <c r="D9498" t="inlineStr">
        <is>
          <t>GÄVLEBORGS LÄN</t>
        </is>
      </c>
      <c r="E9498" t="inlineStr">
        <is>
          <t>GÄVLE</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56487-2023</t>
        </is>
      </c>
      <c r="B9499" s="1" t="n">
        <v>45243</v>
      </c>
      <c r="C9499" s="1" t="n">
        <v>45344</v>
      </c>
      <c r="D9499" t="inlineStr">
        <is>
          <t>GÄVLEBORGS LÄN</t>
        </is>
      </c>
      <c r="E9499" t="inlineStr">
        <is>
          <t>GÄVLE</t>
        </is>
      </c>
      <c r="G9499" t="n">
        <v>8.699999999999999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56503-2023</t>
        </is>
      </c>
      <c r="B9500" s="1" t="n">
        <v>45243</v>
      </c>
      <c r="C9500" s="1" t="n">
        <v>45344</v>
      </c>
      <c r="D9500" t="inlineStr">
        <is>
          <t>GÄVLEBORGS LÄN</t>
        </is>
      </c>
      <c r="E9500" t="inlineStr">
        <is>
          <t>BOLLNÄS</t>
        </is>
      </c>
      <c r="F9500" t="inlineStr">
        <is>
          <t>Sveaskog</t>
        </is>
      </c>
      <c r="G9500" t="n">
        <v>4.3</v>
      </c>
      <c r="H9500" t="n">
        <v>0</v>
      </c>
      <c r="I9500" t="n">
        <v>0</v>
      </c>
      <c r="J9500" t="n">
        <v>0</v>
      </c>
      <c r="K9500" t="n">
        <v>0</v>
      </c>
      <c r="L9500" t="n">
        <v>0</v>
      </c>
      <c r="M9500" t="n">
        <v>0</v>
      </c>
      <c r="N9500" t="n">
        <v>0</v>
      </c>
      <c r="O9500" t="n">
        <v>0</v>
      </c>
      <c r="P9500" t="n">
        <v>0</v>
      </c>
      <c r="Q9500" t="n">
        <v>0</v>
      </c>
      <c r="R9500" s="2" t="inlineStr"/>
    </row>
    <row r="9501" ht="15" customHeight="1">
      <c r="A9501" t="inlineStr">
        <is>
          <t>A 56319-2023</t>
        </is>
      </c>
      <c r="B9501" s="1" t="n">
        <v>45243</v>
      </c>
      <c r="C9501" s="1" t="n">
        <v>45344</v>
      </c>
      <c r="D9501" t="inlineStr">
        <is>
          <t>GÄVLEBORGS LÄN</t>
        </is>
      </c>
      <c r="E9501" t="inlineStr">
        <is>
          <t>SANDVIKEN</t>
        </is>
      </c>
      <c r="F9501" t="inlineStr">
        <is>
          <t>Bergvik skog öst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56644-2023</t>
        </is>
      </c>
      <c r="B9502" s="1" t="n">
        <v>45243</v>
      </c>
      <c r="C9502" s="1" t="n">
        <v>45344</v>
      </c>
      <c r="D9502" t="inlineStr">
        <is>
          <t>GÄVLEBORGS LÄN</t>
        </is>
      </c>
      <c r="E9502" t="inlineStr">
        <is>
          <t>OCKELBO</t>
        </is>
      </c>
      <c r="G9502" t="n">
        <v>11.7</v>
      </c>
      <c r="H9502" t="n">
        <v>0</v>
      </c>
      <c r="I9502" t="n">
        <v>0</v>
      </c>
      <c r="J9502" t="n">
        <v>0</v>
      </c>
      <c r="K9502" t="n">
        <v>0</v>
      </c>
      <c r="L9502" t="n">
        <v>0</v>
      </c>
      <c r="M9502" t="n">
        <v>0</v>
      </c>
      <c r="N9502" t="n">
        <v>0</v>
      </c>
      <c r="O9502" t="n">
        <v>0</v>
      </c>
      <c r="P9502" t="n">
        <v>0</v>
      </c>
      <c r="Q9502" t="n">
        <v>0</v>
      </c>
      <c r="R9502" s="2" t="inlineStr"/>
    </row>
    <row r="9503" ht="15" customHeight="1">
      <c r="A9503" t="inlineStr">
        <is>
          <t>A 56456-2023</t>
        </is>
      </c>
      <c r="B9503" s="1" t="n">
        <v>45243</v>
      </c>
      <c r="C9503" s="1" t="n">
        <v>45344</v>
      </c>
      <c r="D9503" t="inlineStr">
        <is>
          <t>GÄVLEBORGS LÄN</t>
        </is>
      </c>
      <c r="E9503" t="inlineStr">
        <is>
          <t>GÄVLE</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56462-2023</t>
        </is>
      </c>
      <c r="B9504" s="1" t="n">
        <v>45243</v>
      </c>
      <c r="C9504" s="1" t="n">
        <v>45344</v>
      </c>
      <c r="D9504" t="inlineStr">
        <is>
          <t>GÄVLEBORGS LÄN</t>
        </is>
      </c>
      <c r="E9504" t="inlineStr">
        <is>
          <t>GÄVLE</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56502-2023</t>
        </is>
      </c>
      <c r="B9505" s="1" t="n">
        <v>45243</v>
      </c>
      <c r="C9505" s="1" t="n">
        <v>45344</v>
      </c>
      <c r="D9505" t="inlineStr">
        <is>
          <t>GÄVLEBORGS LÄN</t>
        </is>
      </c>
      <c r="E9505" t="inlineStr">
        <is>
          <t>SÖDERHAMN</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56508-2023</t>
        </is>
      </c>
      <c r="B9506" s="1" t="n">
        <v>45243</v>
      </c>
      <c r="C9506" s="1" t="n">
        <v>45344</v>
      </c>
      <c r="D9506" t="inlineStr">
        <is>
          <t>GÄVLEBORGS LÄN</t>
        </is>
      </c>
      <c r="E9506" t="inlineStr">
        <is>
          <t>BOLLNÄS</t>
        </is>
      </c>
      <c r="F9506" t="inlineStr">
        <is>
          <t>Sveaskog</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56586-2023</t>
        </is>
      </c>
      <c r="B9507" s="1" t="n">
        <v>45243</v>
      </c>
      <c r="C9507" s="1" t="n">
        <v>45344</v>
      </c>
      <c r="D9507" t="inlineStr">
        <is>
          <t>GÄVLEBORGS LÄN</t>
        </is>
      </c>
      <c r="E9507" t="inlineStr">
        <is>
          <t>NORDANSTIG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56591-2023</t>
        </is>
      </c>
      <c r="B9508" s="1" t="n">
        <v>45243</v>
      </c>
      <c r="C9508" s="1" t="n">
        <v>45344</v>
      </c>
      <c r="D9508" t="inlineStr">
        <is>
          <t>GÄVLEBORGS LÄN</t>
        </is>
      </c>
      <c r="E9508" t="inlineStr">
        <is>
          <t>HUDIKSVALL</t>
        </is>
      </c>
      <c r="F9508" t="inlineStr">
        <is>
          <t>Holmen skog AB</t>
        </is>
      </c>
      <c r="G9508" t="n">
        <v>16.8</v>
      </c>
      <c r="H9508" t="n">
        <v>0</v>
      </c>
      <c r="I9508" t="n">
        <v>0</v>
      </c>
      <c r="J9508" t="n">
        <v>0</v>
      </c>
      <c r="K9508" t="n">
        <v>0</v>
      </c>
      <c r="L9508" t="n">
        <v>0</v>
      </c>
      <c r="M9508" t="n">
        <v>0</v>
      </c>
      <c r="N9508" t="n">
        <v>0</v>
      </c>
      <c r="O9508" t="n">
        <v>0</v>
      </c>
      <c r="P9508" t="n">
        <v>0</v>
      </c>
      <c r="Q9508" t="n">
        <v>0</v>
      </c>
      <c r="R9508" s="2" t="inlineStr"/>
    </row>
    <row r="9509" ht="15" customHeight="1">
      <c r="A9509" t="inlineStr">
        <is>
          <t>A 56631-2023</t>
        </is>
      </c>
      <c r="B9509" s="1" t="n">
        <v>45243</v>
      </c>
      <c r="C9509" s="1" t="n">
        <v>45344</v>
      </c>
      <c r="D9509" t="inlineStr">
        <is>
          <t>GÄVLEBORGS LÄN</t>
        </is>
      </c>
      <c r="E9509" t="inlineStr">
        <is>
          <t>OCKELBO</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56643-2023</t>
        </is>
      </c>
      <c r="B9510" s="1" t="n">
        <v>45243</v>
      </c>
      <c r="C9510" s="1" t="n">
        <v>45344</v>
      </c>
      <c r="D9510" t="inlineStr">
        <is>
          <t>GÄVLEBORGS LÄN</t>
        </is>
      </c>
      <c r="E9510" t="inlineStr">
        <is>
          <t>LJUSDAL</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56321-2023</t>
        </is>
      </c>
      <c r="B9511" s="1" t="n">
        <v>45243</v>
      </c>
      <c r="C9511" s="1" t="n">
        <v>45344</v>
      </c>
      <c r="D9511" t="inlineStr">
        <is>
          <t>GÄVLEBORGS LÄN</t>
        </is>
      </c>
      <c r="E9511" t="inlineStr">
        <is>
          <t>SANDVIKEN</t>
        </is>
      </c>
      <c r="F9511" t="inlineStr">
        <is>
          <t>Bergvik skog öst AB</t>
        </is>
      </c>
      <c r="G9511" t="n">
        <v>48.7</v>
      </c>
      <c r="H9511" t="n">
        <v>0</v>
      </c>
      <c r="I9511" t="n">
        <v>0</v>
      </c>
      <c r="J9511" t="n">
        <v>0</v>
      </c>
      <c r="K9511" t="n">
        <v>0</v>
      </c>
      <c r="L9511" t="n">
        <v>0</v>
      </c>
      <c r="M9511" t="n">
        <v>0</v>
      </c>
      <c r="N9511" t="n">
        <v>0</v>
      </c>
      <c r="O9511" t="n">
        <v>0</v>
      </c>
      <c r="P9511" t="n">
        <v>0</v>
      </c>
      <c r="Q9511" t="n">
        <v>0</v>
      </c>
      <c r="R9511" s="2" t="inlineStr"/>
    </row>
    <row r="9512" ht="15" customHeight="1">
      <c r="A9512" t="inlineStr">
        <is>
          <t>A 56330-2023</t>
        </is>
      </c>
      <c r="B9512" s="1" t="n">
        <v>45243</v>
      </c>
      <c r="C9512" s="1" t="n">
        <v>45344</v>
      </c>
      <c r="D9512" t="inlineStr">
        <is>
          <t>GÄVLEBORGS LÄN</t>
        </is>
      </c>
      <c r="E9512" t="inlineStr">
        <is>
          <t>LJUSDAL</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56371-2023</t>
        </is>
      </c>
      <c r="B9513" s="1" t="n">
        <v>45243</v>
      </c>
      <c r="C9513" s="1" t="n">
        <v>45344</v>
      </c>
      <c r="D9513" t="inlineStr">
        <is>
          <t>GÄVLEBORGS LÄN</t>
        </is>
      </c>
      <c r="E9513" t="inlineStr">
        <is>
          <t>SANDVIKEN</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56447-2023</t>
        </is>
      </c>
      <c r="B9514" s="1" t="n">
        <v>45243</v>
      </c>
      <c r="C9514" s="1" t="n">
        <v>45344</v>
      </c>
      <c r="D9514" t="inlineStr">
        <is>
          <t>GÄVLEBORGS LÄN</t>
        </is>
      </c>
      <c r="E9514" t="inlineStr">
        <is>
          <t>GÄVLE</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56464-2023</t>
        </is>
      </c>
      <c r="B9515" s="1" t="n">
        <v>45243</v>
      </c>
      <c r="C9515" s="1" t="n">
        <v>45344</v>
      </c>
      <c r="D9515" t="inlineStr">
        <is>
          <t>GÄVLEBORGS LÄN</t>
        </is>
      </c>
      <c r="E9515" t="inlineStr">
        <is>
          <t>LJUSDAL</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56500-2023</t>
        </is>
      </c>
      <c r="B9516" s="1" t="n">
        <v>45243</v>
      </c>
      <c r="C9516" s="1" t="n">
        <v>45344</v>
      </c>
      <c r="D9516" t="inlineStr">
        <is>
          <t>GÄVLEBORGS LÄN</t>
        </is>
      </c>
      <c r="E9516" t="inlineStr">
        <is>
          <t>SÖDERHAMN</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56598-2023</t>
        </is>
      </c>
      <c r="B9517" s="1" t="n">
        <v>45243</v>
      </c>
      <c r="C9517" s="1" t="n">
        <v>45344</v>
      </c>
      <c r="D9517" t="inlineStr">
        <is>
          <t>GÄVLEBORGS LÄN</t>
        </is>
      </c>
      <c r="E9517" t="inlineStr">
        <is>
          <t>OVANÅKER</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56608-2023</t>
        </is>
      </c>
      <c r="B9518" s="1" t="n">
        <v>45243</v>
      </c>
      <c r="C9518" s="1" t="n">
        <v>45344</v>
      </c>
      <c r="D9518" t="inlineStr">
        <is>
          <t>GÄVLEBORGS LÄN</t>
        </is>
      </c>
      <c r="E9518" t="inlineStr">
        <is>
          <t>OCKELBO</t>
        </is>
      </c>
      <c r="F9518" t="inlineStr">
        <is>
          <t>Bergvik skog väst AB</t>
        </is>
      </c>
      <c r="G9518" t="n">
        <v>5.7</v>
      </c>
      <c r="H9518" t="n">
        <v>0</v>
      </c>
      <c r="I9518" t="n">
        <v>0</v>
      </c>
      <c r="J9518" t="n">
        <v>0</v>
      </c>
      <c r="K9518" t="n">
        <v>0</v>
      </c>
      <c r="L9518" t="n">
        <v>0</v>
      </c>
      <c r="M9518" t="n">
        <v>0</v>
      </c>
      <c r="N9518" t="n">
        <v>0</v>
      </c>
      <c r="O9518" t="n">
        <v>0</v>
      </c>
      <c r="P9518" t="n">
        <v>0</v>
      </c>
      <c r="Q9518" t="n">
        <v>0</v>
      </c>
      <c r="R9518" s="2" t="inlineStr"/>
    </row>
    <row r="9519" ht="15" customHeight="1">
      <c r="A9519" t="inlineStr">
        <is>
          <t>A 56707-2023</t>
        </is>
      </c>
      <c r="B9519" s="1" t="n">
        <v>45244</v>
      </c>
      <c r="C9519" s="1" t="n">
        <v>45344</v>
      </c>
      <c r="D9519" t="inlineStr">
        <is>
          <t>GÄVLEBORGS LÄN</t>
        </is>
      </c>
      <c r="E9519" t="inlineStr">
        <is>
          <t>OVANÅKER</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56738-2023</t>
        </is>
      </c>
      <c r="B9520" s="1" t="n">
        <v>45244</v>
      </c>
      <c r="C9520" s="1" t="n">
        <v>45344</v>
      </c>
      <c r="D9520" t="inlineStr">
        <is>
          <t>GÄVLEBORGS LÄN</t>
        </is>
      </c>
      <c r="E9520" t="inlineStr">
        <is>
          <t>HUDIKSVALL</t>
        </is>
      </c>
      <c r="F9520" t="inlineStr">
        <is>
          <t>Holmen skog AB</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56704-2023</t>
        </is>
      </c>
      <c r="B9521" s="1" t="n">
        <v>45244</v>
      </c>
      <c r="C9521" s="1" t="n">
        <v>45344</v>
      </c>
      <c r="D9521" t="inlineStr">
        <is>
          <t>GÄVLEBORGS LÄN</t>
        </is>
      </c>
      <c r="E9521" t="inlineStr">
        <is>
          <t>BOLLNÄS</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56708-2023</t>
        </is>
      </c>
      <c r="B9522" s="1" t="n">
        <v>45244</v>
      </c>
      <c r="C9522" s="1" t="n">
        <v>45344</v>
      </c>
      <c r="D9522" t="inlineStr">
        <is>
          <t>GÄVLEBORGS LÄN</t>
        </is>
      </c>
      <c r="E9522" t="inlineStr">
        <is>
          <t>OVANÅKER</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56788-2023</t>
        </is>
      </c>
      <c r="B9523" s="1" t="n">
        <v>45244</v>
      </c>
      <c r="C9523" s="1" t="n">
        <v>45344</v>
      </c>
      <c r="D9523" t="inlineStr">
        <is>
          <t>GÄVLEBORGS LÄN</t>
        </is>
      </c>
      <c r="E9523" t="inlineStr">
        <is>
          <t>LJUSDAL</t>
        </is>
      </c>
      <c r="F9523" t="inlineStr">
        <is>
          <t>Sveaskog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56755-2023</t>
        </is>
      </c>
      <c r="B9524" s="1" t="n">
        <v>45244</v>
      </c>
      <c r="C9524" s="1" t="n">
        <v>45344</v>
      </c>
      <c r="D9524" t="inlineStr">
        <is>
          <t>GÄVLEBORGS LÄN</t>
        </is>
      </c>
      <c r="E9524" t="inlineStr">
        <is>
          <t>HUDIKSVALL</t>
        </is>
      </c>
      <c r="F9524" t="inlineStr">
        <is>
          <t>Holmen skog AB</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56782-2023</t>
        </is>
      </c>
      <c r="B9525" s="1" t="n">
        <v>45244</v>
      </c>
      <c r="C9525" s="1" t="n">
        <v>45344</v>
      </c>
      <c r="D9525" t="inlineStr">
        <is>
          <t>GÄVLEBORGS LÄN</t>
        </is>
      </c>
      <c r="E9525" t="inlineStr">
        <is>
          <t>LJUSDAL</t>
        </is>
      </c>
      <c r="F9525" t="inlineStr">
        <is>
          <t>Sveaskog</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56817-2023</t>
        </is>
      </c>
      <c r="B9526" s="1" t="n">
        <v>45244</v>
      </c>
      <c r="C9526" s="1" t="n">
        <v>45344</v>
      </c>
      <c r="D9526" t="inlineStr">
        <is>
          <t>GÄVLEBORGS LÄN</t>
        </is>
      </c>
      <c r="E9526" t="inlineStr">
        <is>
          <t>HUDIKSVALL</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56862-2023</t>
        </is>
      </c>
      <c r="B9527" s="1" t="n">
        <v>45244</v>
      </c>
      <c r="C9527" s="1" t="n">
        <v>45344</v>
      </c>
      <c r="D9527" t="inlineStr">
        <is>
          <t>GÄVLEBORGS LÄN</t>
        </is>
      </c>
      <c r="E9527" t="inlineStr">
        <is>
          <t>HUDIKSVALL</t>
        </is>
      </c>
      <c r="G9527" t="n">
        <v>5</v>
      </c>
      <c r="H9527" t="n">
        <v>0</v>
      </c>
      <c r="I9527" t="n">
        <v>0</v>
      </c>
      <c r="J9527" t="n">
        <v>0</v>
      </c>
      <c r="K9527" t="n">
        <v>0</v>
      </c>
      <c r="L9527" t="n">
        <v>0</v>
      </c>
      <c r="M9527" t="n">
        <v>0</v>
      </c>
      <c r="N9527" t="n">
        <v>0</v>
      </c>
      <c r="O9527" t="n">
        <v>0</v>
      </c>
      <c r="P9527" t="n">
        <v>0</v>
      </c>
      <c r="Q9527" t="n">
        <v>0</v>
      </c>
      <c r="R9527" s="2" t="inlineStr"/>
    </row>
    <row r="9528" ht="15" customHeight="1">
      <c r="A9528" t="inlineStr">
        <is>
          <t>A 56985-2023</t>
        </is>
      </c>
      <c r="B9528" s="1" t="n">
        <v>45244</v>
      </c>
      <c r="C9528" s="1" t="n">
        <v>45344</v>
      </c>
      <c r="D9528" t="inlineStr">
        <is>
          <t>GÄVLEBORGS LÄN</t>
        </is>
      </c>
      <c r="E9528" t="inlineStr">
        <is>
          <t>LJUSDAL</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57015-2023</t>
        </is>
      </c>
      <c r="B9529" s="1" t="n">
        <v>45244</v>
      </c>
      <c r="C9529" s="1" t="n">
        <v>45344</v>
      </c>
      <c r="D9529" t="inlineStr">
        <is>
          <t>GÄVLEBORGS LÄN</t>
        </is>
      </c>
      <c r="E9529" t="inlineStr">
        <is>
          <t>HUDIKSVALL</t>
        </is>
      </c>
      <c r="G9529" t="n">
        <v>2.4</v>
      </c>
      <c r="H9529" t="n">
        <v>0</v>
      </c>
      <c r="I9529" t="n">
        <v>0</v>
      </c>
      <c r="J9529" t="n">
        <v>0</v>
      </c>
      <c r="K9529" t="n">
        <v>0</v>
      </c>
      <c r="L9529" t="n">
        <v>0</v>
      </c>
      <c r="M9529" t="n">
        <v>0</v>
      </c>
      <c r="N9529" t="n">
        <v>0</v>
      </c>
      <c r="O9529" t="n">
        <v>0</v>
      </c>
      <c r="P9529" t="n">
        <v>0</v>
      </c>
      <c r="Q9529" t="n">
        <v>0</v>
      </c>
      <c r="R9529" s="2" t="inlineStr"/>
    </row>
    <row r="9530" ht="15" customHeight="1">
      <c r="A9530" t="inlineStr">
        <is>
          <t>A 56816-2023</t>
        </is>
      </c>
      <c r="B9530" s="1" t="n">
        <v>45244</v>
      </c>
      <c r="C9530" s="1" t="n">
        <v>45344</v>
      </c>
      <c r="D9530" t="inlineStr">
        <is>
          <t>GÄVLEBORGS LÄN</t>
        </is>
      </c>
      <c r="E9530" t="inlineStr">
        <is>
          <t>HUDIKSVALL</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56820-2023</t>
        </is>
      </c>
      <c r="B9531" s="1" t="n">
        <v>45244</v>
      </c>
      <c r="C9531" s="1" t="n">
        <v>45344</v>
      </c>
      <c r="D9531" t="inlineStr">
        <is>
          <t>GÄVLEBORGS LÄN</t>
        </is>
      </c>
      <c r="E9531" t="inlineStr">
        <is>
          <t>HUDIKSVALL</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56865-2023</t>
        </is>
      </c>
      <c r="B9532" s="1" t="n">
        <v>45244</v>
      </c>
      <c r="C9532" s="1" t="n">
        <v>45344</v>
      </c>
      <c r="D9532" t="inlineStr">
        <is>
          <t>GÄVLEBORGS LÄN</t>
        </is>
      </c>
      <c r="E9532" t="inlineStr">
        <is>
          <t>HUDIKSVALL</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56825-2023</t>
        </is>
      </c>
      <c r="B9533" s="1" t="n">
        <v>45244</v>
      </c>
      <c r="C9533" s="1" t="n">
        <v>45344</v>
      </c>
      <c r="D9533" t="inlineStr">
        <is>
          <t>GÄVLEBORGS LÄN</t>
        </is>
      </c>
      <c r="E9533" t="inlineStr">
        <is>
          <t>HUDIKSVALL</t>
        </is>
      </c>
      <c r="G9533" t="n">
        <v>5.9</v>
      </c>
      <c r="H9533" t="n">
        <v>0</v>
      </c>
      <c r="I9533" t="n">
        <v>0</v>
      </c>
      <c r="J9533" t="n">
        <v>0</v>
      </c>
      <c r="K9533" t="n">
        <v>0</v>
      </c>
      <c r="L9533" t="n">
        <v>0</v>
      </c>
      <c r="M9533" t="n">
        <v>0</v>
      </c>
      <c r="N9533" t="n">
        <v>0</v>
      </c>
      <c r="O9533" t="n">
        <v>0</v>
      </c>
      <c r="P9533" t="n">
        <v>0</v>
      </c>
      <c r="Q9533" t="n">
        <v>0</v>
      </c>
      <c r="R9533" s="2" t="inlineStr"/>
    </row>
    <row r="9534" ht="15" customHeight="1">
      <c r="A9534" t="inlineStr">
        <is>
          <t>A 56864-2023</t>
        </is>
      </c>
      <c r="B9534" s="1" t="n">
        <v>45244</v>
      </c>
      <c r="C9534" s="1" t="n">
        <v>45344</v>
      </c>
      <c r="D9534" t="inlineStr">
        <is>
          <t>GÄVLEBORGS LÄN</t>
        </is>
      </c>
      <c r="E9534" t="inlineStr">
        <is>
          <t>HUDIKSVALL</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56882-2023</t>
        </is>
      </c>
      <c r="B9535" s="1" t="n">
        <v>45244</v>
      </c>
      <c r="C9535" s="1" t="n">
        <v>45344</v>
      </c>
      <c r="D9535" t="inlineStr">
        <is>
          <t>GÄVLEBORGS LÄN</t>
        </is>
      </c>
      <c r="E9535" t="inlineStr">
        <is>
          <t>HUDIKSVALL</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56894-2023</t>
        </is>
      </c>
      <c r="B9536" s="1" t="n">
        <v>45244</v>
      </c>
      <c r="C9536" s="1" t="n">
        <v>45344</v>
      </c>
      <c r="D9536" t="inlineStr">
        <is>
          <t>GÄVLEBORGS LÄN</t>
        </is>
      </c>
      <c r="E9536" t="inlineStr">
        <is>
          <t>HUDIKSVALL</t>
        </is>
      </c>
      <c r="F9536" t="inlineStr">
        <is>
          <t>Holmen skog AB</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56898-2023</t>
        </is>
      </c>
      <c r="B9537" s="1" t="n">
        <v>45244</v>
      </c>
      <c r="C9537" s="1" t="n">
        <v>45344</v>
      </c>
      <c r="D9537" t="inlineStr">
        <is>
          <t>GÄVLEBORGS LÄN</t>
        </is>
      </c>
      <c r="E9537" t="inlineStr">
        <is>
          <t>HUDIKSVALL</t>
        </is>
      </c>
      <c r="F9537" t="inlineStr">
        <is>
          <t>Holmen skog AB</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56945-2023</t>
        </is>
      </c>
      <c r="B9538" s="1" t="n">
        <v>45244</v>
      </c>
      <c r="C9538" s="1" t="n">
        <v>45344</v>
      </c>
      <c r="D9538" t="inlineStr">
        <is>
          <t>GÄVLEBORGS LÄN</t>
        </is>
      </c>
      <c r="E9538" t="inlineStr">
        <is>
          <t>BOLLNÄS</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56983-2023</t>
        </is>
      </c>
      <c r="B9539" s="1" t="n">
        <v>45244</v>
      </c>
      <c r="C9539" s="1" t="n">
        <v>45344</v>
      </c>
      <c r="D9539" t="inlineStr">
        <is>
          <t>GÄVLEBORGS LÄN</t>
        </is>
      </c>
      <c r="E9539" t="inlineStr">
        <is>
          <t>LJUSDAL</t>
        </is>
      </c>
      <c r="G9539" t="n">
        <v>7.7</v>
      </c>
      <c r="H9539" t="n">
        <v>0</v>
      </c>
      <c r="I9539" t="n">
        <v>0</v>
      </c>
      <c r="J9539" t="n">
        <v>0</v>
      </c>
      <c r="K9539" t="n">
        <v>0</v>
      </c>
      <c r="L9539" t="n">
        <v>0</v>
      </c>
      <c r="M9539" t="n">
        <v>0</v>
      </c>
      <c r="N9539" t="n">
        <v>0</v>
      </c>
      <c r="O9539" t="n">
        <v>0</v>
      </c>
      <c r="P9539" t="n">
        <v>0</v>
      </c>
      <c r="Q9539" t="n">
        <v>0</v>
      </c>
      <c r="R9539" s="2" t="inlineStr"/>
    </row>
    <row r="9540" ht="15" customHeight="1">
      <c r="A9540" t="inlineStr">
        <is>
          <t>A 57064-2023</t>
        </is>
      </c>
      <c r="B9540" s="1" t="n">
        <v>45245</v>
      </c>
      <c r="C9540" s="1" t="n">
        <v>45344</v>
      </c>
      <c r="D9540" t="inlineStr">
        <is>
          <t>GÄVLEBORGS LÄN</t>
        </is>
      </c>
      <c r="E9540" t="inlineStr">
        <is>
          <t>LJUSDAL</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57065-2023</t>
        </is>
      </c>
      <c r="B9541" s="1" t="n">
        <v>45245</v>
      </c>
      <c r="C9541" s="1" t="n">
        <v>45344</v>
      </c>
      <c r="D9541" t="inlineStr">
        <is>
          <t>GÄVLEBORGS LÄN</t>
        </is>
      </c>
      <c r="E9541" t="inlineStr">
        <is>
          <t>LJUSDAL</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57061-2023</t>
        </is>
      </c>
      <c r="B9542" s="1" t="n">
        <v>45244</v>
      </c>
      <c r="C9542" s="1" t="n">
        <v>45344</v>
      </c>
      <c r="D9542" t="inlineStr">
        <is>
          <t>GÄVLEBORGS LÄN</t>
        </is>
      </c>
      <c r="E9542" t="inlineStr">
        <is>
          <t>LJUSDAL</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57949-2023</t>
        </is>
      </c>
      <c r="B9543" s="1" t="n">
        <v>45244</v>
      </c>
      <c r="C9543" s="1" t="n">
        <v>45344</v>
      </c>
      <c r="D9543" t="inlineStr">
        <is>
          <t>GÄVLEBORGS LÄN</t>
        </is>
      </c>
      <c r="E9543" t="inlineStr">
        <is>
          <t>HUDIKSVALL</t>
        </is>
      </c>
      <c r="G9543" t="n">
        <v>3.9</v>
      </c>
      <c r="H9543" t="n">
        <v>0</v>
      </c>
      <c r="I9543" t="n">
        <v>0</v>
      </c>
      <c r="J9543" t="n">
        <v>0</v>
      </c>
      <c r="K9543" t="n">
        <v>0</v>
      </c>
      <c r="L9543" t="n">
        <v>0</v>
      </c>
      <c r="M9543" t="n">
        <v>0</v>
      </c>
      <c r="N9543" t="n">
        <v>0</v>
      </c>
      <c r="O9543" t="n">
        <v>0</v>
      </c>
      <c r="P9543" t="n">
        <v>0</v>
      </c>
      <c r="Q9543" t="n">
        <v>0</v>
      </c>
      <c r="R9543" s="2" t="inlineStr"/>
    </row>
    <row r="9544" ht="15" customHeight="1">
      <c r="A9544" t="inlineStr">
        <is>
          <t>A 57095-2023</t>
        </is>
      </c>
      <c r="B9544" s="1" t="n">
        <v>45245</v>
      </c>
      <c r="C9544" s="1" t="n">
        <v>45344</v>
      </c>
      <c r="D9544" t="inlineStr">
        <is>
          <t>GÄVLEBORGS LÄN</t>
        </is>
      </c>
      <c r="E9544" t="inlineStr">
        <is>
          <t>SANDVIKEN</t>
        </is>
      </c>
      <c r="G9544" t="n">
        <v>4.8</v>
      </c>
      <c r="H9544" t="n">
        <v>0</v>
      </c>
      <c r="I9544" t="n">
        <v>0</v>
      </c>
      <c r="J9544" t="n">
        <v>0</v>
      </c>
      <c r="K9544" t="n">
        <v>0</v>
      </c>
      <c r="L9544" t="n">
        <v>0</v>
      </c>
      <c r="M9544" t="n">
        <v>0</v>
      </c>
      <c r="N9544" t="n">
        <v>0</v>
      </c>
      <c r="O9544" t="n">
        <v>0</v>
      </c>
      <c r="P9544" t="n">
        <v>0</v>
      </c>
      <c r="Q9544" t="n">
        <v>0</v>
      </c>
      <c r="R9544" s="2" t="inlineStr"/>
    </row>
    <row r="9545" ht="15" customHeight="1">
      <c r="A9545" t="inlineStr">
        <is>
          <t>A 57156-2023</t>
        </is>
      </c>
      <c r="B9545" s="1" t="n">
        <v>45245</v>
      </c>
      <c r="C9545" s="1" t="n">
        <v>45344</v>
      </c>
      <c r="D9545" t="inlineStr">
        <is>
          <t>GÄVLEBORGS LÄN</t>
        </is>
      </c>
      <c r="E9545" t="inlineStr">
        <is>
          <t>GÄVLE</t>
        </is>
      </c>
      <c r="F9545" t="inlineStr">
        <is>
          <t>Kyrkan</t>
        </is>
      </c>
      <c r="G9545" t="n">
        <v>3.3</v>
      </c>
      <c r="H9545" t="n">
        <v>0</v>
      </c>
      <c r="I9545" t="n">
        <v>0</v>
      </c>
      <c r="J9545" t="n">
        <v>0</v>
      </c>
      <c r="K9545" t="n">
        <v>0</v>
      </c>
      <c r="L9545" t="n">
        <v>0</v>
      </c>
      <c r="M9545" t="n">
        <v>0</v>
      </c>
      <c r="N9545" t="n">
        <v>0</v>
      </c>
      <c r="O9545" t="n">
        <v>0</v>
      </c>
      <c r="P9545" t="n">
        <v>0</v>
      </c>
      <c r="Q9545" t="n">
        <v>0</v>
      </c>
      <c r="R9545" s="2" t="inlineStr"/>
    </row>
    <row r="9546" ht="15" customHeight="1">
      <c r="A9546" t="inlineStr">
        <is>
          <t>A 57161-2023</t>
        </is>
      </c>
      <c r="B9546" s="1" t="n">
        <v>45245</v>
      </c>
      <c r="C9546" s="1" t="n">
        <v>45344</v>
      </c>
      <c r="D9546" t="inlineStr">
        <is>
          <t>GÄVLEBORGS LÄN</t>
        </is>
      </c>
      <c r="E9546" t="inlineStr">
        <is>
          <t>GÄVLE</t>
        </is>
      </c>
      <c r="F9546" t="inlineStr">
        <is>
          <t>Kyrkan</t>
        </is>
      </c>
      <c r="G9546" t="n">
        <v>5</v>
      </c>
      <c r="H9546" t="n">
        <v>0</v>
      </c>
      <c r="I9546" t="n">
        <v>0</v>
      </c>
      <c r="J9546" t="n">
        <v>0</v>
      </c>
      <c r="K9546" t="n">
        <v>0</v>
      </c>
      <c r="L9546" t="n">
        <v>0</v>
      </c>
      <c r="M9546" t="n">
        <v>0</v>
      </c>
      <c r="N9546" t="n">
        <v>0</v>
      </c>
      <c r="O9546" t="n">
        <v>0</v>
      </c>
      <c r="P9546" t="n">
        <v>0</v>
      </c>
      <c r="Q9546" t="n">
        <v>0</v>
      </c>
      <c r="R9546" s="2" t="inlineStr"/>
    </row>
    <row r="9547" ht="15" customHeight="1">
      <c r="A9547" t="inlineStr">
        <is>
          <t>A 57165-2023</t>
        </is>
      </c>
      <c r="B9547" s="1" t="n">
        <v>45245</v>
      </c>
      <c r="C9547" s="1" t="n">
        <v>45344</v>
      </c>
      <c r="D9547" t="inlineStr">
        <is>
          <t>GÄVLEBORGS LÄN</t>
        </is>
      </c>
      <c r="E9547" t="inlineStr">
        <is>
          <t>OVANÅKER</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57171-2023</t>
        </is>
      </c>
      <c r="B9548" s="1" t="n">
        <v>45245</v>
      </c>
      <c r="C9548" s="1" t="n">
        <v>45344</v>
      </c>
      <c r="D9548" t="inlineStr">
        <is>
          <t>GÄVLEBORGS LÄN</t>
        </is>
      </c>
      <c r="E9548" t="inlineStr">
        <is>
          <t>GÄVLE</t>
        </is>
      </c>
      <c r="F9548" t="inlineStr">
        <is>
          <t>Kyrkan</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57228-2023</t>
        </is>
      </c>
      <c r="B9549" s="1" t="n">
        <v>45245</v>
      </c>
      <c r="C9549" s="1" t="n">
        <v>45344</v>
      </c>
      <c r="D9549" t="inlineStr">
        <is>
          <t>GÄVLEBORGS LÄN</t>
        </is>
      </c>
      <c r="E9549" t="inlineStr">
        <is>
          <t>SANDVIKEN</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57341-2023</t>
        </is>
      </c>
      <c r="B9550" s="1" t="n">
        <v>45245</v>
      </c>
      <c r="C9550" s="1" t="n">
        <v>45344</v>
      </c>
      <c r="D9550" t="inlineStr">
        <is>
          <t>GÄVLEBORGS LÄN</t>
        </is>
      </c>
      <c r="E9550" t="inlineStr">
        <is>
          <t>GÄVLE</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57129-2023</t>
        </is>
      </c>
      <c r="B9551" s="1" t="n">
        <v>45245</v>
      </c>
      <c r="C9551" s="1" t="n">
        <v>45344</v>
      </c>
      <c r="D9551" t="inlineStr">
        <is>
          <t>GÄVLEBORGS LÄN</t>
        </is>
      </c>
      <c r="E9551" t="inlineStr">
        <is>
          <t>SANDVIKEN</t>
        </is>
      </c>
      <c r="F9551" t="inlineStr">
        <is>
          <t>Bergvik skog öst AB</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57177-2023</t>
        </is>
      </c>
      <c r="B9552" s="1" t="n">
        <v>45245</v>
      </c>
      <c r="C9552" s="1" t="n">
        <v>45344</v>
      </c>
      <c r="D9552" t="inlineStr">
        <is>
          <t>GÄVLEBORGS LÄN</t>
        </is>
      </c>
      <c r="E9552" t="inlineStr">
        <is>
          <t>GÄVLE</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57184-2023</t>
        </is>
      </c>
      <c r="B9553" s="1" t="n">
        <v>45245</v>
      </c>
      <c r="C9553" s="1" t="n">
        <v>45344</v>
      </c>
      <c r="D9553" t="inlineStr">
        <is>
          <t>GÄVLEBORGS LÄN</t>
        </is>
      </c>
      <c r="E9553" t="inlineStr">
        <is>
          <t>GÄVLE</t>
        </is>
      </c>
      <c r="F9553" t="inlineStr">
        <is>
          <t>Kyrkan</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57096-2023</t>
        </is>
      </c>
      <c r="B9554" s="1" t="n">
        <v>45245</v>
      </c>
      <c r="C9554" s="1" t="n">
        <v>45344</v>
      </c>
      <c r="D9554" t="inlineStr">
        <is>
          <t>GÄVLEBORGS LÄN</t>
        </is>
      </c>
      <c r="E9554" t="inlineStr">
        <is>
          <t>LJUSDAL</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57101-2023</t>
        </is>
      </c>
      <c r="B9555" s="1" t="n">
        <v>45245</v>
      </c>
      <c r="C9555" s="1" t="n">
        <v>45344</v>
      </c>
      <c r="D9555" t="inlineStr">
        <is>
          <t>GÄVLEBORGS LÄN</t>
        </is>
      </c>
      <c r="E9555" t="inlineStr">
        <is>
          <t>LJUSDAL</t>
        </is>
      </c>
      <c r="F9555" t="inlineStr">
        <is>
          <t>Holmen skog AB</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57227-2023</t>
        </is>
      </c>
      <c r="B9556" s="1" t="n">
        <v>45245</v>
      </c>
      <c r="C9556" s="1" t="n">
        <v>45344</v>
      </c>
      <c r="D9556" t="inlineStr">
        <is>
          <t>GÄVLEBORGS LÄN</t>
        </is>
      </c>
      <c r="E9556" t="inlineStr">
        <is>
          <t>SANDVIKEN</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57122-2023</t>
        </is>
      </c>
      <c r="B9557" s="1" t="n">
        <v>45245</v>
      </c>
      <c r="C9557" s="1" t="n">
        <v>45344</v>
      </c>
      <c r="D9557" t="inlineStr">
        <is>
          <t>GÄVLEBORGS LÄN</t>
        </is>
      </c>
      <c r="E9557" t="inlineStr">
        <is>
          <t>GÄVLE</t>
        </is>
      </c>
      <c r="F9557" t="inlineStr">
        <is>
          <t>Kyrkan</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57166-2023</t>
        </is>
      </c>
      <c r="B9558" s="1" t="n">
        <v>45245</v>
      </c>
      <c r="C9558" s="1" t="n">
        <v>45344</v>
      </c>
      <c r="D9558" t="inlineStr">
        <is>
          <t>GÄVLEBORGS LÄN</t>
        </is>
      </c>
      <c r="E9558" t="inlineStr">
        <is>
          <t>GÄVLE</t>
        </is>
      </c>
      <c r="G9558" t="n">
        <v>6.8</v>
      </c>
      <c r="H9558" t="n">
        <v>0</v>
      </c>
      <c r="I9558" t="n">
        <v>0</v>
      </c>
      <c r="J9558" t="n">
        <v>0</v>
      </c>
      <c r="K9558" t="n">
        <v>0</v>
      </c>
      <c r="L9558" t="n">
        <v>0</v>
      </c>
      <c r="M9558" t="n">
        <v>0</v>
      </c>
      <c r="N9558" t="n">
        <v>0</v>
      </c>
      <c r="O9558" t="n">
        <v>0</v>
      </c>
      <c r="P9558" t="n">
        <v>0</v>
      </c>
      <c r="Q9558" t="n">
        <v>0</v>
      </c>
      <c r="R9558" s="2" t="inlineStr"/>
    </row>
    <row r="9559" ht="15" customHeight="1">
      <c r="A9559" t="inlineStr">
        <is>
          <t>A 57172-2023</t>
        </is>
      </c>
      <c r="B9559" s="1" t="n">
        <v>45245</v>
      </c>
      <c r="C9559" s="1" t="n">
        <v>45344</v>
      </c>
      <c r="D9559" t="inlineStr">
        <is>
          <t>GÄVLEBORGS LÄN</t>
        </is>
      </c>
      <c r="E9559" t="inlineStr">
        <is>
          <t>HUDIKSVALL</t>
        </is>
      </c>
      <c r="F9559" t="inlineStr">
        <is>
          <t>Holmen skog AB</t>
        </is>
      </c>
      <c r="G9559" t="n">
        <v>22.5</v>
      </c>
      <c r="H9559" t="n">
        <v>0</v>
      </c>
      <c r="I9559" t="n">
        <v>0</v>
      </c>
      <c r="J9559" t="n">
        <v>0</v>
      </c>
      <c r="K9559" t="n">
        <v>0</v>
      </c>
      <c r="L9559" t="n">
        <v>0</v>
      </c>
      <c r="M9559" t="n">
        <v>0</v>
      </c>
      <c r="N9559" t="n">
        <v>0</v>
      </c>
      <c r="O9559" t="n">
        <v>0</v>
      </c>
      <c r="P9559" t="n">
        <v>0</v>
      </c>
      <c r="Q9559" t="n">
        <v>0</v>
      </c>
      <c r="R9559" s="2" t="inlineStr"/>
    </row>
    <row r="9560" ht="15" customHeight="1">
      <c r="A9560" t="inlineStr">
        <is>
          <t>A 57253-2023</t>
        </is>
      </c>
      <c r="B9560" s="1" t="n">
        <v>45245</v>
      </c>
      <c r="C9560" s="1" t="n">
        <v>45344</v>
      </c>
      <c r="D9560" t="inlineStr">
        <is>
          <t>GÄVLEBORGS LÄN</t>
        </is>
      </c>
      <c r="E9560" t="inlineStr">
        <is>
          <t>NORDANSTIG</t>
        </is>
      </c>
      <c r="F9560" t="inlineStr">
        <is>
          <t>Holmen skog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57087-2023</t>
        </is>
      </c>
      <c r="B9561" s="1" t="n">
        <v>45245</v>
      </c>
      <c r="C9561" s="1" t="n">
        <v>45344</v>
      </c>
      <c r="D9561" t="inlineStr">
        <is>
          <t>GÄVLEBORGS LÄN</t>
        </is>
      </c>
      <c r="E9561" t="inlineStr">
        <is>
          <t>SANDVIKEN</t>
        </is>
      </c>
      <c r="F9561" t="inlineStr">
        <is>
          <t>Bergvik skog öst AB</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57098-2023</t>
        </is>
      </c>
      <c r="B9562" s="1" t="n">
        <v>45245</v>
      </c>
      <c r="C9562" s="1" t="n">
        <v>45344</v>
      </c>
      <c r="D9562" t="inlineStr">
        <is>
          <t>GÄVLEBORGS LÄN</t>
        </is>
      </c>
      <c r="E9562" t="inlineStr">
        <is>
          <t>LJUSDAL</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57103-2023</t>
        </is>
      </c>
      <c r="B9563" s="1" t="n">
        <v>45245</v>
      </c>
      <c r="C9563" s="1" t="n">
        <v>45344</v>
      </c>
      <c r="D9563" t="inlineStr">
        <is>
          <t>GÄVLEBORGS LÄN</t>
        </is>
      </c>
      <c r="E9563" t="inlineStr">
        <is>
          <t>SÖDERHAMN</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57145-2023</t>
        </is>
      </c>
      <c r="B9564" s="1" t="n">
        <v>45245</v>
      </c>
      <c r="C9564" s="1" t="n">
        <v>45344</v>
      </c>
      <c r="D9564" t="inlineStr">
        <is>
          <t>GÄVLEBORGS LÄN</t>
        </is>
      </c>
      <c r="E9564" t="inlineStr">
        <is>
          <t>SANDVIKEN</t>
        </is>
      </c>
      <c r="F9564" t="inlineStr">
        <is>
          <t>Bergvik skog öst AB</t>
        </is>
      </c>
      <c r="G9564" t="n">
        <v>0.8</v>
      </c>
      <c r="H9564" t="n">
        <v>0</v>
      </c>
      <c r="I9564" t="n">
        <v>0</v>
      </c>
      <c r="J9564" t="n">
        <v>0</v>
      </c>
      <c r="K9564" t="n">
        <v>0</v>
      </c>
      <c r="L9564" t="n">
        <v>0</v>
      </c>
      <c r="M9564" t="n">
        <v>0</v>
      </c>
      <c r="N9564" t="n">
        <v>0</v>
      </c>
      <c r="O9564" t="n">
        <v>0</v>
      </c>
      <c r="P9564" t="n">
        <v>0</v>
      </c>
      <c r="Q9564" t="n">
        <v>0</v>
      </c>
      <c r="R9564" s="2" t="inlineStr"/>
    </row>
    <row r="9565" ht="15" customHeight="1">
      <c r="A9565" t="inlineStr">
        <is>
          <t>A 57163-2023</t>
        </is>
      </c>
      <c r="B9565" s="1" t="n">
        <v>45245</v>
      </c>
      <c r="C9565" s="1" t="n">
        <v>45344</v>
      </c>
      <c r="D9565" t="inlineStr">
        <is>
          <t>GÄVLEBORGS LÄN</t>
        </is>
      </c>
      <c r="E9565" t="inlineStr">
        <is>
          <t>SANDVIKEN</t>
        </is>
      </c>
      <c r="F9565" t="inlineStr">
        <is>
          <t>Bergvik skog öst AB</t>
        </is>
      </c>
      <c r="G9565" t="n">
        <v>3.5</v>
      </c>
      <c r="H9565" t="n">
        <v>0</v>
      </c>
      <c r="I9565" t="n">
        <v>0</v>
      </c>
      <c r="J9565" t="n">
        <v>0</v>
      </c>
      <c r="K9565" t="n">
        <v>0</v>
      </c>
      <c r="L9565" t="n">
        <v>0</v>
      </c>
      <c r="M9565" t="n">
        <v>0</v>
      </c>
      <c r="N9565" t="n">
        <v>0</v>
      </c>
      <c r="O9565" t="n">
        <v>0</v>
      </c>
      <c r="P9565" t="n">
        <v>0</v>
      </c>
      <c r="Q9565" t="n">
        <v>0</v>
      </c>
      <c r="R9565" s="2" t="inlineStr"/>
    </row>
    <row r="9566" ht="15" customHeight="1">
      <c r="A9566" t="inlineStr">
        <is>
          <t>A 57168-2023</t>
        </is>
      </c>
      <c r="B9566" s="1" t="n">
        <v>45245</v>
      </c>
      <c r="C9566" s="1" t="n">
        <v>45344</v>
      </c>
      <c r="D9566" t="inlineStr">
        <is>
          <t>GÄVLEBORGS LÄN</t>
        </is>
      </c>
      <c r="E9566" t="inlineStr">
        <is>
          <t>GÄVLE</t>
        </is>
      </c>
      <c r="F9566" t="inlineStr">
        <is>
          <t>Kyrkan</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58182-2023</t>
        </is>
      </c>
      <c r="B9567" s="1" t="n">
        <v>45245</v>
      </c>
      <c r="C9567" s="1" t="n">
        <v>45344</v>
      </c>
      <c r="D9567" t="inlineStr">
        <is>
          <t>GÄVLEBORGS LÄN</t>
        </is>
      </c>
      <c r="E9567" t="inlineStr">
        <is>
          <t>SANDVIKEN</t>
        </is>
      </c>
      <c r="G9567" t="n">
        <v>8.1</v>
      </c>
      <c r="H9567" t="n">
        <v>0</v>
      </c>
      <c r="I9567" t="n">
        <v>0</v>
      </c>
      <c r="J9567" t="n">
        <v>0</v>
      </c>
      <c r="K9567" t="n">
        <v>0</v>
      </c>
      <c r="L9567" t="n">
        <v>0</v>
      </c>
      <c r="M9567" t="n">
        <v>0</v>
      </c>
      <c r="N9567" t="n">
        <v>0</v>
      </c>
      <c r="O9567" t="n">
        <v>0</v>
      </c>
      <c r="P9567" t="n">
        <v>0</v>
      </c>
      <c r="Q9567" t="n">
        <v>0</v>
      </c>
      <c r="R9567" s="2" t="inlineStr"/>
    </row>
    <row r="9568" ht="15" customHeight="1">
      <c r="A9568" t="inlineStr">
        <is>
          <t>A 57479-2023</t>
        </is>
      </c>
      <c r="B9568" s="1" t="n">
        <v>45246</v>
      </c>
      <c r="C9568" s="1" t="n">
        <v>45344</v>
      </c>
      <c r="D9568" t="inlineStr">
        <is>
          <t>GÄVLEBORGS LÄN</t>
        </is>
      </c>
      <c r="E9568" t="inlineStr">
        <is>
          <t>LJUSDAL</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57510-2023</t>
        </is>
      </c>
      <c r="B9569" s="1" t="n">
        <v>45246</v>
      </c>
      <c r="C9569" s="1" t="n">
        <v>45344</v>
      </c>
      <c r="D9569" t="inlineStr">
        <is>
          <t>GÄVLEBORGS LÄN</t>
        </is>
      </c>
      <c r="E9569" t="inlineStr">
        <is>
          <t>BOLLNÄS</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57430-2023</t>
        </is>
      </c>
      <c r="B9570" s="1" t="n">
        <v>45246</v>
      </c>
      <c r="C9570" s="1" t="n">
        <v>45344</v>
      </c>
      <c r="D9570" t="inlineStr">
        <is>
          <t>GÄVLEBORGS LÄN</t>
        </is>
      </c>
      <c r="E9570" t="inlineStr">
        <is>
          <t>HUDIKSVALL</t>
        </is>
      </c>
      <c r="G9570" t="n">
        <v>6.2</v>
      </c>
      <c r="H9570" t="n">
        <v>0</v>
      </c>
      <c r="I9570" t="n">
        <v>0</v>
      </c>
      <c r="J9570" t="n">
        <v>0</v>
      </c>
      <c r="K9570" t="n">
        <v>0</v>
      </c>
      <c r="L9570" t="n">
        <v>0</v>
      </c>
      <c r="M9570" t="n">
        <v>0</v>
      </c>
      <c r="N9570" t="n">
        <v>0</v>
      </c>
      <c r="O9570" t="n">
        <v>0</v>
      </c>
      <c r="P9570" t="n">
        <v>0</v>
      </c>
      <c r="Q9570" t="n">
        <v>0</v>
      </c>
      <c r="R9570" s="2" t="inlineStr"/>
    </row>
    <row r="9571" ht="15" customHeight="1">
      <c r="A9571" t="inlineStr">
        <is>
          <t>A 57464-2023</t>
        </is>
      </c>
      <c r="B9571" s="1" t="n">
        <v>45246</v>
      </c>
      <c r="C9571" s="1" t="n">
        <v>45344</v>
      </c>
      <c r="D9571" t="inlineStr">
        <is>
          <t>GÄVLEBORGS LÄN</t>
        </is>
      </c>
      <c r="E9571" t="inlineStr">
        <is>
          <t>HUDIKSVALL</t>
        </is>
      </c>
      <c r="G9571" t="n">
        <v>4.7</v>
      </c>
      <c r="H9571" t="n">
        <v>0</v>
      </c>
      <c r="I9571" t="n">
        <v>0</v>
      </c>
      <c r="J9571" t="n">
        <v>0</v>
      </c>
      <c r="K9571" t="n">
        <v>0</v>
      </c>
      <c r="L9571" t="n">
        <v>0</v>
      </c>
      <c r="M9571" t="n">
        <v>0</v>
      </c>
      <c r="N9571" t="n">
        <v>0</v>
      </c>
      <c r="O9571" t="n">
        <v>0</v>
      </c>
      <c r="P9571" t="n">
        <v>0</v>
      </c>
      <c r="Q9571" t="n">
        <v>0</v>
      </c>
      <c r="R9571" s="2" t="inlineStr"/>
    </row>
    <row r="9572" ht="15" customHeight="1">
      <c r="A9572" t="inlineStr">
        <is>
          <t>A 57475-2023</t>
        </is>
      </c>
      <c r="B9572" s="1" t="n">
        <v>45246</v>
      </c>
      <c r="C9572" s="1" t="n">
        <v>45344</v>
      </c>
      <c r="D9572" t="inlineStr">
        <is>
          <t>GÄVLEBORGS LÄN</t>
        </is>
      </c>
      <c r="E9572" t="inlineStr">
        <is>
          <t>LJUSDAL</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57463-2023</t>
        </is>
      </c>
      <c r="B9573" s="1" t="n">
        <v>45246</v>
      </c>
      <c r="C9573" s="1" t="n">
        <v>45344</v>
      </c>
      <c r="D9573" t="inlineStr">
        <is>
          <t>GÄVLEBORGS LÄN</t>
        </is>
      </c>
      <c r="E9573" t="inlineStr">
        <is>
          <t>NORDANSTIG</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57488-2023</t>
        </is>
      </c>
      <c r="B9574" s="1" t="n">
        <v>45246</v>
      </c>
      <c r="C9574" s="1" t="n">
        <v>45344</v>
      </c>
      <c r="D9574" t="inlineStr">
        <is>
          <t>GÄVLEBORGS LÄN</t>
        </is>
      </c>
      <c r="E9574" t="inlineStr">
        <is>
          <t>NORDANSTIG</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57609-2023</t>
        </is>
      </c>
      <c r="B9575" s="1" t="n">
        <v>45246</v>
      </c>
      <c r="C9575" s="1" t="n">
        <v>45344</v>
      </c>
      <c r="D9575" t="inlineStr">
        <is>
          <t>GÄVLEBORGS LÄN</t>
        </is>
      </c>
      <c r="E9575" t="inlineStr">
        <is>
          <t>SANDVIKEN</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57500-2023</t>
        </is>
      </c>
      <c r="B9576" s="1" t="n">
        <v>45246</v>
      </c>
      <c r="C9576" s="1" t="n">
        <v>45344</v>
      </c>
      <c r="D9576" t="inlineStr">
        <is>
          <t>GÄVLEBORGS LÄN</t>
        </is>
      </c>
      <c r="E9576" t="inlineStr">
        <is>
          <t>SÖDERHAMN</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57505-2023</t>
        </is>
      </c>
      <c r="B9577" s="1" t="n">
        <v>45246</v>
      </c>
      <c r="C9577" s="1" t="n">
        <v>45344</v>
      </c>
      <c r="D9577" t="inlineStr">
        <is>
          <t>GÄVLEBORGS LÄN</t>
        </is>
      </c>
      <c r="E9577" t="inlineStr">
        <is>
          <t>BOLLNÄS</t>
        </is>
      </c>
      <c r="G9577" t="n">
        <v>6.5</v>
      </c>
      <c r="H9577" t="n">
        <v>0</v>
      </c>
      <c r="I9577" t="n">
        <v>0</v>
      </c>
      <c r="J9577" t="n">
        <v>0</v>
      </c>
      <c r="K9577" t="n">
        <v>0</v>
      </c>
      <c r="L9577" t="n">
        <v>0</v>
      </c>
      <c r="M9577" t="n">
        <v>0</v>
      </c>
      <c r="N9577" t="n">
        <v>0</v>
      </c>
      <c r="O9577" t="n">
        <v>0</v>
      </c>
      <c r="P9577" t="n">
        <v>0</v>
      </c>
      <c r="Q9577" t="n">
        <v>0</v>
      </c>
      <c r="R9577" s="2" t="inlineStr"/>
    </row>
    <row r="9578" ht="15" customHeight="1">
      <c r="A9578" t="inlineStr">
        <is>
          <t>A 57649-2023</t>
        </is>
      </c>
      <c r="B9578" s="1" t="n">
        <v>45246</v>
      </c>
      <c r="C9578" s="1" t="n">
        <v>45344</v>
      </c>
      <c r="D9578" t="inlineStr">
        <is>
          <t>GÄVLEBORGS LÄN</t>
        </is>
      </c>
      <c r="E9578" t="inlineStr">
        <is>
          <t>LJUSDAL</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57546-2023</t>
        </is>
      </c>
      <c r="B9579" s="1" t="n">
        <v>45246</v>
      </c>
      <c r="C9579" s="1" t="n">
        <v>45344</v>
      </c>
      <c r="D9579" t="inlineStr">
        <is>
          <t>GÄVLEBORGS LÄN</t>
        </is>
      </c>
      <c r="E9579" t="inlineStr">
        <is>
          <t>BOLLNÄS</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57594-2023</t>
        </is>
      </c>
      <c r="B9580" s="1" t="n">
        <v>45246</v>
      </c>
      <c r="C9580" s="1" t="n">
        <v>45344</v>
      </c>
      <c r="D9580" t="inlineStr">
        <is>
          <t>GÄVLEBORGS LÄN</t>
        </is>
      </c>
      <c r="E9580" t="inlineStr">
        <is>
          <t>SANDVIKEN</t>
        </is>
      </c>
      <c r="G9580" t="n">
        <v>1.3</v>
      </c>
      <c r="H9580" t="n">
        <v>0</v>
      </c>
      <c r="I9580" t="n">
        <v>0</v>
      </c>
      <c r="J9580" t="n">
        <v>0</v>
      </c>
      <c r="K9580" t="n">
        <v>0</v>
      </c>
      <c r="L9580" t="n">
        <v>0</v>
      </c>
      <c r="M9580" t="n">
        <v>0</v>
      </c>
      <c r="N9580" t="n">
        <v>0</v>
      </c>
      <c r="O9580" t="n">
        <v>0</v>
      </c>
      <c r="P9580" t="n">
        <v>0</v>
      </c>
      <c r="Q9580" t="n">
        <v>0</v>
      </c>
      <c r="R9580" s="2" t="inlineStr"/>
    </row>
    <row r="9581" ht="15" customHeight="1">
      <c r="A9581" t="inlineStr">
        <is>
          <t>A 57714-2023</t>
        </is>
      </c>
      <c r="B9581" s="1" t="n">
        <v>45246</v>
      </c>
      <c r="C9581" s="1" t="n">
        <v>45344</v>
      </c>
      <c r="D9581" t="inlineStr">
        <is>
          <t>GÄVLEBORGS LÄN</t>
        </is>
      </c>
      <c r="E9581" t="inlineStr">
        <is>
          <t>BOLLNÄS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57644-2023</t>
        </is>
      </c>
      <c r="B9582" s="1" t="n">
        <v>45246</v>
      </c>
      <c r="C9582" s="1" t="n">
        <v>45344</v>
      </c>
      <c r="D9582" t="inlineStr">
        <is>
          <t>GÄVLEBORGS LÄN</t>
        </is>
      </c>
      <c r="E9582" t="inlineStr">
        <is>
          <t>LJUSDAL</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57656-2023</t>
        </is>
      </c>
      <c r="B9583" s="1" t="n">
        <v>45246</v>
      </c>
      <c r="C9583" s="1" t="n">
        <v>45344</v>
      </c>
      <c r="D9583" t="inlineStr">
        <is>
          <t>GÄVLEBORGS LÄN</t>
        </is>
      </c>
      <c r="E9583" t="inlineStr">
        <is>
          <t>NORDANSTIG</t>
        </is>
      </c>
      <c r="F9583" t="inlineStr">
        <is>
          <t>Holmen skog AB</t>
        </is>
      </c>
      <c r="G9583" t="n">
        <v>10</v>
      </c>
      <c r="H9583" t="n">
        <v>0</v>
      </c>
      <c r="I9583" t="n">
        <v>0</v>
      </c>
      <c r="J9583" t="n">
        <v>0</v>
      </c>
      <c r="K9583" t="n">
        <v>0</v>
      </c>
      <c r="L9583" t="n">
        <v>0</v>
      </c>
      <c r="M9583" t="n">
        <v>0</v>
      </c>
      <c r="N9583" t="n">
        <v>0</v>
      </c>
      <c r="O9583" t="n">
        <v>0</v>
      </c>
      <c r="P9583" t="n">
        <v>0</v>
      </c>
      <c r="Q9583" t="n">
        <v>0</v>
      </c>
      <c r="R9583" s="2" t="inlineStr"/>
    </row>
    <row r="9584" ht="15" customHeight="1">
      <c r="A9584" t="inlineStr">
        <is>
          <t>A 57753-2023</t>
        </is>
      </c>
      <c r="B9584" s="1" t="n">
        <v>45246</v>
      </c>
      <c r="C9584" s="1" t="n">
        <v>45344</v>
      </c>
      <c r="D9584" t="inlineStr">
        <is>
          <t>GÄVLEBORGS LÄN</t>
        </is>
      </c>
      <c r="E9584" t="inlineStr">
        <is>
          <t>SÖDERHAMN</t>
        </is>
      </c>
      <c r="G9584" t="n">
        <v>1.4</v>
      </c>
      <c r="H9584" t="n">
        <v>0</v>
      </c>
      <c r="I9584" t="n">
        <v>0</v>
      </c>
      <c r="J9584" t="n">
        <v>0</v>
      </c>
      <c r="K9584" t="n">
        <v>0</v>
      </c>
      <c r="L9584" t="n">
        <v>0</v>
      </c>
      <c r="M9584" t="n">
        <v>0</v>
      </c>
      <c r="N9584" t="n">
        <v>0</v>
      </c>
      <c r="O9584" t="n">
        <v>0</v>
      </c>
      <c r="P9584" t="n">
        <v>0</v>
      </c>
      <c r="Q9584" t="n">
        <v>0</v>
      </c>
      <c r="R9584" s="2" t="inlineStr"/>
    </row>
    <row r="9585" ht="15" customHeight="1">
      <c r="A9585" t="inlineStr">
        <is>
          <t>A 57796-2023</t>
        </is>
      </c>
      <c r="B9585" s="1" t="n">
        <v>45246</v>
      </c>
      <c r="C9585" s="1" t="n">
        <v>45344</v>
      </c>
      <c r="D9585" t="inlineStr">
        <is>
          <t>GÄVLEBORGS LÄN</t>
        </is>
      </c>
      <c r="E9585" t="inlineStr">
        <is>
          <t>NORDANSTIG</t>
        </is>
      </c>
      <c r="F9585" t="inlineStr">
        <is>
          <t>SCA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57840-2023</t>
        </is>
      </c>
      <c r="B9586" s="1" t="n">
        <v>45247</v>
      </c>
      <c r="C9586" s="1" t="n">
        <v>45344</v>
      </c>
      <c r="D9586" t="inlineStr">
        <is>
          <t>GÄVLEBORGS LÄN</t>
        </is>
      </c>
      <c r="E9586" t="inlineStr">
        <is>
          <t>LJUSDAL</t>
        </is>
      </c>
      <c r="G9586" t="n">
        <v>10.2</v>
      </c>
      <c r="H9586" t="n">
        <v>0</v>
      </c>
      <c r="I9586" t="n">
        <v>0</v>
      </c>
      <c r="J9586" t="n">
        <v>0</v>
      </c>
      <c r="K9586" t="n">
        <v>0</v>
      </c>
      <c r="L9586" t="n">
        <v>0</v>
      </c>
      <c r="M9586" t="n">
        <v>0</v>
      </c>
      <c r="N9586" t="n">
        <v>0</v>
      </c>
      <c r="O9586" t="n">
        <v>0</v>
      </c>
      <c r="P9586" t="n">
        <v>0</v>
      </c>
      <c r="Q9586" t="n">
        <v>0</v>
      </c>
      <c r="R9586" s="2" t="inlineStr"/>
    </row>
    <row r="9587" ht="15" customHeight="1">
      <c r="A9587" t="inlineStr">
        <is>
          <t>A 57891-2023</t>
        </is>
      </c>
      <c r="B9587" s="1" t="n">
        <v>45247</v>
      </c>
      <c r="C9587" s="1" t="n">
        <v>45344</v>
      </c>
      <c r="D9587" t="inlineStr">
        <is>
          <t>GÄVLEBORGS LÄN</t>
        </is>
      </c>
      <c r="E9587" t="inlineStr">
        <is>
          <t>HUDIKSVALL</t>
        </is>
      </c>
      <c r="F9587" t="inlineStr">
        <is>
          <t>Holmen skog AB</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57871-2023</t>
        </is>
      </c>
      <c r="B9588" s="1" t="n">
        <v>45247</v>
      </c>
      <c r="C9588" s="1" t="n">
        <v>45344</v>
      </c>
      <c r="D9588" t="inlineStr">
        <is>
          <t>GÄVLEBORGS LÄN</t>
        </is>
      </c>
      <c r="E9588" t="inlineStr">
        <is>
          <t>HUDIKSVALL</t>
        </is>
      </c>
      <c r="F9588" t="inlineStr">
        <is>
          <t>Holmen skog AB</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57899-2023</t>
        </is>
      </c>
      <c r="B9589" s="1" t="n">
        <v>45247</v>
      </c>
      <c r="C9589" s="1" t="n">
        <v>45344</v>
      </c>
      <c r="D9589" t="inlineStr">
        <is>
          <t>GÄVLEBORGS LÄN</t>
        </is>
      </c>
      <c r="E9589" t="inlineStr">
        <is>
          <t>OCKELBO</t>
        </is>
      </c>
      <c r="F9589" t="inlineStr">
        <is>
          <t>Bergvik skog väst AB</t>
        </is>
      </c>
      <c r="G9589" t="n">
        <v>14.2</v>
      </c>
      <c r="H9589" t="n">
        <v>0</v>
      </c>
      <c r="I9589" t="n">
        <v>0</v>
      </c>
      <c r="J9589" t="n">
        <v>0</v>
      </c>
      <c r="K9589" t="n">
        <v>0</v>
      </c>
      <c r="L9589" t="n">
        <v>0</v>
      </c>
      <c r="M9589" t="n">
        <v>0</v>
      </c>
      <c r="N9589" t="n">
        <v>0</v>
      </c>
      <c r="O9589" t="n">
        <v>0</v>
      </c>
      <c r="P9589" t="n">
        <v>0</v>
      </c>
      <c r="Q9589" t="n">
        <v>0</v>
      </c>
      <c r="R9589" s="2" t="inlineStr"/>
    </row>
    <row r="9590" ht="15" customHeight="1">
      <c r="A9590" t="inlineStr">
        <is>
          <t>A 57935-2023</t>
        </is>
      </c>
      <c r="B9590" s="1" t="n">
        <v>45247</v>
      </c>
      <c r="C9590" s="1" t="n">
        <v>45344</v>
      </c>
      <c r="D9590" t="inlineStr">
        <is>
          <t>GÄVLEBORGS LÄN</t>
        </is>
      </c>
      <c r="E9590" t="inlineStr">
        <is>
          <t>OCKELBO</t>
        </is>
      </c>
      <c r="F9590" t="inlineStr">
        <is>
          <t>Bergvik skog väst AB</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57940-2023</t>
        </is>
      </c>
      <c r="B9591" s="1" t="n">
        <v>45247</v>
      </c>
      <c r="C9591" s="1" t="n">
        <v>45344</v>
      </c>
      <c r="D9591" t="inlineStr">
        <is>
          <t>GÄVLEBORGS LÄN</t>
        </is>
      </c>
      <c r="E9591" t="inlineStr">
        <is>
          <t>OCKELBO</t>
        </is>
      </c>
      <c r="F9591" t="inlineStr">
        <is>
          <t>Bergvik skog väst AB</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57951-2023</t>
        </is>
      </c>
      <c r="B9592" s="1" t="n">
        <v>45247</v>
      </c>
      <c r="C9592" s="1" t="n">
        <v>45344</v>
      </c>
      <c r="D9592" t="inlineStr">
        <is>
          <t>GÄVLEBORGS LÄN</t>
        </is>
      </c>
      <c r="E9592" t="inlineStr">
        <is>
          <t>OCKELBO</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58856-2023</t>
        </is>
      </c>
      <c r="B9593" s="1" t="n">
        <v>45247</v>
      </c>
      <c r="C9593" s="1" t="n">
        <v>45344</v>
      </c>
      <c r="D9593" t="inlineStr">
        <is>
          <t>GÄVLEBORGS LÄN</t>
        </is>
      </c>
      <c r="E9593" t="inlineStr">
        <is>
          <t>HUDIKSVALL</t>
        </is>
      </c>
      <c r="F9593" t="inlineStr">
        <is>
          <t>Holmen skog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57997-2023</t>
        </is>
      </c>
      <c r="B9594" s="1" t="n">
        <v>45247</v>
      </c>
      <c r="C9594" s="1" t="n">
        <v>45344</v>
      </c>
      <c r="D9594" t="inlineStr">
        <is>
          <t>GÄVLEBORGS LÄN</t>
        </is>
      </c>
      <c r="E9594" t="inlineStr">
        <is>
          <t>LJUSDAL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57857-2023</t>
        </is>
      </c>
      <c r="B9595" s="1" t="n">
        <v>45247</v>
      </c>
      <c r="C9595" s="1" t="n">
        <v>45344</v>
      </c>
      <c r="D9595" t="inlineStr">
        <is>
          <t>GÄVLEBORGS LÄN</t>
        </is>
      </c>
      <c r="E9595" t="inlineStr">
        <is>
          <t>GÄVLE</t>
        </is>
      </c>
      <c r="F9595" t="inlineStr">
        <is>
          <t>Bergvik skog öst AB</t>
        </is>
      </c>
      <c r="G9595" t="n">
        <v>5.4</v>
      </c>
      <c r="H9595" t="n">
        <v>0</v>
      </c>
      <c r="I9595" t="n">
        <v>0</v>
      </c>
      <c r="J9595" t="n">
        <v>0</v>
      </c>
      <c r="K9595" t="n">
        <v>0</v>
      </c>
      <c r="L9595" t="n">
        <v>0</v>
      </c>
      <c r="M9595" t="n">
        <v>0</v>
      </c>
      <c r="N9595" t="n">
        <v>0</v>
      </c>
      <c r="O9595" t="n">
        <v>0</v>
      </c>
      <c r="P9595" t="n">
        <v>0</v>
      </c>
      <c r="Q9595" t="n">
        <v>0</v>
      </c>
      <c r="R9595" s="2" t="inlineStr"/>
    </row>
    <row r="9596" ht="15" customHeight="1">
      <c r="A9596" t="inlineStr">
        <is>
          <t>A 57822-2023</t>
        </is>
      </c>
      <c r="B9596" s="1" t="n">
        <v>45247</v>
      </c>
      <c r="C9596" s="1" t="n">
        <v>45344</v>
      </c>
      <c r="D9596" t="inlineStr">
        <is>
          <t>GÄVLEBORGS LÄN</t>
        </is>
      </c>
      <c r="E9596" t="inlineStr">
        <is>
          <t>HUDIKSVALL</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57815-2023</t>
        </is>
      </c>
      <c r="B9597" s="1" t="n">
        <v>45247</v>
      </c>
      <c r="C9597" s="1" t="n">
        <v>45344</v>
      </c>
      <c r="D9597" t="inlineStr">
        <is>
          <t>GÄVLEBORGS LÄN</t>
        </is>
      </c>
      <c r="E9597" t="inlineStr">
        <is>
          <t>HUDIKSVALL</t>
        </is>
      </c>
      <c r="F9597" t="inlineStr">
        <is>
          <t>Holmen skog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58103-2023</t>
        </is>
      </c>
      <c r="B9598" s="1" t="n">
        <v>45249</v>
      </c>
      <c r="C9598" s="1" t="n">
        <v>45344</v>
      </c>
      <c r="D9598" t="inlineStr">
        <is>
          <t>GÄVLEBORGS LÄN</t>
        </is>
      </c>
      <c r="E9598" t="inlineStr">
        <is>
          <t>LJUSDAL</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58104-2023</t>
        </is>
      </c>
      <c r="B9599" s="1" t="n">
        <v>45249</v>
      </c>
      <c r="C9599" s="1" t="n">
        <v>45344</v>
      </c>
      <c r="D9599" t="inlineStr">
        <is>
          <t>GÄVLEBORGS LÄN</t>
        </is>
      </c>
      <c r="E9599" t="inlineStr">
        <is>
          <t>LJUSDAL</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58165-2023</t>
        </is>
      </c>
      <c r="B9600" s="1" t="n">
        <v>45250</v>
      </c>
      <c r="C9600" s="1" t="n">
        <v>45344</v>
      </c>
      <c r="D9600" t="inlineStr">
        <is>
          <t>GÄVLEBORGS LÄN</t>
        </is>
      </c>
      <c r="E9600" t="inlineStr">
        <is>
          <t>NORDANSTIG</t>
        </is>
      </c>
      <c r="G9600" t="n">
        <v>2.8</v>
      </c>
      <c r="H9600" t="n">
        <v>0</v>
      </c>
      <c r="I9600" t="n">
        <v>0</v>
      </c>
      <c r="J9600" t="n">
        <v>0</v>
      </c>
      <c r="K9600" t="n">
        <v>0</v>
      </c>
      <c r="L9600" t="n">
        <v>0</v>
      </c>
      <c r="M9600" t="n">
        <v>0</v>
      </c>
      <c r="N9600" t="n">
        <v>0</v>
      </c>
      <c r="O9600" t="n">
        <v>0</v>
      </c>
      <c r="P9600" t="n">
        <v>0</v>
      </c>
      <c r="Q9600" t="n">
        <v>0</v>
      </c>
      <c r="R9600" s="2" t="inlineStr"/>
    </row>
    <row r="9601" ht="15" customHeight="1">
      <c r="A9601" t="inlineStr">
        <is>
          <t>A 58151-2023</t>
        </is>
      </c>
      <c r="B9601" s="1" t="n">
        <v>45250</v>
      </c>
      <c r="C9601" s="1" t="n">
        <v>45344</v>
      </c>
      <c r="D9601" t="inlineStr">
        <is>
          <t>GÄVLEBORGS LÄN</t>
        </is>
      </c>
      <c r="E9601" t="inlineStr">
        <is>
          <t>SANDVIKEN</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58230-2023</t>
        </is>
      </c>
      <c r="B9602" s="1" t="n">
        <v>45250</v>
      </c>
      <c r="C9602" s="1" t="n">
        <v>45344</v>
      </c>
      <c r="D9602" t="inlineStr">
        <is>
          <t>GÄVLEBORGS LÄN</t>
        </is>
      </c>
      <c r="E9602" t="inlineStr">
        <is>
          <t>OCKELBO</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58153-2023</t>
        </is>
      </c>
      <c r="B9603" s="1" t="n">
        <v>45250</v>
      </c>
      <c r="C9603" s="1" t="n">
        <v>45344</v>
      </c>
      <c r="D9603" t="inlineStr">
        <is>
          <t>GÄVLEBORGS LÄN</t>
        </is>
      </c>
      <c r="E9603" t="inlineStr">
        <is>
          <t>GÄVLE</t>
        </is>
      </c>
      <c r="F9603" t="inlineStr">
        <is>
          <t>Kyrkan</t>
        </is>
      </c>
      <c r="G9603" t="n">
        <v>12.6</v>
      </c>
      <c r="H9603" t="n">
        <v>0</v>
      </c>
      <c r="I9603" t="n">
        <v>0</v>
      </c>
      <c r="J9603" t="n">
        <v>0</v>
      </c>
      <c r="K9603" t="n">
        <v>0</v>
      </c>
      <c r="L9603" t="n">
        <v>0</v>
      </c>
      <c r="M9603" t="n">
        <v>0</v>
      </c>
      <c r="N9603" t="n">
        <v>0</v>
      </c>
      <c r="O9603" t="n">
        <v>0</v>
      </c>
      <c r="P9603" t="n">
        <v>0</v>
      </c>
      <c r="Q9603" t="n">
        <v>0</v>
      </c>
      <c r="R9603" s="2" t="inlineStr"/>
    </row>
    <row r="9604" ht="15" customHeight="1">
      <c r="A9604" t="inlineStr">
        <is>
          <t>A 58166-2023</t>
        </is>
      </c>
      <c r="B9604" s="1" t="n">
        <v>45250</v>
      </c>
      <c r="C9604" s="1" t="n">
        <v>45344</v>
      </c>
      <c r="D9604" t="inlineStr">
        <is>
          <t>GÄVLEBORGS LÄN</t>
        </is>
      </c>
      <c r="E9604" t="inlineStr">
        <is>
          <t>BOLLNÄS</t>
        </is>
      </c>
      <c r="G9604" t="n">
        <v>2.4</v>
      </c>
      <c r="H9604" t="n">
        <v>0</v>
      </c>
      <c r="I9604" t="n">
        <v>0</v>
      </c>
      <c r="J9604" t="n">
        <v>0</v>
      </c>
      <c r="K9604" t="n">
        <v>0</v>
      </c>
      <c r="L9604" t="n">
        <v>0</v>
      </c>
      <c r="M9604" t="n">
        <v>0</v>
      </c>
      <c r="N9604" t="n">
        <v>0</v>
      </c>
      <c r="O9604" t="n">
        <v>0</v>
      </c>
      <c r="P9604" t="n">
        <v>0</v>
      </c>
      <c r="Q9604" t="n">
        <v>0</v>
      </c>
      <c r="R9604" s="2" t="inlineStr"/>
    </row>
    <row r="9605" ht="15" customHeight="1">
      <c r="A9605" t="inlineStr">
        <is>
          <t>A 58239-2023</t>
        </is>
      </c>
      <c r="B9605" s="1" t="n">
        <v>45250</v>
      </c>
      <c r="C9605" s="1" t="n">
        <v>45344</v>
      </c>
      <c r="D9605" t="inlineStr">
        <is>
          <t>GÄVLEBORGS LÄN</t>
        </is>
      </c>
      <c r="E9605" t="inlineStr">
        <is>
          <t>BOLLNÄS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58309-2023</t>
        </is>
      </c>
      <c r="B9606" s="1" t="n">
        <v>45250</v>
      </c>
      <c r="C9606" s="1" t="n">
        <v>45344</v>
      </c>
      <c r="D9606" t="inlineStr">
        <is>
          <t>GÄVLEBORGS LÄN</t>
        </is>
      </c>
      <c r="E9606" t="inlineStr">
        <is>
          <t>LJUSDAL</t>
        </is>
      </c>
      <c r="G9606" t="n">
        <v>4.2</v>
      </c>
      <c r="H9606" t="n">
        <v>0</v>
      </c>
      <c r="I9606" t="n">
        <v>0</v>
      </c>
      <c r="J9606" t="n">
        <v>0</v>
      </c>
      <c r="K9606" t="n">
        <v>0</v>
      </c>
      <c r="L9606" t="n">
        <v>0</v>
      </c>
      <c r="M9606" t="n">
        <v>0</v>
      </c>
      <c r="N9606" t="n">
        <v>0</v>
      </c>
      <c r="O9606" t="n">
        <v>0</v>
      </c>
      <c r="P9606" t="n">
        <v>0</v>
      </c>
      <c r="Q9606" t="n">
        <v>0</v>
      </c>
      <c r="R9606" s="2" t="inlineStr"/>
    </row>
    <row r="9607" ht="15" customHeight="1">
      <c r="A9607" t="inlineStr">
        <is>
          <t>A 58908-2023</t>
        </is>
      </c>
      <c r="B9607" s="1" t="n">
        <v>45250</v>
      </c>
      <c r="C9607" s="1" t="n">
        <v>45344</v>
      </c>
      <c r="D9607" t="inlineStr">
        <is>
          <t>GÄVLEBORGS LÄN</t>
        </is>
      </c>
      <c r="E9607" t="inlineStr">
        <is>
          <t>SANDVIKEN</t>
        </is>
      </c>
      <c r="G9607" t="n">
        <v>1.9</v>
      </c>
      <c r="H9607" t="n">
        <v>0</v>
      </c>
      <c r="I9607" t="n">
        <v>0</v>
      </c>
      <c r="J9607" t="n">
        <v>0</v>
      </c>
      <c r="K9607" t="n">
        <v>0</v>
      </c>
      <c r="L9607" t="n">
        <v>0</v>
      </c>
      <c r="M9607" t="n">
        <v>0</v>
      </c>
      <c r="N9607" t="n">
        <v>0</v>
      </c>
      <c r="O9607" t="n">
        <v>0</v>
      </c>
      <c r="P9607" t="n">
        <v>0</v>
      </c>
      <c r="Q9607" t="n">
        <v>0</v>
      </c>
      <c r="R9607" s="2" t="inlineStr"/>
    </row>
    <row r="9608" ht="15" customHeight="1">
      <c r="A9608" t="inlineStr">
        <is>
          <t>A 58353-2023</t>
        </is>
      </c>
      <c r="B9608" s="1" t="n">
        <v>45250</v>
      </c>
      <c r="C9608" s="1" t="n">
        <v>45344</v>
      </c>
      <c r="D9608" t="inlineStr">
        <is>
          <t>GÄVLEBORGS LÄN</t>
        </is>
      </c>
      <c r="E9608" t="inlineStr">
        <is>
          <t>SANDVIKEN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58369-2023</t>
        </is>
      </c>
      <c r="B9609" s="1" t="n">
        <v>45250</v>
      </c>
      <c r="C9609" s="1" t="n">
        <v>45344</v>
      </c>
      <c r="D9609" t="inlineStr">
        <is>
          <t>GÄVLEBORGS LÄN</t>
        </is>
      </c>
      <c r="E9609" t="inlineStr">
        <is>
          <t>HOFORS</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58373-2023</t>
        </is>
      </c>
      <c r="B9610" s="1" t="n">
        <v>45250</v>
      </c>
      <c r="C9610" s="1" t="n">
        <v>45344</v>
      </c>
      <c r="D9610" t="inlineStr">
        <is>
          <t>GÄVLEBORGS LÄN</t>
        </is>
      </c>
      <c r="E9610" t="inlineStr">
        <is>
          <t>HOFORS</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58419-2023</t>
        </is>
      </c>
      <c r="B9611" s="1" t="n">
        <v>45250</v>
      </c>
      <c r="C9611" s="1" t="n">
        <v>45344</v>
      </c>
      <c r="D9611" t="inlineStr">
        <is>
          <t>GÄVLEBORGS LÄN</t>
        </is>
      </c>
      <c r="E9611" t="inlineStr">
        <is>
          <t>SANDVIKEN</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58327-2023</t>
        </is>
      </c>
      <c r="B9612" s="1" t="n">
        <v>45250</v>
      </c>
      <c r="C9612" s="1" t="n">
        <v>45344</v>
      </c>
      <c r="D9612" t="inlineStr">
        <is>
          <t>GÄVLEBORGS LÄN</t>
        </is>
      </c>
      <c r="E9612" t="inlineStr">
        <is>
          <t>HUDIKSVALL</t>
        </is>
      </c>
      <c r="F9612" t="inlineStr">
        <is>
          <t>Holmen skog AB</t>
        </is>
      </c>
      <c r="G9612" t="n">
        <v>4.6</v>
      </c>
      <c r="H9612" t="n">
        <v>0</v>
      </c>
      <c r="I9612" t="n">
        <v>0</v>
      </c>
      <c r="J9612" t="n">
        <v>0</v>
      </c>
      <c r="K9612" t="n">
        <v>0</v>
      </c>
      <c r="L9612" t="n">
        <v>0</v>
      </c>
      <c r="M9612" t="n">
        <v>0</v>
      </c>
      <c r="N9612" t="n">
        <v>0</v>
      </c>
      <c r="O9612" t="n">
        <v>0</v>
      </c>
      <c r="P9612" t="n">
        <v>0</v>
      </c>
      <c r="Q9612" t="n">
        <v>0</v>
      </c>
      <c r="R9612" s="2" t="inlineStr"/>
    </row>
    <row r="9613" ht="15" customHeight="1">
      <c r="A9613" t="inlineStr">
        <is>
          <t>A 58351-2023</t>
        </is>
      </c>
      <c r="B9613" s="1" t="n">
        <v>45250</v>
      </c>
      <c r="C9613" s="1" t="n">
        <v>45344</v>
      </c>
      <c r="D9613" t="inlineStr">
        <is>
          <t>GÄVLEBORGS LÄN</t>
        </is>
      </c>
      <c r="E9613" t="inlineStr">
        <is>
          <t>SÖDERHAMN</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59014-2023</t>
        </is>
      </c>
      <c r="B9614" s="1" t="n">
        <v>45250</v>
      </c>
      <c r="C9614" s="1" t="n">
        <v>45344</v>
      </c>
      <c r="D9614" t="inlineStr">
        <is>
          <t>GÄVLEBORGS LÄN</t>
        </is>
      </c>
      <c r="E9614" t="inlineStr">
        <is>
          <t>OCKELBO</t>
        </is>
      </c>
      <c r="G9614" t="n">
        <v>6</v>
      </c>
      <c r="H9614" t="n">
        <v>0</v>
      </c>
      <c r="I9614" t="n">
        <v>0</v>
      </c>
      <c r="J9614" t="n">
        <v>0</v>
      </c>
      <c r="K9614" t="n">
        <v>0</v>
      </c>
      <c r="L9614" t="n">
        <v>0</v>
      </c>
      <c r="M9614" t="n">
        <v>0</v>
      </c>
      <c r="N9614" t="n">
        <v>0</v>
      </c>
      <c r="O9614" t="n">
        <v>0</v>
      </c>
      <c r="P9614" t="n">
        <v>0</v>
      </c>
      <c r="Q9614" t="n">
        <v>0</v>
      </c>
      <c r="R9614" s="2" t="inlineStr"/>
    </row>
    <row r="9615" ht="15" customHeight="1">
      <c r="A9615" t="inlineStr">
        <is>
          <t>A 58911-2023</t>
        </is>
      </c>
      <c r="B9615" s="1" t="n">
        <v>45250</v>
      </c>
      <c r="C9615" s="1" t="n">
        <v>45344</v>
      </c>
      <c r="D9615" t="inlineStr">
        <is>
          <t>GÄVLEBORGS LÄN</t>
        </is>
      </c>
      <c r="E9615" t="inlineStr">
        <is>
          <t>SANDVIKEN</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58506-2023</t>
        </is>
      </c>
      <c r="B9616" s="1" t="n">
        <v>45251</v>
      </c>
      <c r="C9616" s="1" t="n">
        <v>45344</v>
      </c>
      <c r="D9616" t="inlineStr">
        <is>
          <t>GÄVLEBORGS LÄN</t>
        </is>
      </c>
      <c r="E9616" t="inlineStr">
        <is>
          <t>BOLLNÄS</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58483-2023</t>
        </is>
      </c>
      <c r="B9617" s="1" t="n">
        <v>45251</v>
      </c>
      <c r="C9617" s="1" t="n">
        <v>45344</v>
      </c>
      <c r="D9617" t="inlineStr">
        <is>
          <t>GÄVLEBORGS LÄN</t>
        </is>
      </c>
      <c r="E9617" t="inlineStr">
        <is>
          <t>SÖDERHAMN</t>
        </is>
      </c>
      <c r="F9617" t="inlineStr">
        <is>
          <t>Bergvik skog väst AB</t>
        </is>
      </c>
      <c r="G9617" t="n">
        <v>1.6</v>
      </c>
      <c r="H9617" t="n">
        <v>0</v>
      </c>
      <c r="I9617" t="n">
        <v>0</v>
      </c>
      <c r="J9617" t="n">
        <v>0</v>
      </c>
      <c r="K9617" t="n">
        <v>0</v>
      </c>
      <c r="L9617" t="n">
        <v>0</v>
      </c>
      <c r="M9617" t="n">
        <v>0</v>
      </c>
      <c r="N9617" t="n">
        <v>0</v>
      </c>
      <c r="O9617" t="n">
        <v>0</v>
      </c>
      <c r="P9617" t="n">
        <v>0</v>
      </c>
      <c r="Q9617" t="n">
        <v>0</v>
      </c>
      <c r="R9617" s="2" t="inlineStr"/>
    </row>
    <row r="9618" ht="15" customHeight="1">
      <c r="A9618" t="inlineStr">
        <is>
          <t>A 58544-2023</t>
        </is>
      </c>
      <c r="B9618" s="1" t="n">
        <v>45251</v>
      </c>
      <c r="C9618" s="1" t="n">
        <v>45344</v>
      </c>
      <c r="D9618" t="inlineStr">
        <is>
          <t>GÄVLEBORGS LÄN</t>
        </is>
      </c>
      <c r="E9618" t="inlineStr">
        <is>
          <t>SÖDERHAMN</t>
        </is>
      </c>
      <c r="F9618" t="inlineStr">
        <is>
          <t>Bergvik skog väst AB</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58543-2023</t>
        </is>
      </c>
      <c r="B9619" s="1" t="n">
        <v>45251</v>
      </c>
      <c r="C9619" s="1" t="n">
        <v>45344</v>
      </c>
      <c r="D9619" t="inlineStr">
        <is>
          <t>GÄVLEBORGS LÄN</t>
        </is>
      </c>
      <c r="E9619" t="inlineStr">
        <is>
          <t>OVANÅKER</t>
        </is>
      </c>
      <c r="G9619" t="n">
        <v>26.8</v>
      </c>
      <c r="H9619" t="n">
        <v>0</v>
      </c>
      <c r="I9619" t="n">
        <v>0</v>
      </c>
      <c r="J9619" t="n">
        <v>0</v>
      </c>
      <c r="K9619" t="n">
        <v>0</v>
      </c>
      <c r="L9619" t="n">
        <v>0</v>
      </c>
      <c r="M9619" t="n">
        <v>0</v>
      </c>
      <c r="N9619" t="n">
        <v>0</v>
      </c>
      <c r="O9619" t="n">
        <v>0</v>
      </c>
      <c r="P9619" t="n">
        <v>0</v>
      </c>
      <c r="Q9619" t="n">
        <v>0</v>
      </c>
      <c r="R9619" s="2" t="inlineStr"/>
    </row>
    <row r="9620" ht="15" customHeight="1">
      <c r="A9620" t="inlineStr">
        <is>
          <t>A 58562-2023</t>
        </is>
      </c>
      <c r="B9620" s="1" t="n">
        <v>45251</v>
      </c>
      <c r="C9620" s="1" t="n">
        <v>45344</v>
      </c>
      <c r="D9620" t="inlineStr">
        <is>
          <t>GÄVLEBORGS LÄN</t>
        </is>
      </c>
      <c r="E9620" t="inlineStr">
        <is>
          <t>SANDVIKEN</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58610-2023</t>
        </is>
      </c>
      <c r="B9621" s="1" t="n">
        <v>45251</v>
      </c>
      <c r="C9621" s="1" t="n">
        <v>45344</v>
      </c>
      <c r="D9621" t="inlineStr">
        <is>
          <t>GÄVLEBORGS LÄN</t>
        </is>
      </c>
      <c r="E9621" t="inlineStr">
        <is>
          <t>SÖDERHAMN</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58622-2023</t>
        </is>
      </c>
      <c r="B9622" s="1" t="n">
        <v>45251</v>
      </c>
      <c r="C9622" s="1" t="n">
        <v>45344</v>
      </c>
      <c r="D9622" t="inlineStr">
        <is>
          <t>GÄVLEBORGS LÄN</t>
        </is>
      </c>
      <c r="E9622" t="inlineStr">
        <is>
          <t>LJUSDAL</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58626-2023</t>
        </is>
      </c>
      <c r="B9623" s="1" t="n">
        <v>45251</v>
      </c>
      <c r="C9623" s="1" t="n">
        <v>45344</v>
      </c>
      <c r="D9623" t="inlineStr">
        <is>
          <t>GÄVLEBORGS LÄN</t>
        </is>
      </c>
      <c r="E9623" t="inlineStr">
        <is>
          <t>LJUSDAL</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58630-2023</t>
        </is>
      </c>
      <c r="B9624" s="1" t="n">
        <v>45251</v>
      </c>
      <c r="C9624" s="1" t="n">
        <v>45344</v>
      </c>
      <c r="D9624" t="inlineStr">
        <is>
          <t>GÄVLEBORGS LÄN</t>
        </is>
      </c>
      <c r="E9624" t="inlineStr">
        <is>
          <t>BOLLNÄS</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58638-2023</t>
        </is>
      </c>
      <c r="B9625" s="1" t="n">
        <v>45251</v>
      </c>
      <c r="C9625" s="1" t="n">
        <v>45344</v>
      </c>
      <c r="D9625" t="inlineStr">
        <is>
          <t>GÄVLEBORGS LÄN</t>
        </is>
      </c>
      <c r="E9625" t="inlineStr">
        <is>
          <t>BOLLNÄS</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58629-2023</t>
        </is>
      </c>
      <c r="B9626" s="1" t="n">
        <v>45251</v>
      </c>
      <c r="C9626" s="1" t="n">
        <v>45344</v>
      </c>
      <c r="D9626" t="inlineStr">
        <is>
          <t>GÄVLEBORGS LÄN</t>
        </is>
      </c>
      <c r="E9626" t="inlineStr">
        <is>
          <t>LJUSDAL</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58612-2023</t>
        </is>
      </c>
      <c r="B9627" s="1" t="n">
        <v>45251</v>
      </c>
      <c r="C9627" s="1" t="n">
        <v>45344</v>
      </c>
      <c r="D9627" t="inlineStr">
        <is>
          <t>GÄVLEBORGS LÄN</t>
        </is>
      </c>
      <c r="E9627" t="inlineStr">
        <is>
          <t>SÖDERHAMN</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58661-2023</t>
        </is>
      </c>
      <c r="B9628" s="1" t="n">
        <v>45251</v>
      </c>
      <c r="C9628" s="1" t="n">
        <v>45344</v>
      </c>
      <c r="D9628" t="inlineStr">
        <is>
          <t>GÄVLEBORGS LÄN</t>
        </is>
      </c>
      <c r="E9628" t="inlineStr">
        <is>
          <t>SANDVIKEN</t>
        </is>
      </c>
      <c r="G9628" t="n">
        <v>4.6</v>
      </c>
      <c r="H9628" t="n">
        <v>0</v>
      </c>
      <c r="I9628" t="n">
        <v>0</v>
      </c>
      <c r="J9628" t="n">
        <v>0</v>
      </c>
      <c r="K9628" t="n">
        <v>0</v>
      </c>
      <c r="L9628" t="n">
        <v>0</v>
      </c>
      <c r="M9628" t="n">
        <v>0</v>
      </c>
      <c r="N9628" t="n">
        <v>0</v>
      </c>
      <c r="O9628" t="n">
        <v>0</v>
      </c>
      <c r="P9628" t="n">
        <v>0</v>
      </c>
      <c r="Q9628" t="n">
        <v>0</v>
      </c>
      <c r="R9628" s="2" t="inlineStr"/>
    </row>
    <row r="9629" ht="15" customHeight="1">
      <c r="A9629" t="inlineStr">
        <is>
          <t>A 58683-2023</t>
        </is>
      </c>
      <c r="B9629" s="1" t="n">
        <v>45251</v>
      </c>
      <c r="C9629" s="1" t="n">
        <v>45344</v>
      </c>
      <c r="D9629" t="inlineStr">
        <is>
          <t>GÄVLEBORGS LÄN</t>
        </is>
      </c>
      <c r="E9629" t="inlineStr">
        <is>
          <t>LJUSDAL</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58716-2023</t>
        </is>
      </c>
      <c r="B9630" s="1" t="n">
        <v>45251</v>
      </c>
      <c r="C9630" s="1" t="n">
        <v>45344</v>
      </c>
      <c r="D9630" t="inlineStr">
        <is>
          <t>GÄVLEBORGS LÄN</t>
        </is>
      </c>
      <c r="E9630" t="inlineStr">
        <is>
          <t>BOLLNÄS</t>
        </is>
      </c>
      <c r="G9630" t="n">
        <v>3.1</v>
      </c>
      <c r="H9630" t="n">
        <v>0</v>
      </c>
      <c r="I9630" t="n">
        <v>0</v>
      </c>
      <c r="J9630" t="n">
        <v>0</v>
      </c>
      <c r="K9630" t="n">
        <v>0</v>
      </c>
      <c r="L9630" t="n">
        <v>0</v>
      </c>
      <c r="M9630" t="n">
        <v>0</v>
      </c>
      <c r="N9630" t="n">
        <v>0</v>
      </c>
      <c r="O9630" t="n">
        <v>0</v>
      </c>
      <c r="P9630" t="n">
        <v>0</v>
      </c>
      <c r="Q9630" t="n">
        <v>0</v>
      </c>
      <c r="R9630" s="2" t="inlineStr"/>
    </row>
    <row r="9631" ht="15" customHeight="1">
      <c r="A9631" t="inlineStr">
        <is>
          <t>A 58674-2023</t>
        </is>
      </c>
      <c r="B9631" s="1" t="n">
        <v>45251</v>
      </c>
      <c r="C9631" s="1" t="n">
        <v>45344</v>
      </c>
      <c r="D9631" t="inlineStr">
        <is>
          <t>GÄVLEBORGS LÄN</t>
        </is>
      </c>
      <c r="E9631" t="inlineStr">
        <is>
          <t>SANDVIKEN</t>
        </is>
      </c>
      <c r="F9631" t="inlineStr">
        <is>
          <t>Sveaskog</t>
        </is>
      </c>
      <c r="G9631" t="n">
        <v>2.7</v>
      </c>
      <c r="H9631" t="n">
        <v>0</v>
      </c>
      <c r="I9631" t="n">
        <v>0</v>
      </c>
      <c r="J9631" t="n">
        <v>0</v>
      </c>
      <c r="K9631" t="n">
        <v>0</v>
      </c>
      <c r="L9631" t="n">
        <v>0</v>
      </c>
      <c r="M9631" t="n">
        <v>0</v>
      </c>
      <c r="N9631" t="n">
        <v>0</v>
      </c>
      <c r="O9631" t="n">
        <v>0</v>
      </c>
      <c r="P9631" t="n">
        <v>0</v>
      </c>
      <c r="Q9631" t="n">
        <v>0</v>
      </c>
      <c r="R9631" s="2" t="inlineStr"/>
    </row>
    <row r="9632" ht="15" customHeight="1">
      <c r="A9632" t="inlineStr">
        <is>
          <t>A 58687-2023</t>
        </is>
      </c>
      <c r="B9632" s="1" t="n">
        <v>45251</v>
      </c>
      <c r="C9632" s="1" t="n">
        <v>45344</v>
      </c>
      <c r="D9632" t="inlineStr">
        <is>
          <t>GÄVLEBORGS LÄN</t>
        </is>
      </c>
      <c r="E9632" t="inlineStr">
        <is>
          <t>SÖDERHAMN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58611-2023</t>
        </is>
      </c>
      <c r="B9633" s="1" t="n">
        <v>45251</v>
      </c>
      <c r="C9633" s="1" t="n">
        <v>45344</v>
      </c>
      <c r="D9633" t="inlineStr">
        <is>
          <t>GÄVLEBORGS LÄN</t>
        </is>
      </c>
      <c r="E9633" t="inlineStr">
        <is>
          <t>SÖDERHAMN</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58623-2023</t>
        </is>
      </c>
      <c r="B9634" s="1" t="n">
        <v>45251</v>
      </c>
      <c r="C9634" s="1" t="n">
        <v>45344</v>
      </c>
      <c r="D9634" t="inlineStr">
        <is>
          <t>GÄVLEBORGS LÄN</t>
        </is>
      </c>
      <c r="E9634" t="inlineStr">
        <is>
          <t>LJUSDAL</t>
        </is>
      </c>
      <c r="G9634" t="n">
        <v>3.5</v>
      </c>
      <c r="H9634" t="n">
        <v>0</v>
      </c>
      <c r="I9634" t="n">
        <v>0</v>
      </c>
      <c r="J9634" t="n">
        <v>0</v>
      </c>
      <c r="K9634" t="n">
        <v>0</v>
      </c>
      <c r="L9634" t="n">
        <v>0</v>
      </c>
      <c r="M9634" t="n">
        <v>0</v>
      </c>
      <c r="N9634" t="n">
        <v>0</v>
      </c>
      <c r="O9634" t="n">
        <v>0</v>
      </c>
      <c r="P9634" t="n">
        <v>0</v>
      </c>
      <c r="Q9634" t="n">
        <v>0</v>
      </c>
      <c r="R9634" s="2" t="inlineStr"/>
    </row>
    <row r="9635" ht="15" customHeight="1">
      <c r="A9635" t="inlineStr">
        <is>
          <t>A 58820-2023</t>
        </is>
      </c>
      <c r="B9635" s="1" t="n">
        <v>45252</v>
      </c>
      <c r="C9635" s="1" t="n">
        <v>45344</v>
      </c>
      <c r="D9635" t="inlineStr">
        <is>
          <t>GÄVLEBORGS LÄN</t>
        </is>
      </c>
      <c r="E9635" t="inlineStr">
        <is>
          <t>OCKELBO</t>
        </is>
      </c>
      <c r="G9635" t="n">
        <v>3.2</v>
      </c>
      <c r="H9635" t="n">
        <v>0</v>
      </c>
      <c r="I9635" t="n">
        <v>0</v>
      </c>
      <c r="J9635" t="n">
        <v>0</v>
      </c>
      <c r="K9635" t="n">
        <v>0</v>
      </c>
      <c r="L9635" t="n">
        <v>0</v>
      </c>
      <c r="M9635" t="n">
        <v>0</v>
      </c>
      <c r="N9635" t="n">
        <v>0</v>
      </c>
      <c r="O9635" t="n">
        <v>0</v>
      </c>
      <c r="P9635" t="n">
        <v>0</v>
      </c>
      <c r="Q9635" t="n">
        <v>0</v>
      </c>
      <c r="R9635" s="2" t="inlineStr"/>
    </row>
    <row r="9636" ht="15" customHeight="1">
      <c r="A9636" t="inlineStr">
        <is>
          <t>A 58796-2023</t>
        </is>
      </c>
      <c r="B9636" s="1" t="n">
        <v>45252</v>
      </c>
      <c r="C9636" s="1" t="n">
        <v>45344</v>
      </c>
      <c r="D9636" t="inlineStr">
        <is>
          <t>GÄVLEBORGS LÄN</t>
        </is>
      </c>
      <c r="E9636" t="inlineStr">
        <is>
          <t>LJUSDAL</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58811-2023</t>
        </is>
      </c>
      <c r="B9637" s="1" t="n">
        <v>45252</v>
      </c>
      <c r="C9637" s="1" t="n">
        <v>45344</v>
      </c>
      <c r="D9637" t="inlineStr">
        <is>
          <t>GÄVLEBORGS LÄN</t>
        </is>
      </c>
      <c r="E9637" t="inlineStr">
        <is>
          <t>BOLLNÄS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58840-2023</t>
        </is>
      </c>
      <c r="B9638" s="1" t="n">
        <v>45252</v>
      </c>
      <c r="C9638" s="1" t="n">
        <v>45344</v>
      </c>
      <c r="D9638" t="inlineStr">
        <is>
          <t>GÄVLEBORGS LÄN</t>
        </is>
      </c>
      <c r="E9638" t="inlineStr">
        <is>
          <t>SANDVIKEN</t>
        </is>
      </c>
      <c r="G9638" t="n">
        <v>2.5</v>
      </c>
      <c r="H9638" t="n">
        <v>0</v>
      </c>
      <c r="I9638" t="n">
        <v>0</v>
      </c>
      <c r="J9638" t="n">
        <v>0</v>
      </c>
      <c r="K9638" t="n">
        <v>0</v>
      </c>
      <c r="L9638" t="n">
        <v>0</v>
      </c>
      <c r="M9638" t="n">
        <v>0</v>
      </c>
      <c r="N9638" t="n">
        <v>0</v>
      </c>
      <c r="O9638" t="n">
        <v>0</v>
      </c>
      <c r="P9638" t="n">
        <v>0</v>
      </c>
      <c r="Q9638" t="n">
        <v>0</v>
      </c>
      <c r="R9638" s="2" t="inlineStr"/>
    </row>
    <row r="9639" ht="15" customHeight="1">
      <c r="A9639" t="inlineStr">
        <is>
          <t>A 58867-2023</t>
        </is>
      </c>
      <c r="B9639" s="1" t="n">
        <v>45252</v>
      </c>
      <c r="C9639" s="1" t="n">
        <v>45344</v>
      </c>
      <c r="D9639" t="inlineStr">
        <is>
          <t>GÄVLEBORGS LÄN</t>
        </is>
      </c>
      <c r="E9639" t="inlineStr">
        <is>
          <t>GÄVLE</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58883-2023</t>
        </is>
      </c>
      <c r="B9640" s="1" t="n">
        <v>45252</v>
      </c>
      <c r="C9640" s="1" t="n">
        <v>45344</v>
      </c>
      <c r="D9640" t="inlineStr">
        <is>
          <t>GÄVLEBORGS LÄN</t>
        </is>
      </c>
      <c r="E9640" t="inlineStr">
        <is>
          <t>LJUSDAL</t>
        </is>
      </c>
      <c r="F9640" t="inlineStr">
        <is>
          <t>Holmen skog AB</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58955-2023</t>
        </is>
      </c>
      <c r="B9641" s="1" t="n">
        <v>45252</v>
      </c>
      <c r="C9641" s="1" t="n">
        <v>45344</v>
      </c>
      <c r="D9641" t="inlineStr">
        <is>
          <t>GÄVLEBORGS LÄN</t>
        </is>
      </c>
      <c r="E9641" t="inlineStr">
        <is>
          <t>HOFORS</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58964-2023</t>
        </is>
      </c>
      <c r="B9642" s="1" t="n">
        <v>45252</v>
      </c>
      <c r="C9642" s="1" t="n">
        <v>45344</v>
      </c>
      <c r="D9642" t="inlineStr">
        <is>
          <t>GÄVLEBORGS LÄN</t>
        </is>
      </c>
      <c r="E9642" t="inlineStr">
        <is>
          <t>LJUSDAL</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58825-2023</t>
        </is>
      </c>
      <c r="B9643" s="1" t="n">
        <v>45252</v>
      </c>
      <c r="C9643" s="1" t="n">
        <v>45344</v>
      </c>
      <c r="D9643" t="inlineStr">
        <is>
          <t>GÄVLEBORGS LÄN</t>
        </is>
      </c>
      <c r="E9643" t="inlineStr">
        <is>
          <t>LJUSDAL</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58860-2023</t>
        </is>
      </c>
      <c r="B9644" s="1" t="n">
        <v>45252</v>
      </c>
      <c r="C9644" s="1" t="n">
        <v>45344</v>
      </c>
      <c r="D9644" t="inlineStr">
        <is>
          <t>GÄVLEBORGS LÄN</t>
        </is>
      </c>
      <c r="E9644" t="inlineStr">
        <is>
          <t>HUDIKSVALL</t>
        </is>
      </c>
      <c r="F9644" t="inlineStr">
        <is>
          <t>Holmen skog AB</t>
        </is>
      </c>
      <c r="G9644" t="n">
        <v>3.9</v>
      </c>
      <c r="H9644" t="n">
        <v>0</v>
      </c>
      <c r="I9644" t="n">
        <v>0</v>
      </c>
      <c r="J9644" t="n">
        <v>0</v>
      </c>
      <c r="K9644" t="n">
        <v>0</v>
      </c>
      <c r="L9644" t="n">
        <v>0</v>
      </c>
      <c r="M9644" t="n">
        <v>0</v>
      </c>
      <c r="N9644" t="n">
        <v>0</v>
      </c>
      <c r="O9644" t="n">
        <v>0</v>
      </c>
      <c r="P9644" t="n">
        <v>0</v>
      </c>
      <c r="Q9644" t="n">
        <v>0</v>
      </c>
      <c r="R9644" s="2" t="inlineStr"/>
    </row>
    <row r="9645" ht="15" customHeight="1">
      <c r="A9645" t="inlineStr">
        <is>
          <t>A 58988-2023</t>
        </is>
      </c>
      <c r="B9645" s="1" t="n">
        <v>45252</v>
      </c>
      <c r="C9645" s="1" t="n">
        <v>45344</v>
      </c>
      <c r="D9645" t="inlineStr">
        <is>
          <t>GÄVLEBORGS LÄN</t>
        </is>
      </c>
      <c r="E9645" t="inlineStr">
        <is>
          <t>SANDVIKEN</t>
        </is>
      </c>
      <c r="F9645" t="inlineStr">
        <is>
          <t>Bergvik skog öst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58994-2023</t>
        </is>
      </c>
      <c r="B9646" s="1" t="n">
        <v>45252</v>
      </c>
      <c r="C9646" s="1" t="n">
        <v>45344</v>
      </c>
      <c r="D9646" t="inlineStr">
        <is>
          <t>GÄVLEBORGS LÄN</t>
        </is>
      </c>
      <c r="E9646" t="inlineStr">
        <is>
          <t>SÖDERHAMN</t>
        </is>
      </c>
      <c r="G9646" t="n">
        <v>1.6</v>
      </c>
      <c r="H9646" t="n">
        <v>0</v>
      </c>
      <c r="I9646" t="n">
        <v>0</v>
      </c>
      <c r="J9646" t="n">
        <v>0</v>
      </c>
      <c r="K9646" t="n">
        <v>0</v>
      </c>
      <c r="L9646" t="n">
        <v>0</v>
      </c>
      <c r="M9646" t="n">
        <v>0</v>
      </c>
      <c r="N9646" t="n">
        <v>0</v>
      </c>
      <c r="O9646" t="n">
        <v>0</v>
      </c>
      <c r="P9646" t="n">
        <v>0</v>
      </c>
      <c r="Q9646" t="n">
        <v>0</v>
      </c>
      <c r="R9646" s="2" t="inlineStr"/>
    </row>
    <row r="9647" ht="15" customHeight="1">
      <c r="A9647" t="inlineStr">
        <is>
          <t>A 59000-2023</t>
        </is>
      </c>
      <c r="B9647" s="1" t="n">
        <v>45252</v>
      </c>
      <c r="C9647" s="1" t="n">
        <v>45344</v>
      </c>
      <c r="D9647" t="inlineStr">
        <is>
          <t>GÄVLEBORGS LÄN</t>
        </is>
      </c>
      <c r="E9647" t="inlineStr">
        <is>
          <t>SÖDERHAMN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59009-2023</t>
        </is>
      </c>
      <c r="B9648" s="1" t="n">
        <v>45252</v>
      </c>
      <c r="C9648" s="1" t="n">
        <v>45344</v>
      </c>
      <c r="D9648" t="inlineStr">
        <is>
          <t>GÄVLEBORGS LÄN</t>
        </is>
      </c>
      <c r="E9648" t="inlineStr">
        <is>
          <t>HOFORS</t>
        </is>
      </c>
      <c r="F9648" t="inlineStr">
        <is>
          <t>Sveaskog</t>
        </is>
      </c>
      <c r="G9648" t="n">
        <v>11.6</v>
      </c>
      <c r="H9648" t="n">
        <v>0</v>
      </c>
      <c r="I9648" t="n">
        <v>0</v>
      </c>
      <c r="J9648" t="n">
        <v>0</v>
      </c>
      <c r="K9648" t="n">
        <v>0</v>
      </c>
      <c r="L9648" t="n">
        <v>0</v>
      </c>
      <c r="M9648" t="n">
        <v>0</v>
      </c>
      <c r="N9648" t="n">
        <v>0</v>
      </c>
      <c r="O9648" t="n">
        <v>0</v>
      </c>
      <c r="P9648" t="n">
        <v>0</v>
      </c>
      <c r="Q9648" t="n">
        <v>0</v>
      </c>
      <c r="R9648" s="2" t="inlineStr"/>
    </row>
    <row r="9649" ht="15" customHeight="1">
      <c r="A9649" t="inlineStr">
        <is>
          <t>A 58885-2023</t>
        </is>
      </c>
      <c r="B9649" s="1" t="n">
        <v>45252</v>
      </c>
      <c r="C9649" s="1" t="n">
        <v>45344</v>
      </c>
      <c r="D9649" t="inlineStr">
        <is>
          <t>GÄVLEBORGS LÄN</t>
        </is>
      </c>
      <c r="E9649" t="inlineStr">
        <is>
          <t>SANDVIKEN</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58909-2023</t>
        </is>
      </c>
      <c r="B9650" s="1" t="n">
        <v>45252</v>
      </c>
      <c r="C9650" s="1" t="n">
        <v>45344</v>
      </c>
      <c r="D9650" t="inlineStr">
        <is>
          <t>GÄVLEBORGS LÄN</t>
        </is>
      </c>
      <c r="E9650" t="inlineStr">
        <is>
          <t>LJUSDAL</t>
        </is>
      </c>
      <c r="G9650" t="n">
        <v>2.7</v>
      </c>
      <c r="H9650" t="n">
        <v>0</v>
      </c>
      <c r="I9650" t="n">
        <v>0</v>
      </c>
      <c r="J9650" t="n">
        <v>0</v>
      </c>
      <c r="K9650" t="n">
        <v>0</v>
      </c>
      <c r="L9650" t="n">
        <v>0</v>
      </c>
      <c r="M9650" t="n">
        <v>0</v>
      </c>
      <c r="N9650" t="n">
        <v>0</v>
      </c>
      <c r="O9650" t="n">
        <v>0</v>
      </c>
      <c r="P9650" t="n">
        <v>0</v>
      </c>
      <c r="Q9650" t="n">
        <v>0</v>
      </c>
      <c r="R9650" s="2" t="inlineStr"/>
    </row>
    <row r="9651" ht="15" customHeight="1">
      <c r="A9651" t="inlineStr">
        <is>
          <t>A 58916-2023</t>
        </is>
      </c>
      <c r="B9651" s="1" t="n">
        <v>45252</v>
      </c>
      <c r="C9651" s="1" t="n">
        <v>45344</v>
      </c>
      <c r="D9651" t="inlineStr">
        <is>
          <t>GÄVLEBORGS LÄN</t>
        </is>
      </c>
      <c r="E9651" t="inlineStr">
        <is>
          <t>SANDVIKEN</t>
        </is>
      </c>
      <c r="F9651" t="inlineStr">
        <is>
          <t>Bergvik skog öst AB</t>
        </is>
      </c>
      <c r="G9651" t="n">
        <v>0.4</v>
      </c>
      <c r="H9651" t="n">
        <v>0</v>
      </c>
      <c r="I9651" t="n">
        <v>0</v>
      </c>
      <c r="J9651" t="n">
        <v>0</v>
      </c>
      <c r="K9651" t="n">
        <v>0</v>
      </c>
      <c r="L9651" t="n">
        <v>0</v>
      </c>
      <c r="M9651" t="n">
        <v>0</v>
      </c>
      <c r="N9651" t="n">
        <v>0</v>
      </c>
      <c r="O9651" t="n">
        <v>0</v>
      </c>
      <c r="P9651" t="n">
        <v>0</v>
      </c>
      <c r="Q9651" t="n">
        <v>0</v>
      </c>
      <c r="R9651" s="2" t="inlineStr"/>
    </row>
    <row r="9652" ht="15" customHeight="1">
      <c r="A9652" t="inlineStr">
        <is>
          <t>A 58929-2023</t>
        </is>
      </c>
      <c r="B9652" s="1" t="n">
        <v>45252</v>
      </c>
      <c r="C9652" s="1" t="n">
        <v>45344</v>
      </c>
      <c r="D9652" t="inlineStr">
        <is>
          <t>GÄVLEBORGS LÄN</t>
        </is>
      </c>
      <c r="E9652" t="inlineStr">
        <is>
          <t>BOLLNÄS</t>
        </is>
      </c>
      <c r="F9652" t="inlineStr">
        <is>
          <t>Holmen skog AB</t>
        </is>
      </c>
      <c r="G9652" t="n">
        <v>1.6</v>
      </c>
      <c r="H9652" t="n">
        <v>0</v>
      </c>
      <c r="I9652" t="n">
        <v>0</v>
      </c>
      <c r="J9652" t="n">
        <v>0</v>
      </c>
      <c r="K9652" t="n">
        <v>0</v>
      </c>
      <c r="L9652" t="n">
        <v>0</v>
      </c>
      <c r="M9652" t="n">
        <v>0</v>
      </c>
      <c r="N9652" t="n">
        <v>0</v>
      </c>
      <c r="O9652" t="n">
        <v>0</v>
      </c>
      <c r="P9652" t="n">
        <v>0</v>
      </c>
      <c r="Q9652" t="n">
        <v>0</v>
      </c>
      <c r="R9652" s="2" t="inlineStr"/>
    </row>
    <row r="9653" ht="15" customHeight="1">
      <c r="A9653" t="inlineStr">
        <is>
          <t>A 58945-2023</t>
        </is>
      </c>
      <c r="B9653" s="1" t="n">
        <v>45252</v>
      </c>
      <c r="C9653" s="1" t="n">
        <v>45344</v>
      </c>
      <c r="D9653" t="inlineStr">
        <is>
          <t>GÄVLEBORGS LÄN</t>
        </is>
      </c>
      <c r="E9653" t="inlineStr">
        <is>
          <t>HUDIKSVALL</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58983-2023</t>
        </is>
      </c>
      <c r="B9654" s="1" t="n">
        <v>45252</v>
      </c>
      <c r="C9654" s="1" t="n">
        <v>45344</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59044-2023</t>
        </is>
      </c>
      <c r="B9655" s="1" t="n">
        <v>45252</v>
      </c>
      <c r="C9655" s="1" t="n">
        <v>45344</v>
      </c>
      <c r="D9655" t="inlineStr">
        <is>
          <t>GÄVLEBORGS LÄN</t>
        </is>
      </c>
      <c r="E9655" t="inlineStr">
        <is>
          <t>GÄVLE</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59049-2023</t>
        </is>
      </c>
      <c r="B9656" s="1" t="n">
        <v>45252</v>
      </c>
      <c r="C9656" s="1" t="n">
        <v>45344</v>
      </c>
      <c r="D9656" t="inlineStr">
        <is>
          <t>GÄVLEBORGS LÄN</t>
        </is>
      </c>
      <c r="E9656" t="inlineStr">
        <is>
          <t>BOLLNÄS</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58986-2023</t>
        </is>
      </c>
      <c r="B9657" s="1" t="n">
        <v>45252</v>
      </c>
      <c r="C9657" s="1" t="n">
        <v>45344</v>
      </c>
      <c r="D9657" t="inlineStr">
        <is>
          <t>GÄVLEBORGS LÄN</t>
        </is>
      </c>
      <c r="E9657" t="inlineStr">
        <is>
          <t>SANDVIKEN</t>
        </is>
      </c>
      <c r="F9657" t="inlineStr">
        <is>
          <t>Bergvik skog öst AB</t>
        </is>
      </c>
      <c r="G9657" t="n">
        <v>19.1</v>
      </c>
      <c r="H9657" t="n">
        <v>0</v>
      </c>
      <c r="I9657" t="n">
        <v>0</v>
      </c>
      <c r="J9657" t="n">
        <v>0</v>
      </c>
      <c r="K9657" t="n">
        <v>0</v>
      </c>
      <c r="L9657" t="n">
        <v>0</v>
      </c>
      <c r="M9657" t="n">
        <v>0</v>
      </c>
      <c r="N9657" t="n">
        <v>0</v>
      </c>
      <c r="O9657" t="n">
        <v>0</v>
      </c>
      <c r="P9657" t="n">
        <v>0</v>
      </c>
      <c r="Q9657" t="n">
        <v>0</v>
      </c>
      <c r="R9657" s="2" t="inlineStr"/>
    </row>
    <row r="9658" ht="15" customHeight="1">
      <c r="A9658" t="inlineStr">
        <is>
          <t>A 59002-2023</t>
        </is>
      </c>
      <c r="B9658" s="1" t="n">
        <v>45252</v>
      </c>
      <c r="C9658" s="1" t="n">
        <v>45344</v>
      </c>
      <c r="D9658" t="inlineStr">
        <is>
          <t>GÄVLEBORGS LÄN</t>
        </is>
      </c>
      <c r="E9658" t="inlineStr">
        <is>
          <t>HOFORS</t>
        </is>
      </c>
      <c r="F9658" t="inlineStr">
        <is>
          <t>Sveaskog</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59007-2023</t>
        </is>
      </c>
      <c r="B9659" s="1" t="n">
        <v>45252</v>
      </c>
      <c r="C9659" s="1" t="n">
        <v>45344</v>
      </c>
      <c r="D9659" t="inlineStr">
        <is>
          <t>GÄVLEBORGS LÄN</t>
        </is>
      </c>
      <c r="E9659" t="inlineStr">
        <is>
          <t>HOFORS</t>
        </is>
      </c>
      <c r="F9659" t="inlineStr">
        <is>
          <t>Sveaskog</t>
        </is>
      </c>
      <c r="G9659" t="n">
        <v>17.7</v>
      </c>
      <c r="H9659" t="n">
        <v>0</v>
      </c>
      <c r="I9659" t="n">
        <v>0</v>
      </c>
      <c r="J9659" t="n">
        <v>0</v>
      </c>
      <c r="K9659" t="n">
        <v>0</v>
      </c>
      <c r="L9659" t="n">
        <v>0</v>
      </c>
      <c r="M9659" t="n">
        <v>0</v>
      </c>
      <c r="N9659" t="n">
        <v>0</v>
      </c>
      <c r="O9659" t="n">
        <v>0</v>
      </c>
      <c r="P9659" t="n">
        <v>0</v>
      </c>
      <c r="Q9659" t="n">
        <v>0</v>
      </c>
      <c r="R9659" s="2" t="inlineStr"/>
    </row>
    <row r="9660" ht="15" customHeight="1">
      <c r="A9660" t="inlineStr">
        <is>
          <t>A 58791-2023</t>
        </is>
      </c>
      <c r="B9660" s="1" t="n">
        <v>45252</v>
      </c>
      <c r="C9660" s="1" t="n">
        <v>45344</v>
      </c>
      <c r="D9660" t="inlineStr">
        <is>
          <t>GÄVLEBORGS LÄN</t>
        </is>
      </c>
      <c r="E9660" t="inlineStr">
        <is>
          <t>OVANÅKER</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58837-2023</t>
        </is>
      </c>
      <c r="B9661" s="1" t="n">
        <v>45252</v>
      </c>
      <c r="C9661" s="1" t="n">
        <v>45344</v>
      </c>
      <c r="D9661" t="inlineStr">
        <is>
          <t>GÄVLEBORGS LÄN</t>
        </is>
      </c>
      <c r="E9661" t="inlineStr">
        <is>
          <t>SANDVIKEN</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58870-2023</t>
        </is>
      </c>
      <c r="B9662" s="1" t="n">
        <v>45252</v>
      </c>
      <c r="C9662" s="1" t="n">
        <v>45344</v>
      </c>
      <c r="D9662" t="inlineStr">
        <is>
          <t>GÄVLEBORGS LÄN</t>
        </is>
      </c>
      <c r="E9662" t="inlineStr">
        <is>
          <t>NORDANSTIG</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58952-2023</t>
        </is>
      </c>
      <c r="B9663" s="1" t="n">
        <v>45252</v>
      </c>
      <c r="C9663" s="1" t="n">
        <v>45344</v>
      </c>
      <c r="D9663" t="inlineStr">
        <is>
          <t>GÄVLEBORGS LÄN</t>
        </is>
      </c>
      <c r="E9663" t="inlineStr">
        <is>
          <t>BOLLNÄS</t>
        </is>
      </c>
      <c r="F9663" t="inlineStr">
        <is>
          <t>Holmen skog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58980-2023</t>
        </is>
      </c>
      <c r="B9664" s="1" t="n">
        <v>45252</v>
      </c>
      <c r="C9664" s="1" t="n">
        <v>45344</v>
      </c>
      <c r="D9664" t="inlineStr">
        <is>
          <t>GÄVLEBORGS LÄN</t>
        </is>
      </c>
      <c r="E9664" t="inlineStr">
        <is>
          <t>SANDVIKEN</t>
        </is>
      </c>
      <c r="F9664" t="inlineStr">
        <is>
          <t>Bergvik skog öst AB</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59001-2023</t>
        </is>
      </c>
      <c r="B9665" s="1" t="n">
        <v>45252</v>
      </c>
      <c r="C9665" s="1" t="n">
        <v>45344</v>
      </c>
      <c r="D9665" t="inlineStr">
        <is>
          <t>GÄVLEBORGS LÄN</t>
        </is>
      </c>
      <c r="E9665" t="inlineStr">
        <is>
          <t>HOFORS</t>
        </is>
      </c>
      <c r="F9665" t="inlineStr">
        <is>
          <t>Sveaskog</t>
        </is>
      </c>
      <c r="G9665" t="n">
        <v>8.9</v>
      </c>
      <c r="H9665" t="n">
        <v>0</v>
      </c>
      <c r="I9665" t="n">
        <v>0</v>
      </c>
      <c r="J9665" t="n">
        <v>0</v>
      </c>
      <c r="K9665" t="n">
        <v>0</v>
      </c>
      <c r="L9665" t="n">
        <v>0</v>
      </c>
      <c r="M9665" t="n">
        <v>0</v>
      </c>
      <c r="N9665" t="n">
        <v>0</v>
      </c>
      <c r="O9665" t="n">
        <v>0</v>
      </c>
      <c r="P9665" t="n">
        <v>0</v>
      </c>
      <c r="Q9665" t="n">
        <v>0</v>
      </c>
      <c r="R9665" s="2" t="inlineStr"/>
    </row>
    <row r="9666" ht="15" customHeight="1">
      <c r="A9666" t="inlineStr">
        <is>
          <t>A 59063-2023</t>
        </is>
      </c>
      <c r="B9666" s="1" t="n">
        <v>45252</v>
      </c>
      <c r="C9666" s="1" t="n">
        <v>45344</v>
      </c>
      <c r="D9666" t="inlineStr">
        <is>
          <t>GÄVLEBORGS LÄN</t>
        </is>
      </c>
      <c r="E9666" t="inlineStr">
        <is>
          <t>OCKELBO</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59118-2023</t>
        </is>
      </c>
      <c r="B9667" s="1" t="n">
        <v>45253</v>
      </c>
      <c r="C9667" s="1" t="n">
        <v>45344</v>
      </c>
      <c r="D9667" t="inlineStr">
        <is>
          <t>GÄVLEBORGS LÄN</t>
        </is>
      </c>
      <c r="E9667" t="inlineStr">
        <is>
          <t>OCKELBO</t>
        </is>
      </c>
      <c r="F9667" t="inlineStr">
        <is>
          <t>Bergvik skog väst AB</t>
        </is>
      </c>
      <c r="G9667" t="n">
        <v>9.199999999999999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59143-2023</t>
        </is>
      </c>
      <c r="B9668" s="1" t="n">
        <v>45253</v>
      </c>
      <c r="C9668" s="1" t="n">
        <v>45344</v>
      </c>
      <c r="D9668" t="inlineStr">
        <is>
          <t>GÄVLEBORGS LÄN</t>
        </is>
      </c>
      <c r="E9668" t="inlineStr">
        <is>
          <t>LJUSDAL</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59196-2023</t>
        </is>
      </c>
      <c r="B9669" s="1" t="n">
        <v>45253</v>
      </c>
      <c r="C9669" s="1" t="n">
        <v>45344</v>
      </c>
      <c r="D9669" t="inlineStr">
        <is>
          <t>GÄVLEBORGS LÄN</t>
        </is>
      </c>
      <c r="E9669" t="inlineStr">
        <is>
          <t>GÄVLE</t>
        </is>
      </c>
      <c r="G9669" t="n">
        <v>6.6</v>
      </c>
      <c r="H9669" t="n">
        <v>0</v>
      </c>
      <c r="I9669" t="n">
        <v>0</v>
      </c>
      <c r="J9669" t="n">
        <v>0</v>
      </c>
      <c r="K9669" t="n">
        <v>0</v>
      </c>
      <c r="L9669" t="n">
        <v>0</v>
      </c>
      <c r="M9669" t="n">
        <v>0</v>
      </c>
      <c r="N9669" t="n">
        <v>0</v>
      </c>
      <c r="O9669" t="n">
        <v>0</v>
      </c>
      <c r="P9669" t="n">
        <v>0</v>
      </c>
      <c r="Q9669" t="n">
        <v>0</v>
      </c>
      <c r="R9669" s="2" t="inlineStr"/>
    </row>
    <row r="9670" ht="15" customHeight="1">
      <c r="A9670" t="inlineStr">
        <is>
          <t>A 59243-2023</t>
        </is>
      </c>
      <c r="B9670" s="1" t="n">
        <v>45253</v>
      </c>
      <c r="C9670" s="1" t="n">
        <v>45344</v>
      </c>
      <c r="D9670" t="inlineStr">
        <is>
          <t>GÄVLEBORGS LÄN</t>
        </is>
      </c>
      <c r="E9670" t="inlineStr">
        <is>
          <t>LJUSDAL</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59257-2023</t>
        </is>
      </c>
      <c r="B9671" s="1" t="n">
        <v>45253</v>
      </c>
      <c r="C9671" s="1" t="n">
        <v>45344</v>
      </c>
      <c r="D9671" t="inlineStr">
        <is>
          <t>GÄVLEBORGS LÄN</t>
        </is>
      </c>
      <c r="E9671" t="inlineStr">
        <is>
          <t>OVANÅKER</t>
        </is>
      </c>
      <c r="G9671" t="n">
        <v>4.4</v>
      </c>
      <c r="H9671" t="n">
        <v>0</v>
      </c>
      <c r="I9671" t="n">
        <v>0</v>
      </c>
      <c r="J9671" t="n">
        <v>0</v>
      </c>
      <c r="K9671" t="n">
        <v>0</v>
      </c>
      <c r="L9671" t="n">
        <v>0</v>
      </c>
      <c r="M9671" t="n">
        <v>0</v>
      </c>
      <c r="N9671" t="n">
        <v>0</v>
      </c>
      <c r="O9671" t="n">
        <v>0</v>
      </c>
      <c r="P9671" t="n">
        <v>0</v>
      </c>
      <c r="Q9671" t="n">
        <v>0</v>
      </c>
      <c r="R9671" s="2" t="inlineStr"/>
    </row>
    <row r="9672" ht="15" customHeight="1">
      <c r="A9672" t="inlineStr">
        <is>
          <t>A 59253-2023</t>
        </is>
      </c>
      <c r="B9672" s="1" t="n">
        <v>45253</v>
      </c>
      <c r="C9672" s="1" t="n">
        <v>45344</v>
      </c>
      <c r="D9672" t="inlineStr">
        <is>
          <t>GÄVLEBORGS LÄN</t>
        </is>
      </c>
      <c r="E9672" t="inlineStr">
        <is>
          <t>OVANÅKER</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59359-2023</t>
        </is>
      </c>
      <c r="B9673" s="1" t="n">
        <v>45253</v>
      </c>
      <c r="C9673" s="1" t="n">
        <v>45344</v>
      </c>
      <c r="D9673" t="inlineStr">
        <is>
          <t>GÄVLEBORGS LÄN</t>
        </is>
      </c>
      <c r="E9673" t="inlineStr">
        <is>
          <t>GÄVLE</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59363-2023</t>
        </is>
      </c>
      <c r="B9674" s="1" t="n">
        <v>45253</v>
      </c>
      <c r="C9674" s="1" t="n">
        <v>45344</v>
      </c>
      <c r="D9674" t="inlineStr">
        <is>
          <t>GÄVLEBORGS LÄN</t>
        </is>
      </c>
      <c r="E9674" t="inlineStr">
        <is>
          <t>GÄVLE</t>
        </is>
      </c>
      <c r="G9674" t="n">
        <v>3.3</v>
      </c>
      <c r="H9674" t="n">
        <v>0</v>
      </c>
      <c r="I9674" t="n">
        <v>0</v>
      </c>
      <c r="J9674" t="n">
        <v>0</v>
      </c>
      <c r="K9674" t="n">
        <v>0</v>
      </c>
      <c r="L9674" t="n">
        <v>0</v>
      </c>
      <c r="M9674" t="n">
        <v>0</v>
      </c>
      <c r="N9674" t="n">
        <v>0</v>
      </c>
      <c r="O9674" t="n">
        <v>0</v>
      </c>
      <c r="P9674" t="n">
        <v>0</v>
      </c>
      <c r="Q9674" t="n">
        <v>0</v>
      </c>
      <c r="R9674" s="2" t="inlineStr"/>
    </row>
    <row r="9675" ht="15" customHeight="1">
      <c r="A9675" t="inlineStr">
        <is>
          <t>A 59115-2023</t>
        </is>
      </c>
      <c r="B9675" s="1" t="n">
        <v>45253</v>
      </c>
      <c r="C9675" s="1" t="n">
        <v>45344</v>
      </c>
      <c r="D9675" t="inlineStr">
        <is>
          <t>GÄVLEBORGS LÄN</t>
        </is>
      </c>
      <c r="E9675" t="inlineStr">
        <is>
          <t>SÖDERHAMN</t>
        </is>
      </c>
      <c r="G9675" t="n">
        <v>3.3</v>
      </c>
      <c r="H9675" t="n">
        <v>0</v>
      </c>
      <c r="I9675" t="n">
        <v>0</v>
      </c>
      <c r="J9675" t="n">
        <v>0</v>
      </c>
      <c r="K9675" t="n">
        <v>0</v>
      </c>
      <c r="L9675" t="n">
        <v>0</v>
      </c>
      <c r="M9675" t="n">
        <v>0</v>
      </c>
      <c r="N9675" t="n">
        <v>0</v>
      </c>
      <c r="O9675" t="n">
        <v>0</v>
      </c>
      <c r="P9675" t="n">
        <v>0</v>
      </c>
      <c r="Q9675" t="n">
        <v>0</v>
      </c>
      <c r="R9675" s="2" t="inlineStr"/>
    </row>
    <row r="9676" ht="15" customHeight="1">
      <c r="A9676" t="inlineStr">
        <is>
          <t>A 59227-2023</t>
        </is>
      </c>
      <c r="B9676" s="1" t="n">
        <v>45253</v>
      </c>
      <c r="C9676" s="1" t="n">
        <v>45344</v>
      </c>
      <c r="D9676" t="inlineStr">
        <is>
          <t>GÄVLEBORGS LÄN</t>
        </is>
      </c>
      <c r="E9676" t="inlineStr">
        <is>
          <t>LJUSDAL</t>
        </is>
      </c>
      <c r="G9676" t="n">
        <v>11.3</v>
      </c>
      <c r="H9676" t="n">
        <v>0</v>
      </c>
      <c r="I9676" t="n">
        <v>0</v>
      </c>
      <c r="J9676" t="n">
        <v>0</v>
      </c>
      <c r="K9676" t="n">
        <v>0</v>
      </c>
      <c r="L9676" t="n">
        <v>0</v>
      </c>
      <c r="M9676" t="n">
        <v>0</v>
      </c>
      <c r="N9676" t="n">
        <v>0</v>
      </c>
      <c r="O9676" t="n">
        <v>0</v>
      </c>
      <c r="P9676" t="n">
        <v>0</v>
      </c>
      <c r="Q9676" t="n">
        <v>0</v>
      </c>
      <c r="R9676" s="2" t="inlineStr"/>
    </row>
    <row r="9677" ht="15" customHeight="1">
      <c r="A9677" t="inlineStr">
        <is>
          <t>A 59409-2023</t>
        </is>
      </c>
      <c r="B9677" s="1" t="n">
        <v>45253</v>
      </c>
      <c r="C9677" s="1" t="n">
        <v>45344</v>
      </c>
      <c r="D9677" t="inlineStr">
        <is>
          <t>GÄVLEBORGS LÄN</t>
        </is>
      </c>
      <c r="E9677" t="inlineStr">
        <is>
          <t>NORDANSTIG</t>
        </is>
      </c>
      <c r="G9677" t="n">
        <v>12.5</v>
      </c>
      <c r="H9677" t="n">
        <v>0</v>
      </c>
      <c r="I9677" t="n">
        <v>0</v>
      </c>
      <c r="J9677" t="n">
        <v>0</v>
      </c>
      <c r="K9677" t="n">
        <v>0</v>
      </c>
      <c r="L9677" t="n">
        <v>0</v>
      </c>
      <c r="M9677" t="n">
        <v>0</v>
      </c>
      <c r="N9677" t="n">
        <v>0</v>
      </c>
      <c r="O9677" t="n">
        <v>0</v>
      </c>
      <c r="P9677" t="n">
        <v>0</v>
      </c>
      <c r="Q9677" t="n">
        <v>0</v>
      </c>
      <c r="R9677" s="2" t="inlineStr"/>
    </row>
    <row r="9678" ht="15" customHeight="1">
      <c r="A9678" t="inlineStr">
        <is>
          <t>A 59453-2023</t>
        </is>
      </c>
      <c r="B9678" s="1" t="n">
        <v>45254</v>
      </c>
      <c r="C9678" s="1" t="n">
        <v>45344</v>
      </c>
      <c r="D9678" t="inlineStr">
        <is>
          <t>GÄVLEBORGS LÄN</t>
        </is>
      </c>
      <c r="E9678" t="inlineStr">
        <is>
          <t>OVANÅKER</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59467-2023</t>
        </is>
      </c>
      <c r="B9679" s="1" t="n">
        <v>45254</v>
      </c>
      <c r="C9679" s="1" t="n">
        <v>45344</v>
      </c>
      <c r="D9679" t="inlineStr">
        <is>
          <t>GÄVLEBORGS LÄN</t>
        </is>
      </c>
      <c r="E9679" t="inlineStr">
        <is>
          <t>HUDIKSVALL</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59536-2023</t>
        </is>
      </c>
      <c r="B9680" s="1" t="n">
        <v>45254</v>
      </c>
      <c r="C9680" s="1" t="n">
        <v>45344</v>
      </c>
      <c r="D9680" t="inlineStr">
        <is>
          <t>GÄVLEBORGS LÄN</t>
        </is>
      </c>
      <c r="E9680" t="inlineStr">
        <is>
          <t>HUDIKSVALL</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59569-2023</t>
        </is>
      </c>
      <c r="B9681" s="1" t="n">
        <v>45254</v>
      </c>
      <c r="C9681" s="1" t="n">
        <v>45344</v>
      </c>
      <c r="D9681" t="inlineStr">
        <is>
          <t>GÄVLEBORGS LÄN</t>
        </is>
      </c>
      <c r="E9681" t="inlineStr">
        <is>
          <t>HUDIKSVALL</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59533-2023</t>
        </is>
      </c>
      <c r="B9682" s="1" t="n">
        <v>45254</v>
      </c>
      <c r="C9682" s="1" t="n">
        <v>45344</v>
      </c>
      <c r="D9682" t="inlineStr">
        <is>
          <t>GÄVLEBORGS LÄN</t>
        </is>
      </c>
      <c r="E9682" t="inlineStr">
        <is>
          <t>OCKELBO</t>
        </is>
      </c>
      <c r="G9682" t="n">
        <v>2.7</v>
      </c>
      <c r="H9682" t="n">
        <v>0</v>
      </c>
      <c r="I9682" t="n">
        <v>0</v>
      </c>
      <c r="J9682" t="n">
        <v>0</v>
      </c>
      <c r="K9682" t="n">
        <v>0</v>
      </c>
      <c r="L9682" t="n">
        <v>0</v>
      </c>
      <c r="M9682" t="n">
        <v>0</v>
      </c>
      <c r="N9682" t="n">
        <v>0</v>
      </c>
      <c r="O9682" t="n">
        <v>0</v>
      </c>
      <c r="P9682" t="n">
        <v>0</v>
      </c>
      <c r="Q9682" t="n">
        <v>0</v>
      </c>
      <c r="R9682" s="2" t="inlineStr"/>
    </row>
    <row r="9683" ht="15" customHeight="1">
      <c r="A9683" t="inlineStr">
        <is>
          <t>A 59652-2023</t>
        </is>
      </c>
      <c r="B9683" s="1" t="n">
        <v>45254</v>
      </c>
      <c r="C9683" s="1" t="n">
        <v>45344</v>
      </c>
      <c r="D9683" t="inlineStr">
        <is>
          <t>GÄVLEBORGS LÄN</t>
        </is>
      </c>
      <c r="E9683" t="inlineStr">
        <is>
          <t>HUDIKSVALL</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59615-2023</t>
        </is>
      </c>
      <c r="B9684" s="1" t="n">
        <v>45254</v>
      </c>
      <c r="C9684" s="1" t="n">
        <v>45344</v>
      </c>
      <c r="D9684" t="inlineStr">
        <is>
          <t>GÄVLEBORGS LÄN</t>
        </is>
      </c>
      <c r="E9684" t="inlineStr">
        <is>
          <t>HOFORS</t>
        </is>
      </c>
      <c r="F9684" t="inlineStr">
        <is>
          <t>Sveaskog</t>
        </is>
      </c>
      <c r="G9684" t="n">
        <v>3.4</v>
      </c>
      <c r="H9684" t="n">
        <v>0</v>
      </c>
      <c r="I9684" t="n">
        <v>0</v>
      </c>
      <c r="J9684" t="n">
        <v>0</v>
      </c>
      <c r="K9684" t="n">
        <v>0</v>
      </c>
      <c r="L9684" t="n">
        <v>0</v>
      </c>
      <c r="M9684" t="n">
        <v>0</v>
      </c>
      <c r="N9684" t="n">
        <v>0</v>
      </c>
      <c r="O9684" t="n">
        <v>0</v>
      </c>
      <c r="P9684" t="n">
        <v>0</v>
      </c>
      <c r="Q9684" t="n">
        <v>0</v>
      </c>
      <c r="R9684" s="2" t="inlineStr"/>
    </row>
    <row r="9685" ht="15" customHeight="1">
      <c r="A9685" t="inlineStr">
        <is>
          <t>A 59654-2023</t>
        </is>
      </c>
      <c r="B9685" s="1" t="n">
        <v>45254</v>
      </c>
      <c r="C9685" s="1" t="n">
        <v>45344</v>
      </c>
      <c r="D9685" t="inlineStr">
        <is>
          <t>GÄVLEBORGS LÄN</t>
        </is>
      </c>
      <c r="E9685" t="inlineStr">
        <is>
          <t>HUDIKSVALL</t>
        </is>
      </c>
      <c r="G9685" t="n">
        <v>30.9</v>
      </c>
      <c r="H9685" t="n">
        <v>0</v>
      </c>
      <c r="I9685" t="n">
        <v>0</v>
      </c>
      <c r="J9685" t="n">
        <v>0</v>
      </c>
      <c r="K9685" t="n">
        <v>0</v>
      </c>
      <c r="L9685" t="n">
        <v>0</v>
      </c>
      <c r="M9685" t="n">
        <v>0</v>
      </c>
      <c r="N9685" t="n">
        <v>0</v>
      </c>
      <c r="O9685" t="n">
        <v>0</v>
      </c>
      <c r="P9685" t="n">
        <v>0</v>
      </c>
      <c r="Q9685" t="n">
        <v>0</v>
      </c>
      <c r="R9685" s="2" t="inlineStr"/>
    </row>
    <row r="9686" ht="15" customHeight="1">
      <c r="A9686" t="inlineStr">
        <is>
          <t>A 59901-2023</t>
        </is>
      </c>
      <c r="B9686" s="1" t="n">
        <v>45254</v>
      </c>
      <c r="C9686" s="1" t="n">
        <v>45344</v>
      </c>
      <c r="D9686" t="inlineStr">
        <is>
          <t>GÄVLEBORGS LÄN</t>
        </is>
      </c>
      <c r="E9686" t="inlineStr">
        <is>
          <t>OCKELBO</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59922-2023</t>
        </is>
      </c>
      <c r="B9687" s="1" t="n">
        <v>45254</v>
      </c>
      <c r="C9687" s="1" t="n">
        <v>45344</v>
      </c>
      <c r="D9687" t="inlineStr">
        <is>
          <t>GÄVLEBORGS LÄN</t>
        </is>
      </c>
      <c r="E9687" t="inlineStr">
        <is>
          <t>SÖDERHAMN</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59672-2023</t>
        </is>
      </c>
      <c r="B9688" s="1" t="n">
        <v>45255</v>
      </c>
      <c r="C9688" s="1" t="n">
        <v>45344</v>
      </c>
      <c r="D9688" t="inlineStr">
        <is>
          <t>GÄVLEBORGS LÄN</t>
        </is>
      </c>
      <c r="E9688" t="inlineStr">
        <is>
          <t>GÄVLE</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59917-2023</t>
        </is>
      </c>
      <c r="B9689" s="1" t="n">
        <v>45254</v>
      </c>
      <c r="C9689" s="1" t="n">
        <v>45344</v>
      </c>
      <c r="D9689" t="inlineStr">
        <is>
          <t>GÄVLEBORGS LÄN</t>
        </is>
      </c>
      <c r="E9689" t="inlineStr">
        <is>
          <t>SÖDERHAMN</t>
        </is>
      </c>
      <c r="G9689" t="n">
        <v>2.4</v>
      </c>
      <c r="H9689" t="n">
        <v>0</v>
      </c>
      <c r="I9689" t="n">
        <v>0</v>
      </c>
      <c r="J9689" t="n">
        <v>0</v>
      </c>
      <c r="K9689" t="n">
        <v>0</v>
      </c>
      <c r="L9689" t="n">
        <v>0</v>
      </c>
      <c r="M9689" t="n">
        <v>0</v>
      </c>
      <c r="N9689" t="n">
        <v>0</v>
      </c>
      <c r="O9689" t="n">
        <v>0</v>
      </c>
      <c r="P9689" t="n">
        <v>0</v>
      </c>
      <c r="Q9689" t="n">
        <v>0</v>
      </c>
      <c r="R9689" s="2" t="inlineStr"/>
    </row>
    <row r="9690" ht="15" customHeight="1">
      <c r="A9690" t="inlineStr">
        <is>
          <t>A 59902-2023</t>
        </is>
      </c>
      <c r="B9690" s="1" t="n">
        <v>45254</v>
      </c>
      <c r="C9690" s="1" t="n">
        <v>45344</v>
      </c>
      <c r="D9690" t="inlineStr">
        <is>
          <t>GÄVLEBORGS LÄN</t>
        </is>
      </c>
      <c r="E9690" t="inlineStr">
        <is>
          <t>OCKELBO</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59978-2023</t>
        </is>
      </c>
      <c r="B9691" s="1" t="n">
        <v>45254</v>
      </c>
      <c r="C9691" s="1" t="n">
        <v>45344</v>
      </c>
      <c r="D9691" t="inlineStr">
        <is>
          <t>GÄVLEBORGS LÄN</t>
        </is>
      </c>
      <c r="E9691" t="inlineStr">
        <is>
          <t>OCKELBO</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59976-2023</t>
        </is>
      </c>
      <c r="B9692" s="1" t="n">
        <v>45254</v>
      </c>
      <c r="C9692" s="1" t="n">
        <v>45344</v>
      </c>
      <c r="D9692" t="inlineStr">
        <is>
          <t>GÄVLEBORGS LÄN</t>
        </is>
      </c>
      <c r="E9692" t="inlineStr">
        <is>
          <t>OCKELBO</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59590-2023</t>
        </is>
      </c>
      <c r="B9693" s="1" t="n">
        <v>45254</v>
      </c>
      <c r="C9693" s="1" t="n">
        <v>45344</v>
      </c>
      <c r="D9693" t="inlineStr">
        <is>
          <t>GÄVLEBORGS LÄN</t>
        </is>
      </c>
      <c r="E9693" t="inlineStr">
        <is>
          <t>LJUSDAL</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59616-2023</t>
        </is>
      </c>
      <c r="B9694" s="1" t="n">
        <v>45254</v>
      </c>
      <c r="C9694" s="1" t="n">
        <v>45344</v>
      </c>
      <c r="D9694" t="inlineStr">
        <is>
          <t>GÄVLEBORGS LÄN</t>
        </is>
      </c>
      <c r="E9694" t="inlineStr">
        <is>
          <t>SANDVIKEN</t>
        </is>
      </c>
      <c r="F9694" t="inlineStr">
        <is>
          <t>Sveaskog</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59729-2023</t>
        </is>
      </c>
      <c r="B9695" s="1" t="n">
        <v>45257</v>
      </c>
      <c r="C9695" s="1" t="n">
        <v>45344</v>
      </c>
      <c r="D9695" t="inlineStr">
        <is>
          <t>GÄVLEBORGS LÄN</t>
        </is>
      </c>
      <c r="E9695" t="inlineStr">
        <is>
          <t>OVANÅKER</t>
        </is>
      </c>
      <c r="G9695" t="n">
        <v>1.8</v>
      </c>
      <c r="H9695" t="n">
        <v>0</v>
      </c>
      <c r="I9695" t="n">
        <v>0</v>
      </c>
      <c r="J9695" t="n">
        <v>0</v>
      </c>
      <c r="K9695" t="n">
        <v>0</v>
      </c>
      <c r="L9695" t="n">
        <v>0</v>
      </c>
      <c r="M9695" t="n">
        <v>0</v>
      </c>
      <c r="N9695" t="n">
        <v>0</v>
      </c>
      <c r="O9695" t="n">
        <v>0</v>
      </c>
      <c r="P9695" t="n">
        <v>0</v>
      </c>
      <c r="Q9695" t="n">
        <v>0</v>
      </c>
      <c r="R9695" s="2" t="inlineStr"/>
    </row>
    <row r="9696" ht="15" customHeight="1">
      <c r="A9696" t="inlineStr">
        <is>
          <t>A 59720-2023</t>
        </is>
      </c>
      <c r="B9696" s="1" t="n">
        <v>45257</v>
      </c>
      <c r="C9696" s="1" t="n">
        <v>45344</v>
      </c>
      <c r="D9696" t="inlineStr">
        <is>
          <t>GÄVLEBORGS LÄN</t>
        </is>
      </c>
      <c r="E9696" t="inlineStr">
        <is>
          <t>OVANÅKER</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59744-2023</t>
        </is>
      </c>
      <c r="B9697" s="1" t="n">
        <v>45257</v>
      </c>
      <c r="C9697" s="1" t="n">
        <v>45344</v>
      </c>
      <c r="D9697" t="inlineStr">
        <is>
          <t>GÄVLEBORGS LÄN</t>
        </is>
      </c>
      <c r="E9697" t="inlineStr">
        <is>
          <t>BOLLNÄS</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59776-2023</t>
        </is>
      </c>
      <c r="B9698" s="1" t="n">
        <v>45257</v>
      </c>
      <c r="C9698" s="1" t="n">
        <v>45344</v>
      </c>
      <c r="D9698" t="inlineStr">
        <is>
          <t>GÄVLEBORGS LÄN</t>
        </is>
      </c>
      <c r="E9698" t="inlineStr">
        <is>
          <t>SÖDERHAMN</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59773-2023</t>
        </is>
      </c>
      <c r="B9699" s="1" t="n">
        <v>45257</v>
      </c>
      <c r="C9699" s="1" t="n">
        <v>45344</v>
      </c>
      <c r="D9699" t="inlineStr">
        <is>
          <t>GÄVLEBORGS LÄN</t>
        </is>
      </c>
      <c r="E9699" t="inlineStr">
        <is>
          <t>HUDIKSVALL</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59783-2023</t>
        </is>
      </c>
      <c r="B9700" s="1" t="n">
        <v>45257</v>
      </c>
      <c r="C9700" s="1" t="n">
        <v>45344</v>
      </c>
      <c r="D9700" t="inlineStr">
        <is>
          <t>GÄVLEBORGS LÄN</t>
        </is>
      </c>
      <c r="E9700" t="inlineStr">
        <is>
          <t>SÖDERHAMN</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59796-2023</t>
        </is>
      </c>
      <c r="B9701" s="1" t="n">
        <v>45257</v>
      </c>
      <c r="C9701" s="1" t="n">
        <v>45344</v>
      </c>
      <c r="D9701" t="inlineStr">
        <is>
          <t>GÄVLEBORGS LÄN</t>
        </is>
      </c>
      <c r="E9701" t="inlineStr">
        <is>
          <t>SÖDERHAMN</t>
        </is>
      </c>
      <c r="G9701" t="n">
        <v>0.8</v>
      </c>
      <c r="H9701" t="n">
        <v>0</v>
      </c>
      <c r="I9701" t="n">
        <v>0</v>
      </c>
      <c r="J9701" t="n">
        <v>0</v>
      </c>
      <c r="K9701" t="n">
        <v>0</v>
      </c>
      <c r="L9701" t="n">
        <v>0</v>
      </c>
      <c r="M9701" t="n">
        <v>0</v>
      </c>
      <c r="N9701" t="n">
        <v>0</v>
      </c>
      <c r="O9701" t="n">
        <v>0</v>
      </c>
      <c r="P9701" t="n">
        <v>0</v>
      </c>
      <c r="Q9701" t="n">
        <v>0</v>
      </c>
      <c r="R9701" s="2" t="inlineStr"/>
    </row>
    <row r="9702" ht="15" customHeight="1">
      <c r="A9702" t="inlineStr">
        <is>
          <t>A 59806-2023</t>
        </is>
      </c>
      <c r="B9702" s="1" t="n">
        <v>45257</v>
      </c>
      <c r="C9702" s="1" t="n">
        <v>45344</v>
      </c>
      <c r="D9702" t="inlineStr">
        <is>
          <t>GÄVLEBORGS LÄN</t>
        </is>
      </c>
      <c r="E9702" t="inlineStr">
        <is>
          <t>GÄVLE</t>
        </is>
      </c>
      <c r="G9702" t="n">
        <v>8.699999999999999</v>
      </c>
      <c r="H9702" t="n">
        <v>0</v>
      </c>
      <c r="I9702" t="n">
        <v>0</v>
      </c>
      <c r="J9702" t="n">
        <v>0</v>
      </c>
      <c r="K9702" t="n">
        <v>0</v>
      </c>
      <c r="L9702" t="n">
        <v>0</v>
      </c>
      <c r="M9702" t="n">
        <v>0</v>
      </c>
      <c r="N9702" t="n">
        <v>0</v>
      </c>
      <c r="O9702" t="n">
        <v>0</v>
      </c>
      <c r="P9702" t="n">
        <v>0</v>
      </c>
      <c r="Q9702" t="n">
        <v>0</v>
      </c>
      <c r="R9702" s="2" t="inlineStr"/>
    </row>
    <row r="9703" ht="15" customHeight="1">
      <c r="A9703" t="inlineStr">
        <is>
          <t>A 59812-2023</t>
        </is>
      </c>
      <c r="B9703" s="1" t="n">
        <v>45257</v>
      </c>
      <c r="C9703" s="1" t="n">
        <v>45344</v>
      </c>
      <c r="D9703" t="inlineStr">
        <is>
          <t>GÄVLEBORGS LÄN</t>
        </is>
      </c>
      <c r="E9703" t="inlineStr">
        <is>
          <t>GÄVLE</t>
        </is>
      </c>
      <c r="F9703" t="inlineStr">
        <is>
          <t>Bergvik skog väst AB</t>
        </is>
      </c>
      <c r="G9703" t="n">
        <v>1.7</v>
      </c>
      <c r="H9703" t="n">
        <v>0</v>
      </c>
      <c r="I9703" t="n">
        <v>0</v>
      </c>
      <c r="J9703" t="n">
        <v>0</v>
      </c>
      <c r="K9703" t="n">
        <v>0</v>
      </c>
      <c r="L9703" t="n">
        <v>0</v>
      </c>
      <c r="M9703" t="n">
        <v>0</v>
      </c>
      <c r="N9703" t="n">
        <v>0</v>
      </c>
      <c r="O9703" t="n">
        <v>0</v>
      </c>
      <c r="P9703" t="n">
        <v>0</v>
      </c>
      <c r="Q9703" t="n">
        <v>0</v>
      </c>
      <c r="R9703" s="2" t="inlineStr"/>
    </row>
    <row r="9704" ht="15" customHeight="1">
      <c r="A9704" t="inlineStr">
        <is>
          <t>A 59816-2023</t>
        </is>
      </c>
      <c r="B9704" s="1" t="n">
        <v>45257</v>
      </c>
      <c r="C9704" s="1" t="n">
        <v>45344</v>
      </c>
      <c r="D9704" t="inlineStr">
        <is>
          <t>GÄVLEBORGS LÄN</t>
        </is>
      </c>
      <c r="E9704" t="inlineStr">
        <is>
          <t>GÄVLE</t>
        </is>
      </c>
      <c r="F9704" t="inlineStr">
        <is>
          <t>Bergvik skog väst AB</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59853-2023</t>
        </is>
      </c>
      <c r="B9705" s="1" t="n">
        <v>45257</v>
      </c>
      <c r="C9705" s="1" t="n">
        <v>45344</v>
      </c>
      <c r="D9705" t="inlineStr">
        <is>
          <t>GÄVLEBORGS LÄN</t>
        </is>
      </c>
      <c r="E9705" t="inlineStr">
        <is>
          <t>SÖDERHAMN</t>
        </is>
      </c>
      <c r="G9705" t="n">
        <v>5.3</v>
      </c>
      <c r="H9705" t="n">
        <v>0</v>
      </c>
      <c r="I9705" t="n">
        <v>0</v>
      </c>
      <c r="J9705" t="n">
        <v>0</v>
      </c>
      <c r="K9705" t="n">
        <v>0</v>
      </c>
      <c r="L9705" t="n">
        <v>0</v>
      </c>
      <c r="M9705" t="n">
        <v>0</v>
      </c>
      <c r="N9705" t="n">
        <v>0</v>
      </c>
      <c r="O9705" t="n">
        <v>0</v>
      </c>
      <c r="P9705" t="n">
        <v>0</v>
      </c>
      <c r="Q9705" t="n">
        <v>0</v>
      </c>
      <c r="R9705" s="2" t="inlineStr"/>
    </row>
    <row r="9706" ht="15" customHeight="1">
      <c r="A9706" t="inlineStr">
        <is>
          <t>A 59851-2023</t>
        </is>
      </c>
      <c r="B9706" s="1" t="n">
        <v>45257</v>
      </c>
      <c r="C9706" s="1" t="n">
        <v>45344</v>
      </c>
      <c r="D9706" t="inlineStr">
        <is>
          <t>GÄVLEBORGS LÄN</t>
        </is>
      </c>
      <c r="E9706" t="inlineStr">
        <is>
          <t>HUDIKSVALL</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59861-2023</t>
        </is>
      </c>
      <c r="B9707" s="1" t="n">
        <v>45257</v>
      </c>
      <c r="C9707" s="1" t="n">
        <v>45344</v>
      </c>
      <c r="D9707" t="inlineStr">
        <is>
          <t>GÄVLEBORGS LÄN</t>
        </is>
      </c>
      <c r="E9707" t="inlineStr">
        <is>
          <t>GÄVLE</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59883-2023</t>
        </is>
      </c>
      <c r="B9708" s="1" t="n">
        <v>45257</v>
      </c>
      <c r="C9708" s="1" t="n">
        <v>45344</v>
      </c>
      <c r="D9708" t="inlineStr">
        <is>
          <t>GÄVLEBORGS LÄN</t>
        </is>
      </c>
      <c r="E9708" t="inlineStr">
        <is>
          <t>LJUSDAL</t>
        </is>
      </c>
      <c r="G9708" t="n">
        <v>16.6</v>
      </c>
      <c r="H9708" t="n">
        <v>0</v>
      </c>
      <c r="I9708" t="n">
        <v>0</v>
      </c>
      <c r="J9708" t="n">
        <v>0</v>
      </c>
      <c r="K9708" t="n">
        <v>0</v>
      </c>
      <c r="L9708" t="n">
        <v>0</v>
      </c>
      <c r="M9708" t="n">
        <v>0</v>
      </c>
      <c r="N9708" t="n">
        <v>0</v>
      </c>
      <c r="O9708" t="n">
        <v>0</v>
      </c>
      <c r="P9708" t="n">
        <v>0</v>
      </c>
      <c r="Q9708" t="n">
        <v>0</v>
      </c>
      <c r="R9708" s="2" t="inlineStr"/>
    </row>
    <row r="9709" ht="15" customHeight="1">
      <c r="A9709" t="inlineStr">
        <is>
          <t>A 59900-2023</t>
        </is>
      </c>
      <c r="B9709" s="1" t="n">
        <v>45257</v>
      </c>
      <c r="C9709" s="1" t="n">
        <v>45344</v>
      </c>
      <c r="D9709" t="inlineStr">
        <is>
          <t>GÄVLEBORGS LÄN</t>
        </is>
      </c>
      <c r="E9709" t="inlineStr">
        <is>
          <t>LJUSDAL</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59931-2023</t>
        </is>
      </c>
      <c r="B9710" s="1" t="n">
        <v>45257</v>
      </c>
      <c r="C9710" s="1" t="n">
        <v>45344</v>
      </c>
      <c r="D9710" t="inlineStr">
        <is>
          <t>GÄVLEBORGS LÄN</t>
        </is>
      </c>
      <c r="E9710" t="inlineStr">
        <is>
          <t>LJUSDAL</t>
        </is>
      </c>
      <c r="G9710" t="n">
        <v>4.2</v>
      </c>
      <c r="H9710" t="n">
        <v>0</v>
      </c>
      <c r="I9710" t="n">
        <v>0</v>
      </c>
      <c r="J9710" t="n">
        <v>0</v>
      </c>
      <c r="K9710" t="n">
        <v>0</v>
      </c>
      <c r="L9710" t="n">
        <v>0</v>
      </c>
      <c r="M9710" t="n">
        <v>0</v>
      </c>
      <c r="N9710" t="n">
        <v>0</v>
      </c>
      <c r="O9710" t="n">
        <v>0</v>
      </c>
      <c r="P9710" t="n">
        <v>0</v>
      </c>
      <c r="Q9710" t="n">
        <v>0</v>
      </c>
      <c r="R9710" s="2" t="inlineStr"/>
    </row>
    <row r="9711" ht="15" customHeight="1">
      <c r="A9711" t="inlineStr">
        <is>
          <t>A 59848-2023</t>
        </is>
      </c>
      <c r="B9711" s="1" t="n">
        <v>45257</v>
      </c>
      <c r="C9711" s="1" t="n">
        <v>45344</v>
      </c>
      <c r="D9711" t="inlineStr">
        <is>
          <t>GÄVLEBORGS LÄN</t>
        </is>
      </c>
      <c r="E9711" t="inlineStr">
        <is>
          <t>HUDIKSVALL</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59852-2023</t>
        </is>
      </c>
      <c r="B9712" s="1" t="n">
        <v>45257</v>
      </c>
      <c r="C9712" s="1" t="n">
        <v>45344</v>
      </c>
      <c r="D9712" t="inlineStr">
        <is>
          <t>GÄVLEBORGS LÄN</t>
        </is>
      </c>
      <c r="E9712" t="inlineStr">
        <is>
          <t>HUDIKSVALL</t>
        </is>
      </c>
      <c r="G9712" t="n">
        <v>1.8</v>
      </c>
      <c r="H9712" t="n">
        <v>0</v>
      </c>
      <c r="I9712" t="n">
        <v>0</v>
      </c>
      <c r="J9712" t="n">
        <v>0</v>
      </c>
      <c r="K9712" t="n">
        <v>0</v>
      </c>
      <c r="L9712" t="n">
        <v>0</v>
      </c>
      <c r="M9712" t="n">
        <v>0</v>
      </c>
      <c r="N9712" t="n">
        <v>0</v>
      </c>
      <c r="O9712" t="n">
        <v>0</v>
      </c>
      <c r="P9712" t="n">
        <v>0</v>
      </c>
      <c r="Q9712" t="n">
        <v>0</v>
      </c>
      <c r="R9712" s="2" t="inlineStr"/>
    </row>
    <row r="9713" ht="15" customHeight="1">
      <c r="A9713" t="inlineStr">
        <is>
          <t>A 59719-2023</t>
        </is>
      </c>
      <c r="B9713" s="1" t="n">
        <v>45257</v>
      </c>
      <c r="C9713" s="1" t="n">
        <v>45344</v>
      </c>
      <c r="D9713" t="inlineStr">
        <is>
          <t>GÄVLEBORGS LÄN</t>
        </is>
      </c>
      <c r="E9713" t="inlineStr">
        <is>
          <t>OVANÅKER</t>
        </is>
      </c>
      <c r="G9713" t="n">
        <v>2.8</v>
      </c>
      <c r="H9713" t="n">
        <v>0</v>
      </c>
      <c r="I9713" t="n">
        <v>0</v>
      </c>
      <c r="J9713" t="n">
        <v>0</v>
      </c>
      <c r="K9713" t="n">
        <v>0</v>
      </c>
      <c r="L9713" t="n">
        <v>0</v>
      </c>
      <c r="M9713" t="n">
        <v>0</v>
      </c>
      <c r="N9713" t="n">
        <v>0</v>
      </c>
      <c r="O9713" t="n">
        <v>0</v>
      </c>
      <c r="P9713" t="n">
        <v>0</v>
      </c>
      <c r="Q9713" t="n">
        <v>0</v>
      </c>
      <c r="R9713" s="2" t="inlineStr"/>
    </row>
    <row r="9714" ht="15" customHeight="1">
      <c r="A9714" t="inlineStr">
        <is>
          <t>A 59723-2023</t>
        </is>
      </c>
      <c r="B9714" s="1" t="n">
        <v>45257</v>
      </c>
      <c r="C9714" s="1" t="n">
        <v>45344</v>
      </c>
      <c r="D9714" t="inlineStr">
        <is>
          <t>GÄVLEBORGS LÄN</t>
        </is>
      </c>
      <c r="E9714" t="inlineStr">
        <is>
          <t>OVANÅKER</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59886-2023</t>
        </is>
      </c>
      <c r="B9715" s="1" t="n">
        <v>45257</v>
      </c>
      <c r="C9715" s="1" t="n">
        <v>45344</v>
      </c>
      <c r="D9715" t="inlineStr">
        <is>
          <t>GÄVLEBORGS LÄN</t>
        </is>
      </c>
      <c r="E9715" t="inlineStr">
        <is>
          <t>HOFORS</t>
        </is>
      </c>
      <c r="F9715" t="inlineStr">
        <is>
          <t>Sveaskog</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59867-2023</t>
        </is>
      </c>
      <c r="B9716" s="1" t="n">
        <v>45257</v>
      </c>
      <c r="C9716" s="1" t="n">
        <v>45344</v>
      </c>
      <c r="D9716" t="inlineStr">
        <is>
          <t>GÄVLEBORGS LÄN</t>
        </is>
      </c>
      <c r="E9716" t="inlineStr">
        <is>
          <t>HUDIKSVALL</t>
        </is>
      </c>
      <c r="G9716" t="n">
        <v>0.6</v>
      </c>
      <c r="H9716" t="n">
        <v>0</v>
      </c>
      <c r="I9716" t="n">
        <v>0</v>
      </c>
      <c r="J9716" t="n">
        <v>0</v>
      </c>
      <c r="K9716" t="n">
        <v>0</v>
      </c>
      <c r="L9716" t="n">
        <v>0</v>
      </c>
      <c r="M9716" t="n">
        <v>0</v>
      </c>
      <c r="N9716" t="n">
        <v>0</v>
      </c>
      <c r="O9716" t="n">
        <v>0</v>
      </c>
      <c r="P9716" t="n">
        <v>0</v>
      </c>
      <c r="Q9716" t="n">
        <v>0</v>
      </c>
      <c r="R9716" s="2" t="inlineStr"/>
    </row>
    <row r="9717" ht="15" customHeight="1">
      <c r="A9717" t="inlineStr">
        <is>
          <t>A 59882-2023</t>
        </is>
      </c>
      <c r="B9717" s="1" t="n">
        <v>45257</v>
      </c>
      <c r="C9717" s="1" t="n">
        <v>45344</v>
      </c>
      <c r="D9717" t="inlineStr">
        <is>
          <t>GÄVLEBORGS LÄN</t>
        </is>
      </c>
      <c r="E9717" t="inlineStr">
        <is>
          <t>HOFORS</t>
        </is>
      </c>
      <c r="F9717" t="inlineStr">
        <is>
          <t>Sveaskog</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59894-2023</t>
        </is>
      </c>
      <c r="B9718" s="1" t="n">
        <v>45257</v>
      </c>
      <c r="C9718" s="1" t="n">
        <v>45344</v>
      </c>
      <c r="D9718" t="inlineStr">
        <is>
          <t>GÄVLEBORGS LÄN</t>
        </is>
      </c>
      <c r="E9718" t="inlineStr">
        <is>
          <t>SANDVIKEN</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59914-2023</t>
        </is>
      </c>
      <c r="B9719" s="1" t="n">
        <v>45257</v>
      </c>
      <c r="C9719" s="1" t="n">
        <v>45344</v>
      </c>
      <c r="D9719" t="inlineStr">
        <is>
          <t>GÄVLEBORGS LÄN</t>
        </is>
      </c>
      <c r="E9719" t="inlineStr">
        <is>
          <t>HUDIKSVALL</t>
        </is>
      </c>
      <c r="G9719" t="n">
        <v>6.5</v>
      </c>
      <c r="H9719" t="n">
        <v>0</v>
      </c>
      <c r="I9719" t="n">
        <v>0</v>
      </c>
      <c r="J9719" t="n">
        <v>0</v>
      </c>
      <c r="K9719" t="n">
        <v>0</v>
      </c>
      <c r="L9719" t="n">
        <v>0</v>
      </c>
      <c r="M9719" t="n">
        <v>0</v>
      </c>
      <c r="N9719" t="n">
        <v>0</v>
      </c>
      <c r="O9719" t="n">
        <v>0</v>
      </c>
      <c r="P9719" t="n">
        <v>0</v>
      </c>
      <c r="Q9719" t="n">
        <v>0</v>
      </c>
      <c r="R9719" s="2" t="inlineStr"/>
    </row>
    <row r="9720" ht="15" customHeight="1">
      <c r="A9720" t="inlineStr">
        <is>
          <t>A 59951-2023</t>
        </is>
      </c>
      <c r="B9720" s="1" t="n">
        <v>45257</v>
      </c>
      <c r="C9720" s="1" t="n">
        <v>45344</v>
      </c>
      <c r="D9720" t="inlineStr">
        <is>
          <t>GÄVLEBORGS LÄN</t>
        </is>
      </c>
      <c r="E9720" t="inlineStr">
        <is>
          <t>NORDANSTIG</t>
        </is>
      </c>
      <c r="F9720" t="inlineStr">
        <is>
          <t>Holmen skog AB</t>
        </is>
      </c>
      <c r="G9720" t="n">
        <v>13.4</v>
      </c>
      <c r="H9720" t="n">
        <v>0</v>
      </c>
      <c r="I9720" t="n">
        <v>0</v>
      </c>
      <c r="J9720" t="n">
        <v>0</v>
      </c>
      <c r="K9720" t="n">
        <v>0</v>
      </c>
      <c r="L9720" t="n">
        <v>0</v>
      </c>
      <c r="M9720" t="n">
        <v>0</v>
      </c>
      <c r="N9720" t="n">
        <v>0</v>
      </c>
      <c r="O9720" t="n">
        <v>0</v>
      </c>
      <c r="P9720" t="n">
        <v>0</v>
      </c>
      <c r="Q9720" t="n">
        <v>0</v>
      </c>
      <c r="R9720" s="2" t="inlineStr"/>
    </row>
    <row r="9721" ht="15" customHeight="1">
      <c r="A9721" t="inlineStr">
        <is>
          <t>A 59960-2023</t>
        </is>
      </c>
      <c r="B9721" s="1" t="n">
        <v>45257</v>
      </c>
      <c r="C9721" s="1" t="n">
        <v>45344</v>
      </c>
      <c r="D9721" t="inlineStr">
        <is>
          <t>GÄVLEBORGS LÄN</t>
        </is>
      </c>
      <c r="E9721" t="inlineStr">
        <is>
          <t>OCKELBO</t>
        </is>
      </c>
      <c r="G9721" t="n">
        <v>3.9</v>
      </c>
      <c r="H9721" t="n">
        <v>0</v>
      </c>
      <c r="I9721" t="n">
        <v>0</v>
      </c>
      <c r="J9721" t="n">
        <v>0</v>
      </c>
      <c r="K9721" t="n">
        <v>0</v>
      </c>
      <c r="L9721" t="n">
        <v>0</v>
      </c>
      <c r="M9721" t="n">
        <v>0</v>
      </c>
      <c r="N9721" t="n">
        <v>0</v>
      </c>
      <c r="O9721" t="n">
        <v>0</v>
      </c>
      <c r="P9721" t="n">
        <v>0</v>
      </c>
      <c r="Q9721" t="n">
        <v>0</v>
      </c>
      <c r="R9721" s="2" t="inlineStr"/>
    </row>
    <row r="9722" ht="15" customHeight="1">
      <c r="A9722" t="inlineStr">
        <is>
          <t>A 59740-2023</t>
        </is>
      </c>
      <c r="B9722" s="1" t="n">
        <v>45257</v>
      </c>
      <c r="C9722" s="1" t="n">
        <v>45344</v>
      </c>
      <c r="D9722" t="inlineStr">
        <is>
          <t>GÄVLEBORGS LÄN</t>
        </is>
      </c>
      <c r="E9722" t="inlineStr">
        <is>
          <t>BOLLNÄS</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59817-2023</t>
        </is>
      </c>
      <c r="B9723" s="1" t="n">
        <v>45257</v>
      </c>
      <c r="C9723" s="1" t="n">
        <v>45344</v>
      </c>
      <c r="D9723" t="inlineStr">
        <is>
          <t>GÄVLEBORGS LÄN</t>
        </is>
      </c>
      <c r="E9723" t="inlineStr">
        <is>
          <t>GÄVLE</t>
        </is>
      </c>
      <c r="F9723" t="inlineStr">
        <is>
          <t>Bergvik skog väst AB</t>
        </is>
      </c>
      <c r="G9723" t="n">
        <v>0.4</v>
      </c>
      <c r="H9723" t="n">
        <v>0</v>
      </c>
      <c r="I9723" t="n">
        <v>0</v>
      </c>
      <c r="J9723" t="n">
        <v>0</v>
      </c>
      <c r="K9723" t="n">
        <v>0</v>
      </c>
      <c r="L9723" t="n">
        <v>0</v>
      </c>
      <c r="M9723" t="n">
        <v>0</v>
      </c>
      <c r="N9723" t="n">
        <v>0</v>
      </c>
      <c r="O9723" t="n">
        <v>0</v>
      </c>
      <c r="P9723" t="n">
        <v>0</v>
      </c>
      <c r="Q9723" t="n">
        <v>0</v>
      </c>
      <c r="R9723" s="2" t="inlineStr"/>
    </row>
    <row r="9724" ht="15" customHeight="1">
      <c r="A9724" t="inlineStr">
        <is>
          <t>A 59841-2023</t>
        </is>
      </c>
      <c r="B9724" s="1" t="n">
        <v>45257</v>
      </c>
      <c r="C9724" s="1" t="n">
        <v>45344</v>
      </c>
      <c r="D9724" t="inlineStr">
        <is>
          <t>GÄVLEBORGS LÄN</t>
        </is>
      </c>
      <c r="E9724" t="inlineStr">
        <is>
          <t>SANDVIKEN</t>
        </is>
      </c>
      <c r="F9724" t="inlineStr">
        <is>
          <t>Bergvik skog öst AB</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59860-2023</t>
        </is>
      </c>
      <c r="B9725" s="1" t="n">
        <v>45257</v>
      </c>
      <c r="C9725" s="1" t="n">
        <v>45344</v>
      </c>
      <c r="D9725" t="inlineStr">
        <is>
          <t>GÄVLEBORGS LÄN</t>
        </is>
      </c>
      <c r="E9725" t="inlineStr">
        <is>
          <t>HUDIKSVALL</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59869-2023</t>
        </is>
      </c>
      <c r="B9726" s="1" t="n">
        <v>45257</v>
      </c>
      <c r="C9726" s="1" t="n">
        <v>45344</v>
      </c>
      <c r="D9726" t="inlineStr">
        <is>
          <t>GÄVLEBORGS LÄN</t>
        </is>
      </c>
      <c r="E9726" t="inlineStr">
        <is>
          <t>SÖDERHAMN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59875-2023</t>
        </is>
      </c>
      <c r="B9727" s="1" t="n">
        <v>45257</v>
      </c>
      <c r="C9727" s="1" t="n">
        <v>45344</v>
      </c>
      <c r="D9727" t="inlineStr">
        <is>
          <t>GÄVLEBORGS LÄN</t>
        </is>
      </c>
      <c r="E9727" t="inlineStr">
        <is>
          <t>HUDIKSVALL</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59912-2023</t>
        </is>
      </c>
      <c r="B9728" s="1" t="n">
        <v>45257</v>
      </c>
      <c r="C9728" s="1" t="n">
        <v>45344</v>
      </c>
      <c r="D9728" t="inlineStr">
        <is>
          <t>GÄVLEBORGS LÄN</t>
        </is>
      </c>
      <c r="E9728" t="inlineStr">
        <is>
          <t>OVANÅKER</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59950-2023</t>
        </is>
      </c>
      <c r="B9729" s="1" t="n">
        <v>45257</v>
      </c>
      <c r="C9729" s="1" t="n">
        <v>45344</v>
      </c>
      <c r="D9729" t="inlineStr">
        <is>
          <t>GÄVLEBORGS LÄN</t>
        </is>
      </c>
      <c r="E9729" t="inlineStr">
        <is>
          <t>BOLLNÄS</t>
        </is>
      </c>
      <c r="G9729" t="n">
        <v>5.1</v>
      </c>
      <c r="H9729" t="n">
        <v>0</v>
      </c>
      <c r="I9729" t="n">
        <v>0</v>
      </c>
      <c r="J9729" t="n">
        <v>0</v>
      </c>
      <c r="K9729" t="n">
        <v>0</v>
      </c>
      <c r="L9729" t="n">
        <v>0</v>
      </c>
      <c r="M9729" t="n">
        <v>0</v>
      </c>
      <c r="N9729" t="n">
        <v>0</v>
      </c>
      <c r="O9729" t="n">
        <v>0</v>
      </c>
      <c r="P9729" t="n">
        <v>0</v>
      </c>
      <c r="Q9729" t="n">
        <v>0</v>
      </c>
      <c r="R9729" s="2" t="inlineStr"/>
    </row>
    <row r="9730" ht="15" customHeight="1">
      <c r="A9730" t="inlineStr">
        <is>
          <t>A 60030-2023</t>
        </is>
      </c>
      <c r="B9730" s="1" t="n">
        <v>45258</v>
      </c>
      <c r="C9730" s="1" t="n">
        <v>45344</v>
      </c>
      <c r="D9730" t="inlineStr">
        <is>
          <t>GÄVLEBORGS LÄN</t>
        </is>
      </c>
      <c r="E9730" t="inlineStr">
        <is>
          <t>HUDIKSVALL</t>
        </is>
      </c>
      <c r="F9730" t="inlineStr">
        <is>
          <t>Holmen skog AB</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60041-2023</t>
        </is>
      </c>
      <c r="B9731" s="1" t="n">
        <v>45258</v>
      </c>
      <c r="C9731" s="1" t="n">
        <v>45344</v>
      </c>
      <c r="D9731" t="inlineStr">
        <is>
          <t>GÄVLEBORGS LÄN</t>
        </is>
      </c>
      <c r="E9731" t="inlineStr">
        <is>
          <t>NORDANSTIG</t>
        </is>
      </c>
      <c r="G9731" t="n">
        <v>7.2</v>
      </c>
      <c r="H9731" t="n">
        <v>0</v>
      </c>
      <c r="I9731" t="n">
        <v>0</v>
      </c>
      <c r="J9731" t="n">
        <v>0</v>
      </c>
      <c r="K9731" t="n">
        <v>0</v>
      </c>
      <c r="L9731" t="n">
        <v>0</v>
      </c>
      <c r="M9731" t="n">
        <v>0</v>
      </c>
      <c r="N9731" t="n">
        <v>0</v>
      </c>
      <c r="O9731" t="n">
        <v>0</v>
      </c>
      <c r="P9731" t="n">
        <v>0</v>
      </c>
      <c r="Q9731" t="n">
        <v>0</v>
      </c>
      <c r="R9731" s="2" t="inlineStr"/>
    </row>
    <row r="9732" ht="15" customHeight="1">
      <c r="A9732" t="inlineStr">
        <is>
          <t>A 60090-2023</t>
        </is>
      </c>
      <c r="B9732" s="1" t="n">
        <v>45258</v>
      </c>
      <c r="C9732" s="1" t="n">
        <v>45344</v>
      </c>
      <c r="D9732" t="inlineStr">
        <is>
          <t>GÄVLEBORGS LÄN</t>
        </is>
      </c>
      <c r="E9732" t="inlineStr">
        <is>
          <t>BOLLNÄS</t>
        </is>
      </c>
      <c r="G9732" t="n">
        <v>5</v>
      </c>
      <c r="H9732" t="n">
        <v>0</v>
      </c>
      <c r="I9732" t="n">
        <v>0</v>
      </c>
      <c r="J9732" t="n">
        <v>0</v>
      </c>
      <c r="K9732" t="n">
        <v>0</v>
      </c>
      <c r="L9732" t="n">
        <v>0</v>
      </c>
      <c r="M9732" t="n">
        <v>0</v>
      </c>
      <c r="N9732" t="n">
        <v>0</v>
      </c>
      <c r="O9732" t="n">
        <v>0</v>
      </c>
      <c r="P9732" t="n">
        <v>0</v>
      </c>
      <c r="Q9732" t="n">
        <v>0</v>
      </c>
      <c r="R9732" s="2" t="inlineStr"/>
    </row>
    <row r="9733" ht="15" customHeight="1">
      <c r="A9733" t="inlineStr">
        <is>
          <t>A 60098-2023</t>
        </is>
      </c>
      <c r="B9733" s="1" t="n">
        <v>45258</v>
      </c>
      <c r="C9733" s="1" t="n">
        <v>45344</v>
      </c>
      <c r="D9733" t="inlineStr">
        <is>
          <t>GÄVLEBORGS LÄN</t>
        </is>
      </c>
      <c r="E9733" t="inlineStr">
        <is>
          <t>LJUSDAL</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60160-2023</t>
        </is>
      </c>
      <c r="B9734" s="1" t="n">
        <v>45258</v>
      </c>
      <c r="C9734" s="1" t="n">
        <v>45344</v>
      </c>
      <c r="D9734" t="inlineStr">
        <is>
          <t>GÄVLEBORGS LÄN</t>
        </is>
      </c>
      <c r="E9734" t="inlineStr">
        <is>
          <t>LJUSDAL</t>
        </is>
      </c>
      <c r="G9734" t="n">
        <v>7.1</v>
      </c>
      <c r="H9734" t="n">
        <v>0</v>
      </c>
      <c r="I9734" t="n">
        <v>0</v>
      </c>
      <c r="J9734" t="n">
        <v>0</v>
      </c>
      <c r="K9734" t="n">
        <v>0</v>
      </c>
      <c r="L9734" t="n">
        <v>0</v>
      </c>
      <c r="M9734" t="n">
        <v>0</v>
      </c>
      <c r="N9734" t="n">
        <v>0</v>
      </c>
      <c r="O9734" t="n">
        <v>0</v>
      </c>
      <c r="P9734" t="n">
        <v>0</v>
      </c>
      <c r="Q9734" t="n">
        <v>0</v>
      </c>
      <c r="R9734" s="2" t="inlineStr"/>
    </row>
    <row r="9735" ht="15" customHeight="1">
      <c r="A9735" t="inlineStr">
        <is>
          <t>A 60182-2023</t>
        </is>
      </c>
      <c r="B9735" s="1" t="n">
        <v>45258</v>
      </c>
      <c r="C9735" s="1" t="n">
        <v>45344</v>
      </c>
      <c r="D9735" t="inlineStr">
        <is>
          <t>GÄVLEBORGS LÄN</t>
        </is>
      </c>
      <c r="E9735" t="inlineStr">
        <is>
          <t>HUDIKSVALL</t>
        </is>
      </c>
      <c r="G9735" t="n">
        <v>10.1</v>
      </c>
      <c r="H9735" t="n">
        <v>0</v>
      </c>
      <c r="I9735" t="n">
        <v>0</v>
      </c>
      <c r="J9735" t="n">
        <v>0</v>
      </c>
      <c r="K9735" t="n">
        <v>0</v>
      </c>
      <c r="L9735" t="n">
        <v>0</v>
      </c>
      <c r="M9735" t="n">
        <v>0</v>
      </c>
      <c r="N9735" t="n">
        <v>0</v>
      </c>
      <c r="O9735" t="n">
        <v>0</v>
      </c>
      <c r="P9735" t="n">
        <v>0</v>
      </c>
      <c r="Q9735" t="n">
        <v>0</v>
      </c>
      <c r="R9735" s="2" t="inlineStr"/>
    </row>
    <row r="9736" ht="15" customHeight="1">
      <c r="A9736" t="inlineStr">
        <is>
          <t>A 60188-2023</t>
        </is>
      </c>
      <c r="B9736" s="1" t="n">
        <v>45258</v>
      </c>
      <c r="C9736" s="1" t="n">
        <v>45344</v>
      </c>
      <c r="D9736" t="inlineStr">
        <is>
          <t>GÄVLEBORGS LÄN</t>
        </is>
      </c>
      <c r="E9736" t="inlineStr">
        <is>
          <t>HUDIKSVALL</t>
        </is>
      </c>
      <c r="F9736" t="inlineStr">
        <is>
          <t>Holmen skog AB</t>
        </is>
      </c>
      <c r="G9736" t="n">
        <v>0.2</v>
      </c>
      <c r="H9736" t="n">
        <v>0</v>
      </c>
      <c r="I9736" t="n">
        <v>0</v>
      </c>
      <c r="J9736" t="n">
        <v>0</v>
      </c>
      <c r="K9736" t="n">
        <v>0</v>
      </c>
      <c r="L9736" t="n">
        <v>0</v>
      </c>
      <c r="M9736" t="n">
        <v>0</v>
      </c>
      <c r="N9736" t="n">
        <v>0</v>
      </c>
      <c r="O9736" t="n">
        <v>0</v>
      </c>
      <c r="P9736" t="n">
        <v>0</v>
      </c>
      <c r="Q9736" t="n">
        <v>0</v>
      </c>
      <c r="R9736" s="2" t="inlineStr"/>
    </row>
    <row r="9737" ht="15" customHeight="1">
      <c r="A9737" t="inlineStr">
        <is>
          <t>A 60194-2023</t>
        </is>
      </c>
      <c r="B9737" s="1" t="n">
        <v>45258</v>
      </c>
      <c r="C9737" s="1" t="n">
        <v>45344</v>
      </c>
      <c r="D9737" t="inlineStr">
        <is>
          <t>GÄVLEBORGS LÄN</t>
        </is>
      </c>
      <c r="E9737" t="inlineStr">
        <is>
          <t>HUDIKSVALL</t>
        </is>
      </c>
      <c r="F9737" t="inlineStr">
        <is>
          <t>Holmen skog AB</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60253-2023</t>
        </is>
      </c>
      <c r="B9738" s="1" t="n">
        <v>45258</v>
      </c>
      <c r="C9738" s="1" t="n">
        <v>45344</v>
      </c>
      <c r="D9738" t="inlineStr">
        <is>
          <t>GÄVLEBORGS LÄN</t>
        </is>
      </c>
      <c r="E9738" t="inlineStr">
        <is>
          <t>OCKELBO</t>
        </is>
      </c>
      <c r="G9738" t="n">
        <v>1.3</v>
      </c>
      <c r="H9738" t="n">
        <v>0</v>
      </c>
      <c r="I9738" t="n">
        <v>0</v>
      </c>
      <c r="J9738" t="n">
        <v>0</v>
      </c>
      <c r="K9738" t="n">
        <v>0</v>
      </c>
      <c r="L9738" t="n">
        <v>0</v>
      </c>
      <c r="M9738" t="n">
        <v>0</v>
      </c>
      <c r="N9738" t="n">
        <v>0</v>
      </c>
      <c r="O9738" t="n">
        <v>0</v>
      </c>
      <c r="P9738" t="n">
        <v>0</v>
      </c>
      <c r="Q9738" t="n">
        <v>0</v>
      </c>
      <c r="R9738" s="2" t="inlineStr"/>
    </row>
    <row r="9739" ht="15" customHeight="1">
      <c r="A9739" t="inlineStr">
        <is>
          <t>A 60148-2023</t>
        </is>
      </c>
      <c r="B9739" s="1" t="n">
        <v>45258</v>
      </c>
      <c r="C9739" s="1" t="n">
        <v>45344</v>
      </c>
      <c r="D9739" t="inlineStr">
        <is>
          <t>GÄVLEBORGS LÄN</t>
        </is>
      </c>
      <c r="E9739" t="inlineStr">
        <is>
          <t>OCKELBO</t>
        </is>
      </c>
      <c r="G9739" t="n">
        <v>2.7</v>
      </c>
      <c r="H9739" t="n">
        <v>0</v>
      </c>
      <c r="I9739" t="n">
        <v>0</v>
      </c>
      <c r="J9739" t="n">
        <v>0</v>
      </c>
      <c r="K9739" t="n">
        <v>0</v>
      </c>
      <c r="L9739" t="n">
        <v>0</v>
      </c>
      <c r="M9739" t="n">
        <v>0</v>
      </c>
      <c r="N9739" t="n">
        <v>0</v>
      </c>
      <c r="O9739" t="n">
        <v>0</v>
      </c>
      <c r="P9739" t="n">
        <v>0</v>
      </c>
      <c r="Q9739" t="n">
        <v>0</v>
      </c>
      <c r="R9739" s="2" t="inlineStr"/>
    </row>
    <row r="9740" ht="15" customHeight="1">
      <c r="A9740" t="inlineStr">
        <is>
          <t>A 60190-2023</t>
        </is>
      </c>
      <c r="B9740" s="1" t="n">
        <v>45258</v>
      </c>
      <c r="C9740" s="1" t="n">
        <v>45344</v>
      </c>
      <c r="D9740" t="inlineStr">
        <is>
          <t>GÄVLEBORGS LÄN</t>
        </is>
      </c>
      <c r="E9740" t="inlineStr">
        <is>
          <t>HUDIKSVALL</t>
        </is>
      </c>
      <c r="F9740" t="inlineStr">
        <is>
          <t>Holmen skog AB</t>
        </is>
      </c>
      <c r="G9740" t="n">
        <v>0.3</v>
      </c>
      <c r="H9740" t="n">
        <v>0</v>
      </c>
      <c r="I9740" t="n">
        <v>0</v>
      </c>
      <c r="J9740" t="n">
        <v>0</v>
      </c>
      <c r="K9740" t="n">
        <v>0</v>
      </c>
      <c r="L9740" t="n">
        <v>0</v>
      </c>
      <c r="M9740" t="n">
        <v>0</v>
      </c>
      <c r="N9740" t="n">
        <v>0</v>
      </c>
      <c r="O9740" t="n">
        <v>0</v>
      </c>
      <c r="P9740" t="n">
        <v>0</v>
      </c>
      <c r="Q9740" t="n">
        <v>0</v>
      </c>
      <c r="R9740" s="2" t="inlineStr"/>
    </row>
    <row r="9741" ht="15" customHeight="1">
      <c r="A9741" t="inlineStr">
        <is>
          <t>A 60218-2023</t>
        </is>
      </c>
      <c r="B9741" s="1" t="n">
        <v>45258</v>
      </c>
      <c r="C9741" s="1" t="n">
        <v>45344</v>
      </c>
      <c r="D9741" t="inlineStr">
        <is>
          <t>GÄVLEBORGS LÄN</t>
        </is>
      </c>
      <c r="E9741" t="inlineStr">
        <is>
          <t>OVANÅKER</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60076-2023</t>
        </is>
      </c>
      <c r="B9742" s="1" t="n">
        <v>45258</v>
      </c>
      <c r="C9742" s="1" t="n">
        <v>45344</v>
      </c>
      <c r="D9742" t="inlineStr">
        <is>
          <t>GÄVLEBORGS LÄN</t>
        </is>
      </c>
      <c r="E9742" t="inlineStr">
        <is>
          <t>LJUSDAL</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60192-2023</t>
        </is>
      </c>
      <c r="B9743" s="1" t="n">
        <v>45258</v>
      </c>
      <c r="C9743" s="1" t="n">
        <v>45344</v>
      </c>
      <c r="D9743" t="inlineStr">
        <is>
          <t>GÄVLEBORGS LÄN</t>
        </is>
      </c>
      <c r="E9743" t="inlineStr">
        <is>
          <t>HUDIKSVALL</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60197-2023</t>
        </is>
      </c>
      <c r="B9744" s="1" t="n">
        <v>45258</v>
      </c>
      <c r="C9744" s="1" t="n">
        <v>45344</v>
      </c>
      <c r="D9744" t="inlineStr">
        <is>
          <t>GÄVLEBORGS LÄN</t>
        </is>
      </c>
      <c r="E9744" t="inlineStr">
        <is>
          <t>LJUSDAL</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60214-2023</t>
        </is>
      </c>
      <c r="B9745" s="1" t="n">
        <v>45258</v>
      </c>
      <c r="C9745" s="1" t="n">
        <v>45344</v>
      </c>
      <c r="D9745" t="inlineStr">
        <is>
          <t>GÄVLEBORGS LÄN</t>
        </is>
      </c>
      <c r="E9745" t="inlineStr">
        <is>
          <t>OCKELBO</t>
        </is>
      </c>
      <c r="F9745" t="inlineStr">
        <is>
          <t>Bergvik skog väst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60476-2023</t>
        </is>
      </c>
      <c r="B9746" s="1" t="n">
        <v>45258</v>
      </c>
      <c r="C9746" s="1" t="n">
        <v>45344</v>
      </c>
      <c r="D9746" t="inlineStr">
        <is>
          <t>GÄVLEBORGS LÄN</t>
        </is>
      </c>
      <c r="E9746" t="inlineStr">
        <is>
          <t>BOLLNÄS</t>
        </is>
      </c>
      <c r="G9746" t="n">
        <v>3</v>
      </c>
      <c r="H9746" t="n">
        <v>0</v>
      </c>
      <c r="I9746" t="n">
        <v>0</v>
      </c>
      <c r="J9746" t="n">
        <v>0</v>
      </c>
      <c r="K9746" t="n">
        <v>0</v>
      </c>
      <c r="L9746" t="n">
        <v>0</v>
      </c>
      <c r="M9746" t="n">
        <v>0</v>
      </c>
      <c r="N9746" t="n">
        <v>0</v>
      </c>
      <c r="O9746" t="n">
        <v>0</v>
      </c>
      <c r="P9746" t="n">
        <v>0</v>
      </c>
      <c r="Q9746" t="n">
        <v>0</v>
      </c>
      <c r="R9746" s="2" t="inlineStr"/>
    </row>
    <row r="9747" ht="15" customHeight="1">
      <c r="A9747" t="inlineStr">
        <is>
          <t>A 60491-2023</t>
        </is>
      </c>
      <c r="B9747" s="1" t="n">
        <v>45258</v>
      </c>
      <c r="C9747" s="1" t="n">
        <v>45344</v>
      </c>
      <c r="D9747" t="inlineStr">
        <is>
          <t>GÄVLEBORGS LÄN</t>
        </is>
      </c>
      <c r="E9747" t="inlineStr">
        <is>
          <t>BOLLNÄS</t>
        </is>
      </c>
      <c r="G9747" t="n">
        <v>3.5</v>
      </c>
      <c r="H9747" t="n">
        <v>0</v>
      </c>
      <c r="I9747" t="n">
        <v>0</v>
      </c>
      <c r="J9747" t="n">
        <v>0</v>
      </c>
      <c r="K9747" t="n">
        <v>0</v>
      </c>
      <c r="L9747" t="n">
        <v>0</v>
      </c>
      <c r="M9747" t="n">
        <v>0</v>
      </c>
      <c r="N9747" t="n">
        <v>0</v>
      </c>
      <c r="O9747" t="n">
        <v>0</v>
      </c>
      <c r="P9747" t="n">
        <v>0</v>
      </c>
      <c r="Q9747" t="n">
        <v>0</v>
      </c>
      <c r="R9747" s="2" t="inlineStr"/>
    </row>
    <row r="9748" ht="15" customHeight="1">
      <c r="A9748" t="inlineStr">
        <is>
          <t>A 60490-2023</t>
        </is>
      </c>
      <c r="B9748" s="1" t="n">
        <v>45258</v>
      </c>
      <c r="C9748" s="1" t="n">
        <v>45344</v>
      </c>
      <c r="D9748" t="inlineStr">
        <is>
          <t>GÄVLEBORGS LÄN</t>
        </is>
      </c>
      <c r="E9748" t="inlineStr">
        <is>
          <t>BOLLNÄS</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60495-2023</t>
        </is>
      </c>
      <c r="B9749" s="1" t="n">
        <v>45258</v>
      </c>
      <c r="C9749" s="1" t="n">
        <v>45344</v>
      </c>
      <c r="D9749" t="inlineStr">
        <is>
          <t>GÄVLEBORGS LÄN</t>
        </is>
      </c>
      <c r="E9749" t="inlineStr">
        <is>
          <t>BOLLNÄS</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60473-2023</t>
        </is>
      </c>
      <c r="B9750" s="1" t="n">
        <v>45259</v>
      </c>
      <c r="C9750" s="1" t="n">
        <v>45344</v>
      </c>
      <c r="D9750" t="inlineStr">
        <is>
          <t>GÄVLEBORGS LÄN</t>
        </is>
      </c>
      <c r="E9750" t="inlineStr">
        <is>
          <t>HUDIKSVALL</t>
        </is>
      </c>
      <c r="G9750" t="n">
        <v>1.4</v>
      </c>
      <c r="H9750" t="n">
        <v>0</v>
      </c>
      <c r="I9750" t="n">
        <v>0</v>
      </c>
      <c r="J9750" t="n">
        <v>0</v>
      </c>
      <c r="K9750" t="n">
        <v>0</v>
      </c>
      <c r="L9750" t="n">
        <v>0</v>
      </c>
      <c r="M9750" t="n">
        <v>0</v>
      </c>
      <c r="N9750" t="n">
        <v>0</v>
      </c>
      <c r="O9750" t="n">
        <v>0</v>
      </c>
      <c r="P9750" t="n">
        <v>0</v>
      </c>
      <c r="Q9750" t="n">
        <v>0</v>
      </c>
      <c r="R9750" s="2" t="inlineStr"/>
    </row>
    <row r="9751" ht="15" customHeight="1">
      <c r="A9751" t="inlineStr">
        <is>
          <t>A 60452-2023</t>
        </is>
      </c>
      <c r="B9751" s="1" t="n">
        <v>45259</v>
      </c>
      <c r="C9751" s="1" t="n">
        <v>45344</v>
      </c>
      <c r="D9751" t="inlineStr">
        <is>
          <t>GÄVLEBORGS LÄN</t>
        </is>
      </c>
      <c r="E9751" t="inlineStr">
        <is>
          <t>BOLLNÄS</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60520-2023</t>
        </is>
      </c>
      <c r="B9752" s="1" t="n">
        <v>45259</v>
      </c>
      <c r="C9752" s="1" t="n">
        <v>45344</v>
      </c>
      <c r="D9752" t="inlineStr">
        <is>
          <t>GÄVLEBORGS LÄN</t>
        </is>
      </c>
      <c r="E9752" t="inlineStr">
        <is>
          <t>NORDANSTIG</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60502-2023</t>
        </is>
      </c>
      <c r="B9753" s="1" t="n">
        <v>45259</v>
      </c>
      <c r="C9753" s="1" t="n">
        <v>45344</v>
      </c>
      <c r="D9753" t="inlineStr">
        <is>
          <t>GÄVLEBORGS LÄN</t>
        </is>
      </c>
      <c r="E9753" t="inlineStr">
        <is>
          <t>GÄVLE</t>
        </is>
      </c>
      <c r="G9753" t="n">
        <v>5</v>
      </c>
      <c r="H9753" t="n">
        <v>0</v>
      </c>
      <c r="I9753" t="n">
        <v>0</v>
      </c>
      <c r="J9753" t="n">
        <v>0</v>
      </c>
      <c r="K9753" t="n">
        <v>0</v>
      </c>
      <c r="L9753" t="n">
        <v>0</v>
      </c>
      <c r="M9753" t="n">
        <v>0</v>
      </c>
      <c r="N9753" t="n">
        <v>0</v>
      </c>
      <c r="O9753" t="n">
        <v>0</v>
      </c>
      <c r="P9753" t="n">
        <v>0</v>
      </c>
      <c r="Q9753" t="n">
        <v>0</v>
      </c>
      <c r="R9753" s="2" t="inlineStr"/>
    </row>
    <row r="9754" ht="15" customHeight="1">
      <c r="A9754" t="inlineStr">
        <is>
          <t>A 60417-2023</t>
        </is>
      </c>
      <c r="B9754" s="1" t="n">
        <v>45259</v>
      </c>
      <c r="C9754" s="1" t="n">
        <v>45344</v>
      </c>
      <c r="D9754" t="inlineStr">
        <is>
          <t>GÄVLEBORGS LÄN</t>
        </is>
      </c>
      <c r="E9754" t="inlineStr">
        <is>
          <t>OVANÅKER</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60398-2023</t>
        </is>
      </c>
      <c r="B9755" s="1" t="n">
        <v>45259</v>
      </c>
      <c r="C9755" s="1" t="n">
        <v>45344</v>
      </c>
      <c r="D9755" t="inlineStr">
        <is>
          <t>GÄVLEBORGS LÄN</t>
        </is>
      </c>
      <c r="E9755" t="inlineStr">
        <is>
          <t>NORDANSTIG</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60454-2023</t>
        </is>
      </c>
      <c r="B9756" s="1" t="n">
        <v>45259</v>
      </c>
      <c r="C9756" s="1" t="n">
        <v>45344</v>
      </c>
      <c r="D9756" t="inlineStr">
        <is>
          <t>GÄVLEBORGS LÄN</t>
        </is>
      </c>
      <c r="E9756" t="inlineStr">
        <is>
          <t>BOLLNÄS</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60449-2023</t>
        </is>
      </c>
      <c r="B9757" s="1" t="n">
        <v>45259</v>
      </c>
      <c r="C9757" s="1" t="n">
        <v>45344</v>
      </c>
      <c r="D9757" t="inlineStr">
        <is>
          <t>GÄVLEBORGS LÄN</t>
        </is>
      </c>
      <c r="E9757" t="inlineStr">
        <is>
          <t>BOLLNÄS</t>
        </is>
      </c>
      <c r="G9757" t="n">
        <v>2.5</v>
      </c>
      <c r="H9757" t="n">
        <v>0</v>
      </c>
      <c r="I9757" t="n">
        <v>0</v>
      </c>
      <c r="J9757" t="n">
        <v>0</v>
      </c>
      <c r="K9757" t="n">
        <v>0</v>
      </c>
      <c r="L9757" t="n">
        <v>0</v>
      </c>
      <c r="M9757" t="n">
        <v>0</v>
      </c>
      <c r="N9757" t="n">
        <v>0</v>
      </c>
      <c r="O9757" t="n">
        <v>0</v>
      </c>
      <c r="P9757" t="n">
        <v>0</v>
      </c>
      <c r="Q9757" t="n">
        <v>0</v>
      </c>
      <c r="R9757" s="2" t="inlineStr"/>
    </row>
    <row r="9758" ht="15" customHeight="1">
      <c r="A9758" t="inlineStr">
        <is>
          <t>A 60345-2023</t>
        </is>
      </c>
      <c r="B9758" s="1" t="n">
        <v>45259</v>
      </c>
      <c r="C9758" s="1" t="n">
        <v>45344</v>
      </c>
      <c r="D9758" t="inlineStr">
        <is>
          <t>GÄVLEBORGS LÄN</t>
        </is>
      </c>
      <c r="E9758" t="inlineStr">
        <is>
          <t>NORDANSTIG</t>
        </is>
      </c>
      <c r="F9758" t="inlineStr">
        <is>
          <t>Holmen skog AB</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60853-2023</t>
        </is>
      </c>
      <c r="B9759" s="1" t="n">
        <v>45260</v>
      </c>
      <c r="C9759" s="1" t="n">
        <v>45344</v>
      </c>
      <c r="D9759" t="inlineStr">
        <is>
          <t>GÄVLEBORGS LÄN</t>
        </is>
      </c>
      <c r="E9759" t="inlineStr">
        <is>
          <t>NORDANSTIG</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60804-2023</t>
        </is>
      </c>
      <c r="B9760" s="1" t="n">
        <v>45260</v>
      </c>
      <c r="C9760" s="1" t="n">
        <v>45344</v>
      </c>
      <c r="D9760" t="inlineStr">
        <is>
          <t>GÄVLEBORGS LÄN</t>
        </is>
      </c>
      <c r="E9760" t="inlineStr">
        <is>
          <t>OVANÅKER</t>
        </is>
      </c>
      <c r="G9760" t="n">
        <v>8</v>
      </c>
      <c r="H9760" t="n">
        <v>0</v>
      </c>
      <c r="I9760" t="n">
        <v>0</v>
      </c>
      <c r="J9760" t="n">
        <v>0</v>
      </c>
      <c r="K9760" t="n">
        <v>0</v>
      </c>
      <c r="L9760" t="n">
        <v>0</v>
      </c>
      <c r="M9760" t="n">
        <v>0</v>
      </c>
      <c r="N9760" t="n">
        <v>0</v>
      </c>
      <c r="O9760" t="n">
        <v>0</v>
      </c>
      <c r="P9760" t="n">
        <v>0</v>
      </c>
      <c r="Q9760" t="n">
        <v>0</v>
      </c>
      <c r="R9760" s="2" t="inlineStr"/>
    </row>
    <row r="9761" ht="15" customHeight="1">
      <c r="A9761" t="inlineStr">
        <is>
          <t>A 60796-2023</t>
        </is>
      </c>
      <c r="B9761" s="1" t="n">
        <v>45260</v>
      </c>
      <c r="C9761" s="1" t="n">
        <v>45344</v>
      </c>
      <c r="D9761" t="inlineStr">
        <is>
          <t>GÄVLEBORGS LÄN</t>
        </is>
      </c>
      <c r="E9761" t="inlineStr">
        <is>
          <t>HUDIKSVALL</t>
        </is>
      </c>
      <c r="F9761" t="inlineStr">
        <is>
          <t>Holmen skog AB</t>
        </is>
      </c>
      <c r="G9761" t="n">
        <v>1.6</v>
      </c>
      <c r="H9761" t="n">
        <v>0</v>
      </c>
      <c r="I9761" t="n">
        <v>0</v>
      </c>
      <c r="J9761" t="n">
        <v>0</v>
      </c>
      <c r="K9761" t="n">
        <v>0</v>
      </c>
      <c r="L9761" t="n">
        <v>0</v>
      </c>
      <c r="M9761" t="n">
        <v>0</v>
      </c>
      <c r="N9761" t="n">
        <v>0</v>
      </c>
      <c r="O9761" t="n">
        <v>0</v>
      </c>
      <c r="P9761" t="n">
        <v>0</v>
      </c>
      <c r="Q9761" t="n">
        <v>0</v>
      </c>
      <c r="R9761" s="2" t="inlineStr"/>
    </row>
    <row r="9762" ht="15" customHeight="1">
      <c r="A9762" t="inlineStr">
        <is>
          <t>A 60750-2023</t>
        </is>
      </c>
      <c r="B9762" s="1" t="n">
        <v>45260</v>
      </c>
      <c r="C9762" s="1" t="n">
        <v>45344</v>
      </c>
      <c r="D9762" t="inlineStr">
        <is>
          <t>GÄVLEBORGS LÄN</t>
        </is>
      </c>
      <c r="E9762" t="inlineStr">
        <is>
          <t>HUDIKSVALL</t>
        </is>
      </c>
      <c r="F9762" t="inlineStr">
        <is>
          <t>Holmen skog AB</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60590-2023</t>
        </is>
      </c>
      <c r="B9763" s="1" t="n">
        <v>45260</v>
      </c>
      <c r="C9763" s="1" t="n">
        <v>45344</v>
      </c>
      <c r="D9763" t="inlineStr">
        <is>
          <t>GÄVLEBORGS LÄN</t>
        </is>
      </c>
      <c r="E9763" t="inlineStr">
        <is>
          <t>LJUSDAL</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60608-2023</t>
        </is>
      </c>
      <c r="B9764" s="1" t="n">
        <v>45260</v>
      </c>
      <c r="C9764" s="1" t="n">
        <v>45344</v>
      </c>
      <c r="D9764" t="inlineStr">
        <is>
          <t>GÄVLEBORGS LÄN</t>
        </is>
      </c>
      <c r="E9764" t="inlineStr">
        <is>
          <t>LJUSDAL</t>
        </is>
      </c>
      <c r="F9764" t="inlineStr">
        <is>
          <t>Holmen skog AB</t>
        </is>
      </c>
      <c r="G9764" t="n">
        <v>3.4</v>
      </c>
      <c r="H9764" t="n">
        <v>0</v>
      </c>
      <c r="I9764" t="n">
        <v>0</v>
      </c>
      <c r="J9764" t="n">
        <v>0</v>
      </c>
      <c r="K9764" t="n">
        <v>0</v>
      </c>
      <c r="L9764" t="n">
        <v>0</v>
      </c>
      <c r="M9764" t="n">
        <v>0</v>
      </c>
      <c r="N9764" t="n">
        <v>0</v>
      </c>
      <c r="O9764" t="n">
        <v>0</v>
      </c>
      <c r="P9764" t="n">
        <v>0</v>
      </c>
      <c r="Q9764" t="n">
        <v>0</v>
      </c>
      <c r="R9764" s="2" t="inlineStr"/>
    </row>
    <row r="9765" ht="15" customHeight="1">
      <c r="A9765" t="inlineStr">
        <is>
          <t>A 60628-2023</t>
        </is>
      </c>
      <c r="B9765" s="1" t="n">
        <v>45260</v>
      </c>
      <c r="C9765" s="1" t="n">
        <v>45344</v>
      </c>
      <c r="D9765" t="inlineStr">
        <is>
          <t>GÄVLEBORGS LÄN</t>
        </is>
      </c>
      <c r="E9765" t="inlineStr">
        <is>
          <t>HUDIKSVALL</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60701-2023</t>
        </is>
      </c>
      <c r="B9766" s="1" t="n">
        <v>45260</v>
      </c>
      <c r="C9766" s="1" t="n">
        <v>45344</v>
      </c>
      <c r="D9766" t="inlineStr">
        <is>
          <t>GÄVLEBORGS LÄN</t>
        </is>
      </c>
      <c r="E9766" t="inlineStr">
        <is>
          <t>SÖDERHAMN</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60705-2023</t>
        </is>
      </c>
      <c r="B9767" s="1" t="n">
        <v>45260</v>
      </c>
      <c r="C9767" s="1" t="n">
        <v>45344</v>
      </c>
      <c r="D9767" t="inlineStr">
        <is>
          <t>GÄVLEBORGS LÄN</t>
        </is>
      </c>
      <c r="E9767" t="inlineStr">
        <is>
          <t>HOFORS</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60798-2023</t>
        </is>
      </c>
      <c r="B9768" s="1" t="n">
        <v>45260</v>
      </c>
      <c r="C9768" s="1" t="n">
        <v>45344</v>
      </c>
      <c r="D9768" t="inlineStr">
        <is>
          <t>GÄVLEBORGS LÄN</t>
        </is>
      </c>
      <c r="E9768" t="inlineStr">
        <is>
          <t>SANDVIKEN</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60834-2023</t>
        </is>
      </c>
      <c r="B9769" s="1" t="n">
        <v>45260</v>
      </c>
      <c r="C9769" s="1" t="n">
        <v>45344</v>
      </c>
      <c r="D9769" t="inlineStr">
        <is>
          <t>GÄVLEBORGS LÄN</t>
        </is>
      </c>
      <c r="E9769" t="inlineStr">
        <is>
          <t>NORDANSTIG</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60708-2023</t>
        </is>
      </c>
      <c r="B9770" s="1" t="n">
        <v>45260</v>
      </c>
      <c r="C9770" s="1" t="n">
        <v>45344</v>
      </c>
      <c r="D9770" t="inlineStr">
        <is>
          <t>GÄVLEBORGS LÄN</t>
        </is>
      </c>
      <c r="E9770" t="inlineStr">
        <is>
          <t>NORDANSTIG</t>
        </is>
      </c>
      <c r="F9770" t="inlineStr">
        <is>
          <t>Holmen skog AB</t>
        </is>
      </c>
      <c r="G9770" t="n">
        <v>2.5</v>
      </c>
      <c r="H9770" t="n">
        <v>0</v>
      </c>
      <c r="I9770" t="n">
        <v>0</v>
      </c>
      <c r="J9770" t="n">
        <v>0</v>
      </c>
      <c r="K9770" t="n">
        <v>0</v>
      </c>
      <c r="L9770" t="n">
        <v>0</v>
      </c>
      <c r="M9770" t="n">
        <v>0</v>
      </c>
      <c r="N9770" t="n">
        <v>0</v>
      </c>
      <c r="O9770" t="n">
        <v>0</v>
      </c>
      <c r="P9770" t="n">
        <v>0</v>
      </c>
      <c r="Q9770" t="n">
        <v>0</v>
      </c>
      <c r="R9770" s="2" t="inlineStr"/>
    </row>
    <row r="9771" ht="15" customHeight="1">
      <c r="A9771" t="inlineStr">
        <is>
          <t>A 60700-2023</t>
        </is>
      </c>
      <c r="B9771" s="1" t="n">
        <v>45260</v>
      </c>
      <c r="C9771" s="1" t="n">
        <v>45344</v>
      </c>
      <c r="D9771" t="inlineStr">
        <is>
          <t>GÄVLEBORGS LÄN</t>
        </is>
      </c>
      <c r="E9771" t="inlineStr">
        <is>
          <t>SANDVIKEN</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60610-2023</t>
        </is>
      </c>
      <c r="B9772" s="1" t="n">
        <v>45260</v>
      </c>
      <c r="C9772" s="1" t="n">
        <v>45344</v>
      </c>
      <c r="D9772" t="inlineStr">
        <is>
          <t>GÄVLEBORGS LÄN</t>
        </is>
      </c>
      <c r="E9772" t="inlineStr">
        <is>
          <t>HOFORS</t>
        </is>
      </c>
      <c r="G9772" t="n">
        <v>3.3</v>
      </c>
      <c r="H9772" t="n">
        <v>0</v>
      </c>
      <c r="I9772" t="n">
        <v>0</v>
      </c>
      <c r="J9772" t="n">
        <v>0</v>
      </c>
      <c r="K9772" t="n">
        <v>0</v>
      </c>
      <c r="L9772" t="n">
        <v>0</v>
      </c>
      <c r="M9772" t="n">
        <v>0</v>
      </c>
      <c r="N9772" t="n">
        <v>0</v>
      </c>
      <c r="O9772" t="n">
        <v>0</v>
      </c>
      <c r="P9772" t="n">
        <v>0</v>
      </c>
      <c r="Q9772" t="n">
        <v>0</v>
      </c>
      <c r="R9772" s="2" t="inlineStr"/>
    </row>
    <row r="9773" ht="15" customHeight="1">
      <c r="A9773" t="inlineStr">
        <is>
          <t>A 60691-2023</t>
        </is>
      </c>
      <c r="B9773" s="1" t="n">
        <v>45260</v>
      </c>
      <c r="C9773" s="1" t="n">
        <v>45344</v>
      </c>
      <c r="D9773" t="inlineStr">
        <is>
          <t>GÄVLEBORGS LÄN</t>
        </is>
      </c>
      <c r="E9773" t="inlineStr">
        <is>
          <t>SÖDERHAMN</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60695-2023</t>
        </is>
      </c>
      <c r="B9774" s="1" t="n">
        <v>45260</v>
      </c>
      <c r="C9774" s="1" t="n">
        <v>45344</v>
      </c>
      <c r="D9774" t="inlineStr">
        <is>
          <t>GÄVLEBORGS LÄN</t>
        </is>
      </c>
      <c r="E9774" t="inlineStr">
        <is>
          <t>SÖDERHAMN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60737-2023</t>
        </is>
      </c>
      <c r="B9775" s="1" t="n">
        <v>45260</v>
      </c>
      <c r="C9775" s="1" t="n">
        <v>45344</v>
      </c>
      <c r="D9775" t="inlineStr">
        <is>
          <t>GÄVLEBORGS LÄN</t>
        </is>
      </c>
      <c r="E9775" t="inlineStr">
        <is>
          <t>OCKELBO</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60617-2023</t>
        </is>
      </c>
      <c r="B9776" s="1" t="n">
        <v>45260</v>
      </c>
      <c r="C9776" s="1" t="n">
        <v>45344</v>
      </c>
      <c r="D9776" t="inlineStr">
        <is>
          <t>GÄVLEBORGS LÄN</t>
        </is>
      </c>
      <c r="E9776" t="inlineStr">
        <is>
          <t>HUDIKSVALL</t>
        </is>
      </c>
      <c r="F9776" t="inlineStr">
        <is>
          <t>Holmen skog AB</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60694-2023</t>
        </is>
      </c>
      <c r="B9777" s="1" t="n">
        <v>45260</v>
      </c>
      <c r="C9777" s="1" t="n">
        <v>45344</v>
      </c>
      <c r="D9777" t="inlineStr">
        <is>
          <t>GÄVLEBORGS LÄN</t>
        </is>
      </c>
      <c r="E9777" t="inlineStr">
        <is>
          <t>SÖDERHAMN</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60698-2023</t>
        </is>
      </c>
      <c r="B9778" s="1" t="n">
        <v>45260</v>
      </c>
      <c r="C9778" s="1" t="n">
        <v>45344</v>
      </c>
      <c r="D9778" t="inlineStr">
        <is>
          <t>GÄVLEBORGS LÄN</t>
        </is>
      </c>
      <c r="E9778" t="inlineStr">
        <is>
          <t>SÖDERHAMN</t>
        </is>
      </c>
      <c r="G9778" t="n">
        <v>0.7</v>
      </c>
      <c r="H9778" t="n">
        <v>0</v>
      </c>
      <c r="I9778" t="n">
        <v>0</v>
      </c>
      <c r="J9778" t="n">
        <v>0</v>
      </c>
      <c r="K9778" t="n">
        <v>0</v>
      </c>
      <c r="L9778" t="n">
        <v>0</v>
      </c>
      <c r="M9778" t="n">
        <v>0</v>
      </c>
      <c r="N9778" t="n">
        <v>0</v>
      </c>
      <c r="O9778" t="n">
        <v>0</v>
      </c>
      <c r="P9778" t="n">
        <v>0</v>
      </c>
      <c r="Q9778" t="n">
        <v>0</v>
      </c>
      <c r="R9778" s="2" t="inlineStr"/>
    </row>
    <row r="9779" ht="15" customHeight="1">
      <c r="A9779" t="inlineStr">
        <is>
          <t>A 60710-2023</t>
        </is>
      </c>
      <c r="B9779" s="1" t="n">
        <v>45260</v>
      </c>
      <c r="C9779" s="1" t="n">
        <v>45344</v>
      </c>
      <c r="D9779" t="inlineStr">
        <is>
          <t>GÄVLEBORGS LÄN</t>
        </is>
      </c>
      <c r="E9779" t="inlineStr">
        <is>
          <t>HUDIKSVALL</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60719-2023</t>
        </is>
      </c>
      <c r="B9780" s="1" t="n">
        <v>45260</v>
      </c>
      <c r="C9780" s="1" t="n">
        <v>45344</v>
      </c>
      <c r="D9780" t="inlineStr">
        <is>
          <t>GÄVLEBORGS LÄN</t>
        </is>
      </c>
      <c r="E9780" t="inlineStr">
        <is>
          <t>NORDANSTIG</t>
        </is>
      </c>
      <c r="F9780" t="inlineStr">
        <is>
          <t>Holmen skog AB</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60736-2023</t>
        </is>
      </c>
      <c r="B9781" s="1" t="n">
        <v>45260</v>
      </c>
      <c r="C9781" s="1" t="n">
        <v>45344</v>
      </c>
      <c r="D9781" t="inlineStr">
        <is>
          <t>GÄVLEBORGS LÄN</t>
        </is>
      </c>
      <c r="E9781" t="inlineStr">
        <is>
          <t>HUDIKSVALL</t>
        </is>
      </c>
      <c r="F9781" t="inlineStr">
        <is>
          <t>Holmen skog AB</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60775-2023</t>
        </is>
      </c>
      <c r="B9782" s="1" t="n">
        <v>45260</v>
      </c>
      <c r="C9782" s="1" t="n">
        <v>45344</v>
      </c>
      <c r="D9782" t="inlineStr">
        <is>
          <t>GÄVLEBORGS LÄN</t>
        </is>
      </c>
      <c r="E9782" t="inlineStr">
        <is>
          <t>OCKELBO</t>
        </is>
      </c>
      <c r="F9782" t="inlineStr">
        <is>
          <t>Bergvik skog väst AB</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60789-2023</t>
        </is>
      </c>
      <c r="B9783" s="1" t="n">
        <v>45260</v>
      </c>
      <c r="C9783" s="1" t="n">
        <v>45344</v>
      </c>
      <c r="D9783" t="inlineStr">
        <is>
          <t>GÄVLEBORGS LÄN</t>
        </is>
      </c>
      <c r="E9783" t="inlineStr">
        <is>
          <t>HUDIKSVALL</t>
        </is>
      </c>
      <c r="G9783" t="n">
        <v>4.8</v>
      </c>
      <c r="H9783" t="n">
        <v>0</v>
      </c>
      <c r="I9783" t="n">
        <v>0</v>
      </c>
      <c r="J9783" t="n">
        <v>0</v>
      </c>
      <c r="K9783" t="n">
        <v>0</v>
      </c>
      <c r="L9783" t="n">
        <v>0</v>
      </c>
      <c r="M9783" t="n">
        <v>0</v>
      </c>
      <c r="N9783" t="n">
        <v>0</v>
      </c>
      <c r="O9783" t="n">
        <v>0</v>
      </c>
      <c r="P9783" t="n">
        <v>0</v>
      </c>
      <c r="Q9783" t="n">
        <v>0</v>
      </c>
      <c r="R9783" s="2" t="inlineStr"/>
    </row>
    <row r="9784" ht="15" customHeight="1">
      <c r="A9784" t="inlineStr">
        <is>
          <t>A 60801-2023</t>
        </is>
      </c>
      <c r="B9784" s="1" t="n">
        <v>45260</v>
      </c>
      <c r="C9784" s="1" t="n">
        <v>45344</v>
      </c>
      <c r="D9784" t="inlineStr">
        <is>
          <t>GÄVLEBORGS LÄN</t>
        </is>
      </c>
      <c r="E9784" t="inlineStr">
        <is>
          <t>HUDIKSVALL</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60839-2023</t>
        </is>
      </c>
      <c r="B9785" s="1" t="n">
        <v>45260</v>
      </c>
      <c r="C9785" s="1" t="n">
        <v>45344</v>
      </c>
      <c r="D9785" t="inlineStr">
        <is>
          <t>GÄVLEBORGS LÄN</t>
        </is>
      </c>
      <c r="E9785" t="inlineStr">
        <is>
          <t>NORDANSTIG</t>
        </is>
      </c>
      <c r="G9785" t="n">
        <v>3.7</v>
      </c>
      <c r="H9785" t="n">
        <v>0</v>
      </c>
      <c r="I9785" t="n">
        <v>0</v>
      </c>
      <c r="J9785" t="n">
        <v>0</v>
      </c>
      <c r="K9785" t="n">
        <v>0</v>
      </c>
      <c r="L9785" t="n">
        <v>0</v>
      </c>
      <c r="M9785" t="n">
        <v>0</v>
      </c>
      <c r="N9785" t="n">
        <v>0</v>
      </c>
      <c r="O9785" t="n">
        <v>0</v>
      </c>
      <c r="P9785" t="n">
        <v>0</v>
      </c>
      <c r="Q9785" t="n">
        <v>0</v>
      </c>
      <c r="R9785" s="2" t="inlineStr"/>
    </row>
    <row r="9786" ht="15" customHeight="1">
      <c r="A9786" t="inlineStr">
        <is>
          <t>A 61065-2023</t>
        </is>
      </c>
      <c r="B9786" s="1" t="n">
        <v>45261</v>
      </c>
      <c r="C9786" s="1" t="n">
        <v>45344</v>
      </c>
      <c r="D9786" t="inlineStr">
        <is>
          <t>GÄVLEBORGS LÄN</t>
        </is>
      </c>
      <c r="E9786" t="inlineStr">
        <is>
          <t>BOLLNÄS</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61053-2023</t>
        </is>
      </c>
      <c r="B9787" s="1" t="n">
        <v>45261</v>
      </c>
      <c r="C9787" s="1" t="n">
        <v>45344</v>
      </c>
      <c r="D9787" t="inlineStr">
        <is>
          <t>GÄVLEBORGS LÄN</t>
        </is>
      </c>
      <c r="E9787" t="inlineStr">
        <is>
          <t>LJUSDAL</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61060-2023</t>
        </is>
      </c>
      <c r="B9788" s="1" t="n">
        <v>45261</v>
      </c>
      <c r="C9788" s="1" t="n">
        <v>45344</v>
      </c>
      <c r="D9788" t="inlineStr">
        <is>
          <t>GÄVLEBORGS LÄN</t>
        </is>
      </c>
      <c r="E9788" t="inlineStr">
        <is>
          <t>BOLLNÄS</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61020-2023</t>
        </is>
      </c>
      <c r="B9789" s="1" t="n">
        <v>45261</v>
      </c>
      <c r="C9789" s="1" t="n">
        <v>45344</v>
      </c>
      <c r="D9789" t="inlineStr">
        <is>
          <t>GÄVLEBORGS LÄN</t>
        </is>
      </c>
      <c r="E9789" t="inlineStr">
        <is>
          <t>LJUSDAL</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60972-2023</t>
        </is>
      </c>
      <c r="B9790" s="1" t="n">
        <v>45261</v>
      </c>
      <c r="C9790" s="1" t="n">
        <v>45344</v>
      </c>
      <c r="D9790" t="inlineStr">
        <is>
          <t>GÄVLEBORGS LÄN</t>
        </is>
      </c>
      <c r="E9790" t="inlineStr">
        <is>
          <t>OCKELBO</t>
        </is>
      </c>
      <c r="F9790" t="inlineStr">
        <is>
          <t>Bergvik skog väst AB</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60948-2023</t>
        </is>
      </c>
      <c r="B9791" s="1" t="n">
        <v>45261</v>
      </c>
      <c r="C9791" s="1" t="n">
        <v>45344</v>
      </c>
      <c r="D9791" t="inlineStr">
        <is>
          <t>GÄVLEBORGS LÄN</t>
        </is>
      </c>
      <c r="E9791" t="inlineStr">
        <is>
          <t>LJUSDAL</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61116-2023</t>
        </is>
      </c>
      <c r="B9792" s="1" t="n">
        <v>45261</v>
      </c>
      <c r="C9792" s="1" t="n">
        <v>45344</v>
      </c>
      <c r="D9792" t="inlineStr">
        <is>
          <t>GÄVLEBORGS LÄN</t>
        </is>
      </c>
      <c r="E9792" t="inlineStr">
        <is>
          <t>OCKELBO</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60892-2023</t>
        </is>
      </c>
      <c r="B9793" s="1" t="n">
        <v>45261</v>
      </c>
      <c r="C9793" s="1" t="n">
        <v>45344</v>
      </c>
      <c r="D9793" t="inlineStr">
        <is>
          <t>GÄVLEBORGS LÄN</t>
        </is>
      </c>
      <c r="E9793" t="inlineStr">
        <is>
          <t>NORDANSTIG</t>
        </is>
      </c>
      <c r="G9793" t="n">
        <v>5</v>
      </c>
      <c r="H9793" t="n">
        <v>0</v>
      </c>
      <c r="I9793" t="n">
        <v>0</v>
      </c>
      <c r="J9793" t="n">
        <v>0</v>
      </c>
      <c r="K9793" t="n">
        <v>0</v>
      </c>
      <c r="L9793" t="n">
        <v>0</v>
      </c>
      <c r="M9793" t="n">
        <v>0</v>
      </c>
      <c r="N9793" t="n">
        <v>0</v>
      </c>
      <c r="O9793" t="n">
        <v>0</v>
      </c>
      <c r="P9793" t="n">
        <v>0</v>
      </c>
      <c r="Q9793" t="n">
        <v>0</v>
      </c>
      <c r="R9793" s="2" t="inlineStr"/>
    </row>
    <row r="9794" ht="15" customHeight="1">
      <c r="A9794" t="inlineStr">
        <is>
          <t>A 60957-2023</t>
        </is>
      </c>
      <c r="B9794" s="1" t="n">
        <v>45261</v>
      </c>
      <c r="C9794" s="1" t="n">
        <v>45344</v>
      </c>
      <c r="D9794" t="inlineStr">
        <is>
          <t>GÄVLEBORGS LÄN</t>
        </is>
      </c>
      <c r="E9794" t="inlineStr">
        <is>
          <t>LJUSDAL</t>
        </is>
      </c>
      <c r="G9794" t="n">
        <v>1.4</v>
      </c>
      <c r="H9794" t="n">
        <v>0</v>
      </c>
      <c r="I9794" t="n">
        <v>0</v>
      </c>
      <c r="J9794" t="n">
        <v>0</v>
      </c>
      <c r="K9794" t="n">
        <v>0</v>
      </c>
      <c r="L9794" t="n">
        <v>0</v>
      </c>
      <c r="M9794" t="n">
        <v>0</v>
      </c>
      <c r="N9794" t="n">
        <v>0</v>
      </c>
      <c r="O9794" t="n">
        <v>0</v>
      </c>
      <c r="P9794" t="n">
        <v>0</v>
      </c>
      <c r="Q9794" t="n">
        <v>0</v>
      </c>
      <c r="R9794" s="2" t="inlineStr"/>
    </row>
    <row r="9795" ht="15" customHeight="1">
      <c r="A9795" t="inlineStr">
        <is>
          <t>A 60952-2023</t>
        </is>
      </c>
      <c r="B9795" s="1" t="n">
        <v>45261</v>
      </c>
      <c r="C9795" s="1" t="n">
        <v>45344</v>
      </c>
      <c r="D9795" t="inlineStr">
        <is>
          <t>GÄVLEBORGS LÄN</t>
        </is>
      </c>
      <c r="E9795" t="inlineStr">
        <is>
          <t>LJUSDAL</t>
        </is>
      </c>
      <c r="G9795" t="n">
        <v>6.3</v>
      </c>
      <c r="H9795" t="n">
        <v>0</v>
      </c>
      <c r="I9795" t="n">
        <v>0</v>
      </c>
      <c r="J9795" t="n">
        <v>0</v>
      </c>
      <c r="K9795" t="n">
        <v>0</v>
      </c>
      <c r="L9795" t="n">
        <v>0</v>
      </c>
      <c r="M9795" t="n">
        <v>0</v>
      </c>
      <c r="N9795" t="n">
        <v>0</v>
      </c>
      <c r="O9795" t="n">
        <v>0</v>
      </c>
      <c r="P9795" t="n">
        <v>0</v>
      </c>
      <c r="Q9795" t="n">
        <v>0</v>
      </c>
      <c r="R9795" s="2" t="inlineStr"/>
    </row>
    <row r="9796" ht="15" customHeight="1">
      <c r="A9796" t="inlineStr">
        <is>
          <t>A 61114-2023</t>
        </is>
      </c>
      <c r="B9796" s="1" t="n">
        <v>45261</v>
      </c>
      <c r="C9796" s="1" t="n">
        <v>45344</v>
      </c>
      <c r="D9796" t="inlineStr">
        <is>
          <t>GÄVLEBORGS LÄN</t>
        </is>
      </c>
      <c r="E9796" t="inlineStr">
        <is>
          <t>LJUSDAL</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61097-2023</t>
        </is>
      </c>
      <c r="B9797" s="1" t="n">
        <v>45261</v>
      </c>
      <c r="C9797" s="1" t="n">
        <v>45344</v>
      </c>
      <c r="D9797" t="inlineStr">
        <is>
          <t>GÄVLEBORGS LÄN</t>
        </is>
      </c>
      <c r="E9797" t="inlineStr">
        <is>
          <t>SÖDERHAMN</t>
        </is>
      </c>
      <c r="G9797" t="n">
        <v>2.1</v>
      </c>
      <c r="H9797" t="n">
        <v>0</v>
      </c>
      <c r="I9797" t="n">
        <v>0</v>
      </c>
      <c r="J9797" t="n">
        <v>0</v>
      </c>
      <c r="K9797" t="n">
        <v>0</v>
      </c>
      <c r="L9797" t="n">
        <v>0</v>
      </c>
      <c r="M9797" t="n">
        <v>0</v>
      </c>
      <c r="N9797" t="n">
        <v>0</v>
      </c>
      <c r="O9797" t="n">
        <v>0</v>
      </c>
      <c r="P9797" t="n">
        <v>0</v>
      </c>
      <c r="Q9797" t="n">
        <v>0</v>
      </c>
      <c r="R9797" s="2" t="inlineStr"/>
    </row>
    <row r="9798" ht="15" customHeight="1">
      <c r="A9798" t="inlineStr">
        <is>
          <t>A 61092-2023</t>
        </is>
      </c>
      <c r="B9798" s="1" t="n">
        <v>45261</v>
      </c>
      <c r="C9798" s="1" t="n">
        <v>45344</v>
      </c>
      <c r="D9798" t="inlineStr">
        <is>
          <t>GÄVLEBORGS LÄN</t>
        </is>
      </c>
      <c r="E9798" t="inlineStr">
        <is>
          <t>LJUSDAL</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60938-2023</t>
        </is>
      </c>
      <c r="B9799" s="1" t="n">
        <v>45261</v>
      </c>
      <c r="C9799" s="1" t="n">
        <v>45344</v>
      </c>
      <c r="D9799" t="inlineStr">
        <is>
          <t>GÄVLEBORGS LÄN</t>
        </is>
      </c>
      <c r="E9799" t="inlineStr">
        <is>
          <t>HUDIKSVALL</t>
        </is>
      </c>
      <c r="F9799" t="inlineStr">
        <is>
          <t>Holmen skog AB</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60933-2023</t>
        </is>
      </c>
      <c r="B9800" s="1" t="n">
        <v>45261</v>
      </c>
      <c r="C9800" s="1" t="n">
        <v>45344</v>
      </c>
      <c r="D9800" t="inlineStr">
        <is>
          <t>GÄVLEBORGS LÄN</t>
        </is>
      </c>
      <c r="E9800" t="inlineStr">
        <is>
          <t>HUDIKSVALL</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60917-2023</t>
        </is>
      </c>
      <c r="B9801" s="1" t="n">
        <v>45261</v>
      </c>
      <c r="C9801" s="1" t="n">
        <v>45344</v>
      </c>
      <c r="D9801" t="inlineStr">
        <is>
          <t>GÄVLEBORGS LÄN</t>
        </is>
      </c>
      <c r="E9801" t="inlineStr">
        <is>
          <t>HUDIKSVALL</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60901-2023</t>
        </is>
      </c>
      <c r="B9802" s="1" t="n">
        <v>45261</v>
      </c>
      <c r="C9802" s="1" t="n">
        <v>45344</v>
      </c>
      <c r="D9802" t="inlineStr">
        <is>
          <t>GÄVLEBORGS LÄN</t>
        </is>
      </c>
      <c r="E9802" t="inlineStr">
        <is>
          <t>HUDIKSVALL</t>
        </is>
      </c>
      <c r="F9802" t="inlineStr">
        <is>
          <t>Holmen skog AB</t>
        </is>
      </c>
      <c r="G9802" t="n">
        <v>3.7</v>
      </c>
      <c r="H9802" t="n">
        <v>0</v>
      </c>
      <c r="I9802" t="n">
        <v>0</v>
      </c>
      <c r="J9802" t="n">
        <v>0</v>
      </c>
      <c r="K9802" t="n">
        <v>0</v>
      </c>
      <c r="L9802" t="n">
        <v>0</v>
      </c>
      <c r="M9802" t="n">
        <v>0</v>
      </c>
      <c r="N9802" t="n">
        <v>0</v>
      </c>
      <c r="O9802" t="n">
        <v>0</v>
      </c>
      <c r="P9802" t="n">
        <v>0</v>
      </c>
      <c r="Q9802" t="n">
        <v>0</v>
      </c>
      <c r="R9802" s="2" t="inlineStr"/>
    </row>
    <row r="9803" ht="15" customHeight="1">
      <c r="A9803" t="inlineStr">
        <is>
          <t>A 60897-2023</t>
        </is>
      </c>
      <c r="B9803" s="1" t="n">
        <v>45261</v>
      </c>
      <c r="C9803" s="1" t="n">
        <v>45344</v>
      </c>
      <c r="D9803" t="inlineStr">
        <is>
          <t>GÄVLEBORGS LÄN</t>
        </is>
      </c>
      <c r="E9803" t="inlineStr">
        <is>
          <t>SANDVIKEN</t>
        </is>
      </c>
      <c r="G9803" t="n">
        <v>2.7</v>
      </c>
      <c r="H9803" t="n">
        <v>0</v>
      </c>
      <c r="I9803" t="n">
        <v>0</v>
      </c>
      <c r="J9803" t="n">
        <v>0</v>
      </c>
      <c r="K9803" t="n">
        <v>0</v>
      </c>
      <c r="L9803" t="n">
        <v>0</v>
      </c>
      <c r="M9803" t="n">
        <v>0</v>
      </c>
      <c r="N9803" t="n">
        <v>0</v>
      </c>
      <c r="O9803" t="n">
        <v>0</v>
      </c>
      <c r="P9803" t="n">
        <v>0</v>
      </c>
      <c r="Q9803" t="n">
        <v>0</v>
      </c>
      <c r="R9803" s="2" t="inlineStr"/>
    </row>
    <row r="9804" ht="15" customHeight="1">
      <c r="A9804" t="inlineStr">
        <is>
          <t>A 60885-2023</t>
        </is>
      </c>
      <c r="B9804" s="1" t="n">
        <v>45261</v>
      </c>
      <c r="C9804" s="1" t="n">
        <v>45344</v>
      </c>
      <c r="D9804" t="inlineStr">
        <is>
          <t>GÄVLEBORGS LÄN</t>
        </is>
      </c>
      <c r="E9804" t="inlineStr">
        <is>
          <t>GÄVLE</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61098-2023</t>
        </is>
      </c>
      <c r="B9805" s="1" t="n">
        <v>45261</v>
      </c>
      <c r="C9805" s="1" t="n">
        <v>45344</v>
      </c>
      <c r="D9805" t="inlineStr">
        <is>
          <t>GÄVLEBORGS LÄN</t>
        </is>
      </c>
      <c r="E9805" t="inlineStr">
        <is>
          <t>BOLLNÄS</t>
        </is>
      </c>
      <c r="G9805" t="n">
        <v>1.5</v>
      </c>
      <c r="H9805" t="n">
        <v>0</v>
      </c>
      <c r="I9805" t="n">
        <v>0</v>
      </c>
      <c r="J9805" t="n">
        <v>0</v>
      </c>
      <c r="K9805" t="n">
        <v>0</v>
      </c>
      <c r="L9805" t="n">
        <v>0</v>
      </c>
      <c r="M9805" t="n">
        <v>0</v>
      </c>
      <c r="N9805" t="n">
        <v>0</v>
      </c>
      <c r="O9805" t="n">
        <v>0</v>
      </c>
      <c r="P9805" t="n">
        <v>0</v>
      </c>
      <c r="Q9805" t="n">
        <v>0</v>
      </c>
      <c r="R9805" s="2" t="inlineStr"/>
    </row>
    <row r="9806" ht="15" customHeight="1">
      <c r="A9806" t="inlineStr">
        <is>
          <t>A 61031-2023</t>
        </is>
      </c>
      <c r="B9806" s="1" t="n">
        <v>45261</v>
      </c>
      <c r="C9806" s="1" t="n">
        <v>45344</v>
      </c>
      <c r="D9806" t="inlineStr">
        <is>
          <t>GÄVLEBORGS LÄN</t>
        </is>
      </c>
      <c r="E9806" t="inlineStr">
        <is>
          <t>SÖDERHAMN</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60931-2023</t>
        </is>
      </c>
      <c r="B9807" s="1" t="n">
        <v>45261</v>
      </c>
      <c r="C9807" s="1" t="n">
        <v>45344</v>
      </c>
      <c r="D9807" t="inlineStr">
        <is>
          <t>GÄVLEBORGS LÄN</t>
        </is>
      </c>
      <c r="E9807" t="inlineStr">
        <is>
          <t>HUDIKSVALL</t>
        </is>
      </c>
      <c r="F9807" t="inlineStr">
        <is>
          <t>Holmen skog AB</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60899-2023</t>
        </is>
      </c>
      <c r="B9808" s="1" t="n">
        <v>45261</v>
      </c>
      <c r="C9808" s="1" t="n">
        <v>45344</v>
      </c>
      <c r="D9808" t="inlineStr">
        <is>
          <t>GÄVLEBORGS LÄN</t>
        </is>
      </c>
      <c r="E9808" t="inlineStr">
        <is>
          <t>HUDIKSVALL</t>
        </is>
      </c>
      <c r="F9808" t="inlineStr">
        <is>
          <t>Holmen skog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60895-2023</t>
        </is>
      </c>
      <c r="B9809" s="1" t="n">
        <v>45261</v>
      </c>
      <c r="C9809" s="1" t="n">
        <v>45344</v>
      </c>
      <c r="D9809" t="inlineStr">
        <is>
          <t>GÄVLEBORGS LÄN</t>
        </is>
      </c>
      <c r="E9809" t="inlineStr">
        <is>
          <t>SANDVIKEN</t>
        </is>
      </c>
      <c r="G9809" t="n">
        <v>2.6</v>
      </c>
      <c r="H9809" t="n">
        <v>0</v>
      </c>
      <c r="I9809" t="n">
        <v>0</v>
      </c>
      <c r="J9809" t="n">
        <v>0</v>
      </c>
      <c r="K9809" t="n">
        <v>0</v>
      </c>
      <c r="L9809" t="n">
        <v>0</v>
      </c>
      <c r="M9809" t="n">
        <v>0</v>
      </c>
      <c r="N9809" t="n">
        <v>0</v>
      </c>
      <c r="O9809" t="n">
        <v>0</v>
      </c>
      <c r="P9809" t="n">
        <v>0</v>
      </c>
      <c r="Q9809" t="n">
        <v>0</v>
      </c>
      <c r="R9809" s="2" t="inlineStr"/>
    </row>
    <row r="9810" ht="15" customHeight="1">
      <c r="A9810" t="inlineStr">
        <is>
          <t>A 60891-2023</t>
        </is>
      </c>
      <c r="B9810" s="1" t="n">
        <v>45261</v>
      </c>
      <c r="C9810" s="1" t="n">
        <v>45344</v>
      </c>
      <c r="D9810" t="inlineStr">
        <is>
          <t>GÄVLEBORGS LÄN</t>
        </is>
      </c>
      <c r="E9810" t="inlineStr">
        <is>
          <t>SANDVIKEN</t>
        </is>
      </c>
      <c r="G9810" t="n">
        <v>3.3</v>
      </c>
      <c r="H9810" t="n">
        <v>0</v>
      </c>
      <c r="I9810" t="n">
        <v>0</v>
      </c>
      <c r="J9810" t="n">
        <v>0</v>
      </c>
      <c r="K9810" t="n">
        <v>0</v>
      </c>
      <c r="L9810" t="n">
        <v>0</v>
      </c>
      <c r="M9810" t="n">
        <v>0</v>
      </c>
      <c r="N9810" t="n">
        <v>0</v>
      </c>
      <c r="O9810" t="n">
        <v>0</v>
      </c>
      <c r="P9810" t="n">
        <v>0</v>
      </c>
      <c r="Q9810" t="n">
        <v>0</v>
      </c>
      <c r="R9810" s="2" t="inlineStr"/>
    </row>
    <row r="9811" ht="15" customHeight="1">
      <c r="A9811" t="inlineStr">
        <is>
          <t>A 60879-2023</t>
        </is>
      </c>
      <c r="B9811" s="1" t="n">
        <v>45261</v>
      </c>
      <c r="C9811" s="1" t="n">
        <v>45344</v>
      </c>
      <c r="D9811" t="inlineStr">
        <is>
          <t>GÄVLEBORGS LÄN</t>
        </is>
      </c>
      <c r="E9811" t="inlineStr">
        <is>
          <t>GÄVLE</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61214-2023</t>
        </is>
      </c>
      <c r="B9812" s="1" t="n">
        <v>45264</v>
      </c>
      <c r="C9812" s="1" t="n">
        <v>45344</v>
      </c>
      <c r="D9812" t="inlineStr">
        <is>
          <t>GÄVLEBORGS LÄN</t>
        </is>
      </c>
      <c r="E9812" t="inlineStr">
        <is>
          <t>LJUSDAL</t>
        </is>
      </c>
      <c r="G9812" t="n">
        <v>2</v>
      </c>
      <c r="H9812" t="n">
        <v>0</v>
      </c>
      <c r="I9812" t="n">
        <v>0</v>
      </c>
      <c r="J9812" t="n">
        <v>0</v>
      </c>
      <c r="K9812" t="n">
        <v>0</v>
      </c>
      <c r="L9812" t="n">
        <v>0</v>
      </c>
      <c r="M9812" t="n">
        <v>0</v>
      </c>
      <c r="N9812" t="n">
        <v>0</v>
      </c>
      <c r="O9812" t="n">
        <v>0</v>
      </c>
      <c r="P9812" t="n">
        <v>0</v>
      </c>
      <c r="Q9812" t="n">
        <v>0</v>
      </c>
      <c r="R9812" s="2" t="inlineStr"/>
    </row>
    <row r="9813" ht="15" customHeight="1">
      <c r="A9813" t="inlineStr">
        <is>
          <t>A 61325-2023</t>
        </is>
      </c>
      <c r="B9813" s="1" t="n">
        <v>45264</v>
      </c>
      <c r="C9813" s="1" t="n">
        <v>45344</v>
      </c>
      <c r="D9813" t="inlineStr">
        <is>
          <t>GÄVLEBORGS LÄN</t>
        </is>
      </c>
      <c r="E9813" t="inlineStr">
        <is>
          <t>HOFORS</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61215-2023</t>
        </is>
      </c>
      <c r="B9814" s="1" t="n">
        <v>45264</v>
      </c>
      <c r="C9814" s="1" t="n">
        <v>45344</v>
      </c>
      <c r="D9814" t="inlineStr">
        <is>
          <t>GÄVLEBORGS LÄN</t>
        </is>
      </c>
      <c r="E9814" t="inlineStr">
        <is>
          <t>BOLLNÄS</t>
        </is>
      </c>
      <c r="G9814" t="n">
        <v>11.2</v>
      </c>
      <c r="H9814" t="n">
        <v>0</v>
      </c>
      <c r="I9814" t="n">
        <v>0</v>
      </c>
      <c r="J9814" t="n">
        <v>0</v>
      </c>
      <c r="K9814" t="n">
        <v>0</v>
      </c>
      <c r="L9814" t="n">
        <v>0</v>
      </c>
      <c r="M9814" t="n">
        <v>0</v>
      </c>
      <c r="N9814" t="n">
        <v>0</v>
      </c>
      <c r="O9814" t="n">
        <v>0</v>
      </c>
      <c r="P9814" t="n">
        <v>0</v>
      </c>
      <c r="Q9814" t="n">
        <v>0</v>
      </c>
      <c r="R9814" s="2" t="inlineStr"/>
    </row>
    <row r="9815" ht="15" customHeight="1">
      <c r="A9815" t="inlineStr">
        <is>
          <t>A 61212-2023</t>
        </is>
      </c>
      <c r="B9815" s="1" t="n">
        <v>45264</v>
      </c>
      <c r="C9815" s="1" t="n">
        <v>45344</v>
      </c>
      <c r="D9815" t="inlineStr">
        <is>
          <t>GÄVLEBORGS LÄN</t>
        </is>
      </c>
      <c r="E9815" t="inlineStr">
        <is>
          <t>HUDIKSVALL</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61234-2023</t>
        </is>
      </c>
      <c r="B9816" s="1" t="n">
        <v>45264</v>
      </c>
      <c r="C9816" s="1" t="n">
        <v>45344</v>
      </c>
      <c r="D9816" t="inlineStr">
        <is>
          <t>GÄVLEBORGS LÄN</t>
        </is>
      </c>
      <c r="E9816" t="inlineStr">
        <is>
          <t>HUDIKSVALL</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61255-2023</t>
        </is>
      </c>
      <c r="B9817" s="1" t="n">
        <v>45264</v>
      </c>
      <c r="C9817" s="1" t="n">
        <v>45344</v>
      </c>
      <c r="D9817" t="inlineStr">
        <is>
          <t>GÄVLEBORGS LÄN</t>
        </is>
      </c>
      <c r="E9817" t="inlineStr">
        <is>
          <t>HUDIKSVALL</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61265-2023</t>
        </is>
      </c>
      <c r="B9818" s="1" t="n">
        <v>45264</v>
      </c>
      <c r="C9818" s="1" t="n">
        <v>45344</v>
      </c>
      <c r="D9818" t="inlineStr">
        <is>
          <t>GÄVLEBORGS LÄN</t>
        </is>
      </c>
      <c r="E9818" t="inlineStr">
        <is>
          <t>NORDANSTIG</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61211-2023</t>
        </is>
      </c>
      <c r="B9819" s="1" t="n">
        <v>45264</v>
      </c>
      <c r="C9819" s="1" t="n">
        <v>45344</v>
      </c>
      <c r="D9819" t="inlineStr">
        <is>
          <t>GÄVLEBORGS LÄN</t>
        </is>
      </c>
      <c r="E9819" t="inlineStr">
        <is>
          <t>HUDIKSVALL</t>
        </is>
      </c>
      <c r="G9819" t="n">
        <v>1.4</v>
      </c>
      <c r="H9819" t="n">
        <v>0</v>
      </c>
      <c r="I9819" t="n">
        <v>0</v>
      </c>
      <c r="J9819" t="n">
        <v>0</v>
      </c>
      <c r="K9819" t="n">
        <v>0</v>
      </c>
      <c r="L9819" t="n">
        <v>0</v>
      </c>
      <c r="M9819" t="n">
        <v>0</v>
      </c>
      <c r="N9819" t="n">
        <v>0</v>
      </c>
      <c r="O9819" t="n">
        <v>0</v>
      </c>
      <c r="P9819" t="n">
        <v>0</v>
      </c>
      <c r="Q9819" t="n">
        <v>0</v>
      </c>
      <c r="R9819" s="2" t="inlineStr"/>
    </row>
    <row r="9820" ht="15" customHeight="1">
      <c r="A9820" t="inlineStr">
        <is>
          <t>A 61340-2023</t>
        </is>
      </c>
      <c r="B9820" s="1" t="n">
        <v>45264</v>
      </c>
      <c r="C9820" s="1" t="n">
        <v>45344</v>
      </c>
      <c r="D9820" t="inlineStr">
        <is>
          <t>GÄVLEBORGS LÄN</t>
        </is>
      </c>
      <c r="E9820" t="inlineStr">
        <is>
          <t>GÄVLE</t>
        </is>
      </c>
      <c r="G9820" t="n">
        <v>3.1</v>
      </c>
      <c r="H9820" t="n">
        <v>0</v>
      </c>
      <c r="I9820" t="n">
        <v>0</v>
      </c>
      <c r="J9820" t="n">
        <v>0</v>
      </c>
      <c r="K9820" t="n">
        <v>0</v>
      </c>
      <c r="L9820" t="n">
        <v>0</v>
      </c>
      <c r="M9820" t="n">
        <v>0</v>
      </c>
      <c r="N9820" t="n">
        <v>0</v>
      </c>
      <c r="O9820" t="n">
        <v>0</v>
      </c>
      <c r="P9820" t="n">
        <v>0</v>
      </c>
      <c r="Q9820" t="n">
        <v>0</v>
      </c>
      <c r="R9820" s="2" t="inlineStr"/>
    </row>
    <row r="9821" ht="15" customHeight="1">
      <c r="A9821" t="inlineStr">
        <is>
          <t>A 61406-2023</t>
        </is>
      </c>
      <c r="B9821" s="1" t="n">
        <v>45264</v>
      </c>
      <c r="C9821" s="1" t="n">
        <v>45344</v>
      </c>
      <c r="D9821" t="inlineStr">
        <is>
          <t>GÄVLEBORGS LÄN</t>
        </is>
      </c>
      <c r="E9821" t="inlineStr">
        <is>
          <t>HUDIKSVALL</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61431-2023</t>
        </is>
      </c>
      <c r="B9822" s="1" t="n">
        <v>45264</v>
      </c>
      <c r="C9822" s="1" t="n">
        <v>45344</v>
      </c>
      <c r="D9822" t="inlineStr">
        <is>
          <t>GÄVLEBORGS LÄN</t>
        </is>
      </c>
      <c r="E9822" t="inlineStr">
        <is>
          <t>LJUSDAL</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61363-2023</t>
        </is>
      </c>
      <c r="B9823" s="1" t="n">
        <v>45264</v>
      </c>
      <c r="C9823" s="1" t="n">
        <v>45344</v>
      </c>
      <c r="D9823" t="inlineStr">
        <is>
          <t>GÄVLEBORGS LÄN</t>
        </is>
      </c>
      <c r="E9823" t="inlineStr">
        <is>
          <t>SANDVIKEN</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61390-2023</t>
        </is>
      </c>
      <c r="B9824" s="1" t="n">
        <v>45264</v>
      </c>
      <c r="C9824" s="1" t="n">
        <v>45344</v>
      </c>
      <c r="D9824" t="inlineStr">
        <is>
          <t>GÄVLEBORGS LÄN</t>
        </is>
      </c>
      <c r="E9824" t="inlineStr">
        <is>
          <t>GÄVLE</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61399-2023</t>
        </is>
      </c>
      <c r="B9825" s="1" t="n">
        <v>45264</v>
      </c>
      <c r="C9825" s="1" t="n">
        <v>45344</v>
      </c>
      <c r="D9825" t="inlineStr">
        <is>
          <t>GÄVLEBORGS LÄN</t>
        </is>
      </c>
      <c r="E9825" t="inlineStr">
        <is>
          <t>BOLLNÄS</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61408-2023</t>
        </is>
      </c>
      <c r="B9826" s="1" t="n">
        <v>45264</v>
      </c>
      <c r="C9826" s="1" t="n">
        <v>45344</v>
      </c>
      <c r="D9826" t="inlineStr">
        <is>
          <t>GÄVLEBORGS LÄN</t>
        </is>
      </c>
      <c r="E9826" t="inlineStr">
        <is>
          <t>SÖDERHAMN</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61412-2023</t>
        </is>
      </c>
      <c r="B9827" s="1" t="n">
        <v>45264</v>
      </c>
      <c r="C9827" s="1" t="n">
        <v>45344</v>
      </c>
      <c r="D9827" t="inlineStr">
        <is>
          <t>GÄVLEBORGS LÄN</t>
        </is>
      </c>
      <c r="E9827" t="inlineStr">
        <is>
          <t>HUDIKSVALL</t>
        </is>
      </c>
      <c r="G9827" t="n">
        <v>2.3</v>
      </c>
      <c r="H9827" t="n">
        <v>0</v>
      </c>
      <c r="I9827" t="n">
        <v>0</v>
      </c>
      <c r="J9827" t="n">
        <v>0</v>
      </c>
      <c r="K9827" t="n">
        <v>0</v>
      </c>
      <c r="L9827" t="n">
        <v>0</v>
      </c>
      <c r="M9827" t="n">
        <v>0</v>
      </c>
      <c r="N9827" t="n">
        <v>0</v>
      </c>
      <c r="O9827" t="n">
        <v>0</v>
      </c>
      <c r="P9827" t="n">
        <v>0</v>
      </c>
      <c r="Q9827" t="n">
        <v>0</v>
      </c>
      <c r="R9827" s="2" t="inlineStr"/>
    </row>
    <row r="9828" ht="15" customHeight="1">
      <c r="A9828" t="inlineStr">
        <is>
          <t>A 61478-2023</t>
        </is>
      </c>
      <c r="B9828" s="1" t="n">
        <v>45264</v>
      </c>
      <c r="C9828" s="1" t="n">
        <v>45344</v>
      </c>
      <c r="D9828" t="inlineStr">
        <is>
          <t>GÄVLEBORGS LÄN</t>
        </is>
      </c>
      <c r="E9828" t="inlineStr">
        <is>
          <t>HUDIKSVALL</t>
        </is>
      </c>
      <c r="G9828" t="n">
        <v>4.1</v>
      </c>
      <c r="H9828" t="n">
        <v>0</v>
      </c>
      <c r="I9828" t="n">
        <v>0</v>
      </c>
      <c r="J9828" t="n">
        <v>0</v>
      </c>
      <c r="K9828" t="n">
        <v>0</v>
      </c>
      <c r="L9828" t="n">
        <v>0</v>
      </c>
      <c r="M9828" t="n">
        <v>0</v>
      </c>
      <c r="N9828" t="n">
        <v>0</v>
      </c>
      <c r="O9828" t="n">
        <v>0</v>
      </c>
      <c r="P9828" t="n">
        <v>0</v>
      </c>
      <c r="Q9828" t="n">
        <v>0</v>
      </c>
      <c r="R9828" s="2" t="inlineStr"/>
    </row>
    <row r="9829" ht="15" customHeight="1">
      <c r="A9829" t="inlineStr">
        <is>
          <t>A 61231-2023</t>
        </is>
      </c>
      <c r="B9829" s="1" t="n">
        <v>45264</v>
      </c>
      <c r="C9829" s="1" t="n">
        <v>45344</v>
      </c>
      <c r="D9829" t="inlineStr">
        <is>
          <t>GÄVLEBORGS LÄN</t>
        </is>
      </c>
      <c r="E9829" t="inlineStr">
        <is>
          <t>GÄVLE</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61706-2023</t>
        </is>
      </c>
      <c r="B9830" s="1" t="n">
        <v>45264</v>
      </c>
      <c r="C9830" s="1" t="n">
        <v>45344</v>
      </c>
      <c r="D9830" t="inlineStr">
        <is>
          <t>GÄVLEBORGS LÄN</t>
        </is>
      </c>
      <c r="E9830" t="inlineStr">
        <is>
          <t>SÖDERHAMN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61537-2023</t>
        </is>
      </c>
      <c r="B9831" s="1" t="n">
        <v>45265</v>
      </c>
      <c r="C9831" s="1" t="n">
        <v>45344</v>
      </c>
      <c r="D9831" t="inlineStr">
        <is>
          <t>GÄVLEBORGS LÄN</t>
        </is>
      </c>
      <c r="E9831" t="inlineStr">
        <is>
          <t>SANDVIKEN</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61528-2023</t>
        </is>
      </c>
      <c r="B9832" s="1" t="n">
        <v>45265</v>
      </c>
      <c r="C9832" s="1" t="n">
        <v>45344</v>
      </c>
      <c r="D9832" t="inlineStr">
        <is>
          <t>GÄVLEBORGS LÄN</t>
        </is>
      </c>
      <c r="E9832" t="inlineStr">
        <is>
          <t>OVANÅKER</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61582-2023</t>
        </is>
      </c>
      <c r="B9833" s="1" t="n">
        <v>45265</v>
      </c>
      <c r="C9833" s="1" t="n">
        <v>45344</v>
      </c>
      <c r="D9833" t="inlineStr">
        <is>
          <t>GÄVLEBORGS LÄN</t>
        </is>
      </c>
      <c r="E9833" t="inlineStr">
        <is>
          <t>OVANÅKER</t>
        </is>
      </c>
      <c r="G9833" t="n">
        <v>5.8</v>
      </c>
      <c r="H9833" t="n">
        <v>0</v>
      </c>
      <c r="I9833" t="n">
        <v>0</v>
      </c>
      <c r="J9833" t="n">
        <v>0</v>
      </c>
      <c r="K9833" t="n">
        <v>0</v>
      </c>
      <c r="L9833" t="n">
        <v>0</v>
      </c>
      <c r="M9833" t="n">
        <v>0</v>
      </c>
      <c r="N9833" t="n">
        <v>0</v>
      </c>
      <c r="O9833" t="n">
        <v>0</v>
      </c>
      <c r="P9833" t="n">
        <v>0</v>
      </c>
      <c r="Q9833" t="n">
        <v>0</v>
      </c>
      <c r="R9833" s="2" t="inlineStr"/>
    </row>
    <row r="9834" ht="15" customHeight="1">
      <c r="A9834" t="inlineStr">
        <is>
          <t>A 61567-2023</t>
        </is>
      </c>
      <c r="B9834" s="1" t="n">
        <v>45265</v>
      </c>
      <c r="C9834" s="1" t="n">
        <v>45344</v>
      </c>
      <c r="D9834" t="inlineStr">
        <is>
          <t>GÄVLEBORGS LÄN</t>
        </is>
      </c>
      <c r="E9834" t="inlineStr">
        <is>
          <t>OVANÅKER</t>
        </is>
      </c>
      <c r="G9834" t="n">
        <v>1.6</v>
      </c>
      <c r="H9834" t="n">
        <v>0</v>
      </c>
      <c r="I9834" t="n">
        <v>0</v>
      </c>
      <c r="J9834" t="n">
        <v>0</v>
      </c>
      <c r="K9834" t="n">
        <v>0</v>
      </c>
      <c r="L9834" t="n">
        <v>0</v>
      </c>
      <c r="M9834" t="n">
        <v>0</v>
      </c>
      <c r="N9834" t="n">
        <v>0</v>
      </c>
      <c r="O9834" t="n">
        <v>0</v>
      </c>
      <c r="P9834" t="n">
        <v>0</v>
      </c>
      <c r="Q9834" t="n">
        <v>0</v>
      </c>
      <c r="R9834" s="2" t="inlineStr"/>
    </row>
    <row r="9835" ht="15" customHeight="1">
      <c r="A9835" t="inlineStr">
        <is>
          <t>A 61673-2023</t>
        </is>
      </c>
      <c r="B9835" s="1" t="n">
        <v>45265</v>
      </c>
      <c r="C9835" s="1" t="n">
        <v>45344</v>
      </c>
      <c r="D9835" t="inlineStr">
        <is>
          <t>GÄVLEBORGS LÄN</t>
        </is>
      </c>
      <c r="E9835" t="inlineStr">
        <is>
          <t>OVANÅKER</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61686-2023</t>
        </is>
      </c>
      <c r="B9836" s="1" t="n">
        <v>45265</v>
      </c>
      <c r="C9836" s="1" t="n">
        <v>45344</v>
      </c>
      <c r="D9836" t="inlineStr">
        <is>
          <t>GÄVLEBORGS LÄN</t>
        </is>
      </c>
      <c r="E9836" t="inlineStr">
        <is>
          <t>SÖDERHAMN</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61610-2023</t>
        </is>
      </c>
      <c r="B9837" s="1" t="n">
        <v>45265</v>
      </c>
      <c r="C9837" s="1" t="n">
        <v>45344</v>
      </c>
      <c r="D9837" t="inlineStr">
        <is>
          <t>GÄVLEBORGS LÄN</t>
        </is>
      </c>
      <c r="E9837" t="inlineStr">
        <is>
          <t>HUDIKSVALL</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61680-2023</t>
        </is>
      </c>
      <c r="B9838" s="1" t="n">
        <v>45265</v>
      </c>
      <c r="C9838" s="1" t="n">
        <v>45344</v>
      </c>
      <c r="D9838" t="inlineStr">
        <is>
          <t>GÄVLEBORGS LÄN</t>
        </is>
      </c>
      <c r="E9838" t="inlineStr">
        <is>
          <t>SÖDERHAMN</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61526-2023</t>
        </is>
      </c>
      <c r="B9839" s="1" t="n">
        <v>45265</v>
      </c>
      <c r="C9839" s="1" t="n">
        <v>45344</v>
      </c>
      <c r="D9839" t="inlineStr">
        <is>
          <t>GÄVLEBORGS LÄN</t>
        </is>
      </c>
      <c r="E9839" t="inlineStr">
        <is>
          <t>OVANÅKER</t>
        </is>
      </c>
      <c r="G9839" t="n">
        <v>1.5</v>
      </c>
      <c r="H9839" t="n">
        <v>0</v>
      </c>
      <c r="I9839" t="n">
        <v>0</v>
      </c>
      <c r="J9839" t="n">
        <v>0</v>
      </c>
      <c r="K9839" t="n">
        <v>0</v>
      </c>
      <c r="L9839" t="n">
        <v>0</v>
      </c>
      <c r="M9839" t="n">
        <v>0</v>
      </c>
      <c r="N9839" t="n">
        <v>0</v>
      </c>
      <c r="O9839" t="n">
        <v>0</v>
      </c>
      <c r="P9839" t="n">
        <v>0</v>
      </c>
      <c r="Q9839" t="n">
        <v>0</v>
      </c>
      <c r="R9839" s="2" t="inlineStr"/>
    </row>
    <row r="9840" ht="15" customHeight="1">
      <c r="A9840" t="inlineStr">
        <is>
          <t>A 61576-2023</t>
        </is>
      </c>
      <c r="B9840" s="1" t="n">
        <v>45265</v>
      </c>
      <c r="C9840" s="1" t="n">
        <v>45344</v>
      </c>
      <c r="D9840" t="inlineStr">
        <is>
          <t>GÄVLEBORGS LÄN</t>
        </is>
      </c>
      <c r="E9840" t="inlineStr">
        <is>
          <t>OVANÅKER</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61672-2023</t>
        </is>
      </c>
      <c r="B9841" s="1" t="n">
        <v>45265</v>
      </c>
      <c r="C9841" s="1" t="n">
        <v>45344</v>
      </c>
      <c r="D9841" t="inlineStr">
        <is>
          <t>GÄVLEBORGS LÄN</t>
        </is>
      </c>
      <c r="E9841" t="inlineStr">
        <is>
          <t>GÄVLE</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61772-2023</t>
        </is>
      </c>
      <c r="B9842" s="1" t="n">
        <v>45265</v>
      </c>
      <c r="C9842" s="1" t="n">
        <v>45344</v>
      </c>
      <c r="D9842" t="inlineStr">
        <is>
          <t>GÄVLEBORGS LÄN</t>
        </is>
      </c>
      <c r="E9842" t="inlineStr">
        <is>
          <t>HUDIKSVALL</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61718-2023</t>
        </is>
      </c>
      <c r="B9843" s="1" t="n">
        <v>45265</v>
      </c>
      <c r="C9843" s="1" t="n">
        <v>45344</v>
      </c>
      <c r="D9843" t="inlineStr">
        <is>
          <t>GÄVLEBORGS LÄN</t>
        </is>
      </c>
      <c r="E9843" t="inlineStr">
        <is>
          <t>LJUSDAL</t>
        </is>
      </c>
      <c r="F9843" t="inlineStr">
        <is>
          <t>Kommuner</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61534-2023</t>
        </is>
      </c>
      <c r="B9844" s="1" t="n">
        <v>45265</v>
      </c>
      <c r="C9844" s="1" t="n">
        <v>45344</v>
      </c>
      <c r="D9844" t="inlineStr">
        <is>
          <t>GÄVLEBORGS LÄN</t>
        </is>
      </c>
      <c r="E9844" t="inlineStr">
        <is>
          <t>SANDVIKEN</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61711-2023</t>
        </is>
      </c>
      <c r="B9845" s="1" t="n">
        <v>45265</v>
      </c>
      <c r="C9845" s="1" t="n">
        <v>45344</v>
      </c>
      <c r="D9845" t="inlineStr">
        <is>
          <t>GÄVLEBORGS LÄN</t>
        </is>
      </c>
      <c r="E9845" t="inlineStr">
        <is>
          <t>BOLLNÄS</t>
        </is>
      </c>
      <c r="G9845" t="n">
        <v>7.1</v>
      </c>
      <c r="H9845" t="n">
        <v>0</v>
      </c>
      <c r="I9845" t="n">
        <v>0</v>
      </c>
      <c r="J9845" t="n">
        <v>0</v>
      </c>
      <c r="K9845" t="n">
        <v>0</v>
      </c>
      <c r="L9845" t="n">
        <v>0</v>
      </c>
      <c r="M9845" t="n">
        <v>0</v>
      </c>
      <c r="N9845" t="n">
        <v>0</v>
      </c>
      <c r="O9845" t="n">
        <v>0</v>
      </c>
      <c r="P9845" t="n">
        <v>0</v>
      </c>
      <c r="Q9845" t="n">
        <v>0</v>
      </c>
      <c r="R9845" s="2" t="inlineStr"/>
    </row>
    <row r="9846" ht="15" customHeight="1">
      <c r="A9846" t="inlineStr">
        <is>
          <t>A 61750-2023</t>
        </is>
      </c>
      <c r="B9846" s="1" t="n">
        <v>45265</v>
      </c>
      <c r="C9846" s="1" t="n">
        <v>45344</v>
      </c>
      <c r="D9846" t="inlineStr">
        <is>
          <t>GÄVLEBORGS LÄN</t>
        </is>
      </c>
      <c r="E9846" t="inlineStr">
        <is>
          <t>OCKELBO</t>
        </is>
      </c>
      <c r="G9846" t="n">
        <v>11.2</v>
      </c>
      <c r="H9846" t="n">
        <v>0</v>
      </c>
      <c r="I9846" t="n">
        <v>0</v>
      </c>
      <c r="J9846" t="n">
        <v>0</v>
      </c>
      <c r="K9846" t="n">
        <v>0</v>
      </c>
      <c r="L9846" t="n">
        <v>0</v>
      </c>
      <c r="M9846" t="n">
        <v>0</v>
      </c>
      <c r="N9846" t="n">
        <v>0</v>
      </c>
      <c r="O9846" t="n">
        <v>0</v>
      </c>
      <c r="P9846" t="n">
        <v>0</v>
      </c>
      <c r="Q9846" t="n">
        <v>0</v>
      </c>
      <c r="R9846" s="2" t="inlineStr"/>
    </row>
    <row r="9847" ht="15" customHeight="1">
      <c r="A9847" t="inlineStr">
        <is>
          <t>A 61611-2023</t>
        </is>
      </c>
      <c r="B9847" s="1" t="n">
        <v>45265</v>
      </c>
      <c r="C9847" s="1" t="n">
        <v>45344</v>
      </c>
      <c r="D9847" t="inlineStr">
        <is>
          <t>GÄVLEBORGS LÄN</t>
        </is>
      </c>
      <c r="E9847" t="inlineStr">
        <is>
          <t>HUDIKSVALL</t>
        </is>
      </c>
      <c r="G9847" t="n">
        <v>4.7</v>
      </c>
      <c r="H9847" t="n">
        <v>0</v>
      </c>
      <c r="I9847" t="n">
        <v>0</v>
      </c>
      <c r="J9847" t="n">
        <v>0</v>
      </c>
      <c r="K9847" t="n">
        <v>0</v>
      </c>
      <c r="L9847" t="n">
        <v>0</v>
      </c>
      <c r="M9847" t="n">
        <v>0</v>
      </c>
      <c r="N9847" t="n">
        <v>0</v>
      </c>
      <c r="O9847" t="n">
        <v>0</v>
      </c>
      <c r="P9847" t="n">
        <v>0</v>
      </c>
      <c r="Q9847" t="n">
        <v>0</v>
      </c>
      <c r="R9847" s="2" t="inlineStr"/>
    </row>
    <row r="9848" ht="15" customHeight="1">
      <c r="A9848" t="inlineStr">
        <is>
          <t>A 61774-2023</t>
        </is>
      </c>
      <c r="B9848" s="1" t="n">
        <v>45265</v>
      </c>
      <c r="C9848" s="1" t="n">
        <v>45344</v>
      </c>
      <c r="D9848" t="inlineStr">
        <is>
          <t>GÄVLEBORGS LÄN</t>
        </is>
      </c>
      <c r="E9848" t="inlineStr">
        <is>
          <t>HUDIKSVALL</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61771-2023</t>
        </is>
      </c>
      <c r="B9849" s="1" t="n">
        <v>45265</v>
      </c>
      <c r="C9849" s="1" t="n">
        <v>45344</v>
      </c>
      <c r="D9849" t="inlineStr">
        <is>
          <t>GÄVLEBORGS LÄN</t>
        </is>
      </c>
      <c r="E9849" t="inlineStr">
        <is>
          <t>HUDIKSVALL</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61848-2023</t>
        </is>
      </c>
      <c r="B9850" s="1" t="n">
        <v>45265</v>
      </c>
      <c r="C9850" s="1" t="n">
        <v>45344</v>
      </c>
      <c r="D9850" t="inlineStr">
        <is>
          <t>GÄVLEBORGS LÄN</t>
        </is>
      </c>
      <c r="E9850" t="inlineStr">
        <is>
          <t>SANDVIKEN</t>
        </is>
      </c>
      <c r="G9850" t="n">
        <v>4.4</v>
      </c>
      <c r="H9850" t="n">
        <v>0</v>
      </c>
      <c r="I9850" t="n">
        <v>0</v>
      </c>
      <c r="J9850" t="n">
        <v>0</v>
      </c>
      <c r="K9850" t="n">
        <v>0</v>
      </c>
      <c r="L9850" t="n">
        <v>0</v>
      </c>
      <c r="M9850" t="n">
        <v>0</v>
      </c>
      <c r="N9850" t="n">
        <v>0</v>
      </c>
      <c r="O9850" t="n">
        <v>0</v>
      </c>
      <c r="P9850" t="n">
        <v>0</v>
      </c>
      <c r="Q9850" t="n">
        <v>0</v>
      </c>
      <c r="R9850" s="2" t="inlineStr"/>
    </row>
    <row r="9851" ht="15" customHeight="1">
      <c r="A9851" t="inlineStr">
        <is>
          <t>A 61813-2023</t>
        </is>
      </c>
      <c r="B9851" s="1" t="n">
        <v>45266</v>
      </c>
      <c r="C9851" s="1" t="n">
        <v>45344</v>
      </c>
      <c r="D9851" t="inlineStr">
        <is>
          <t>GÄVLEBORGS LÄN</t>
        </is>
      </c>
      <c r="E9851" t="inlineStr">
        <is>
          <t>GÄVLE</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61819-2023</t>
        </is>
      </c>
      <c r="B9852" s="1" t="n">
        <v>45266</v>
      </c>
      <c r="C9852" s="1" t="n">
        <v>45344</v>
      </c>
      <c r="D9852" t="inlineStr">
        <is>
          <t>GÄVLEBORGS LÄN</t>
        </is>
      </c>
      <c r="E9852" t="inlineStr">
        <is>
          <t>GÄVLE</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61823-2023</t>
        </is>
      </c>
      <c r="B9853" s="1" t="n">
        <v>45266</v>
      </c>
      <c r="C9853" s="1" t="n">
        <v>45344</v>
      </c>
      <c r="D9853" t="inlineStr">
        <is>
          <t>GÄVLEBORGS LÄN</t>
        </is>
      </c>
      <c r="E9853" t="inlineStr">
        <is>
          <t>GÄVLE</t>
        </is>
      </c>
      <c r="G9853" t="n">
        <v>4.7</v>
      </c>
      <c r="H9853" t="n">
        <v>0</v>
      </c>
      <c r="I9853" t="n">
        <v>0</v>
      </c>
      <c r="J9853" t="n">
        <v>0</v>
      </c>
      <c r="K9853" t="n">
        <v>0</v>
      </c>
      <c r="L9853" t="n">
        <v>0</v>
      </c>
      <c r="M9853" t="n">
        <v>0</v>
      </c>
      <c r="N9853" t="n">
        <v>0</v>
      </c>
      <c r="O9853" t="n">
        <v>0</v>
      </c>
      <c r="P9853" t="n">
        <v>0</v>
      </c>
      <c r="Q9853" t="n">
        <v>0</v>
      </c>
      <c r="R9853" s="2" t="inlineStr"/>
    </row>
    <row r="9854" ht="15" customHeight="1">
      <c r="A9854" t="inlineStr">
        <is>
          <t>A 61918-2023</t>
        </is>
      </c>
      <c r="B9854" s="1" t="n">
        <v>45266</v>
      </c>
      <c r="C9854" s="1" t="n">
        <v>45344</v>
      </c>
      <c r="D9854" t="inlineStr">
        <is>
          <t>GÄVLEBORGS LÄN</t>
        </is>
      </c>
      <c r="E9854" t="inlineStr">
        <is>
          <t>GÄVLE</t>
        </is>
      </c>
      <c r="G9854" t="n">
        <v>5.3</v>
      </c>
      <c r="H9854" t="n">
        <v>0</v>
      </c>
      <c r="I9854" t="n">
        <v>0</v>
      </c>
      <c r="J9854" t="n">
        <v>0</v>
      </c>
      <c r="K9854" t="n">
        <v>0</v>
      </c>
      <c r="L9854" t="n">
        <v>0</v>
      </c>
      <c r="M9854" t="n">
        <v>0</v>
      </c>
      <c r="N9854" t="n">
        <v>0</v>
      </c>
      <c r="O9854" t="n">
        <v>0</v>
      </c>
      <c r="P9854" t="n">
        <v>0</v>
      </c>
      <c r="Q9854" t="n">
        <v>0</v>
      </c>
      <c r="R9854" s="2" t="inlineStr"/>
    </row>
    <row r="9855" ht="15" customHeight="1">
      <c r="A9855" t="inlineStr">
        <is>
          <t>A 61949-2023</t>
        </is>
      </c>
      <c r="B9855" s="1" t="n">
        <v>45266</v>
      </c>
      <c r="C9855" s="1" t="n">
        <v>45344</v>
      </c>
      <c r="D9855" t="inlineStr">
        <is>
          <t>GÄVLEBORGS LÄN</t>
        </is>
      </c>
      <c r="E9855" t="inlineStr">
        <is>
          <t>LJUSDAL</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62041-2023</t>
        </is>
      </c>
      <c r="B9856" s="1" t="n">
        <v>45266</v>
      </c>
      <c r="C9856" s="1" t="n">
        <v>45344</v>
      </c>
      <c r="D9856" t="inlineStr">
        <is>
          <t>GÄVLEBORGS LÄN</t>
        </is>
      </c>
      <c r="E9856" t="inlineStr">
        <is>
          <t>GÄVLE</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62031-2023</t>
        </is>
      </c>
      <c r="B9857" s="1" t="n">
        <v>45266</v>
      </c>
      <c r="C9857" s="1" t="n">
        <v>45344</v>
      </c>
      <c r="D9857" t="inlineStr">
        <is>
          <t>GÄVLEBORGS LÄN</t>
        </is>
      </c>
      <c r="E9857" t="inlineStr">
        <is>
          <t>NORDANSTIG</t>
        </is>
      </c>
      <c r="G9857" t="n">
        <v>2.4</v>
      </c>
      <c r="H9857" t="n">
        <v>0</v>
      </c>
      <c r="I9857" t="n">
        <v>0</v>
      </c>
      <c r="J9857" t="n">
        <v>0</v>
      </c>
      <c r="K9857" t="n">
        <v>0</v>
      </c>
      <c r="L9857" t="n">
        <v>0</v>
      </c>
      <c r="M9857" t="n">
        <v>0</v>
      </c>
      <c r="N9857" t="n">
        <v>0</v>
      </c>
      <c r="O9857" t="n">
        <v>0</v>
      </c>
      <c r="P9857" t="n">
        <v>0</v>
      </c>
      <c r="Q9857" t="n">
        <v>0</v>
      </c>
      <c r="R9857" s="2" t="inlineStr"/>
    </row>
    <row r="9858" ht="15" customHeight="1">
      <c r="A9858" t="inlineStr">
        <is>
          <t>A 61836-2023</t>
        </is>
      </c>
      <c r="B9858" s="1" t="n">
        <v>45266</v>
      </c>
      <c r="C9858" s="1" t="n">
        <v>45344</v>
      </c>
      <c r="D9858" t="inlineStr">
        <is>
          <t>GÄVLEBORGS LÄN</t>
        </is>
      </c>
      <c r="E9858" t="inlineStr">
        <is>
          <t>LJUSDAL</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61968-2023</t>
        </is>
      </c>
      <c r="B9859" s="1" t="n">
        <v>45266</v>
      </c>
      <c r="C9859" s="1" t="n">
        <v>45344</v>
      </c>
      <c r="D9859" t="inlineStr">
        <is>
          <t>GÄVLEBORGS LÄN</t>
        </is>
      </c>
      <c r="E9859" t="inlineStr">
        <is>
          <t>BOLLNÄS</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61843-2023</t>
        </is>
      </c>
      <c r="B9860" s="1" t="n">
        <v>45266</v>
      </c>
      <c r="C9860" s="1" t="n">
        <v>45344</v>
      </c>
      <c r="D9860" t="inlineStr">
        <is>
          <t>GÄVLEBORGS LÄN</t>
        </is>
      </c>
      <c r="E9860" t="inlineStr">
        <is>
          <t>GÄVLE</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62095-2023</t>
        </is>
      </c>
      <c r="B9861" s="1" t="n">
        <v>45266</v>
      </c>
      <c r="C9861" s="1" t="n">
        <v>45344</v>
      </c>
      <c r="D9861" t="inlineStr">
        <is>
          <t>GÄVLEBORGS LÄN</t>
        </is>
      </c>
      <c r="E9861" t="inlineStr">
        <is>
          <t>LJUSDAL</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61880-2023</t>
        </is>
      </c>
      <c r="B9862" s="1" t="n">
        <v>45266</v>
      </c>
      <c r="C9862" s="1" t="n">
        <v>45344</v>
      </c>
      <c r="D9862" t="inlineStr">
        <is>
          <t>GÄVLEBORGS LÄN</t>
        </is>
      </c>
      <c r="E9862" t="inlineStr">
        <is>
          <t>LJUSDAL</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61979-2023</t>
        </is>
      </c>
      <c r="B9863" s="1" t="n">
        <v>45266</v>
      </c>
      <c r="C9863" s="1" t="n">
        <v>45344</v>
      </c>
      <c r="D9863" t="inlineStr">
        <is>
          <t>GÄVLEBORGS LÄN</t>
        </is>
      </c>
      <c r="E9863" t="inlineStr">
        <is>
          <t>BOLLNÄS</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62063-2023</t>
        </is>
      </c>
      <c r="B9864" s="1" t="n">
        <v>45266</v>
      </c>
      <c r="C9864" s="1" t="n">
        <v>45344</v>
      </c>
      <c r="D9864" t="inlineStr">
        <is>
          <t>GÄVLEBORGS LÄN</t>
        </is>
      </c>
      <c r="E9864" t="inlineStr">
        <is>
          <t>GÄVLE</t>
        </is>
      </c>
      <c r="G9864" t="n">
        <v>3</v>
      </c>
      <c r="H9864" t="n">
        <v>0</v>
      </c>
      <c r="I9864" t="n">
        <v>0</v>
      </c>
      <c r="J9864" t="n">
        <v>0</v>
      </c>
      <c r="K9864" t="n">
        <v>0</v>
      </c>
      <c r="L9864" t="n">
        <v>0</v>
      </c>
      <c r="M9864" t="n">
        <v>0</v>
      </c>
      <c r="N9864" t="n">
        <v>0</v>
      </c>
      <c r="O9864" t="n">
        <v>0</v>
      </c>
      <c r="P9864" t="n">
        <v>0</v>
      </c>
      <c r="Q9864" t="n">
        <v>0</v>
      </c>
      <c r="R9864" s="2" t="inlineStr"/>
    </row>
    <row r="9865" ht="15" customHeight="1">
      <c r="A9865" t="inlineStr">
        <is>
          <t>A 62101-2023</t>
        </is>
      </c>
      <c r="B9865" s="1" t="n">
        <v>45266</v>
      </c>
      <c r="C9865" s="1" t="n">
        <v>45344</v>
      </c>
      <c r="D9865" t="inlineStr">
        <is>
          <t>GÄVLEBORGS LÄN</t>
        </is>
      </c>
      <c r="E9865" t="inlineStr">
        <is>
          <t>LJUSDAL</t>
        </is>
      </c>
      <c r="G9865" t="n">
        <v>3.4</v>
      </c>
      <c r="H9865" t="n">
        <v>0</v>
      </c>
      <c r="I9865" t="n">
        <v>0</v>
      </c>
      <c r="J9865" t="n">
        <v>0</v>
      </c>
      <c r="K9865" t="n">
        <v>0</v>
      </c>
      <c r="L9865" t="n">
        <v>0</v>
      </c>
      <c r="M9865" t="n">
        <v>0</v>
      </c>
      <c r="N9865" t="n">
        <v>0</v>
      </c>
      <c r="O9865" t="n">
        <v>0</v>
      </c>
      <c r="P9865" t="n">
        <v>0</v>
      </c>
      <c r="Q9865" t="n">
        <v>0</v>
      </c>
      <c r="R9865" s="2" t="inlineStr"/>
    </row>
    <row r="9866" ht="15" customHeight="1">
      <c r="A9866" t="inlineStr">
        <is>
          <t>A 62124-2023</t>
        </is>
      </c>
      <c r="B9866" s="1" t="n">
        <v>45267</v>
      </c>
      <c r="C9866" s="1" t="n">
        <v>45344</v>
      </c>
      <c r="D9866" t="inlineStr">
        <is>
          <t>GÄVLEBORGS LÄN</t>
        </is>
      </c>
      <c r="E9866" t="inlineStr">
        <is>
          <t>HUDIKSVALL</t>
        </is>
      </c>
      <c r="F9866" t="inlineStr">
        <is>
          <t>Sveaskog</t>
        </is>
      </c>
      <c r="G9866" t="n">
        <v>10.3</v>
      </c>
      <c r="H9866" t="n">
        <v>0</v>
      </c>
      <c r="I9866" t="n">
        <v>0</v>
      </c>
      <c r="J9866" t="n">
        <v>0</v>
      </c>
      <c r="K9866" t="n">
        <v>0</v>
      </c>
      <c r="L9866" t="n">
        <v>0</v>
      </c>
      <c r="M9866" t="n">
        <v>0</v>
      </c>
      <c r="N9866" t="n">
        <v>0</v>
      </c>
      <c r="O9866" t="n">
        <v>0</v>
      </c>
      <c r="P9866" t="n">
        <v>0</v>
      </c>
      <c r="Q9866" t="n">
        <v>0</v>
      </c>
      <c r="R9866" s="2" t="inlineStr"/>
    </row>
    <row r="9867" ht="15" customHeight="1">
      <c r="A9867" t="inlineStr">
        <is>
          <t>A 62153-2023</t>
        </is>
      </c>
      <c r="B9867" s="1" t="n">
        <v>45267</v>
      </c>
      <c r="C9867" s="1" t="n">
        <v>45344</v>
      </c>
      <c r="D9867" t="inlineStr">
        <is>
          <t>GÄVLEBORGS LÄN</t>
        </is>
      </c>
      <c r="E9867" t="inlineStr">
        <is>
          <t>OVANÅKER</t>
        </is>
      </c>
      <c r="G9867" t="n">
        <v>3.3</v>
      </c>
      <c r="H9867" t="n">
        <v>0</v>
      </c>
      <c r="I9867" t="n">
        <v>0</v>
      </c>
      <c r="J9867" t="n">
        <v>0</v>
      </c>
      <c r="K9867" t="n">
        <v>0</v>
      </c>
      <c r="L9867" t="n">
        <v>0</v>
      </c>
      <c r="M9867" t="n">
        <v>0</v>
      </c>
      <c r="N9867" t="n">
        <v>0</v>
      </c>
      <c r="O9867" t="n">
        <v>0</v>
      </c>
      <c r="P9867" t="n">
        <v>0</v>
      </c>
      <c r="Q9867" t="n">
        <v>0</v>
      </c>
      <c r="R9867" s="2" t="inlineStr"/>
    </row>
    <row r="9868" ht="15" customHeight="1">
      <c r="A9868" t="inlineStr">
        <is>
          <t>A 62196-2023</t>
        </is>
      </c>
      <c r="B9868" s="1" t="n">
        <v>45267</v>
      </c>
      <c r="C9868" s="1" t="n">
        <v>45344</v>
      </c>
      <c r="D9868" t="inlineStr">
        <is>
          <t>GÄVLEBORGS LÄN</t>
        </is>
      </c>
      <c r="E9868" t="inlineStr">
        <is>
          <t>OVANÅKER</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62212-2023</t>
        </is>
      </c>
      <c r="B9869" s="1" t="n">
        <v>45267</v>
      </c>
      <c r="C9869" s="1" t="n">
        <v>45344</v>
      </c>
      <c r="D9869" t="inlineStr">
        <is>
          <t>GÄVLEBORGS LÄN</t>
        </is>
      </c>
      <c r="E9869" t="inlineStr">
        <is>
          <t>SÖDERHAMN</t>
        </is>
      </c>
      <c r="G9869" t="n">
        <v>5.5</v>
      </c>
      <c r="H9869" t="n">
        <v>0</v>
      </c>
      <c r="I9869" t="n">
        <v>0</v>
      </c>
      <c r="J9869" t="n">
        <v>0</v>
      </c>
      <c r="K9869" t="n">
        <v>0</v>
      </c>
      <c r="L9869" t="n">
        <v>0</v>
      </c>
      <c r="M9869" t="n">
        <v>0</v>
      </c>
      <c r="N9869" t="n">
        <v>0</v>
      </c>
      <c r="O9869" t="n">
        <v>0</v>
      </c>
      <c r="P9869" t="n">
        <v>0</v>
      </c>
      <c r="Q9869" t="n">
        <v>0</v>
      </c>
      <c r="R9869" s="2" t="inlineStr"/>
    </row>
    <row r="9870" ht="15" customHeight="1">
      <c r="A9870" t="inlineStr">
        <is>
          <t>A 62216-2023</t>
        </is>
      </c>
      <c r="B9870" s="1" t="n">
        <v>45267</v>
      </c>
      <c r="C9870" s="1" t="n">
        <v>45344</v>
      </c>
      <c r="D9870" t="inlineStr">
        <is>
          <t>GÄVLEBORGS LÄN</t>
        </is>
      </c>
      <c r="E9870" t="inlineStr">
        <is>
          <t>GÄVLE</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62126-2023</t>
        </is>
      </c>
      <c r="B9871" s="1" t="n">
        <v>45267</v>
      </c>
      <c r="C9871" s="1" t="n">
        <v>45344</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62293-2023</t>
        </is>
      </c>
      <c r="B9872" s="1" t="n">
        <v>45267</v>
      </c>
      <c r="C9872" s="1" t="n">
        <v>45344</v>
      </c>
      <c r="D9872" t="inlineStr">
        <is>
          <t>GÄVLEBORGS LÄN</t>
        </is>
      </c>
      <c r="E9872" t="inlineStr">
        <is>
          <t>HOFORS</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62151-2023</t>
        </is>
      </c>
      <c r="B9873" s="1" t="n">
        <v>45267</v>
      </c>
      <c r="C9873" s="1" t="n">
        <v>45344</v>
      </c>
      <c r="D9873" t="inlineStr">
        <is>
          <t>GÄVLEBORGS LÄN</t>
        </is>
      </c>
      <c r="E9873" t="inlineStr">
        <is>
          <t>SANDVIKEN</t>
        </is>
      </c>
      <c r="G9873" t="n">
        <v>5.9</v>
      </c>
      <c r="H9873" t="n">
        <v>0</v>
      </c>
      <c r="I9873" t="n">
        <v>0</v>
      </c>
      <c r="J9873" t="n">
        <v>0</v>
      </c>
      <c r="K9873" t="n">
        <v>0</v>
      </c>
      <c r="L9873" t="n">
        <v>0</v>
      </c>
      <c r="M9873" t="n">
        <v>0</v>
      </c>
      <c r="N9873" t="n">
        <v>0</v>
      </c>
      <c r="O9873" t="n">
        <v>0</v>
      </c>
      <c r="P9873" t="n">
        <v>0</v>
      </c>
      <c r="Q9873" t="n">
        <v>0</v>
      </c>
      <c r="R9873" s="2" t="inlineStr"/>
    </row>
    <row r="9874" ht="15" customHeight="1">
      <c r="A9874" t="inlineStr">
        <is>
          <t>A 62237-2023</t>
        </is>
      </c>
      <c r="B9874" s="1" t="n">
        <v>45267</v>
      </c>
      <c r="C9874" s="1" t="n">
        <v>45344</v>
      </c>
      <c r="D9874" t="inlineStr">
        <is>
          <t>GÄVLEBORGS LÄN</t>
        </is>
      </c>
      <c r="E9874" t="inlineStr">
        <is>
          <t>OCKELBO</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62202-2023</t>
        </is>
      </c>
      <c r="B9875" s="1" t="n">
        <v>45267</v>
      </c>
      <c r="C9875" s="1" t="n">
        <v>45344</v>
      </c>
      <c r="D9875" t="inlineStr">
        <is>
          <t>GÄVLEBORGS LÄN</t>
        </is>
      </c>
      <c r="E9875" t="inlineStr">
        <is>
          <t>SÖDERHAMN</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62206-2023</t>
        </is>
      </c>
      <c r="B9876" s="1" t="n">
        <v>45267</v>
      </c>
      <c r="C9876" s="1" t="n">
        <v>45344</v>
      </c>
      <c r="D9876" t="inlineStr">
        <is>
          <t>GÄVLEBORGS LÄN</t>
        </is>
      </c>
      <c r="E9876" t="inlineStr">
        <is>
          <t>SÖDERHAMN</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62359-2023</t>
        </is>
      </c>
      <c r="B9877" s="1" t="n">
        <v>45267</v>
      </c>
      <c r="C9877" s="1" t="n">
        <v>45344</v>
      </c>
      <c r="D9877" t="inlineStr">
        <is>
          <t>GÄVLEBORGS LÄN</t>
        </is>
      </c>
      <c r="E9877" t="inlineStr">
        <is>
          <t>NORDANSTIG</t>
        </is>
      </c>
      <c r="F9877" t="inlineStr">
        <is>
          <t>SCA</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62252-2023</t>
        </is>
      </c>
      <c r="B9878" s="1" t="n">
        <v>45267</v>
      </c>
      <c r="C9878" s="1" t="n">
        <v>45344</v>
      </c>
      <c r="D9878" t="inlineStr">
        <is>
          <t>GÄVLEBORGS LÄN</t>
        </is>
      </c>
      <c r="E9878" t="inlineStr">
        <is>
          <t>LJUSDAL</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62256-2023</t>
        </is>
      </c>
      <c r="B9879" s="1" t="n">
        <v>45267</v>
      </c>
      <c r="C9879" s="1" t="n">
        <v>45344</v>
      </c>
      <c r="D9879" t="inlineStr">
        <is>
          <t>GÄVLEBORGS LÄN</t>
        </is>
      </c>
      <c r="E9879" t="inlineStr">
        <is>
          <t>LJUSDAL</t>
        </is>
      </c>
      <c r="G9879" t="n">
        <v>1.1</v>
      </c>
      <c r="H9879" t="n">
        <v>0</v>
      </c>
      <c r="I9879" t="n">
        <v>0</v>
      </c>
      <c r="J9879" t="n">
        <v>0</v>
      </c>
      <c r="K9879" t="n">
        <v>0</v>
      </c>
      <c r="L9879" t="n">
        <v>0</v>
      </c>
      <c r="M9879" t="n">
        <v>0</v>
      </c>
      <c r="N9879" t="n">
        <v>0</v>
      </c>
      <c r="O9879" t="n">
        <v>0</v>
      </c>
      <c r="P9879" t="n">
        <v>0</v>
      </c>
      <c r="Q9879" t="n">
        <v>0</v>
      </c>
      <c r="R9879" s="2" t="inlineStr"/>
    </row>
    <row r="9880" ht="15" customHeight="1">
      <c r="A9880" t="inlineStr">
        <is>
          <t>A 62339-2023</t>
        </is>
      </c>
      <c r="B9880" s="1" t="n">
        <v>45267</v>
      </c>
      <c r="C9880" s="1" t="n">
        <v>45344</v>
      </c>
      <c r="D9880" t="inlineStr">
        <is>
          <t>GÄVLEBORGS LÄN</t>
        </is>
      </c>
      <c r="E9880" t="inlineStr">
        <is>
          <t>SÖDERHAMN</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62127-2023</t>
        </is>
      </c>
      <c r="B9881" s="1" t="n">
        <v>45267</v>
      </c>
      <c r="C9881" s="1" t="n">
        <v>45344</v>
      </c>
      <c r="D9881" t="inlineStr">
        <is>
          <t>GÄVLEBORGS LÄN</t>
        </is>
      </c>
      <c r="E9881" t="inlineStr">
        <is>
          <t>NORDANSTIG</t>
        </is>
      </c>
      <c r="G9881" t="n">
        <v>5.2</v>
      </c>
      <c r="H9881" t="n">
        <v>0</v>
      </c>
      <c r="I9881" t="n">
        <v>0</v>
      </c>
      <c r="J9881" t="n">
        <v>0</v>
      </c>
      <c r="K9881" t="n">
        <v>0</v>
      </c>
      <c r="L9881" t="n">
        <v>0</v>
      </c>
      <c r="M9881" t="n">
        <v>0</v>
      </c>
      <c r="N9881" t="n">
        <v>0</v>
      </c>
      <c r="O9881" t="n">
        <v>0</v>
      </c>
      <c r="P9881" t="n">
        <v>0</v>
      </c>
      <c r="Q9881" t="n">
        <v>0</v>
      </c>
      <c r="R9881" s="2" t="inlineStr"/>
    </row>
    <row r="9882" ht="15" customHeight="1">
      <c r="A9882" t="inlineStr">
        <is>
          <t>A 62215-2023</t>
        </is>
      </c>
      <c r="B9882" s="1" t="n">
        <v>45267</v>
      </c>
      <c r="C9882" s="1" t="n">
        <v>45344</v>
      </c>
      <c r="D9882" t="inlineStr">
        <is>
          <t>GÄVLEBORGS LÄN</t>
        </is>
      </c>
      <c r="E9882" t="inlineStr">
        <is>
          <t>GÄVLE</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62337-2023</t>
        </is>
      </c>
      <c r="B9883" s="1" t="n">
        <v>45267</v>
      </c>
      <c r="C9883" s="1" t="n">
        <v>45344</v>
      </c>
      <c r="D9883" t="inlineStr">
        <is>
          <t>GÄVLEBORGS LÄN</t>
        </is>
      </c>
      <c r="E9883" t="inlineStr">
        <is>
          <t>OVANÅKER</t>
        </is>
      </c>
      <c r="G9883" t="n">
        <v>7.6</v>
      </c>
      <c r="H9883" t="n">
        <v>0</v>
      </c>
      <c r="I9883" t="n">
        <v>0</v>
      </c>
      <c r="J9883" t="n">
        <v>0</v>
      </c>
      <c r="K9883" t="n">
        <v>0</v>
      </c>
      <c r="L9883" t="n">
        <v>0</v>
      </c>
      <c r="M9883" t="n">
        <v>0</v>
      </c>
      <c r="N9883" t="n">
        <v>0</v>
      </c>
      <c r="O9883" t="n">
        <v>0</v>
      </c>
      <c r="P9883" t="n">
        <v>0</v>
      </c>
      <c r="Q9883" t="n">
        <v>0</v>
      </c>
      <c r="R9883" s="2" t="inlineStr"/>
    </row>
    <row r="9884" ht="15" customHeight="1">
      <c r="A9884" t="inlineStr">
        <is>
          <t>A 62362-2023</t>
        </is>
      </c>
      <c r="B9884" s="1" t="n">
        <v>45267</v>
      </c>
      <c r="C9884" s="1" t="n">
        <v>45344</v>
      </c>
      <c r="D9884" t="inlineStr">
        <is>
          <t>GÄVLEBORGS LÄN</t>
        </is>
      </c>
      <c r="E9884" t="inlineStr">
        <is>
          <t>NORDANSTIG</t>
        </is>
      </c>
      <c r="F9884" t="inlineStr">
        <is>
          <t>SCA</t>
        </is>
      </c>
      <c r="G9884" t="n">
        <v>4</v>
      </c>
      <c r="H9884" t="n">
        <v>0</v>
      </c>
      <c r="I9884" t="n">
        <v>0</v>
      </c>
      <c r="J9884" t="n">
        <v>0</v>
      </c>
      <c r="K9884" t="n">
        <v>0</v>
      </c>
      <c r="L9884" t="n">
        <v>0</v>
      </c>
      <c r="M9884" t="n">
        <v>0</v>
      </c>
      <c r="N9884" t="n">
        <v>0</v>
      </c>
      <c r="O9884" t="n">
        <v>0</v>
      </c>
      <c r="P9884" t="n">
        <v>0</v>
      </c>
      <c r="Q9884" t="n">
        <v>0</v>
      </c>
      <c r="R9884" s="2" t="inlineStr"/>
    </row>
    <row r="9885" ht="15" customHeight="1">
      <c r="A9885" t="inlineStr">
        <is>
          <t>A 62522-2023</t>
        </is>
      </c>
      <c r="B9885" s="1" t="n">
        <v>45268</v>
      </c>
      <c r="C9885" s="1" t="n">
        <v>45344</v>
      </c>
      <c r="D9885" t="inlineStr">
        <is>
          <t>GÄVLEBORGS LÄN</t>
        </is>
      </c>
      <c r="E9885" t="inlineStr">
        <is>
          <t>HUDIKSVALL</t>
        </is>
      </c>
      <c r="G9885" t="n">
        <v>0.9</v>
      </c>
      <c r="H9885" t="n">
        <v>0</v>
      </c>
      <c r="I9885" t="n">
        <v>0</v>
      </c>
      <c r="J9885" t="n">
        <v>0</v>
      </c>
      <c r="K9885" t="n">
        <v>0</v>
      </c>
      <c r="L9885" t="n">
        <v>0</v>
      </c>
      <c r="M9885" t="n">
        <v>0</v>
      </c>
      <c r="N9885" t="n">
        <v>0</v>
      </c>
      <c r="O9885" t="n">
        <v>0</v>
      </c>
      <c r="P9885" t="n">
        <v>0</v>
      </c>
      <c r="Q9885" t="n">
        <v>0</v>
      </c>
      <c r="R9885" s="2" t="inlineStr"/>
    </row>
    <row r="9886" ht="15" customHeight="1">
      <c r="A9886" t="inlineStr">
        <is>
          <t>A 62438-2023</t>
        </is>
      </c>
      <c r="B9886" s="1" t="n">
        <v>45268</v>
      </c>
      <c r="C9886" s="1" t="n">
        <v>45344</v>
      </c>
      <c r="D9886" t="inlineStr">
        <is>
          <t>GÄVLEBORGS LÄN</t>
        </is>
      </c>
      <c r="E9886" t="inlineStr">
        <is>
          <t>BOLLNÄS</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62469-2023</t>
        </is>
      </c>
      <c r="B9887" s="1" t="n">
        <v>45268</v>
      </c>
      <c r="C9887" s="1" t="n">
        <v>45344</v>
      </c>
      <c r="D9887" t="inlineStr">
        <is>
          <t>GÄVLEBORGS LÄN</t>
        </is>
      </c>
      <c r="E9887" t="inlineStr">
        <is>
          <t>BOLLNÄS</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62433-2023</t>
        </is>
      </c>
      <c r="B9888" s="1" t="n">
        <v>45268</v>
      </c>
      <c r="C9888" s="1" t="n">
        <v>45344</v>
      </c>
      <c r="D9888" t="inlineStr">
        <is>
          <t>GÄVLEBORGS LÄN</t>
        </is>
      </c>
      <c r="E9888" t="inlineStr">
        <is>
          <t>BOLLNÄS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62459-2023</t>
        </is>
      </c>
      <c r="B9889" s="1" t="n">
        <v>45268</v>
      </c>
      <c r="C9889" s="1" t="n">
        <v>45344</v>
      </c>
      <c r="D9889" t="inlineStr">
        <is>
          <t>GÄVLEBORGS LÄN</t>
        </is>
      </c>
      <c r="E9889" t="inlineStr">
        <is>
          <t>SANDVIKEN</t>
        </is>
      </c>
      <c r="G9889" t="n">
        <v>1.8</v>
      </c>
      <c r="H9889" t="n">
        <v>0</v>
      </c>
      <c r="I9889" t="n">
        <v>0</v>
      </c>
      <c r="J9889" t="n">
        <v>0</v>
      </c>
      <c r="K9889" t="n">
        <v>0</v>
      </c>
      <c r="L9889" t="n">
        <v>0</v>
      </c>
      <c r="M9889" t="n">
        <v>0</v>
      </c>
      <c r="N9889" t="n">
        <v>0</v>
      </c>
      <c r="O9889" t="n">
        <v>0</v>
      </c>
      <c r="P9889" t="n">
        <v>0</v>
      </c>
      <c r="Q9889" t="n">
        <v>0</v>
      </c>
      <c r="R9889" s="2" t="inlineStr"/>
    </row>
    <row r="9890" ht="15" customHeight="1">
      <c r="A9890" t="inlineStr">
        <is>
          <t>A 62738-2023</t>
        </is>
      </c>
      <c r="B9890" s="1" t="n">
        <v>45268</v>
      </c>
      <c r="C9890" s="1" t="n">
        <v>45344</v>
      </c>
      <c r="D9890" t="inlineStr">
        <is>
          <t>GÄVLEBORGS LÄN</t>
        </is>
      </c>
      <c r="E9890" t="inlineStr">
        <is>
          <t>OVANÅKER</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62458-2023</t>
        </is>
      </c>
      <c r="B9891" s="1" t="n">
        <v>45268</v>
      </c>
      <c r="C9891" s="1" t="n">
        <v>45344</v>
      </c>
      <c r="D9891" t="inlineStr">
        <is>
          <t>GÄVLEBORGS LÄN</t>
        </is>
      </c>
      <c r="E9891" t="inlineStr">
        <is>
          <t>NORDANSTIG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62439-2023</t>
        </is>
      </c>
      <c r="B9892" s="1" t="n">
        <v>45268</v>
      </c>
      <c r="C9892" s="1" t="n">
        <v>45344</v>
      </c>
      <c r="D9892" t="inlineStr">
        <is>
          <t>GÄVLEBORGS LÄN</t>
        </is>
      </c>
      <c r="E9892" t="inlineStr">
        <is>
          <t>HUDIKSVALL</t>
        </is>
      </c>
      <c r="G9892" t="n">
        <v>13.3</v>
      </c>
      <c r="H9892" t="n">
        <v>0</v>
      </c>
      <c r="I9892" t="n">
        <v>0</v>
      </c>
      <c r="J9892" t="n">
        <v>0</v>
      </c>
      <c r="K9892" t="n">
        <v>0</v>
      </c>
      <c r="L9892" t="n">
        <v>0</v>
      </c>
      <c r="M9892" t="n">
        <v>0</v>
      </c>
      <c r="N9892" t="n">
        <v>0</v>
      </c>
      <c r="O9892" t="n">
        <v>0</v>
      </c>
      <c r="P9892" t="n">
        <v>0</v>
      </c>
      <c r="Q9892" t="n">
        <v>0</v>
      </c>
      <c r="R9892" s="2" t="inlineStr"/>
    </row>
    <row r="9893" ht="15" customHeight="1">
      <c r="A9893" t="inlineStr">
        <is>
          <t>A 62389-2023</t>
        </is>
      </c>
      <c r="B9893" s="1" t="n">
        <v>45268</v>
      </c>
      <c r="C9893" s="1" t="n">
        <v>45344</v>
      </c>
      <c r="D9893" t="inlineStr">
        <is>
          <t>GÄVLEBORGS LÄN</t>
        </is>
      </c>
      <c r="E9893" t="inlineStr">
        <is>
          <t>NORDANSTIG</t>
        </is>
      </c>
      <c r="F9893" t="inlineStr">
        <is>
          <t>Holmen skog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62567-2023</t>
        </is>
      </c>
      <c r="B9894" s="1" t="n">
        <v>45269</v>
      </c>
      <c r="C9894" s="1" t="n">
        <v>45344</v>
      </c>
      <c r="D9894" t="inlineStr">
        <is>
          <t>GÄVLEBORGS LÄN</t>
        </is>
      </c>
      <c r="E9894" t="inlineStr">
        <is>
          <t>HOFORS</t>
        </is>
      </c>
      <c r="G9894" t="n">
        <v>4.5</v>
      </c>
      <c r="H9894" t="n">
        <v>0</v>
      </c>
      <c r="I9894" t="n">
        <v>0</v>
      </c>
      <c r="J9894" t="n">
        <v>0</v>
      </c>
      <c r="K9894" t="n">
        <v>0</v>
      </c>
      <c r="L9894" t="n">
        <v>0</v>
      </c>
      <c r="M9894" t="n">
        <v>0</v>
      </c>
      <c r="N9894" t="n">
        <v>0</v>
      </c>
      <c r="O9894" t="n">
        <v>0</v>
      </c>
      <c r="P9894" t="n">
        <v>0</v>
      </c>
      <c r="Q9894" t="n">
        <v>0</v>
      </c>
      <c r="R9894" s="2" t="inlineStr"/>
    </row>
    <row r="9895" ht="15" customHeight="1">
      <c r="A9895" t="inlineStr">
        <is>
          <t>A 62568-2023</t>
        </is>
      </c>
      <c r="B9895" s="1" t="n">
        <v>45269</v>
      </c>
      <c r="C9895" s="1" t="n">
        <v>45344</v>
      </c>
      <c r="D9895" t="inlineStr">
        <is>
          <t>GÄVLEBORGS LÄN</t>
        </is>
      </c>
      <c r="E9895" t="inlineStr">
        <is>
          <t>NORDANSTIG</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62619-2023</t>
        </is>
      </c>
      <c r="B9896" s="1" t="n">
        <v>45271</v>
      </c>
      <c r="C9896" s="1" t="n">
        <v>45344</v>
      </c>
      <c r="D9896" t="inlineStr">
        <is>
          <t>GÄVLEBORGS LÄN</t>
        </is>
      </c>
      <c r="E9896" t="inlineStr">
        <is>
          <t>NORDANSTIG</t>
        </is>
      </c>
      <c r="F9896" t="inlineStr">
        <is>
          <t>Holmen skog AB</t>
        </is>
      </c>
      <c r="G9896" t="n">
        <v>2.7</v>
      </c>
      <c r="H9896" t="n">
        <v>0</v>
      </c>
      <c r="I9896" t="n">
        <v>0</v>
      </c>
      <c r="J9896" t="n">
        <v>0</v>
      </c>
      <c r="K9896" t="n">
        <v>0</v>
      </c>
      <c r="L9896" t="n">
        <v>0</v>
      </c>
      <c r="M9896" t="n">
        <v>0</v>
      </c>
      <c r="N9896" t="n">
        <v>0</v>
      </c>
      <c r="O9896" t="n">
        <v>0</v>
      </c>
      <c r="P9896" t="n">
        <v>0</v>
      </c>
      <c r="Q9896" t="n">
        <v>0</v>
      </c>
      <c r="R9896" s="2" t="inlineStr"/>
    </row>
    <row r="9897" ht="15" customHeight="1">
      <c r="A9897" t="inlineStr">
        <is>
          <t>A 62642-2023</t>
        </is>
      </c>
      <c r="B9897" s="1" t="n">
        <v>45271</v>
      </c>
      <c r="C9897" s="1" t="n">
        <v>45344</v>
      </c>
      <c r="D9897" t="inlineStr">
        <is>
          <t>GÄVLEBORGS LÄN</t>
        </is>
      </c>
      <c r="E9897" t="inlineStr">
        <is>
          <t>SANDVIKEN</t>
        </is>
      </c>
      <c r="F9897" t="inlineStr">
        <is>
          <t>Bergvik skog öst AB</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62646-2023</t>
        </is>
      </c>
      <c r="B9898" s="1" t="n">
        <v>45271</v>
      </c>
      <c r="C9898" s="1" t="n">
        <v>45344</v>
      </c>
      <c r="D9898" t="inlineStr">
        <is>
          <t>GÄVLEBORGS LÄN</t>
        </is>
      </c>
      <c r="E9898" t="inlineStr">
        <is>
          <t>NORDANSTIG</t>
        </is>
      </c>
      <c r="G9898" t="n">
        <v>4.1</v>
      </c>
      <c r="H9898" t="n">
        <v>0</v>
      </c>
      <c r="I9898" t="n">
        <v>0</v>
      </c>
      <c r="J9898" t="n">
        <v>0</v>
      </c>
      <c r="K9898" t="n">
        <v>0</v>
      </c>
      <c r="L9898" t="n">
        <v>0</v>
      </c>
      <c r="M9898" t="n">
        <v>0</v>
      </c>
      <c r="N9898" t="n">
        <v>0</v>
      </c>
      <c r="O9898" t="n">
        <v>0</v>
      </c>
      <c r="P9898" t="n">
        <v>0</v>
      </c>
      <c r="Q9898" t="n">
        <v>0</v>
      </c>
      <c r="R9898" s="2" t="inlineStr"/>
    </row>
    <row r="9899" ht="15" customHeight="1">
      <c r="A9899" t="inlineStr">
        <is>
          <t>A 62628-2023</t>
        </is>
      </c>
      <c r="B9899" s="1" t="n">
        <v>45271</v>
      </c>
      <c r="C9899" s="1" t="n">
        <v>45344</v>
      </c>
      <c r="D9899" t="inlineStr">
        <is>
          <t>GÄVLEBORGS LÄN</t>
        </is>
      </c>
      <c r="E9899" t="inlineStr">
        <is>
          <t>HUDIKSVALL</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62645-2023</t>
        </is>
      </c>
      <c r="B9900" s="1" t="n">
        <v>45271</v>
      </c>
      <c r="C9900" s="1" t="n">
        <v>45344</v>
      </c>
      <c r="D9900" t="inlineStr">
        <is>
          <t>GÄVLEBORGS LÄN</t>
        </is>
      </c>
      <c r="E9900" t="inlineStr">
        <is>
          <t>HUDIKSVALL</t>
        </is>
      </c>
      <c r="G9900" t="n">
        <v>3.9</v>
      </c>
      <c r="H9900" t="n">
        <v>0</v>
      </c>
      <c r="I9900" t="n">
        <v>0</v>
      </c>
      <c r="J9900" t="n">
        <v>0</v>
      </c>
      <c r="K9900" t="n">
        <v>0</v>
      </c>
      <c r="L9900" t="n">
        <v>0</v>
      </c>
      <c r="M9900" t="n">
        <v>0</v>
      </c>
      <c r="N9900" t="n">
        <v>0</v>
      </c>
      <c r="O9900" t="n">
        <v>0</v>
      </c>
      <c r="P9900" t="n">
        <v>0</v>
      </c>
      <c r="Q9900" t="n">
        <v>0</v>
      </c>
      <c r="R9900" s="2" t="inlineStr"/>
    </row>
    <row r="9901" ht="15" customHeight="1">
      <c r="A9901" t="inlineStr">
        <is>
          <t>A 62668-2023</t>
        </is>
      </c>
      <c r="B9901" s="1" t="n">
        <v>45271</v>
      </c>
      <c r="C9901" s="1" t="n">
        <v>45344</v>
      </c>
      <c r="D9901" t="inlineStr">
        <is>
          <t>GÄVLEBORGS LÄN</t>
        </is>
      </c>
      <c r="E9901" t="inlineStr">
        <is>
          <t>HUDIKSVALL</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62596-2023</t>
        </is>
      </c>
      <c r="B9902" s="1" t="n">
        <v>45271</v>
      </c>
      <c r="C9902" s="1" t="n">
        <v>45344</v>
      </c>
      <c r="D9902" t="inlineStr">
        <is>
          <t>GÄVLEBORGS LÄN</t>
        </is>
      </c>
      <c r="E9902" t="inlineStr">
        <is>
          <t>HOFORS</t>
        </is>
      </c>
      <c r="G9902" t="n">
        <v>3.6</v>
      </c>
      <c r="H9902" t="n">
        <v>0</v>
      </c>
      <c r="I9902" t="n">
        <v>0</v>
      </c>
      <c r="J9902" t="n">
        <v>0</v>
      </c>
      <c r="K9902" t="n">
        <v>0</v>
      </c>
      <c r="L9902" t="n">
        <v>0</v>
      </c>
      <c r="M9902" t="n">
        <v>0</v>
      </c>
      <c r="N9902" t="n">
        <v>0</v>
      </c>
      <c r="O9902" t="n">
        <v>0</v>
      </c>
      <c r="P9902" t="n">
        <v>0</v>
      </c>
      <c r="Q9902" t="n">
        <v>0</v>
      </c>
      <c r="R9902" s="2" t="inlineStr"/>
    </row>
    <row r="9903" ht="15" customHeight="1">
      <c r="A9903" t="inlineStr">
        <is>
          <t>A 62639-2023</t>
        </is>
      </c>
      <c r="B9903" s="1" t="n">
        <v>45271</v>
      </c>
      <c r="C9903" s="1" t="n">
        <v>45344</v>
      </c>
      <c r="D9903" t="inlineStr">
        <is>
          <t>GÄVLEBORGS LÄN</t>
        </is>
      </c>
      <c r="E9903" t="inlineStr">
        <is>
          <t>HUDIKSVALL</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62651-2023</t>
        </is>
      </c>
      <c r="B9904" s="1" t="n">
        <v>45271</v>
      </c>
      <c r="C9904" s="1" t="n">
        <v>45344</v>
      </c>
      <c r="D9904" t="inlineStr">
        <is>
          <t>GÄVLEBORGS LÄN</t>
        </is>
      </c>
      <c r="E9904" t="inlineStr">
        <is>
          <t>OVANÅKER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62674-2023</t>
        </is>
      </c>
      <c r="B9905" s="1" t="n">
        <v>45271</v>
      </c>
      <c r="C9905" s="1" t="n">
        <v>45344</v>
      </c>
      <c r="D9905" t="inlineStr">
        <is>
          <t>GÄVLEBORGS LÄN</t>
        </is>
      </c>
      <c r="E9905" t="inlineStr">
        <is>
          <t>HUDIKSVALL</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62597-2023</t>
        </is>
      </c>
      <c r="B9906" s="1" t="n">
        <v>45271</v>
      </c>
      <c r="C9906" s="1" t="n">
        <v>45344</v>
      </c>
      <c r="D9906" t="inlineStr">
        <is>
          <t>GÄVLEBORGS LÄN</t>
        </is>
      </c>
      <c r="E9906" t="inlineStr">
        <is>
          <t>SANDVIKEN</t>
        </is>
      </c>
      <c r="G9906" t="n">
        <v>2.1</v>
      </c>
      <c r="H9906" t="n">
        <v>0</v>
      </c>
      <c r="I9906" t="n">
        <v>0</v>
      </c>
      <c r="J9906" t="n">
        <v>0</v>
      </c>
      <c r="K9906" t="n">
        <v>0</v>
      </c>
      <c r="L9906" t="n">
        <v>0</v>
      </c>
      <c r="M9906" t="n">
        <v>0</v>
      </c>
      <c r="N9906" t="n">
        <v>0</v>
      </c>
      <c r="O9906" t="n">
        <v>0</v>
      </c>
      <c r="P9906" t="n">
        <v>0</v>
      </c>
      <c r="Q9906" t="n">
        <v>0</v>
      </c>
      <c r="R9906" s="2" t="inlineStr"/>
    </row>
    <row r="9907" ht="15" customHeight="1">
      <c r="A9907" t="inlineStr">
        <is>
          <t>A 62756-2023</t>
        </is>
      </c>
      <c r="B9907" s="1" t="n">
        <v>45271</v>
      </c>
      <c r="C9907" s="1" t="n">
        <v>45344</v>
      </c>
      <c r="D9907" t="inlineStr">
        <is>
          <t>GÄVLEBORGS LÄN</t>
        </is>
      </c>
      <c r="E9907" t="inlineStr">
        <is>
          <t>NORDANSTIG</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62685-2023</t>
        </is>
      </c>
      <c r="B9908" s="1" t="n">
        <v>45271</v>
      </c>
      <c r="C9908" s="1" t="n">
        <v>45344</v>
      </c>
      <c r="D9908" t="inlineStr">
        <is>
          <t>GÄVLEBORGS LÄN</t>
        </is>
      </c>
      <c r="E9908" t="inlineStr">
        <is>
          <t>BOLLNÄS</t>
        </is>
      </c>
      <c r="G9908" t="n">
        <v>1.1</v>
      </c>
      <c r="H9908" t="n">
        <v>0</v>
      </c>
      <c r="I9908" t="n">
        <v>0</v>
      </c>
      <c r="J9908" t="n">
        <v>0</v>
      </c>
      <c r="K9908" t="n">
        <v>0</v>
      </c>
      <c r="L9908" t="n">
        <v>0</v>
      </c>
      <c r="M9908" t="n">
        <v>0</v>
      </c>
      <c r="N9908" t="n">
        <v>0</v>
      </c>
      <c r="O9908" t="n">
        <v>0</v>
      </c>
      <c r="P9908" t="n">
        <v>0</v>
      </c>
      <c r="Q9908" t="n">
        <v>0</v>
      </c>
      <c r="R9908" s="2" t="inlineStr"/>
    </row>
    <row r="9909" ht="15" customHeight="1">
      <c r="A9909" t="inlineStr">
        <is>
          <t>A 62716-2023</t>
        </is>
      </c>
      <c r="B9909" s="1" t="n">
        <v>45271</v>
      </c>
      <c r="C9909" s="1" t="n">
        <v>45344</v>
      </c>
      <c r="D9909" t="inlineStr">
        <is>
          <t>GÄVLEBORGS LÄN</t>
        </is>
      </c>
      <c r="E9909" t="inlineStr">
        <is>
          <t>HUDIKSVALL</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62816-2023</t>
        </is>
      </c>
      <c r="B9910" s="1" t="n">
        <v>45271</v>
      </c>
      <c r="C9910" s="1" t="n">
        <v>45344</v>
      </c>
      <c r="D9910" t="inlineStr">
        <is>
          <t>GÄVLEBORGS LÄN</t>
        </is>
      </c>
      <c r="E9910" t="inlineStr">
        <is>
          <t>NORDANSTIG</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62910-2023</t>
        </is>
      </c>
      <c r="B9911" s="1" t="n">
        <v>45272</v>
      </c>
      <c r="C9911" s="1" t="n">
        <v>45344</v>
      </c>
      <c r="D9911" t="inlineStr">
        <is>
          <t>GÄVLEBORGS LÄN</t>
        </is>
      </c>
      <c r="E9911" t="inlineStr">
        <is>
          <t>HUDIKSVALL</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62928-2023</t>
        </is>
      </c>
      <c r="B9912" s="1" t="n">
        <v>45272</v>
      </c>
      <c r="C9912" s="1" t="n">
        <v>45344</v>
      </c>
      <c r="D9912" t="inlineStr">
        <is>
          <t>GÄVLEBORGS LÄN</t>
        </is>
      </c>
      <c r="E9912" t="inlineStr">
        <is>
          <t>SÖDERHAMN</t>
        </is>
      </c>
      <c r="G9912" t="n">
        <v>5.2</v>
      </c>
      <c r="H9912" t="n">
        <v>0</v>
      </c>
      <c r="I9912" t="n">
        <v>0</v>
      </c>
      <c r="J9912" t="n">
        <v>0</v>
      </c>
      <c r="K9912" t="n">
        <v>0</v>
      </c>
      <c r="L9912" t="n">
        <v>0</v>
      </c>
      <c r="M9912" t="n">
        <v>0</v>
      </c>
      <c r="N9912" t="n">
        <v>0</v>
      </c>
      <c r="O9912" t="n">
        <v>0</v>
      </c>
      <c r="P9912" t="n">
        <v>0</v>
      </c>
      <c r="Q9912" t="n">
        <v>0</v>
      </c>
      <c r="R9912" s="2" t="inlineStr"/>
    </row>
    <row r="9913" ht="15" customHeight="1">
      <c r="A9913" t="inlineStr">
        <is>
          <t>A 62946-2023</t>
        </is>
      </c>
      <c r="B9913" s="1" t="n">
        <v>45272</v>
      </c>
      <c r="C9913" s="1" t="n">
        <v>45344</v>
      </c>
      <c r="D9913" t="inlineStr">
        <is>
          <t>GÄVLEBORGS LÄN</t>
        </is>
      </c>
      <c r="E9913" t="inlineStr">
        <is>
          <t>BOLLNÄS</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62983-2023</t>
        </is>
      </c>
      <c r="B9914" s="1" t="n">
        <v>45272</v>
      </c>
      <c r="C9914" s="1" t="n">
        <v>45344</v>
      </c>
      <c r="D9914" t="inlineStr">
        <is>
          <t>GÄVLEBORGS LÄN</t>
        </is>
      </c>
      <c r="E9914" t="inlineStr">
        <is>
          <t>GÄVLE</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63051-2023</t>
        </is>
      </c>
      <c r="B9915" s="1" t="n">
        <v>45272</v>
      </c>
      <c r="C9915" s="1" t="n">
        <v>45344</v>
      </c>
      <c r="D9915" t="inlineStr">
        <is>
          <t>GÄVLEBORGS LÄN</t>
        </is>
      </c>
      <c r="E9915" t="inlineStr">
        <is>
          <t>NORDANSTIG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63036-2023</t>
        </is>
      </c>
      <c r="B9916" s="1" t="n">
        <v>45272</v>
      </c>
      <c r="C9916" s="1" t="n">
        <v>45344</v>
      </c>
      <c r="D9916" t="inlineStr">
        <is>
          <t>GÄVLEBORGS LÄN</t>
        </is>
      </c>
      <c r="E9916" t="inlineStr">
        <is>
          <t>GÄVLE</t>
        </is>
      </c>
      <c r="G9916" t="n">
        <v>12.7</v>
      </c>
      <c r="H9916" t="n">
        <v>0</v>
      </c>
      <c r="I9916" t="n">
        <v>0</v>
      </c>
      <c r="J9916" t="n">
        <v>0</v>
      </c>
      <c r="K9916" t="n">
        <v>0</v>
      </c>
      <c r="L9916" t="n">
        <v>0</v>
      </c>
      <c r="M9916" t="n">
        <v>0</v>
      </c>
      <c r="N9916" t="n">
        <v>0</v>
      </c>
      <c r="O9916" t="n">
        <v>0</v>
      </c>
      <c r="P9916" t="n">
        <v>0</v>
      </c>
      <c r="Q9916" t="n">
        <v>0</v>
      </c>
      <c r="R9916" s="2" t="inlineStr"/>
    </row>
    <row r="9917" ht="15" customHeight="1">
      <c r="A9917" t="inlineStr">
        <is>
          <t>A 63052-2023</t>
        </is>
      </c>
      <c r="B9917" s="1" t="n">
        <v>45272</v>
      </c>
      <c r="C9917" s="1" t="n">
        <v>45344</v>
      </c>
      <c r="D9917" t="inlineStr">
        <is>
          <t>GÄVLEBORGS LÄN</t>
        </is>
      </c>
      <c r="E9917" t="inlineStr">
        <is>
          <t>NORDANSTIG</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62938-2023</t>
        </is>
      </c>
      <c r="B9918" s="1" t="n">
        <v>45272</v>
      </c>
      <c r="C9918" s="1" t="n">
        <v>45344</v>
      </c>
      <c r="D9918" t="inlineStr">
        <is>
          <t>GÄVLEBORGS LÄN</t>
        </is>
      </c>
      <c r="E9918" t="inlineStr">
        <is>
          <t>SÖDERHAMN</t>
        </is>
      </c>
      <c r="G9918" t="n">
        <v>13.1</v>
      </c>
      <c r="H9918" t="n">
        <v>0</v>
      </c>
      <c r="I9918" t="n">
        <v>0</v>
      </c>
      <c r="J9918" t="n">
        <v>0</v>
      </c>
      <c r="K9918" t="n">
        <v>0</v>
      </c>
      <c r="L9918" t="n">
        <v>0</v>
      </c>
      <c r="M9918" t="n">
        <v>0</v>
      </c>
      <c r="N9918" t="n">
        <v>0</v>
      </c>
      <c r="O9918" t="n">
        <v>0</v>
      </c>
      <c r="P9918" t="n">
        <v>0</v>
      </c>
      <c r="Q9918" t="n">
        <v>0</v>
      </c>
      <c r="R9918" s="2" t="inlineStr"/>
    </row>
    <row r="9919" ht="15" customHeight="1">
      <c r="A9919" t="inlineStr">
        <is>
          <t>A 62930-2023</t>
        </is>
      </c>
      <c r="B9919" s="1" t="n">
        <v>45272</v>
      </c>
      <c r="C9919" s="1" t="n">
        <v>45344</v>
      </c>
      <c r="D9919" t="inlineStr">
        <is>
          <t>GÄVLEBORGS LÄN</t>
        </is>
      </c>
      <c r="E9919" t="inlineStr">
        <is>
          <t>HUDIKSVALL</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63045-2023</t>
        </is>
      </c>
      <c r="B9920" s="1" t="n">
        <v>45272</v>
      </c>
      <c r="C9920" s="1" t="n">
        <v>45344</v>
      </c>
      <c r="D9920" t="inlineStr">
        <is>
          <t>GÄVLEBORGS LÄN</t>
        </is>
      </c>
      <c r="E9920" t="inlineStr">
        <is>
          <t>HUDIKSVALL</t>
        </is>
      </c>
      <c r="G9920" t="n">
        <v>6</v>
      </c>
      <c r="H9920" t="n">
        <v>0</v>
      </c>
      <c r="I9920" t="n">
        <v>0</v>
      </c>
      <c r="J9920" t="n">
        <v>0</v>
      </c>
      <c r="K9920" t="n">
        <v>0</v>
      </c>
      <c r="L9920" t="n">
        <v>0</v>
      </c>
      <c r="M9920" t="n">
        <v>0</v>
      </c>
      <c r="N9920" t="n">
        <v>0</v>
      </c>
      <c r="O9920" t="n">
        <v>0</v>
      </c>
      <c r="P9920" t="n">
        <v>0</v>
      </c>
      <c r="Q9920" t="n">
        <v>0</v>
      </c>
      <c r="R9920" s="2" t="inlineStr"/>
    </row>
    <row r="9921" ht="15" customHeight="1">
      <c r="A9921" t="inlineStr">
        <is>
          <t>A 63001-2023</t>
        </is>
      </c>
      <c r="B9921" s="1" t="n">
        <v>45272</v>
      </c>
      <c r="C9921" s="1" t="n">
        <v>45344</v>
      </c>
      <c r="D9921" t="inlineStr">
        <is>
          <t>GÄVLEBORGS LÄN</t>
        </is>
      </c>
      <c r="E9921" t="inlineStr">
        <is>
          <t>NORDANSTIG</t>
        </is>
      </c>
      <c r="F9921" t="inlineStr">
        <is>
          <t>Holmen skog AB</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62956-2023</t>
        </is>
      </c>
      <c r="B9922" s="1" t="n">
        <v>45272</v>
      </c>
      <c r="C9922" s="1" t="n">
        <v>45344</v>
      </c>
      <c r="D9922" t="inlineStr">
        <is>
          <t>GÄVLEBORGS LÄN</t>
        </is>
      </c>
      <c r="E9922" t="inlineStr">
        <is>
          <t>BOLLNÄS</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62943-2023</t>
        </is>
      </c>
      <c r="B9923" s="1" t="n">
        <v>45272</v>
      </c>
      <c r="C9923" s="1" t="n">
        <v>45344</v>
      </c>
      <c r="D9923" t="inlineStr">
        <is>
          <t>GÄVLEBORGS LÄN</t>
        </is>
      </c>
      <c r="E9923" t="inlineStr">
        <is>
          <t>SÖDERHAMN</t>
        </is>
      </c>
      <c r="G9923" t="n">
        <v>12.8</v>
      </c>
      <c r="H9923" t="n">
        <v>0</v>
      </c>
      <c r="I9923" t="n">
        <v>0</v>
      </c>
      <c r="J9923" t="n">
        <v>0</v>
      </c>
      <c r="K9923" t="n">
        <v>0</v>
      </c>
      <c r="L9923" t="n">
        <v>0</v>
      </c>
      <c r="M9923" t="n">
        <v>0</v>
      </c>
      <c r="N9923" t="n">
        <v>0</v>
      </c>
      <c r="O9923" t="n">
        <v>0</v>
      </c>
      <c r="P9923" t="n">
        <v>0</v>
      </c>
      <c r="Q9923" t="n">
        <v>0</v>
      </c>
      <c r="R9923" s="2" t="inlineStr"/>
    </row>
    <row r="9924" ht="15" customHeight="1">
      <c r="A9924" t="inlineStr">
        <is>
          <t>A 62926-2023</t>
        </is>
      </c>
      <c r="B9924" s="1" t="n">
        <v>45272</v>
      </c>
      <c r="C9924" s="1" t="n">
        <v>45344</v>
      </c>
      <c r="D9924" t="inlineStr">
        <is>
          <t>GÄVLEBORGS LÄN</t>
        </is>
      </c>
      <c r="E9924" t="inlineStr">
        <is>
          <t>HUDIKSVALL</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62906-2023</t>
        </is>
      </c>
      <c r="B9925" s="1" t="n">
        <v>45272</v>
      </c>
      <c r="C9925" s="1" t="n">
        <v>45344</v>
      </c>
      <c r="D9925" t="inlineStr">
        <is>
          <t>GÄVLEBORGS LÄN</t>
        </is>
      </c>
      <c r="E9925" t="inlineStr">
        <is>
          <t>SÖDERHAMN</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62952-2023</t>
        </is>
      </c>
      <c r="B9926" s="1" t="n">
        <v>45272</v>
      </c>
      <c r="C9926" s="1" t="n">
        <v>45344</v>
      </c>
      <c r="D9926" t="inlineStr">
        <is>
          <t>GÄVLEBORGS LÄN</t>
        </is>
      </c>
      <c r="E9926" t="inlineStr">
        <is>
          <t>BOLLNÄS</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62927-2023</t>
        </is>
      </c>
      <c r="B9927" s="1" t="n">
        <v>45272</v>
      </c>
      <c r="C9927" s="1" t="n">
        <v>45344</v>
      </c>
      <c r="D9927" t="inlineStr">
        <is>
          <t>GÄVLEBORGS LÄN</t>
        </is>
      </c>
      <c r="E9927" t="inlineStr">
        <is>
          <t>HUDIKSVALL</t>
        </is>
      </c>
      <c r="G9927" t="n">
        <v>8.5</v>
      </c>
      <c r="H9927" t="n">
        <v>0</v>
      </c>
      <c r="I9927" t="n">
        <v>0</v>
      </c>
      <c r="J9927" t="n">
        <v>0</v>
      </c>
      <c r="K9927" t="n">
        <v>0</v>
      </c>
      <c r="L9927" t="n">
        <v>0</v>
      </c>
      <c r="M9927" t="n">
        <v>0</v>
      </c>
      <c r="N9927" t="n">
        <v>0</v>
      </c>
      <c r="O9927" t="n">
        <v>0</v>
      </c>
      <c r="P9927" t="n">
        <v>0</v>
      </c>
      <c r="Q9927" t="n">
        <v>0</v>
      </c>
      <c r="R9927" s="2" t="inlineStr"/>
    </row>
    <row r="9928" ht="15" customHeight="1">
      <c r="A9928" t="inlineStr">
        <is>
          <t>A 62903-2023</t>
        </is>
      </c>
      <c r="B9928" s="1" t="n">
        <v>45272</v>
      </c>
      <c r="C9928" s="1" t="n">
        <v>45344</v>
      </c>
      <c r="D9928" t="inlineStr">
        <is>
          <t>GÄVLEBORGS LÄN</t>
        </is>
      </c>
      <c r="E9928" t="inlineStr">
        <is>
          <t>SÖDERHAMN</t>
        </is>
      </c>
      <c r="G9928" t="n">
        <v>7.4</v>
      </c>
      <c r="H9928" t="n">
        <v>0</v>
      </c>
      <c r="I9928" t="n">
        <v>0</v>
      </c>
      <c r="J9928" t="n">
        <v>0</v>
      </c>
      <c r="K9928" t="n">
        <v>0</v>
      </c>
      <c r="L9928" t="n">
        <v>0</v>
      </c>
      <c r="M9928" t="n">
        <v>0</v>
      </c>
      <c r="N9928" t="n">
        <v>0</v>
      </c>
      <c r="O9928" t="n">
        <v>0</v>
      </c>
      <c r="P9928" t="n">
        <v>0</v>
      </c>
      <c r="Q9928" t="n">
        <v>0</v>
      </c>
      <c r="R9928" s="2" t="inlineStr"/>
    </row>
    <row r="9929" ht="15" customHeight="1">
      <c r="A9929" t="inlineStr">
        <is>
          <t>A 63145-2023</t>
        </is>
      </c>
      <c r="B9929" s="1" t="n">
        <v>45273</v>
      </c>
      <c r="C9929" s="1" t="n">
        <v>45344</v>
      </c>
      <c r="D9929" t="inlineStr">
        <is>
          <t>GÄVLEBORGS LÄN</t>
        </is>
      </c>
      <c r="E9929" t="inlineStr">
        <is>
          <t>NORDANSTIG</t>
        </is>
      </c>
      <c r="F9929" t="inlineStr">
        <is>
          <t>Holmen skog AB</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63166-2023</t>
        </is>
      </c>
      <c r="B9930" s="1" t="n">
        <v>45273</v>
      </c>
      <c r="C9930" s="1" t="n">
        <v>45344</v>
      </c>
      <c r="D9930" t="inlineStr">
        <is>
          <t>GÄVLEBORGS LÄN</t>
        </is>
      </c>
      <c r="E9930" t="inlineStr">
        <is>
          <t>LJUSDAL</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63088-2023</t>
        </is>
      </c>
      <c r="B9931" s="1" t="n">
        <v>45273</v>
      </c>
      <c r="C9931" s="1" t="n">
        <v>45344</v>
      </c>
      <c r="D9931" t="inlineStr">
        <is>
          <t>GÄVLEBORGS LÄN</t>
        </is>
      </c>
      <c r="E9931" t="inlineStr">
        <is>
          <t>HUDIKSVALL</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63220-2023</t>
        </is>
      </c>
      <c r="B9932" s="1" t="n">
        <v>45273</v>
      </c>
      <c r="C9932" s="1" t="n">
        <v>45344</v>
      </c>
      <c r="D9932" t="inlineStr">
        <is>
          <t>GÄVLEBORGS LÄN</t>
        </is>
      </c>
      <c r="E9932" t="inlineStr">
        <is>
          <t>BOLLNÄS</t>
        </is>
      </c>
      <c r="G9932" t="n">
        <v>1.7</v>
      </c>
      <c r="H9932" t="n">
        <v>0</v>
      </c>
      <c r="I9932" t="n">
        <v>0</v>
      </c>
      <c r="J9932" t="n">
        <v>0</v>
      </c>
      <c r="K9932" t="n">
        <v>0</v>
      </c>
      <c r="L9932" t="n">
        <v>0</v>
      </c>
      <c r="M9932" t="n">
        <v>0</v>
      </c>
      <c r="N9932" t="n">
        <v>0</v>
      </c>
      <c r="O9932" t="n">
        <v>0</v>
      </c>
      <c r="P9932" t="n">
        <v>0</v>
      </c>
      <c r="Q9932" t="n">
        <v>0</v>
      </c>
      <c r="R9932" s="2" t="inlineStr"/>
    </row>
    <row r="9933" ht="15" customHeight="1">
      <c r="A9933" t="inlineStr">
        <is>
          <t>A 63233-2023</t>
        </is>
      </c>
      <c r="B9933" s="1" t="n">
        <v>45273</v>
      </c>
      <c r="C9933" s="1" t="n">
        <v>45344</v>
      </c>
      <c r="D9933" t="inlineStr">
        <is>
          <t>GÄVLEBORGS LÄN</t>
        </is>
      </c>
      <c r="E9933" t="inlineStr">
        <is>
          <t>OCKELBO</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63253-2023</t>
        </is>
      </c>
      <c r="B9934" s="1" t="n">
        <v>45273</v>
      </c>
      <c r="C9934" s="1" t="n">
        <v>45344</v>
      </c>
      <c r="D9934" t="inlineStr">
        <is>
          <t>GÄVLEBORGS LÄN</t>
        </is>
      </c>
      <c r="E9934" t="inlineStr">
        <is>
          <t>LJUSDAL</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63134-2023</t>
        </is>
      </c>
      <c r="B9935" s="1" t="n">
        <v>45273</v>
      </c>
      <c r="C9935" s="1" t="n">
        <v>45344</v>
      </c>
      <c r="D9935" t="inlineStr">
        <is>
          <t>GÄVLEBORGS LÄN</t>
        </is>
      </c>
      <c r="E9935" t="inlineStr">
        <is>
          <t>HUDIKSVALL</t>
        </is>
      </c>
      <c r="F9935" t="inlineStr">
        <is>
          <t>Holmen skog AB</t>
        </is>
      </c>
      <c r="G9935" t="n">
        <v>5.3</v>
      </c>
      <c r="H9935" t="n">
        <v>0</v>
      </c>
      <c r="I9935" t="n">
        <v>0</v>
      </c>
      <c r="J9935" t="n">
        <v>0</v>
      </c>
      <c r="K9935" t="n">
        <v>0</v>
      </c>
      <c r="L9935" t="n">
        <v>0</v>
      </c>
      <c r="M9935" t="n">
        <v>0</v>
      </c>
      <c r="N9935" t="n">
        <v>0</v>
      </c>
      <c r="O9935" t="n">
        <v>0</v>
      </c>
      <c r="P9935" t="n">
        <v>0</v>
      </c>
      <c r="Q9935" t="n">
        <v>0</v>
      </c>
      <c r="R9935" s="2" t="inlineStr"/>
    </row>
    <row r="9936" ht="15" customHeight="1">
      <c r="A9936" t="inlineStr">
        <is>
          <t>A 63256-2023</t>
        </is>
      </c>
      <c r="B9936" s="1" t="n">
        <v>45273</v>
      </c>
      <c r="C9936" s="1" t="n">
        <v>45344</v>
      </c>
      <c r="D9936" t="inlineStr">
        <is>
          <t>GÄVLEBORGS LÄN</t>
        </is>
      </c>
      <c r="E9936" t="inlineStr">
        <is>
          <t>LJUSDAL</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63258-2023</t>
        </is>
      </c>
      <c r="B9937" s="1" t="n">
        <v>45273</v>
      </c>
      <c r="C9937" s="1" t="n">
        <v>45344</v>
      </c>
      <c r="D9937" t="inlineStr">
        <is>
          <t>GÄVLEBORGS LÄN</t>
        </is>
      </c>
      <c r="E9937" t="inlineStr">
        <is>
          <t>LJUSDAL</t>
        </is>
      </c>
      <c r="G9937" t="n">
        <v>5.3</v>
      </c>
      <c r="H9937" t="n">
        <v>0</v>
      </c>
      <c r="I9937" t="n">
        <v>0</v>
      </c>
      <c r="J9937" t="n">
        <v>0</v>
      </c>
      <c r="K9937" t="n">
        <v>0</v>
      </c>
      <c r="L9937" t="n">
        <v>0</v>
      </c>
      <c r="M9937" t="n">
        <v>0</v>
      </c>
      <c r="N9937" t="n">
        <v>0</v>
      </c>
      <c r="O9937" t="n">
        <v>0</v>
      </c>
      <c r="P9937" t="n">
        <v>0</v>
      </c>
      <c r="Q9937" t="n">
        <v>0</v>
      </c>
      <c r="R9937" s="2" t="inlineStr"/>
    </row>
    <row r="9938" ht="15" customHeight="1">
      <c r="A9938" t="inlineStr">
        <is>
          <t>A 63309-2023</t>
        </is>
      </c>
      <c r="B9938" s="1" t="n">
        <v>45274</v>
      </c>
      <c r="C9938" s="1" t="n">
        <v>45344</v>
      </c>
      <c r="D9938" t="inlineStr">
        <is>
          <t>GÄVLEBORGS LÄN</t>
        </is>
      </c>
      <c r="E9938" t="inlineStr">
        <is>
          <t>SANDVIKEN</t>
        </is>
      </c>
      <c r="G9938" t="n">
        <v>3.4</v>
      </c>
      <c r="H9938" t="n">
        <v>0</v>
      </c>
      <c r="I9938" t="n">
        <v>0</v>
      </c>
      <c r="J9938" t="n">
        <v>0</v>
      </c>
      <c r="K9938" t="n">
        <v>0</v>
      </c>
      <c r="L9938" t="n">
        <v>0</v>
      </c>
      <c r="M9938" t="n">
        <v>0</v>
      </c>
      <c r="N9938" t="n">
        <v>0</v>
      </c>
      <c r="O9938" t="n">
        <v>0</v>
      </c>
      <c r="P9938" t="n">
        <v>0</v>
      </c>
      <c r="Q9938" t="n">
        <v>0</v>
      </c>
      <c r="R9938" s="2" t="inlineStr"/>
    </row>
    <row r="9939" ht="15" customHeight="1">
      <c r="A9939" t="inlineStr">
        <is>
          <t>A 63324-2023</t>
        </is>
      </c>
      <c r="B9939" s="1" t="n">
        <v>45274</v>
      </c>
      <c r="C9939" s="1" t="n">
        <v>45344</v>
      </c>
      <c r="D9939" t="inlineStr">
        <is>
          <t>GÄVLEBORGS LÄN</t>
        </is>
      </c>
      <c r="E9939" t="inlineStr">
        <is>
          <t>LJUSDAL</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63373-2023</t>
        </is>
      </c>
      <c r="B9940" s="1" t="n">
        <v>45274</v>
      </c>
      <c r="C9940" s="1" t="n">
        <v>45344</v>
      </c>
      <c r="D9940" t="inlineStr">
        <is>
          <t>GÄVLEBORGS LÄN</t>
        </is>
      </c>
      <c r="E9940" t="inlineStr">
        <is>
          <t>OCKELBO</t>
        </is>
      </c>
      <c r="F9940" t="inlineStr">
        <is>
          <t>Bergvik skog väst AB</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63428-2023</t>
        </is>
      </c>
      <c r="B9941" s="1" t="n">
        <v>45274</v>
      </c>
      <c r="C9941" s="1" t="n">
        <v>45344</v>
      </c>
      <c r="D9941" t="inlineStr">
        <is>
          <t>GÄVLEBORGS LÄN</t>
        </is>
      </c>
      <c r="E9941" t="inlineStr">
        <is>
          <t>HUDIKSVALL</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63388-2023</t>
        </is>
      </c>
      <c r="B9942" s="1" t="n">
        <v>45274</v>
      </c>
      <c r="C9942" s="1" t="n">
        <v>45344</v>
      </c>
      <c r="D9942" t="inlineStr">
        <is>
          <t>GÄVLEBORGS LÄN</t>
        </is>
      </c>
      <c r="E9942" t="inlineStr">
        <is>
          <t>OCKELBO</t>
        </is>
      </c>
      <c r="F9942" t="inlineStr">
        <is>
          <t>Bergvik skog väst AB</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63386-2023</t>
        </is>
      </c>
      <c r="B9943" s="1" t="n">
        <v>45274</v>
      </c>
      <c r="C9943" s="1" t="n">
        <v>45344</v>
      </c>
      <c r="D9943" t="inlineStr">
        <is>
          <t>GÄVLEBORGS LÄN</t>
        </is>
      </c>
      <c r="E9943" t="inlineStr">
        <is>
          <t>OCKELBO</t>
        </is>
      </c>
      <c r="F9943" t="inlineStr">
        <is>
          <t>Bergvik skog väst AB</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63414-2023</t>
        </is>
      </c>
      <c r="B9944" s="1" t="n">
        <v>45274</v>
      </c>
      <c r="C9944" s="1" t="n">
        <v>45344</v>
      </c>
      <c r="D9944" t="inlineStr">
        <is>
          <t>GÄVLEBORGS LÄN</t>
        </is>
      </c>
      <c r="E9944" t="inlineStr">
        <is>
          <t>HUDIKSVALL</t>
        </is>
      </c>
      <c r="G9944" t="n">
        <v>9.1</v>
      </c>
      <c r="H9944" t="n">
        <v>0</v>
      </c>
      <c r="I9944" t="n">
        <v>0</v>
      </c>
      <c r="J9944" t="n">
        <v>0</v>
      </c>
      <c r="K9944" t="n">
        <v>0</v>
      </c>
      <c r="L9944" t="n">
        <v>0</v>
      </c>
      <c r="M9944" t="n">
        <v>0</v>
      </c>
      <c r="N9944" t="n">
        <v>0</v>
      </c>
      <c r="O9944" t="n">
        <v>0</v>
      </c>
      <c r="P9944" t="n">
        <v>0</v>
      </c>
      <c r="Q9944" t="n">
        <v>0</v>
      </c>
      <c r="R9944" s="2" t="inlineStr"/>
    </row>
    <row r="9945" ht="15" customHeight="1">
      <c r="A9945" t="inlineStr">
        <is>
          <t>A 63438-2023</t>
        </is>
      </c>
      <c r="B9945" s="1" t="n">
        <v>45274</v>
      </c>
      <c r="C9945" s="1" t="n">
        <v>45344</v>
      </c>
      <c r="D9945" t="inlineStr">
        <is>
          <t>GÄVLEBORGS LÄN</t>
        </is>
      </c>
      <c r="E9945" t="inlineStr">
        <is>
          <t>LJUSDAL</t>
        </is>
      </c>
      <c r="G9945" t="n">
        <v>8.9</v>
      </c>
      <c r="H9945" t="n">
        <v>0</v>
      </c>
      <c r="I9945" t="n">
        <v>0</v>
      </c>
      <c r="J9945" t="n">
        <v>0</v>
      </c>
      <c r="K9945" t="n">
        <v>0</v>
      </c>
      <c r="L9945" t="n">
        <v>0</v>
      </c>
      <c r="M9945" t="n">
        <v>0</v>
      </c>
      <c r="N9945" t="n">
        <v>0</v>
      </c>
      <c r="O9945" t="n">
        <v>0</v>
      </c>
      <c r="P9945" t="n">
        <v>0</v>
      </c>
      <c r="Q9945" t="n">
        <v>0</v>
      </c>
      <c r="R9945" s="2" t="inlineStr"/>
    </row>
    <row r="9946" ht="15" customHeight="1">
      <c r="A9946" t="inlineStr">
        <is>
          <t>A 63511-2023</t>
        </is>
      </c>
      <c r="B9946" s="1" t="n">
        <v>45274</v>
      </c>
      <c r="C9946" s="1" t="n">
        <v>45344</v>
      </c>
      <c r="D9946" t="inlineStr">
        <is>
          <t>GÄVLEBORGS LÄN</t>
        </is>
      </c>
      <c r="E9946" t="inlineStr">
        <is>
          <t>LJUSDAL</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63703-2023</t>
        </is>
      </c>
      <c r="B9947" s="1" t="n">
        <v>45275</v>
      </c>
      <c r="C9947" s="1" t="n">
        <v>45344</v>
      </c>
      <c r="D9947" t="inlineStr">
        <is>
          <t>GÄVLEBORGS LÄN</t>
        </is>
      </c>
      <c r="E9947" t="inlineStr">
        <is>
          <t>OVANÅKER</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63643-2023</t>
        </is>
      </c>
      <c r="B9948" s="1" t="n">
        <v>45275</v>
      </c>
      <c r="C9948" s="1" t="n">
        <v>45344</v>
      </c>
      <c r="D9948" t="inlineStr">
        <is>
          <t>GÄVLEBORGS LÄN</t>
        </is>
      </c>
      <c r="E9948" t="inlineStr">
        <is>
          <t>HUDIKSVALL</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63627-2023</t>
        </is>
      </c>
      <c r="B9949" s="1" t="n">
        <v>45275</v>
      </c>
      <c r="C9949" s="1" t="n">
        <v>45344</v>
      </c>
      <c r="D9949" t="inlineStr">
        <is>
          <t>GÄVLEBORGS LÄN</t>
        </is>
      </c>
      <c r="E9949" t="inlineStr">
        <is>
          <t>HUDIKSVALL</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63623-2023</t>
        </is>
      </c>
      <c r="B9950" s="1" t="n">
        <v>45275</v>
      </c>
      <c r="C9950" s="1" t="n">
        <v>45344</v>
      </c>
      <c r="D9950" t="inlineStr">
        <is>
          <t>GÄVLEBORGS LÄN</t>
        </is>
      </c>
      <c r="E9950" t="inlineStr">
        <is>
          <t>HUDIKSVALL</t>
        </is>
      </c>
      <c r="G9950" t="n">
        <v>4.2</v>
      </c>
      <c r="H9950" t="n">
        <v>0</v>
      </c>
      <c r="I9950" t="n">
        <v>0</v>
      </c>
      <c r="J9950" t="n">
        <v>0</v>
      </c>
      <c r="K9950" t="n">
        <v>0</v>
      </c>
      <c r="L9950" t="n">
        <v>0</v>
      </c>
      <c r="M9950" t="n">
        <v>0</v>
      </c>
      <c r="N9950" t="n">
        <v>0</v>
      </c>
      <c r="O9950" t="n">
        <v>0</v>
      </c>
      <c r="P9950" t="n">
        <v>0</v>
      </c>
      <c r="Q9950" t="n">
        <v>0</v>
      </c>
      <c r="R9950" s="2" t="inlineStr"/>
    </row>
    <row r="9951" ht="15" customHeight="1">
      <c r="A9951" t="inlineStr">
        <is>
          <t>A 63619-2023</t>
        </is>
      </c>
      <c r="B9951" s="1" t="n">
        <v>45275</v>
      </c>
      <c r="C9951" s="1" t="n">
        <v>45344</v>
      </c>
      <c r="D9951" t="inlineStr">
        <is>
          <t>GÄVLEBORGS LÄN</t>
        </is>
      </c>
      <c r="E9951" t="inlineStr">
        <is>
          <t>HUDIKSVALL</t>
        </is>
      </c>
      <c r="G9951" t="n">
        <v>6.4</v>
      </c>
      <c r="H9951" t="n">
        <v>0</v>
      </c>
      <c r="I9951" t="n">
        <v>0</v>
      </c>
      <c r="J9951" t="n">
        <v>0</v>
      </c>
      <c r="K9951" t="n">
        <v>0</v>
      </c>
      <c r="L9951" t="n">
        <v>0</v>
      </c>
      <c r="M9951" t="n">
        <v>0</v>
      </c>
      <c r="N9951" t="n">
        <v>0</v>
      </c>
      <c r="O9951" t="n">
        <v>0</v>
      </c>
      <c r="P9951" t="n">
        <v>0</v>
      </c>
      <c r="Q9951" t="n">
        <v>0</v>
      </c>
      <c r="R9951" s="2" t="inlineStr"/>
    </row>
    <row r="9952" ht="15" customHeight="1">
      <c r="A9952" t="inlineStr">
        <is>
          <t>A 63615-2023</t>
        </is>
      </c>
      <c r="B9952" s="1" t="n">
        <v>45275</v>
      </c>
      <c r="C9952" s="1" t="n">
        <v>45344</v>
      </c>
      <c r="D9952" t="inlineStr">
        <is>
          <t>GÄVLEBORGS LÄN</t>
        </is>
      </c>
      <c r="E9952" t="inlineStr">
        <is>
          <t>HUDIKSVALL</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63550-2023</t>
        </is>
      </c>
      <c r="B9953" s="1" t="n">
        <v>45275</v>
      </c>
      <c r="C9953" s="1" t="n">
        <v>45344</v>
      </c>
      <c r="D9953" t="inlineStr">
        <is>
          <t>GÄVLEBORGS LÄN</t>
        </is>
      </c>
      <c r="E9953" t="inlineStr">
        <is>
          <t>LJUSDAL</t>
        </is>
      </c>
      <c r="G9953" t="n">
        <v>8.800000000000001</v>
      </c>
      <c r="H9953" t="n">
        <v>0</v>
      </c>
      <c r="I9953" t="n">
        <v>0</v>
      </c>
      <c r="J9953" t="n">
        <v>0</v>
      </c>
      <c r="K9953" t="n">
        <v>0</v>
      </c>
      <c r="L9953" t="n">
        <v>0</v>
      </c>
      <c r="M9953" t="n">
        <v>0</v>
      </c>
      <c r="N9953" t="n">
        <v>0</v>
      </c>
      <c r="O9953" t="n">
        <v>0</v>
      </c>
      <c r="P9953" t="n">
        <v>0</v>
      </c>
      <c r="Q9953" t="n">
        <v>0</v>
      </c>
      <c r="R9953" s="2" t="inlineStr"/>
    </row>
    <row r="9954" ht="15" customHeight="1">
      <c r="A9954" t="inlineStr">
        <is>
          <t>A 63693-2023</t>
        </is>
      </c>
      <c r="B9954" s="1" t="n">
        <v>45275</v>
      </c>
      <c r="C9954" s="1" t="n">
        <v>45344</v>
      </c>
      <c r="D9954" t="inlineStr">
        <is>
          <t>GÄVLEBORGS LÄN</t>
        </is>
      </c>
      <c r="E9954" t="inlineStr">
        <is>
          <t>NORDANSTIG</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63629-2023</t>
        </is>
      </c>
      <c r="B9955" s="1" t="n">
        <v>45275</v>
      </c>
      <c r="C9955" s="1" t="n">
        <v>45344</v>
      </c>
      <c r="D9955" t="inlineStr">
        <is>
          <t>GÄVLEBORGS LÄN</t>
        </is>
      </c>
      <c r="E9955" t="inlineStr">
        <is>
          <t>BOLLNÄS</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63632-2023</t>
        </is>
      </c>
      <c r="B9956" s="1" t="n">
        <v>45275</v>
      </c>
      <c r="C9956" s="1" t="n">
        <v>45344</v>
      </c>
      <c r="D9956" t="inlineStr">
        <is>
          <t>GÄVLEBORGS LÄN</t>
        </is>
      </c>
      <c r="E9956" t="inlineStr">
        <is>
          <t>SÖDERHAMN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63774-2023</t>
        </is>
      </c>
      <c r="B9957" s="1" t="n">
        <v>45278</v>
      </c>
      <c r="C9957" s="1" t="n">
        <v>45344</v>
      </c>
      <c r="D9957" t="inlineStr">
        <is>
          <t>GÄVLEBORGS LÄN</t>
        </is>
      </c>
      <c r="E9957" t="inlineStr">
        <is>
          <t>SÖDERHAMN</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63796-2023</t>
        </is>
      </c>
      <c r="B9958" s="1" t="n">
        <v>45278</v>
      </c>
      <c r="C9958" s="1" t="n">
        <v>45344</v>
      </c>
      <c r="D9958" t="inlineStr">
        <is>
          <t>GÄVLEBORGS LÄN</t>
        </is>
      </c>
      <c r="E9958" t="inlineStr">
        <is>
          <t>SÖDERHAMN</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63813-2023</t>
        </is>
      </c>
      <c r="B9959" s="1" t="n">
        <v>45278</v>
      </c>
      <c r="C9959" s="1" t="n">
        <v>45344</v>
      </c>
      <c r="D9959" t="inlineStr">
        <is>
          <t>GÄVLEBORGS LÄN</t>
        </is>
      </c>
      <c r="E9959" t="inlineStr">
        <is>
          <t>SÖDERHAMN</t>
        </is>
      </c>
      <c r="G9959" t="n">
        <v>1.4</v>
      </c>
      <c r="H9959" t="n">
        <v>0</v>
      </c>
      <c r="I9959" t="n">
        <v>0</v>
      </c>
      <c r="J9959" t="n">
        <v>0</v>
      </c>
      <c r="K9959" t="n">
        <v>0</v>
      </c>
      <c r="L9959" t="n">
        <v>0</v>
      </c>
      <c r="M9959" t="n">
        <v>0</v>
      </c>
      <c r="N9959" t="n">
        <v>0</v>
      </c>
      <c r="O9959" t="n">
        <v>0</v>
      </c>
      <c r="P9959" t="n">
        <v>0</v>
      </c>
      <c r="Q9959" t="n">
        <v>0</v>
      </c>
      <c r="R9959" s="2" t="inlineStr"/>
    </row>
    <row r="9960" ht="15" customHeight="1">
      <c r="A9960" t="inlineStr">
        <is>
          <t>A 63798-2023</t>
        </is>
      </c>
      <c r="B9960" s="1" t="n">
        <v>45278</v>
      </c>
      <c r="C9960" s="1" t="n">
        <v>45344</v>
      </c>
      <c r="D9960" t="inlineStr">
        <is>
          <t>GÄVLEBORGS LÄN</t>
        </is>
      </c>
      <c r="E9960" t="inlineStr">
        <is>
          <t>SÖDERHAMN</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63845-2023</t>
        </is>
      </c>
      <c r="B9961" s="1" t="n">
        <v>45278</v>
      </c>
      <c r="C9961" s="1" t="n">
        <v>45344</v>
      </c>
      <c r="D9961" t="inlineStr">
        <is>
          <t>GÄVLEBORGS LÄN</t>
        </is>
      </c>
      <c r="E9961" t="inlineStr">
        <is>
          <t>GÄVLE</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63853-2023</t>
        </is>
      </c>
      <c r="B9962" s="1" t="n">
        <v>45278</v>
      </c>
      <c r="C9962" s="1" t="n">
        <v>45344</v>
      </c>
      <c r="D9962" t="inlineStr">
        <is>
          <t>GÄVLEBORGS LÄN</t>
        </is>
      </c>
      <c r="E9962" t="inlineStr">
        <is>
          <t>BOLLNÄS</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63857-2023</t>
        </is>
      </c>
      <c r="B9963" s="1" t="n">
        <v>45278</v>
      </c>
      <c r="C9963" s="1" t="n">
        <v>45344</v>
      </c>
      <c r="D9963" t="inlineStr">
        <is>
          <t>GÄVLEBORGS LÄN</t>
        </is>
      </c>
      <c r="E9963" t="inlineStr">
        <is>
          <t>HUDIKSVALL</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63865-2023</t>
        </is>
      </c>
      <c r="B9964" s="1" t="n">
        <v>45278</v>
      </c>
      <c r="C9964" s="1" t="n">
        <v>45344</v>
      </c>
      <c r="D9964" t="inlineStr">
        <is>
          <t>GÄVLEBORGS LÄN</t>
        </is>
      </c>
      <c r="E9964" t="inlineStr">
        <is>
          <t>BOLLNÄS</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63782-2023</t>
        </is>
      </c>
      <c r="B9965" s="1" t="n">
        <v>45278</v>
      </c>
      <c r="C9965" s="1" t="n">
        <v>45344</v>
      </c>
      <c r="D9965" t="inlineStr">
        <is>
          <t>GÄVLEBORGS LÄN</t>
        </is>
      </c>
      <c r="E9965" t="inlineStr">
        <is>
          <t>SÖDERHAMN</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63786-2023</t>
        </is>
      </c>
      <c r="B9966" s="1" t="n">
        <v>45278</v>
      </c>
      <c r="C9966" s="1" t="n">
        <v>45344</v>
      </c>
      <c r="D9966" t="inlineStr">
        <is>
          <t>GÄVLEBORGS LÄN</t>
        </is>
      </c>
      <c r="E9966" t="inlineStr">
        <is>
          <t>SÖDERHAMN</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63868-2023</t>
        </is>
      </c>
      <c r="B9967" s="1" t="n">
        <v>45278</v>
      </c>
      <c r="C9967" s="1" t="n">
        <v>45344</v>
      </c>
      <c r="D9967" t="inlineStr">
        <is>
          <t>GÄVLEBORGS LÄN</t>
        </is>
      </c>
      <c r="E9967" t="inlineStr">
        <is>
          <t>BOLLNÄS</t>
        </is>
      </c>
      <c r="G9967" t="n">
        <v>0.3</v>
      </c>
      <c r="H9967" t="n">
        <v>0</v>
      </c>
      <c r="I9967" t="n">
        <v>0</v>
      </c>
      <c r="J9967" t="n">
        <v>0</v>
      </c>
      <c r="K9967" t="n">
        <v>0</v>
      </c>
      <c r="L9967" t="n">
        <v>0</v>
      </c>
      <c r="M9967" t="n">
        <v>0</v>
      </c>
      <c r="N9967" t="n">
        <v>0</v>
      </c>
      <c r="O9967" t="n">
        <v>0</v>
      </c>
      <c r="P9967" t="n">
        <v>0</v>
      </c>
      <c r="Q9967" t="n">
        <v>0</v>
      </c>
      <c r="R9967" s="2" t="inlineStr"/>
    </row>
    <row r="9968" ht="15" customHeight="1">
      <c r="A9968" t="inlineStr">
        <is>
          <t>A 63880-2023</t>
        </is>
      </c>
      <c r="B9968" s="1" t="n">
        <v>45278</v>
      </c>
      <c r="C9968" s="1" t="n">
        <v>45344</v>
      </c>
      <c r="D9968" t="inlineStr">
        <is>
          <t>GÄVLEBORGS LÄN</t>
        </is>
      </c>
      <c r="E9968" t="inlineStr">
        <is>
          <t>LJUSDAL</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63932-2023</t>
        </is>
      </c>
      <c r="B9969" s="1" t="n">
        <v>45278</v>
      </c>
      <c r="C9969" s="1" t="n">
        <v>45344</v>
      </c>
      <c r="D9969" t="inlineStr">
        <is>
          <t>GÄVLEBORGS LÄN</t>
        </is>
      </c>
      <c r="E9969" t="inlineStr">
        <is>
          <t>SÖDERHAMN</t>
        </is>
      </c>
      <c r="G9969" t="n">
        <v>0.4</v>
      </c>
      <c r="H9969" t="n">
        <v>0</v>
      </c>
      <c r="I9969" t="n">
        <v>0</v>
      </c>
      <c r="J9969" t="n">
        <v>0</v>
      </c>
      <c r="K9969" t="n">
        <v>0</v>
      </c>
      <c r="L9969" t="n">
        <v>0</v>
      </c>
      <c r="M9969" t="n">
        <v>0</v>
      </c>
      <c r="N9969" t="n">
        <v>0</v>
      </c>
      <c r="O9969" t="n">
        <v>0</v>
      </c>
      <c r="P9969" t="n">
        <v>0</v>
      </c>
      <c r="Q9969" t="n">
        <v>0</v>
      </c>
      <c r="R9969" s="2" t="inlineStr"/>
    </row>
    <row r="9970" ht="15" customHeight="1">
      <c r="A9970" t="inlineStr">
        <is>
          <t>A 63952-2023</t>
        </is>
      </c>
      <c r="B9970" s="1" t="n">
        <v>45278</v>
      </c>
      <c r="C9970" s="1" t="n">
        <v>45344</v>
      </c>
      <c r="D9970" t="inlineStr">
        <is>
          <t>GÄVLEBORGS LÄN</t>
        </is>
      </c>
      <c r="E9970" t="inlineStr">
        <is>
          <t>HUDIKSVALL</t>
        </is>
      </c>
      <c r="F9970" t="inlineStr">
        <is>
          <t>Holmen skog AB</t>
        </is>
      </c>
      <c r="G9970" t="n">
        <v>7.2</v>
      </c>
      <c r="H9970" t="n">
        <v>0</v>
      </c>
      <c r="I9970" t="n">
        <v>0</v>
      </c>
      <c r="J9970" t="n">
        <v>0</v>
      </c>
      <c r="K9970" t="n">
        <v>0</v>
      </c>
      <c r="L9970" t="n">
        <v>0</v>
      </c>
      <c r="M9970" t="n">
        <v>0</v>
      </c>
      <c r="N9970" t="n">
        <v>0</v>
      </c>
      <c r="O9970" t="n">
        <v>0</v>
      </c>
      <c r="P9970" t="n">
        <v>0</v>
      </c>
      <c r="Q9970" t="n">
        <v>0</v>
      </c>
      <c r="R9970" s="2" t="inlineStr"/>
    </row>
    <row r="9971" ht="15" customHeight="1">
      <c r="A9971" t="inlineStr">
        <is>
          <t>A 63923-2023</t>
        </is>
      </c>
      <c r="B9971" s="1" t="n">
        <v>45278</v>
      </c>
      <c r="C9971" s="1" t="n">
        <v>45344</v>
      </c>
      <c r="D9971" t="inlineStr">
        <is>
          <t>GÄVLEBORGS LÄN</t>
        </is>
      </c>
      <c r="E9971" t="inlineStr">
        <is>
          <t>SÖDERHAMN</t>
        </is>
      </c>
      <c r="G9971" t="n">
        <v>1.1</v>
      </c>
      <c r="H9971" t="n">
        <v>0</v>
      </c>
      <c r="I9971" t="n">
        <v>0</v>
      </c>
      <c r="J9971" t="n">
        <v>0</v>
      </c>
      <c r="K9971" t="n">
        <v>0</v>
      </c>
      <c r="L9971" t="n">
        <v>0</v>
      </c>
      <c r="M9971" t="n">
        <v>0</v>
      </c>
      <c r="N9971" t="n">
        <v>0</v>
      </c>
      <c r="O9971" t="n">
        <v>0</v>
      </c>
      <c r="P9971" t="n">
        <v>0</v>
      </c>
      <c r="Q9971" t="n">
        <v>0</v>
      </c>
      <c r="R9971" s="2" t="inlineStr"/>
    </row>
    <row r="9972" ht="15" customHeight="1">
      <c r="A9972" t="inlineStr">
        <is>
          <t>A 63971-2023</t>
        </is>
      </c>
      <c r="B9972" s="1" t="n">
        <v>45278</v>
      </c>
      <c r="C9972" s="1" t="n">
        <v>45344</v>
      </c>
      <c r="D9972" t="inlineStr">
        <is>
          <t>GÄVLEBORGS LÄN</t>
        </is>
      </c>
      <c r="E9972" t="inlineStr">
        <is>
          <t>SÖDERHAMN</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63797-2023</t>
        </is>
      </c>
      <c r="B9973" s="1" t="n">
        <v>45278</v>
      </c>
      <c r="C9973" s="1" t="n">
        <v>45344</v>
      </c>
      <c r="D9973" t="inlineStr">
        <is>
          <t>GÄVLEBORGS LÄN</t>
        </is>
      </c>
      <c r="E9973" t="inlineStr">
        <is>
          <t>HUDIKSVALL</t>
        </is>
      </c>
      <c r="F9973" t="inlineStr">
        <is>
          <t>Holmen skog AB</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63862-2023</t>
        </is>
      </c>
      <c r="B9974" s="1" t="n">
        <v>45278</v>
      </c>
      <c r="C9974" s="1" t="n">
        <v>45344</v>
      </c>
      <c r="D9974" t="inlineStr">
        <is>
          <t>GÄVLEBORGS LÄN</t>
        </is>
      </c>
      <c r="E9974" t="inlineStr">
        <is>
          <t>BOLLNÄS</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63870-2023</t>
        </is>
      </c>
      <c r="B9975" s="1" t="n">
        <v>45278</v>
      </c>
      <c r="C9975" s="1" t="n">
        <v>45344</v>
      </c>
      <c r="D9975" t="inlineStr">
        <is>
          <t>GÄVLEBORGS LÄN</t>
        </is>
      </c>
      <c r="E9975" t="inlineStr">
        <is>
          <t>GÄVLE</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63998-2023</t>
        </is>
      </c>
      <c r="B9976" s="1" t="n">
        <v>45278</v>
      </c>
      <c r="C9976" s="1" t="n">
        <v>45344</v>
      </c>
      <c r="D9976" t="inlineStr">
        <is>
          <t>GÄVLEBORGS LÄN</t>
        </is>
      </c>
      <c r="E9976" t="inlineStr">
        <is>
          <t>SANDVIKEN</t>
        </is>
      </c>
      <c r="G9976" t="n">
        <v>7</v>
      </c>
      <c r="H9976" t="n">
        <v>0</v>
      </c>
      <c r="I9976" t="n">
        <v>0</v>
      </c>
      <c r="J9976" t="n">
        <v>0</v>
      </c>
      <c r="K9976" t="n">
        <v>0</v>
      </c>
      <c r="L9976" t="n">
        <v>0</v>
      </c>
      <c r="M9976" t="n">
        <v>0</v>
      </c>
      <c r="N9976" t="n">
        <v>0</v>
      </c>
      <c r="O9976" t="n">
        <v>0</v>
      </c>
      <c r="P9976" t="n">
        <v>0</v>
      </c>
      <c r="Q9976" t="n">
        <v>0</v>
      </c>
      <c r="R9976" s="2" t="inlineStr"/>
    </row>
    <row r="9977" ht="15" customHeight="1">
      <c r="A9977" t="inlineStr">
        <is>
          <t>A 64010-2023</t>
        </is>
      </c>
      <c r="B9977" s="1" t="n">
        <v>45278</v>
      </c>
      <c r="C9977" s="1" t="n">
        <v>45344</v>
      </c>
      <c r="D9977" t="inlineStr">
        <is>
          <t>GÄVLEBORGS LÄN</t>
        </is>
      </c>
      <c r="E9977" t="inlineStr">
        <is>
          <t>HUDIKSVALL</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64018-2023</t>
        </is>
      </c>
      <c r="B9978" s="1" t="n">
        <v>45278</v>
      </c>
      <c r="C9978" s="1" t="n">
        <v>45344</v>
      </c>
      <c r="D9978" t="inlineStr">
        <is>
          <t>GÄVLEBORGS LÄN</t>
        </is>
      </c>
      <c r="E9978" t="inlineStr">
        <is>
          <t>LJUSDAL</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64015-2023</t>
        </is>
      </c>
      <c r="B9979" s="1" t="n">
        <v>45278</v>
      </c>
      <c r="C9979" s="1" t="n">
        <v>45344</v>
      </c>
      <c r="D9979" t="inlineStr">
        <is>
          <t>GÄVLEBORGS LÄN</t>
        </is>
      </c>
      <c r="E9979" t="inlineStr">
        <is>
          <t>HUDIKSVALL</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64019-2023</t>
        </is>
      </c>
      <c r="B9980" s="1" t="n">
        <v>45278</v>
      </c>
      <c r="C9980" s="1" t="n">
        <v>45344</v>
      </c>
      <c r="D9980" t="inlineStr">
        <is>
          <t>GÄVLEBORGS LÄN</t>
        </is>
      </c>
      <c r="E9980" t="inlineStr">
        <is>
          <t>LJUSDAL</t>
        </is>
      </c>
      <c r="G9980" t="n">
        <v>1.6</v>
      </c>
      <c r="H9980" t="n">
        <v>0</v>
      </c>
      <c r="I9980" t="n">
        <v>0</v>
      </c>
      <c r="J9980" t="n">
        <v>0</v>
      </c>
      <c r="K9980" t="n">
        <v>0</v>
      </c>
      <c r="L9980" t="n">
        <v>0</v>
      </c>
      <c r="M9980" t="n">
        <v>0</v>
      </c>
      <c r="N9980" t="n">
        <v>0</v>
      </c>
      <c r="O9980" t="n">
        <v>0</v>
      </c>
      <c r="P9980" t="n">
        <v>0</v>
      </c>
      <c r="Q9980" t="n">
        <v>0</v>
      </c>
      <c r="R9980" s="2" t="inlineStr"/>
    </row>
    <row r="9981" ht="15" customHeight="1">
      <c r="A9981" t="inlineStr">
        <is>
          <t>A 64000-2023</t>
        </is>
      </c>
      <c r="B9981" s="1" t="n">
        <v>45278</v>
      </c>
      <c r="C9981" s="1" t="n">
        <v>45344</v>
      </c>
      <c r="D9981" t="inlineStr">
        <is>
          <t>GÄVLEBORGS LÄN</t>
        </is>
      </c>
      <c r="E9981" t="inlineStr">
        <is>
          <t>SANDVIKEN</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64095-2023</t>
        </is>
      </c>
      <c r="B9982" s="1" t="n">
        <v>45279</v>
      </c>
      <c r="C9982" s="1" t="n">
        <v>45344</v>
      </c>
      <c r="D9982" t="inlineStr">
        <is>
          <t>GÄVLEBORGS LÄN</t>
        </is>
      </c>
      <c r="E9982" t="inlineStr">
        <is>
          <t>GÄVLE</t>
        </is>
      </c>
      <c r="G9982" t="n">
        <v>2.8</v>
      </c>
      <c r="H9982" t="n">
        <v>0</v>
      </c>
      <c r="I9982" t="n">
        <v>0</v>
      </c>
      <c r="J9982" t="n">
        <v>0</v>
      </c>
      <c r="K9982" t="n">
        <v>0</v>
      </c>
      <c r="L9982" t="n">
        <v>0</v>
      </c>
      <c r="M9982" t="n">
        <v>0</v>
      </c>
      <c r="N9982" t="n">
        <v>0</v>
      </c>
      <c r="O9982" t="n">
        <v>0</v>
      </c>
      <c r="P9982" t="n">
        <v>0</v>
      </c>
      <c r="Q9982" t="n">
        <v>0</v>
      </c>
      <c r="R9982" s="2" t="inlineStr"/>
    </row>
    <row r="9983" ht="15" customHeight="1">
      <c r="A9983" t="inlineStr">
        <is>
          <t>A 64065-2023</t>
        </is>
      </c>
      <c r="B9983" s="1" t="n">
        <v>45279</v>
      </c>
      <c r="C9983" s="1" t="n">
        <v>45344</v>
      </c>
      <c r="D9983" t="inlineStr">
        <is>
          <t>GÄVLEBORGS LÄN</t>
        </is>
      </c>
      <c r="E9983" t="inlineStr">
        <is>
          <t>LJUSDAL</t>
        </is>
      </c>
      <c r="G9983" t="n">
        <v>4.8</v>
      </c>
      <c r="H9983" t="n">
        <v>0</v>
      </c>
      <c r="I9983" t="n">
        <v>0</v>
      </c>
      <c r="J9983" t="n">
        <v>0</v>
      </c>
      <c r="K9983" t="n">
        <v>0</v>
      </c>
      <c r="L9983" t="n">
        <v>0</v>
      </c>
      <c r="M9983" t="n">
        <v>0</v>
      </c>
      <c r="N9983" t="n">
        <v>0</v>
      </c>
      <c r="O9983" t="n">
        <v>0</v>
      </c>
      <c r="P9983" t="n">
        <v>0</v>
      </c>
      <c r="Q9983" t="n">
        <v>0</v>
      </c>
      <c r="R9983" s="2" t="inlineStr"/>
    </row>
    <row r="9984" ht="15" customHeight="1">
      <c r="A9984" t="inlineStr">
        <is>
          <t>A 64064-2023</t>
        </is>
      </c>
      <c r="B9984" s="1" t="n">
        <v>45279</v>
      </c>
      <c r="C9984" s="1" t="n">
        <v>45344</v>
      </c>
      <c r="D9984" t="inlineStr">
        <is>
          <t>GÄVLEBORGS LÄN</t>
        </is>
      </c>
      <c r="E9984" t="inlineStr">
        <is>
          <t>LJUSDAL</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64112-2023</t>
        </is>
      </c>
      <c r="B9985" s="1" t="n">
        <v>45279</v>
      </c>
      <c r="C9985" s="1" t="n">
        <v>45344</v>
      </c>
      <c r="D9985" t="inlineStr">
        <is>
          <t>GÄVLEBORGS LÄN</t>
        </is>
      </c>
      <c r="E9985" t="inlineStr">
        <is>
          <t>SANDVIKEN</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64116-2023</t>
        </is>
      </c>
      <c r="B9986" s="1" t="n">
        <v>45279</v>
      </c>
      <c r="C9986" s="1" t="n">
        <v>45344</v>
      </c>
      <c r="D9986" t="inlineStr">
        <is>
          <t>GÄVLEBORGS LÄN</t>
        </is>
      </c>
      <c r="E9986" t="inlineStr">
        <is>
          <t>SANDVIKEN</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64138-2023</t>
        </is>
      </c>
      <c r="B9987" s="1" t="n">
        <v>45279</v>
      </c>
      <c r="C9987" s="1" t="n">
        <v>45344</v>
      </c>
      <c r="D9987" t="inlineStr">
        <is>
          <t>GÄVLEBORGS LÄN</t>
        </is>
      </c>
      <c r="E9987" t="inlineStr">
        <is>
          <t>SÖDERHAMN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64337-2023</t>
        </is>
      </c>
      <c r="B9988" s="1" t="n">
        <v>45280</v>
      </c>
      <c r="C9988" s="1" t="n">
        <v>45344</v>
      </c>
      <c r="D9988" t="inlineStr">
        <is>
          <t>GÄVLEBORGS LÄN</t>
        </is>
      </c>
      <c r="E9988" t="inlineStr">
        <is>
          <t>OVANÅKER</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64367-2023</t>
        </is>
      </c>
      <c r="B9989" s="1" t="n">
        <v>45280</v>
      </c>
      <c r="C9989" s="1" t="n">
        <v>45344</v>
      </c>
      <c r="D9989" t="inlineStr">
        <is>
          <t>GÄVLEBORGS LÄN</t>
        </is>
      </c>
      <c r="E9989" t="inlineStr">
        <is>
          <t>OCKELBO</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64393-2023</t>
        </is>
      </c>
      <c r="B9990" s="1" t="n">
        <v>45280</v>
      </c>
      <c r="C9990" s="1" t="n">
        <v>45344</v>
      </c>
      <c r="D9990" t="inlineStr">
        <is>
          <t>GÄVLEBORGS LÄN</t>
        </is>
      </c>
      <c r="E9990" t="inlineStr">
        <is>
          <t>SANDVIKEN</t>
        </is>
      </c>
      <c r="G9990" t="n">
        <v>11.9</v>
      </c>
      <c r="H9990" t="n">
        <v>0</v>
      </c>
      <c r="I9990" t="n">
        <v>0</v>
      </c>
      <c r="J9990" t="n">
        <v>0</v>
      </c>
      <c r="K9990" t="n">
        <v>0</v>
      </c>
      <c r="L9990" t="n">
        <v>0</v>
      </c>
      <c r="M9990" t="n">
        <v>0</v>
      </c>
      <c r="N9990" t="n">
        <v>0</v>
      </c>
      <c r="O9990" t="n">
        <v>0</v>
      </c>
      <c r="P9990" t="n">
        <v>0</v>
      </c>
      <c r="Q9990" t="n">
        <v>0</v>
      </c>
      <c r="R9990" s="2" t="inlineStr"/>
    </row>
    <row r="9991" ht="15" customHeight="1">
      <c r="A9991" t="inlineStr">
        <is>
          <t>A 64359-2023</t>
        </is>
      </c>
      <c r="B9991" s="1" t="n">
        <v>45280</v>
      </c>
      <c r="C9991" s="1" t="n">
        <v>45344</v>
      </c>
      <c r="D9991" t="inlineStr">
        <is>
          <t>GÄVLEBORGS LÄN</t>
        </is>
      </c>
      <c r="E9991" t="inlineStr">
        <is>
          <t>HOFORS</t>
        </is>
      </c>
      <c r="G9991" t="n">
        <v>4.7</v>
      </c>
      <c r="H9991" t="n">
        <v>0</v>
      </c>
      <c r="I9991" t="n">
        <v>0</v>
      </c>
      <c r="J9991" t="n">
        <v>0</v>
      </c>
      <c r="K9991" t="n">
        <v>0</v>
      </c>
      <c r="L9991" t="n">
        <v>0</v>
      </c>
      <c r="M9991" t="n">
        <v>0</v>
      </c>
      <c r="N9991" t="n">
        <v>0</v>
      </c>
      <c r="O9991" t="n">
        <v>0</v>
      </c>
      <c r="P9991" t="n">
        <v>0</v>
      </c>
      <c r="Q9991" t="n">
        <v>0</v>
      </c>
      <c r="R9991" s="2" t="inlineStr"/>
    </row>
    <row r="9992" ht="15" customHeight="1">
      <c r="A9992" t="inlineStr">
        <is>
          <t>A 64364-2023</t>
        </is>
      </c>
      <c r="B9992" s="1" t="n">
        <v>45280</v>
      </c>
      <c r="C9992" s="1" t="n">
        <v>45344</v>
      </c>
      <c r="D9992" t="inlineStr">
        <is>
          <t>GÄVLEBORGS LÄN</t>
        </is>
      </c>
      <c r="E9992" t="inlineStr">
        <is>
          <t>OCKELBO</t>
        </is>
      </c>
      <c r="G9992" t="n">
        <v>1.8</v>
      </c>
      <c r="H9992" t="n">
        <v>0</v>
      </c>
      <c r="I9992" t="n">
        <v>0</v>
      </c>
      <c r="J9992" t="n">
        <v>0</v>
      </c>
      <c r="K9992" t="n">
        <v>0</v>
      </c>
      <c r="L9992" t="n">
        <v>0</v>
      </c>
      <c r="M9992" t="n">
        <v>0</v>
      </c>
      <c r="N9992" t="n">
        <v>0</v>
      </c>
      <c r="O9992" t="n">
        <v>0</v>
      </c>
      <c r="P9992" t="n">
        <v>0</v>
      </c>
      <c r="Q9992" t="n">
        <v>0</v>
      </c>
      <c r="R9992" s="2" t="inlineStr"/>
    </row>
    <row r="9993" ht="15" customHeight="1">
      <c r="A9993" t="inlineStr">
        <is>
          <t>A 64382-2023</t>
        </is>
      </c>
      <c r="B9993" s="1" t="n">
        <v>45280</v>
      </c>
      <c r="C9993" s="1" t="n">
        <v>45344</v>
      </c>
      <c r="D9993" t="inlineStr">
        <is>
          <t>GÄVLEBORGS LÄN</t>
        </is>
      </c>
      <c r="E9993" t="inlineStr">
        <is>
          <t>LJUSDAL</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64409-2023</t>
        </is>
      </c>
      <c r="B9994" s="1" t="n">
        <v>45280</v>
      </c>
      <c r="C9994" s="1" t="n">
        <v>45344</v>
      </c>
      <c r="D9994" t="inlineStr">
        <is>
          <t>GÄVLEBORGS LÄN</t>
        </is>
      </c>
      <c r="E9994" t="inlineStr">
        <is>
          <t>OVANÅKER</t>
        </is>
      </c>
      <c r="G9994" t="n">
        <v>7.3</v>
      </c>
      <c r="H9994" t="n">
        <v>0</v>
      </c>
      <c r="I9994" t="n">
        <v>0</v>
      </c>
      <c r="J9994" t="n">
        <v>0</v>
      </c>
      <c r="K9994" t="n">
        <v>0</v>
      </c>
      <c r="L9994" t="n">
        <v>0</v>
      </c>
      <c r="M9994" t="n">
        <v>0</v>
      </c>
      <c r="N9994" t="n">
        <v>0</v>
      </c>
      <c r="O9994" t="n">
        <v>0</v>
      </c>
      <c r="P9994" t="n">
        <v>0</v>
      </c>
      <c r="Q9994" t="n">
        <v>0</v>
      </c>
      <c r="R9994" s="2" t="inlineStr"/>
    </row>
    <row r="9995" ht="15" customHeight="1">
      <c r="A9995" t="inlineStr">
        <is>
          <t>A 64379-2023</t>
        </is>
      </c>
      <c r="B9995" s="1" t="n">
        <v>45280</v>
      </c>
      <c r="C9995" s="1" t="n">
        <v>45344</v>
      </c>
      <c r="D9995" t="inlineStr">
        <is>
          <t>GÄVLEBORGS LÄN</t>
        </is>
      </c>
      <c r="E9995" t="inlineStr">
        <is>
          <t>OVANÅKER</t>
        </is>
      </c>
      <c r="G9995" t="n">
        <v>6.4</v>
      </c>
      <c r="H9995" t="n">
        <v>0</v>
      </c>
      <c r="I9995" t="n">
        <v>0</v>
      </c>
      <c r="J9995" t="n">
        <v>0</v>
      </c>
      <c r="K9995" t="n">
        <v>0</v>
      </c>
      <c r="L9995" t="n">
        <v>0</v>
      </c>
      <c r="M9995" t="n">
        <v>0</v>
      </c>
      <c r="N9995" t="n">
        <v>0</v>
      </c>
      <c r="O9995" t="n">
        <v>0</v>
      </c>
      <c r="P9995" t="n">
        <v>0</v>
      </c>
      <c r="Q9995" t="n">
        <v>0</v>
      </c>
      <c r="R9995" s="2" t="inlineStr"/>
    </row>
    <row r="9996" ht="15" customHeight="1">
      <c r="A9996" t="inlineStr">
        <is>
          <t>A 64414-2023</t>
        </is>
      </c>
      <c r="B9996" s="1" t="n">
        <v>45280</v>
      </c>
      <c r="C9996" s="1" t="n">
        <v>45344</v>
      </c>
      <c r="D9996" t="inlineStr">
        <is>
          <t>GÄVLEBORGS LÄN</t>
        </is>
      </c>
      <c r="E9996" t="inlineStr">
        <is>
          <t>OVANÅKER</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64422-2023</t>
        </is>
      </c>
      <c r="B9997" s="1" t="n">
        <v>45280</v>
      </c>
      <c r="C9997" s="1" t="n">
        <v>45344</v>
      </c>
      <c r="D9997" t="inlineStr">
        <is>
          <t>GÄVLEBORGS LÄN</t>
        </is>
      </c>
      <c r="E9997" t="inlineStr">
        <is>
          <t>BOLLNÄS</t>
        </is>
      </c>
      <c r="G9997" t="n">
        <v>6.2</v>
      </c>
      <c r="H9997" t="n">
        <v>0</v>
      </c>
      <c r="I9997" t="n">
        <v>0</v>
      </c>
      <c r="J9997" t="n">
        <v>0</v>
      </c>
      <c r="K9997" t="n">
        <v>0</v>
      </c>
      <c r="L9997" t="n">
        <v>0</v>
      </c>
      <c r="M9997" t="n">
        <v>0</v>
      </c>
      <c r="N9997" t="n">
        <v>0</v>
      </c>
      <c r="O9997" t="n">
        <v>0</v>
      </c>
      <c r="P9997" t="n">
        <v>0</v>
      </c>
      <c r="Q9997" t="n">
        <v>0</v>
      </c>
      <c r="R9997" s="2" t="inlineStr"/>
    </row>
    <row r="9998" ht="15" customHeight="1">
      <c r="A9998" t="inlineStr">
        <is>
          <t>A 64430-2023</t>
        </is>
      </c>
      <c r="B9998" s="1" t="n">
        <v>45280</v>
      </c>
      <c r="C9998" s="1" t="n">
        <v>45344</v>
      </c>
      <c r="D9998" t="inlineStr">
        <is>
          <t>GÄVLEBORGS LÄN</t>
        </is>
      </c>
      <c r="E9998" t="inlineStr">
        <is>
          <t>OCKELBO</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64519-2023</t>
        </is>
      </c>
      <c r="B9999" s="1" t="n">
        <v>45281</v>
      </c>
      <c r="C9999" s="1" t="n">
        <v>45344</v>
      </c>
      <c r="D9999" t="inlineStr">
        <is>
          <t>GÄVLEBORGS LÄN</t>
        </is>
      </c>
      <c r="E9999" t="inlineStr">
        <is>
          <t>LJUSDAL</t>
        </is>
      </c>
      <c r="F9999" t="inlineStr">
        <is>
          <t>Holmen skog AB</t>
        </is>
      </c>
      <c r="G9999" t="n">
        <v>7.5</v>
      </c>
      <c r="H9999" t="n">
        <v>0</v>
      </c>
      <c r="I9999" t="n">
        <v>0</v>
      </c>
      <c r="J9999" t="n">
        <v>0</v>
      </c>
      <c r="K9999" t="n">
        <v>0</v>
      </c>
      <c r="L9999" t="n">
        <v>0</v>
      </c>
      <c r="M9999" t="n">
        <v>0</v>
      </c>
      <c r="N9999" t="n">
        <v>0</v>
      </c>
      <c r="O9999" t="n">
        <v>0</v>
      </c>
      <c r="P9999" t="n">
        <v>0</v>
      </c>
      <c r="Q9999" t="n">
        <v>0</v>
      </c>
      <c r="R9999" s="2" t="inlineStr"/>
    </row>
    <row r="10000" ht="15" customHeight="1">
      <c r="A10000" t="inlineStr">
        <is>
          <t>A 64535-2023</t>
        </is>
      </c>
      <c r="B10000" s="1" t="n">
        <v>45281</v>
      </c>
      <c r="C10000" s="1" t="n">
        <v>45344</v>
      </c>
      <c r="D10000" t="inlineStr">
        <is>
          <t>GÄVLEBORGS LÄN</t>
        </is>
      </c>
      <c r="E10000" t="inlineStr">
        <is>
          <t>OVANÅKER</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64588-2023</t>
        </is>
      </c>
      <c r="B10001" s="1" t="n">
        <v>45281</v>
      </c>
      <c r="C10001" s="1" t="n">
        <v>45344</v>
      </c>
      <c r="D10001" t="inlineStr">
        <is>
          <t>GÄVLEBORGS LÄN</t>
        </is>
      </c>
      <c r="E10001" t="inlineStr">
        <is>
          <t>SANDVIKEN</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64620-2023</t>
        </is>
      </c>
      <c r="B10002" s="1" t="n">
        <v>45281</v>
      </c>
      <c r="C10002" s="1" t="n">
        <v>45344</v>
      </c>
      <c r="D10002" t="inlineStr">
        <is>
          <t>GÄVLEBORGS LÄN</t>
        </is>
      </c>
      <c r="E10002" t="inlineStr">
        <is>
          <t>SANDVIKEN</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64589-2023</t>
        </is>
      </c>
      <c r="B10003" s="1" t="n">
        <v>45281</v>
      </c>
      <c r="C10003" s="1" t="n">
        <v>45344</v>
      </c>
      <c r="D10003" t="inlineStr">
        <is>
          <t>GÄVLEBORGS LÄN</t>
        </is>
      </c>
      <c r="E10003" t="inlineStr">
        <is>
          <t>SANDVIKEN</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64593-2023</t>
        </is>
      </c>
      <c r="B10004" s="1" t="n">
        <v>45281</v>
      </c>
      <c r="C10004" s="1" t="n">
        <v>45344</v>
      </c>
      <c r="D10004" t="inlineStr">
        <is>
          <t>GÄVLEBORGS LÄN</t>
        </is>
      </c>
      <c r="E10004" t="inlineStr">
        <is>
          <t>HUDIKSVALL</t>
        </is>
      </c>
      <c r="F10004" t="inlineStr">
        <is>
          <t>Holmen skog AB</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64609-2023</t>
        </is>
      </c>
      <c r="B10005" s="1" t="n">
        <v>45281</v>
      </c>
      <c r="C10005" s="1" t="n">
        <v>45344</v>
      </c>
      <c r="D10005" t="inlineStr">
        <is>
          <t>GÄVLEBORGS LÄN</t>
        </is>
      </c>
      <c r="E10005" t="inlineStr">
        <is>
          <t>OCKELBO</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64579-2023</t>
        </is>
      </c>
      <c r="B10006" s="1" t="n">
        <v>45281</v>
      </c>
      <c r="C10006" s="1" t="n">
        <v>45344</v>
      </c>
      <c r="D10006" t="inlineStr">
        <is>
          <t>GÄVLEBORGS LÄN</t>
        </is>
      </c>
      <c r="E10006" t="inlineStr">
        <is>
          <t>HUDIKSVALL</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64587-2023</t>
        </is>
      </c>
      <c r="B10007" s="1" t="n">
        <v>45281</v>
      </c>
      <c r="C10007" s="1" t="n">
        <v>45344</v>
      </c>
      <c r="D10007" t="inlineStr">
        <is>
          <t>GÄVLEBORGS LÄN</t>
        </is>
      </c>
      <c r="E10007" t="inlineStr">
        <is>
          <t>SANDVIKEN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64623-2023</t>
        </is>
      </c>
      <c r="B10008" s="1" t="n">
        <v>45281</v>
      </c>
      <c r="C10008" s="1" t="n">
        <v>45344</v>
      </c>
      <c r="D10008" t="inlineStr">
        <is>
          <t>GÄVLEBORGS LÄN</t>
        </is>
      </c>
      <c r="E10008" t="inlineStr">
        <is>
          <t>SANDVIKEN</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64627-2023</t>
        </is>
      </c>
      <c r="B10009" s="1" t="n">
        <v>45281</v>
      </c>
      <c r="C10009" s="1" t="n">
        <v>45344</v>
      </c>
      <c r="D10009" t="inlineStr">
        <is>
          <t>GÄVLEBORGS LÄN</t>
        </is>
      </c>
      <c r="E10009" t="inlineStr">
        <is>
          <t>LJUSDAL</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64629-2023</t>
        </is>
      </c>
      <c r="B10010" s="1" t="n">
        <v>45281</v>
      </c>
      <c r="C10010" s="1" t="n">
        <v>45344</v>
      </c>
      <c r="D10010" t="inlineStr">
        <is>
          <t>GÄVLEBORGS LÄN</t>
        </is>
      </c>
      <c r="E10010" t="inlineStr">
        <is>
          <t>HOFORS</t>
        </is>
      </c>
      <c r="G10010" t="n">
        <v>5.1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64704-2023</t>
        </is>
      </c>
      <c r="B10011" s="1" t="n">
        <v>45281</v>
      </c>
      <c r="C10011" s="1" t="n">
        <v>45344</v>
      </c>
      <c r="D10011" t="inlineStr">
        <is>
          <t>GÄVLEBORGS LÄN</t>
        </is>
      </c>
      <c r="E10011" t="inlineStr">
        <is>
          <t>OVANÅKER</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64727-2023</t>
        </is>
      </c>
      <c r="B10012" s="1" t="n">
        <v>45281</v>
      </c>
      <c r="C10012" s="1" t="n">
        <v>45344</v>
      </c>
      <c r="D10012" t="inlineStr">
        <is>
          <t>GÄVLEBORGS LÄN</t>
        </is>
      </c>
      <c r="E10012" t="inlineStr">
        <is>
          <t>HUDIKSVALL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64818-2023</t>
        </is>
      </c>
      <c r="B10013" s="1" t="n">
        <v>45282</v>
      </c>
      <c r="C10013" s="1" t="n">
        <v>45344</v>
      </c>
      <c r="D10013" t="inlineStr">
        <is>
          <t>GÄVLEBORGS LÄN</t>
        </is>
      </c>
      <c r="E10013" t="inlineStr">
        <is>
          <t>OCKELBO</t>
        </is>
      </c>
      <c r="F10013" t="inlineStr">
        <is>
          <t>Bergvik skog väst AB</t>
        </is>
      </c>
      <c r="G10013" t="n">
        <v>5.4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64940-2023</t>
        </is>
      </c>
      <c r="B10014" s="1" t="n">
        <v>45282</v>
      </c>
      <c r="C10014" s="1" t="n">
        <v>45344</v>
      </c>
      <c r="D10014" t="inlineStr">
        <is>
          <t>GÄVLEBORGS LÄN</t>
        </is>
      </c>
      <c r="E10014" t="inlineStr">
        <is>
          <t>SÖDERHAMN</t>
        </is>
      </c>
      <c r="G10014" t="n">
        <v>7.7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64924-2023</t>
        </is>
      </c>
      <c r="B10015" s="1" t="n">
        <v>45282</v>
      </c>
      <c r="C10015" s="1" t="n">
        <v>45344</v>
      </c>
      <c r="D10015" t="inlineStr">
        <is>
          <t>GÄVLEBORGS LÄN</t>
        </is>
      </c>
      <c r="E10015" t="inlineStr">
        <is>
          <t>OCKELBO</t>
        </is>
      </c>
      <c r="G10015" t="n">
        <v>6.8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64912-2023</t>
        </is>
      </c>
      <c r="B10016" s="1" t="n">
        <v>45282</v>
      </c>
      <c r="C10016" s="1" t="n">
        <v>45344</v>
      </c>
      <c r="D10016" t="inlineStr">
        <is>
          <t>GÄVLEBORGS LÄN</t>
        </is>
      </c>
      <c r="E10016" t="inlineStr">
        <is>
          <t>OVANÅKER</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64868-2023</t>
        </is>
      </c>
      <c r="B10017" s="1" t="n">
        <v>45282</v>
      </c>
      <c r="C10017" s="1" t="n">
        <v>45344</v>
      </c>
      <c r="D10017" t="inlineStr">
        <is>
          <t>GÄVLEBORGS LÄN</t>
        </is>
      </c>
      <c r="E10017" t="inlineStr">
        <is>
          <t>GÄVLE</t>
        </is>
      </c>
      <c r="G10017" t="n">
        <v>0.2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64801-2023</t>
        </is>
      </c>
      <c r="B10018" s="1" t="n">
        <v>45282</v>
      </c>
      <c r="C10018" s="1" t="n">
        <v>45344</v>
      </c>
      <c r="D10018" t="inlineStr">
        <is>
          <t>GÄVLEBORGS LÄN</t>
        </is>
      </c>
      <c r="E10018" t="inlineStr">
        <is>
          <t>SANDVIKEN</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64875-2023</t>
        </is>
      </c>
      <c r="B10019" s="1" t="n">
        <v>45282</v>
      </c>
      <c r="C10019" s="1" t="n">
        <v>45344</v>
      </c>
      <c r="D10019" t="inlineStr">
        <is>
          <t>GÄVLEBORGS LÄN</t>
        </is>
      </c>
      <c r="E10019" t="inlineStr">
        <is>
          <t>GÄVLE</t>
        </is>
      </c>
      <c r="G10019" t="n">
        <v>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64871-2023</t>
        </is>
      </c>
      <c r="B10020" s="1" t="n">
        <v>45282</v>
      </c>
      <c r="C10020" s="1" t="n">
        <v>45344</v>
      </c>
      <c r="D10020" t="inlineStr">
        <is>
          <t>GÄVLEBORGS LÄN</t>
        </is>
      </c>
      <c r="E10020" t="inlineStr">
        <is>
          <t>GÄVLE</t>
        </is>
      </c>
      <c r="G10020" t="n">
        <v>0.3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64878-2023</t>
        </is>
      </c>
      <c r="B10021" s="1" t="n">
        <v>45282</v>
      </c>
      <c r="C10021" s="1" t="n">
        <v>45344</v>
      </c>
      <c r="D10021" t="inlineStr">
        <is>
          <t>GÄVLEBORGS LÄN</t>
        </is>
      </c>
      <c r="E10021" t="inlineStr">
        <is>
          <t>GÄVLE</t>
        </is>
      </c>
      <c r="G10021" t="n">
        <v>0</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64857-2023</t>
        </is>
      </c>
      <c r="B10022" s="1" t="n">
        <v>45282</v>
      </c>
      <c r="C10022" s="1" t="n">
        <v>45344</v>
      </c>
      <c r="D10022" t="inlineStr">
        <is>
          <t>GÄVLEBORGS LÄN</t>
        </is>
      </c>
      <c r="E10022" t="inlineStr">
        <is>
          <t>SANDVIKEN</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64779-2023</t>
        </is>
      </c>
      <c r="B10023" s="1" t="n">
        <v>45282</v>
      </c>
      <c r="C10023" s="1" t="n">
        <v>45344</v>
      </c>
      <c r="D10023" t="inlineStr">
        <is>
          <t>GÄVLEBORGS LÄN</t>
        </is>
      </c>
      <c r="E10023" t="inlineStr">
        <is>
          <t>LJUSDAL</t>
        </is>
      </c>
      <c r="F10023" t="inlineStr">
        <is>
          <t>Holmen skog AB</t>
        </is>
      </c>
      <c r="G10023" t="n">
        <v>11.1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64921-2023</t>
        </is>
      </c>
      <c r="B10024" s="1" t="n">
        <v>45282</v>
      </c>
      <c r="C10024" s="1" t="n">
        <v>45344</v>
      </c>
      <c r="D10024" t="inlineStr">
        <is>
          <t>GÄVLEBORGS LÄN</t>
        </is>
      </c>
      <c r="E10024" t="inlineStr">
        <is>
          <t>GÄVLE</t>
        </is>
      </c>
      <c r="G10024" t="n">
        <v>2.1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64889-2023</t>
        </is>
      </c>
      <c r="B10025" s="1" t="n">
        <v>45282</v>
      </c>
      <c r="C10025" s="1" t="n">
        <v>45344</v>
      </c>
      <c r="D10025" t="inlineStr">
        <is>
          <t>GÄVLEBORGS LÄN</t>
        </is>
      </c>
      <c r="E10025" t="inlineStr">
        <is>
          <t>LJUSDAL</t>
        </is>
      </c>
      <c r="F10025" t="inlineStr">
        <is>
          <t>Holmen skog AB</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64873-2023</t>
        </is>
      </c>
      <c r="B10026" s="1" t="n">
        <v>45282</v>
      </c>
      <c r="C10026" s="1" t="n">
        <v>45344</v>
      </c>
      <c r="D10026" t="inlineStr">
        <is>
          <t>GÄVLEBORGS LÄN</t>
        </is>
      </c>
      <c r="E10026" t="inlineStr">
        <is>
          <t>GÄVLE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64852-2023</t>
        </is>
      </c>
      <c r="B10027" s="1" t="n">
        <v>45282</v>
      </c>
      <c r="C10027" s="1" t="n">
        <v>45344</v>
      </c>
      <c r="D10027" t="inlineStr">
        <is>
          <t>GÄVLEBORGS LÄN</t>
        </is>
      </c>
      <c r="E10027" t="inlineStr">
        <is>
          <t>OVANÅKER</t>
        </is>
      </c>
      <c r="G10027" t="n">
        <v>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64814-2023</t>
        </is>
      </c>
      <c r="B10028" s="1" t="n">
        <v>45282</v>
      </c>
      <c r="C10028" s="1" t="n">
        <v>45344</v>
      </c>
      <c r="D10028" t="inlineStr">
        <is>
          <t>GÄVLEBORGS LÄN</t>
        </is>
      </c>
      <c r="E10028" t="inlineStr">
        <is>
          <t>OCKELBO</t>
        </is>
      </c>
      <c r="F10028" t="inlineStr">
        <is>
          <t>Bergvik skog väst AB</t>
        </is>
      </c>
      <c r="G10028" t="n">
        <v>19.8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64786-2023</t>
        </is>
      </c>
      <c r="B10029" s="1" t="n">
        <v>45282</v>
      </c>
      <c r="C10029" s="1" t="n">
        <v>45344</v>
      </c>
      <c r="D10029" t="inlineStr">
        <is>
          <t>GÄVLEBORGS LÄN</t>
        </is>
      </c>
      <c r="E10029" t="inlineStr">
        <is>
          <t>LJUSDAL</t>
        </is>
      </c>
      <c r="F10029" t="inlineStr">
        <is>
          <t>Holmen skog AB</t>
        </is>
      </c>
      <c r="G10029" t="n">
        <v>13.5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64962-2023</t>
        </is>
      </c>
      <c r="B10030" s="1" t="n">
        <v>45283</v>
      </c>
      <c r="C10030" s="1" t="n">
        <v>45344</v>
      </c>
      <c r="D10030" t="inlineStr">
        <is>
          <t>GÄVLEBORGS LÄN</t>
        </is>
      </c>
      <c r="E10030" t="inlineStr">
        <is>
          <t>HUDIKSVALL</t>
        </is>
      </c>
      <c r="G10030" t="n">
        <v>4.2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65107-2023</t>
        </is>
      </c>
      <c r="B10031" s="1" t="n">
        <v>45287</v>
      </c>
      <c r="C10031" s="1" t="n">
        <v>45344</v>
      </c>
      <c r="D10031" t="inlineStr">
        <is>
          <t>GÄVLEBORGS LÄN</t>
        </is>
      </c>
      <c r="E10031" t="inlineStr">
        <is>
          <t>OVANÅKER</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65039-2023</t>
        </is>
      </c>
      <c r="B10032" s="1" t="n">
        <v>45287</v>
      </c>
      <c r="C10032" s="1" t="n">
        <v>45344</v>
      </c>
      <c r="D10032" t="inlineStr">
        <is>
          <t>GÄVLEBORGS LÄN</t>
        </is>
      </c>
      <c r="E10032" t="inlineStr">
        <is>
          <t>NORDANSTIG</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65098-2023</t>
        </is>
      </c>
      <c r="B10033" s="1" t="n">
        <v>45288</v>
      </c>
      <c r="C10033" s="1" t="n">
        <v>45344</v>
      </c>
      <c r="D10033" t="inlineStr">
        <is>
          <t>GÄVLEBORGS LÄN</t>
        </is>
      </c>
      <c r="E10033" t="inlineStr">
        <is>
          <t>SANDVIKEN</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65140-2023</t>
        </is>
      </c>
      <c r="B10034" s="1" t="n">
        <v>45288</v>
      </c>
      <c r="C10034" s="1" t="n">
        <v>45344</v>
      </c>
      <c r="D10034" t="inlineStr">
        <is>
          <t>GÄVLEBORGS LÄN</t>
        </is>
      </c>
      <c r="E10034" t="inlineStr">
        <is>
          <t>OCKELBO</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65180-2023</t>
        </is>
      </c>
      <c r="B10035" s="1" t="n">
        <v>45288</v>
      </c>
      <c r="C10035" s="1" t="n">
        <v>45344</v>
      </c>
      <c r="D10035" t="inlineStr">
        <is>
          <t>GÄVLEBORGS LÄN</t>
        </is>
      </c>
      <c r="E10035" t="inlineStr">
        <is>
          <t>NORDANSTIG</t>
        </is>
      </c>
      <c r="G10035" t="n">
        <v>7.5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65166-2023</t>
        </is>
      </c>
      <c r="B10036" s="1" t="n">
        <v>45288</v>
      </c>
      <c r="C10036" s="1" t="n">
        <v>45344</v>
      </c>
      <c r="D10036" t="inlineStr">
        <is>
          <t>GÄVLEBORGS LÄN</t>
        </is>
      </c>
      <c r="E10036" t="inlineStr">
        <is>
          <t>BOLLNÄS</t>
        </is>
      </c>
      <c r="G10036" t="n">
        <v>1.3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65175-2023</t>
        </is>
      </c>
      <c r="B10037" s="1" t="n">
        <v>45288</v>
      </c>
      <c r="C10037" s="1" t="n">
        <v>45344</v>
      </c>
      <c r="D10037" t="inlineStr">
        <is>
          <t>GÄVLEBORGS LÄN</t>
        </is>
      </c>
      <c r="E10037" t="inlineStr">
        <is>
          <t>LJUSDAL</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65179-2023</t>
        </is>
      </c>
      <c r="B10038" s="1" t="n">
        <v>45288</v>
      </c>
      <c r="C10038" s="1" t="n">
        <v>45344</v>
      </c>
      <c r="D10038" t="inlineStr">
        <is>
          <t>GÄVLEBORGS LÄN</t>
        </is>
      </c>
      <c r="E10038" t="inlineStr">
        <is>
          <t>NORDANSTIG</t>
        </is>
      </c>
      <c r="G10038" t="n">
        <v>0.8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65235-2023</t>
        </is>
      </c>
      <c r="B10039" s="1" t="n">
        <v>45289</v>
      </c>
      <c r="C10039" s="1" t="n">
        <v>45344</v>
      </c>
      <c r="D10039" t="inlineStr">
        <is>
          <t>GÄVLEBORGS LÄN</t>
        </is>
      </c>
      <c r="E10039" t="inlineStr">
        <is>
          <t>SÖDERHAMN</t>
        </is>
      </c>
      <c r="G10039" t="n">
        <v>7.4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65189-2023</t>
        </is>
      </c>
      <c r="B10040" s="1" t="n">
        <v>45289</v>
      </c>
      <c r="C10040" s="1" t="n">
        <v>45344</v>
      </c>
      <c r="D10040" t="inlineStr">
        <is>
          <t>GÄVLEBORGS LÄN</t>
        </is>
      </c>
      <c r="E10040" t="inlineStr">
        <is>
          <t>BOLLNÄS</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65195-2023</t>
        </is>
      </c>
      <c r="B10041" s="1" t="n">
        <v>45289</v>
      </c>
      <c r="C10041" s="1" t="n">
        <v>45344</v>
      </c>
      <c r="D10041" t="inlineStr">
        <is>
          <t>GÄVLEBORGS LÄN</t>
        </is>
      </c>
      <c r="E10041" t="inlineStr">
        <is>
          <t>HUDIKSVALL</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65208-2023</t>
        </is>
      </c>
      <c r="B10042" s="1" t="n">
        <v>45289</v>
      </c>
      <c r="C10042" s="1" t="n">
        <v>45344</v>
      </c>
      <c r="D10042" t="inlineStr">
        <is>
          <t>GÄVLEBORGS LÄN</t>
        </is>
      </c>
      <c r="E10042" t="inlineStr">
        <is>
          <t>NORDANSTIG</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65259-2023</t>
        </is>
      </c>
      <c r="B10043" s="1" t="n">
        <v>45291</v>
      </c>
      <c r="C10043" s="1" t="n">
        <v>45344</v>
      </c>
      <c r="D10043" t="inlineStr">
        <is>
          <t>GÄVLEBORGS LÄN</t>
        </is>
      </c>
      <c r="E10043" t="inlineStr">
        <is>
          <t>OCKELBO</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8-2024</t>
        </is>
      </c>
      <c r="B10044" s="1" t="n">
        <v>45293</v>
      </c>
      <c r="C10044" s="1" t="n">
        <v>45344</v>
      </c>
      <c r="D10044" t="inlineStr">
        <is>
          <t>GÄVLEBORGS LÄN</t>
        </is>
      </c>
      <c r="E10044" t="inlineStr">
        <is>
          <t>LJUSDAL</t>
        </is>
      </c>
      <c r="G10044" t="n">
        <v>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16-2024</t>
        </is>
      </c>
      <c r="B10045" s="1" t="n">
        <v>45293</v>
      </c>
      <c r="C10045" s="1" t="n">
        <v>45344</v>
      </c>
      <c r="D10045" t="inlineStr">
        <is>
          <t>GÄVLEBORGS LÄN</t>
        </is>
      </c>
      <c r="E10045" t="inlineStr">
        <is>
          <t>GÄVLE</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24-2024</t>
        </is>
      </c>
      <c r="B10046" s="1" t="n">
        <v>45293</v>
      </c>
      <c r="C10046" s="1" t="n">
        <v>45344</v>
      </c>
      <c r="D10046" t="inlineStr">
        <is>
          <t>GÄVLEBORGS LÄN</t>
        </is>
      </c>
      <c r="E10046" t="inlineStr">
        <is>
          <t>GÄVLE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37-2024</t>
        </is>
      </c>
      <c r="B10047" s="1" t="n">
        <v>45293</v>
      </c>
      <c r="C10047" s="1" t="n">
        <v>45344</v>
      </c>
      <c r="D10047" t="inlineStr">
        <is>
          <t>GÄVLEBORGS LÄN</t>
        </is>
      </c>
      <c r="E10047" t="inlineStr">
        <is>
          <t>SANDVIKEN</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57-2024</t>
        </is>
      </c>
      <c r="B10048" s="1" t="n">
        <v>45293</v>
      </c>
      <c r="C10048" s="1" t="n">
        <v>45344</v>
      </c>
      <c r="D10048" t="inlineStr">
        <is>
          <t>GÄVLEBORGS LÄN</t>
        </is>
      </c>
      <c r="E10048" t="inlineStr">
        <is>
          <t>LJUSDAL</t>
        </is>
      </c>
      <c r="F10048" t="inlineStr">
        <is>
          <t>Holmen skog AB</t>
        </is>
      </c>
      <c r="G10048" t="n">
        <v>5.8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10-2024</t>
        </is>
      </c>
      <c r="B10049" s="1" t="n">
        <v>45293</v>
      </c>
      <c r="C10049" s="1" t="n">
        <v>45344</v>
      </c>
      <c r="D10049" t="inlineStr">
        <is>
          <t>GÄVLEBORGS LÄN</t>
        </is>
      </c>
      <c r="E10049" t="inlineStr">
        <is>
          <t>LJUSDAL</t>
        </is>
      </c>
      <c r="G10049" t="n">
        <v>7.5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18-2024</t>
        </is>
      </c>
      <c r="B10050" s="1" t="n">
        <v>45293</v>
      </c>
      <c r="C10050" s="1" t="n">
        <v>45344</v>
      </c>
      <c r="D10050" t="inlineStr">
        <is>
          <t>GÄVLEBORGS LÄN</t>
        </is>
      </c>
      <c r="E10050" t="inlineStr">
        <is>
          <t>GÄVLE</t>
        </is>
      </c>
      <c r="G10050" t="n">
        <v>1.3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39-2024</t>
        </is>
      </c>
      <c r="B10051" s="1" t="n">
        <v>45293</v>
      </c>
      <c r="C10051" s="1" t="n">
        <v>45344</v>
      </c>
      <c r="D10051" t="inlineStr">
        <is>
          <t>GÄVLEBORGS LÄN</t>
        </is>
      </c>
      <c r="E10051" t="inlineStr">
        <is>
          <t>SANDVIKEN</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21-2024</t>
        </is>
      </c>
      <c r="B10052" s="1" t="n">
        <v>45293</v>
      </c>
      <c r="C10052" s="1" t="n">
        <v>45344</v>
      </c>
      <c r="D10052" t="inlineStr">
        <is>
          <t>GÄVLEBORGS LÄN</t>
        </is>
      </c>
      <c r="E10052" t="inlineStr">
        <is>
          <t>GÄVLE</t>
        </is>
      </c>
      <c r="G10052" t="n">
        <v>6.2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25-2024</t>
        </is>
      </c>
      <c r="B10053" s="1" t="n">
        <v>45293</v>
      </c>
      <c r="C10053" s="1" t="n">
        <v>45344</v>
      </c>
      <c r="D10053" t="inlineStr">
        <is>
          <t>GÄVLEBORGS LÄN</t>
        </is>
      </c>
      <c r="E10053" t="inlineStr">
        <is>
          <t>GÄVLE</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127-2024</t>
        </is>
      </c>
      <c r="B10054" s="1" t="n">
        <v>45294</v>
      </c>
      <c r="C10054" s="1" t="n">
        <v>45344</v>
      </c>
      <c r="D10054" t="inlineStr">
        <is>
          <t>GÄVLEBORGS LÄN</t>
        </is>
      </c>
      <c r="E10054" t="inlineStr">
        <is>
          <t>HOFORS</t>
        </is>
      </c>
      <c r="F10054" t="inlineStr">
        <is>
          <t>Sveaskog</t>
        </is>
      </c>
      <c r="G10054" t="n">
        <v>20.4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129-2024</t>
        </is>
      </c>
      <c r="B10055" s="1" t="n">
        <v>45294</v>
      </c>
      <c r="C10055" s="1" t="n">
        <v>45344</v>
      </c>
      <c r="D10055" t="inlineStr">
        <is>
          <t>GÄVLEBORGS LÄN</t>
        </is>
      </c>
      <c r="E10055" t="inlineStr">
        <is>
          <t>SANDVIKEN</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188-2024</t>
        </is>
      </c>
      <c r="B10056" s="1" t="n">
        <v>45294</v>
      </c>
      <c r="C10056" s="1" t="n">
        <v>45344</v>
      </c>
      <c r="D10056" t="inlineStr">
        <is>
          <t>GÄVLEBORGS LÄN</t>
        </is>
      </c>
      <c r="E10056" t="inlineStr">
        <is>
          <t>LJUSDAL</t>
        </is>
      </c>
      <c r="G10056" t="n">
        <v>14.3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147-2024</t>
        </is>
      </c>
      <c r="B10057" s="1" t="n">
        <v>45294</v>
      </c>
      <c r="C10057" s="1" t="n">
        <v>45344</v>
      </c>
      <c r="D10057" t="inlineStr">
        <is>
          <t>GÄVLEBORGS LÄN</t>
        </is>
      </c>
      <c r="E10057" t="inlineStr">
        <is>
          <t>LJUSDAL</t>
        </is>
      </c>
      <c r="G10057" t="n">
        <v>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118-2024</t>
        </is>
      </c>
      <c r="B10058" s="1" t="n">
        <v>45294</v>
      </c>
      <c r="C10058" s="1" t="n">
        <v>45344</v>
      </c>
      <c r="D10058" t="inlineStr">
        <is>
          <t>GÄVLEBORGS LÄN</t>
        </is>
      </c>
      <c r="E10058" t="inlineStr">
        <is>
          <t>HOFORS</t>
        </is>
      </c>
      <c r="F10058" t="inlineStr">
        <is>
          <t>Sveaskog</t>
        </is>
      </c>
      <c r="G10058" t="n">
        <v>6.9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182-2024</t>
        </is>
      </c>
      <c r="B10059" s="1" t="n">
        <v>45294</v>
      </c>
      <c r="C10059" s="1" t="n">
        <v>45344</v>
      </c>
      <c r="D10059" t="inlineStr">
        <is>
          <t>GÄVLEBORGS LÄN</t>
        </is>
      </c>
      <c r="E10059" t="inlineStr">
        <is>
          <t>HUDIKSVALL</t>
        </is>
      </c>
      <c r="F10059" t="inlineStr">
        <is>
          <t>Holmen skog AB</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333-2024</t>
        </is>
      </c>
      <c r="B10060" s="1" t="n">
        <v>45295</v>
      </c>
      <c r="C10060" s="1" t="n">
        <v>45344</v>
      </c>
      <c r="D10060" t="inlineStr">
        <is>
          <t>GÄVLEBORGS LÄN</t>
        </is>
      </c>
      <c r="E10060" t="inlineStr">
        <is>
          <t>HUDIKSVALL</t>
        </is>
      </c>
      <c r="F10060" t="inlineStr">
        <is>
          <t>Holmen skog AB</t>
        </is>
      </c>
      <c r="G10060" t="n">
        <v>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321-2024</t>
        </is>
      </c>
      <c r="B10061" s="1" t="n">
        <v>45295</v>
      </c>
      <c r="C10061" s="1" t="n">
        <v>45344</v>
      </c>
      <c r="D10061" t="inlineStr">
        <is>
          <t>GÄVLEBORGS LÄN</t>
        </is>
      </c>
      <c r="E10061" t="inlineStr">
        <is>
          <t>NORDANSTIG</t>
        </is>
      </c>
      <c r="F10061" t="inlineStr">
        <is>
          <t>Holmen skog AB</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308-2024</t>
        </is>
      </c>
      <c r="B10062" s="1" t="n">
        <v>45295</v>
      </c>
      <c r="C10062" s="1" t="n">
        <v>45344</v>
      </c>
      <c r="D10062" t="inlineStr">
        <is>
          <t>GÄVLEBORGS LÄN</t>
        </is>
      </c>
      <c r="E10062" t="inlineStr">
        <is>
          <t>GÄVLE</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274-2024</t>
        </is>
      </c>
      <c r="B10063" s="1" t="n">
        <v>45295</v>
      </c>
      <c r="C10063" s="1" t="n">
        <v>45344</v>
      </c>
      <c r="D10063" t="inlineStr">
        <is>
          <t>GÄVLEBORGS LÄN</t>
        </is>
      </c>
      <c r="E10063" t="inlineStr">
        <is>
          <t>LJUSDAL</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264-2024</t>
        </is>
      </c>
      <c r="B10064" s="1" t="n">
        <v>45295</v>
      </c>
      <c r="C10064" s="1" t="n">
        <v>45344</v>
      </c>
      <c r="D10064" t="inlineStr">
        <is>
          <t>GÄVLEBORGS LÄN</t>
        </is>
      </c>
      <c r="E10064" t="inlineStr">
        <is>
          <t>LJUSDAL</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355-2024</t>
        </is>
      </c>
      <c r="B10065" s="1" t="n">
        <v>45295</v>
      </c>
      <c r="C10065" s="1" t="n">
        <v>45344</v>
      </c>
      <c r="D10065" t="inlineStr">
        <is>
          <t>GÄVLEBORGS LÄN</t>
        </is>
      </c>
      <c r="E10065" t="inlineStr">
        <is>
          <t>HUDIKSVALL</t>
        </is>
      </c>
      <c r="G10065" t="n">
        <v>2.3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300-2024</t>
        </is>
      </c>
      <c r="B10066" s="1" t="n">
        <v>45295</v>
      </c>
      <c r="C10066" s="1" t="n">
        <v>45344</v>
      </c>
      <c r="D10066" t="inlineStr">
        <is>
          <t>GÄVLEBORGS LÄN</t>
        </is>
      </c>
      <c r="E10066" t="inlineStr">
        <is>
          <t>SÖDERHAMN</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363-2024</t>
        </is>
      </c>
      <c r="B10067" s="1" t="n">
        <v>45295</v>
      </c>
      <c r="C10067" s="1" t="n">
        <v>45344</v>
      </c>
      <c r="D10067" t="inlineStr">
        <is>
          <t>GÄVLEBORGS LÄN</t>
        </is>
      </c>
      <c r="E10067" t="inlineStr">
        <is>
          <t>HUDIKSVALL</t>
        </is>
      </c>
      <c r="G10067" t="n">
        <v>13.3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364-2024</t>
        </is>
      </c>
      <c r="B10068" s="1" t="n">
        <v>45295</v>
      </c>
      <c r="C10068" s="1" t="n">
        <v>45344</v>
      </c>
      <c r="D10068" t="inlineStr">
        <is>
          <t>GÄVLEBORGS LÄN</t>
        </is>
      </c>
      <c r="E10068" t="inlineStr">
        <is>
          <t>HUDIKSVALL</t>
        </is>
      </c>
      <c r="G10068" t="n">
        <v>0.7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365-2024</t>
        </is>
      </c>
      <c r="B10069" s="1" t="n">
        <v>45295</v>
      </c>
      <c r="C10069" s="1" t="n">
        <v>45344</v>
      </c>
      <c r="D10069" t="inlineStr">
        <is>
          <t>GÄVLEBORGS LÄN</t>
        </is>
      </c>
      <c r="E10069" t="inlineStr">
        <is>
          <t>HUDIKSVALL</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328-2024</t>
        </is>
      </c>
      <c r="B10070" s="1" t="n">
        <v>45295</v>
      </c>
      <c r="C10070" s="1" t="n">
        <v>45344</v>
      </c>
      <c r="D10070" t="inlineStr">
        <is>
          <t>GÄVLEBORGS LÄN</t>
        </is>
      </c>
      <c r="E10070" t="inlineStr">
        <is>
          <t>LJUSDAL</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273-2024</t>
        </is>
      </c>
      <c r="B10071" s="1" t="n">
        <v>45295</v>
      </c>
      <c r="C10071" s="1" t="n">
        <v>45344</v>
      </c>
      <c r="D10071" t="inlineStr">
        <is>
          <t>GÄVLEBORGS LÄN</t>
        </is>
      </c>
      <c r="E10071" t="inlineStr">
        <is>
          <t>LJUSDAL</t>
        </is>
      </c>
      <c r="F10071" t="inlineStr">
        <is>
          <t>Holmen skog AB</t>
        </is>
      </c>
      <c r="G10071" t="n">
        <v>12.2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289-2024</t>
        </is>
      </c>
      <c r="B10072" s="1" t="n">
        <v>45295</v>
      </c>
      <c r="C10072" s="1" t="n">
        <v>45344</v>
      </c>
      <c r="D10072" t="inlineStr">
        <is>
          <t>GÄVLEBORGS LÄN</t>
        </is>
      </c>
      <c r="E10072" t="inlineStr">
        <is>
          <t>BOLLNÄS</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270-2024</t>
        </is>
      </c>
      <c r="B10073" s="1" t="n">
        <v>45295</v>
      </c>
      <c r="C10073" s="1" t="n">
        <v>45344</v>
      </c>
      <c r="D10073" t="inlineStr">
        <is>
          <t>GÄVLEBORGS LÄN</t>
        </is>
      </c>
      <c r="E10073" t="inlineStr">
        <is>
          <t>LJUSDAL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382-2024</t>
        </is>
      </c>
      <c r="B10074" s="1" t="n">
        <v>45296</v>
      </c>
      <c r="C10074" s="1" t="n">
        <v>45344</v>
      </c>
      <c r="D10074" t="inlineStr">
        <is>
          <t>GÄVLEBORGS LÄN</t>
        </is>
      </c>
      <c r="E10074" t="inlineStr">
        <is>
          <t>NORDANSTIG</t>
        </is>
      </c>
      <c r="F10074" t="inlineStr">
        <is>
          <t>Holmen skog AB</t>
        </is>
      </c>
      <c r="G10074" t="n">
        <v>2.7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427-2024</t>
        </is>
      </c>
      <c r="B10075" s="1" t="n">
        <v>45296</v>
      </c>
      <c r="C10075" s="1" t="n">
        <v>45344</v>
      </c>
      <c r="D10075" t="inlineStr">
        <is>
          <t>GÄVLEBORGS LÄN</t>
        </is>
      </c>
      <c r="E10075" t="inlineStr">
        <is>
          <t>OCKELBO</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377-2024</t>
        </is>
      </c>
      <c r="B10076" s="1" t="n">
        <v>45296</v>
      </c>
      <c r="C10076" s="1" t="n">
        <v>45344</v>
      </c>
      <c r="D10076" t="inlineStr">
        <is>
          <t>GÄVLEBORGS LÄN</t>
        </is>
      </c>
      <c r="E10076" t="inlineStr">
        <is>
          <t>NORDANSTIG</t>
        </is>
      </c>
      <c r="F10076" t="inlineStr">
        <is>
          <t>Holmen skog AB</t>
        </is>
      </c>
      <c r="G10076" t="n">
        <v>2.2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435-2024</t>
        </is>
      </c>
      <c r="B10077" s="1" t="n">
        <v>45296</v>
      </c>
      <c r="C10077" s="1" t="n">
        <v>45344</v>
      </c>
      <c r="D10077" t="inlineStr">
        <is>
          <t>GÄVLEBORGS LÄN</t>
        </is>
      </c>
      <c r="E10077" t="inlineStr">
        <is>
          <t>SÖDERHAMN</t>
        </is>
      </c>
      <c r="G10077" t="n">
        <v>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379-2024</t>
        </is>
      </c>
      <c r="B10078" s="1" t="n">
        <v>45296</v>
      </c>
      <c r="C10078" s="1" t="n">
        <v>45344</v>
      </c>
      <c r="D10078" t="inlineStr">
        <is>
          <t>GÄVLEBORGS LÄN</t>
        </is>
      </c>
      <c r="E10078" t="inlineStr">
        <is>
          <t>NORDANSTIG</t>
        </is>
      </c>
      <c r="F10078" t="inlineStr">
        <is>
          <t>Holmen skog AB</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383-2024</t>
        </is>
      </c>
      <c r="B10079" s="1" t="n">
        <v>45296</v>
      </c>
      <c r="C10079" s="1" t="n">
        <v>45344</v>
      </c>
      <c r="D10079" t="inlineStr">
        <is>
          <t>GÄVLEBORGS LÄN</t>
        </is>
      </c>
      <c r="E10079" t="inlineStr">
        <is>
          <t>BOLLNÄS</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416-2024</t>
        </is>
      </c>
      <c r="B10080" s="1" t="n">
        <v>45296</v>
      </c>
      <c r="C10080" s="1" t="n">
        <v>45344</v>
      </c>
      <c r="D10080" t="inlineStr">
        <is>
          <t>GÄVLEBORGS LÄN</t>
        </is>
      </c>
      <c r="E10080" t="inlineStr">
        <is>
          <t>OCKELBO</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433-2024</t>
        </is>
      </c>
      <c r="B10081" s="1" t="n">
        <v>45296</v>
      </c>
      <c r="C10081" s="1" t="n">
        <v>45344</v>
      </c>
      <c r="D10081" t="inlineStr">
        <is>
          <t>GÄVLEBORGS LÄN</t>
        </is>
      </c>
      <c r="E10081" t="inlineStr">
        <is>
          <t>BOLLNÄS</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430-2024</t>
        </is>
      </c>
      <c r="B10082" s="1" t="n">
        <v>45296</v>
      </c>
      <c r="C10082" s="1" t="n">
        <v>45344</v>
      </c>
      <c r="D10082" t="inlineStr">
        <is>
          <t>GÄVLEBORGS LÄN</t>
        </is>
      </c>
      <c r="E10082" t="inlineStr">
        <is>
          <t>BOLLNÄS</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438-2024</t>
        </is>
      </c>
      <c r="B10083" s="1" t="n">
        <v>45296</v>
      </c>
      <c r="C10083" s="1" t="n">
        <v>45344</v>
      </c>
      <c r="D10083" t="inlineStr">
        <is>
          <t>GÄVLEBORGS LÄN</t>
        </is>
      </c>
      <c r="E10083" t="inlineStr">
        <is>
          <t>SÖDERHAMN</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473-2024</t>
        </is>
      </c>
      <c r="B10084" s="1" t="n">
        <v>45297</v>
      </c>
      <c r="C10084" s="1" t="n">
        <v>45344</v>
      </c>
      <c r="D10084" t="inlineStr">
        <is>
          <t>GÄVLEBORGS LÄN</t>
        </is>
      </c>
      <c r="E10084" t="inlineStr">
        <is>
          <t>HUDIKSVALL</t>
        </is>
      </c>
      <c r="F10084" t="inlineStr">
        <is>
          <t>Holmen skog AB</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469-2024</t>
        </is>
      </c>
      <c r="B10085" s="1" t="n">
        <v>45297</v>
      </c>
      <c r="C10085" s="1" t="n">
        <v>45344</v>
      </c>
      <c r="D10085" t="inlineStr">
        <is>
          <t>GÄVLEBORGS LÄN</t>
        </is>
      </c>
      <c r="E10085" t="inlineStr">
        <is>
          <t>NORDANSTIG</t>
        </is>
      </c>
      <c r="F10085" t="inlineStr">
        <is>
          <t>Holmen skog AB</t>
        </is>
      </c>
      <c r="G10085" t="n">
        <v>4.4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461-2024</t>
        </is>
      </c>
      <c r="B10086" s="1" t="n">
        <v>45297</v>
      </c>
      <c r="C10086" s="1" t="n">
        <v>45344</v>
      </c>
      <c r="D10086" t="inlineStr">
        <is>
          <t>GÄVLEBORGS LÄN</t>
        </is>
      </c>
      <c r="E10086" t="inlineStr">
        <is>
          <t>HUDIKSVALL</t>
        </is>
      </c>
      <c r="G10086" t="n">
        <v>43.2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467-2024</t>
        </is>
      </c>
      <c r="B10087" s="1" t="n">
        <v>45297</v>
      </c>
      <c r="C10087" s="1" t="n">
        <v>45344</v>
      </c>
      <c r="D10087" t="inlineStr">
        <is>
          <t>GÄVLEBORGS LÄN</t>
        </is>
      </c>
      <c r="E10087" t="inlineStr">
        <is>
          <t>HUDIKSVALL</t>
        </is>
      </c>
      <c r="F10087" t="inlineStr">
        <is>
          <t>Holmen skog AB</t>
        </is>
      </c>
      <c r="G10087" t="n">
        <v>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472-2024</t>
        </is>
      </c>
      <c r="B10088" s="1" t="n">
        <v>45297</v>
      </c>
      <c r="C10088" s="1" t="n">
        <v>45344</v>
      </c>
      <c r="D10088" t="inlineStr">
        <is>
          <t>GÄVLEBORGS LÄN</t>
        </is>
      </c>
      <c r="E10088" t="inlineStr">
        <is>
          <t>NORDANSTIG</t>
        </is>
      </c>
      <c r="F10088" t="inlineStr">
        <is>
          <t>Holmen skog AB</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464-2024</t>
        </is>
      </c>
      <c r="B10089" s="1" t="n">
        <v>45297</v>
      </c>
      <c r="C10089" s="1" t="n">
        <v>45344</v>
      </c>
      <c r="D10089" t="inlineStr">
        <is>
          <t>GÄVLEBORGS LÄN</t>
        </is>
      </c>
      <c r="E10089" t="inlineStr">
        <is>
          <t>HUDIKSVALL</t>
        </is>
      </c>
      <c r="F10089" t="inlineStr">
        <is>
          <t>Holmen skog AB</t>
        </is>
      </c>
      <c r="G10089" t="n">
        <v>6.5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549-2024</t>
        </is>
      </c>
      <c r="B10090" s="1" t="n">
        <v>45299</v>
      </c>
      <c r="C10090" s="1" t="n">
        <v>45344</v>
      </c>
      <c r="D10090" t="inlineStr">
        <is>
          <t>GÄVLEBORGS LÄN</t>
        </is>
      </c>
      <c r="E10090" t="inlineStr">
        <is>
          <t>BOLLNÄS</t>
        </is>
      </c>
      <c r="G10090" t="n">
        <v>0.7</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522-2024</t>
        </is>
      </c>
      <c r="B10091" s="1" t="n">
        <v>45299</v>
      </c>
      <c r="C10091" s="1" t="n">
        <v>45344</v>
      </c>
      <c r="D10091" t="inlineStr">
        <is>
          <t>GÄVLEBORGS LÄN</t>
        </is>
      </c>
      <c r="E10091" t="inlineStr">
        <is>
          <t>LJUSDAL</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589-2024</t>
        </is>
      </c>
      <c r="B10092" s="1" t="n">
        <v>45299</v>
      </c>
      <c r="C10092" s="1" t="n">
        <v>45344</v>
      </c>
      <c r="D10092" t="inlineStr">
        <is>
          <t>GÄVLEBORGS LÄN</t>
        </is>
      </c>
      <c r="E10092" t="inlineStr">
        <is>
          <t>LJUSDAL</t>
        </is>
      </c>
      <c r="G10092" t="n">
        <v>13.4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547-2024</t>
        </is>
      </c>
      <c r="B10093" s="1" t="n">
        <v>45299</v>
      </c>
      <c r="C10093" s="1" t="n">
        <v>45344</v>
      </c>
      <c r="D10093" t="inlineStr">
        <is>
          <t>GÄVLEBORGS LÄN</t>
        </is>
      </c>
      <c r="E10093" t="inlineStr">
        <is>
          <t>NORDANSTIG</t>
        </is>
      </c>
      <c r="F10093" t="inlineStr">
        <is>
          <t>Holmen skog AB</t>
        </is>
      </c>
      <c r="G10093" t="n">
        <v>4.4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591-2024</t>
        </is>
      </c>
      <c r="B10094" s="1" t="n">
        <v>45299</v>
      </c>
      <c r="C10094" s="1" t="n">
        <v>45344</v>
      </c>
      <c r="D10094" t="inlineStr">
        <is>
          <t>GÄVLEBORGS LÄN</t>
        </is>
      </c>
      <c r="E10094" t="inlineStr">
        <is>
          <t>LJUSDAL</t>
        </is>
      </c>
      <c r="G10094" t="n">
        <v>14.1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603-2024</t>
        </is>
      </c>
      <c r="B10095" s="1" t="n">
        <v>45299</v>
      </c>
      <c r="C10095" s="1" t="n">
        <v>45344</v>
      </c>
      <c r="D10095" t="inlineStr">
        <is>
          <t>GÄVLEBORGS LÄN</t>
        </is>
      </c>
      <c r="E10095" t="inlineStr">
        <is>
          <t>HUDIKSVALL</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548-2024</t>
        </is>
      </c>
      <c r="B10096" s="1" t="n">
        <v>45299</v>
      </c>
      <c r="C10096" s="1" t="n">
        <v>45344</v>
      </c>
      <c r="D10096" t="inlineStr">
        <is>
          <t>GÄVLEBORGS LÄN</t>
        </is>
      </c>
      <c r="E10096" t="inlineStr">
        <is>
          <t>NORDANSTIG</t>
        </is>
      </c>
      <c r="F10096" t="inlineStr">
        <is>
          <t>Holmen skog AB</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592-2024</t>
        </is>
      </c>
      <c r="B10097" s="1" t="n">
        <v>45299</v>
      </c>
      <c r="C10097" s="1" t="n">
        <v>45344</v>
      </c>
      <c r="D10097" t="inlineStr">
        <is>
          <t>GÄVLEBORGS LÄN</t>
        </is>
      </c>
      <c r="E10097" t="inlineStr">
        <is>
          <t>LJUSDAL</t>
        </is>
      </c>
      <c r="G10097" t="n">
        <v>1.4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608-2024</t>
        </is>
      </c>
      <c r="B10098" s="1" t="n">
        <v>45299</v>
      </c>
      <c r="C10098" s="1" t="n">
        <v>45344</v>
      </c>
      <c r="D10098" t="inlineStr">
        <is>
          <t>GÄVLEBORGS LÄN</t>
        </is>
      </c>
      <c r="E10098" t="inlineStr">
        <is>
          <t>LJUSDAL</t>
        </is>
      </c>
      <c r="G10098" t="n">
        <v>4.4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612-2024</t>
        </is>
      </c>
      <c r="B10099" s="1" t="n">
        <v>45299</v>
      </c>
      <c r="C10099" s="1" t="n">
        <v>45344</v>
      </c>
      <c r="D10099" t="inlineStr">
        <is>
          <t>GÄVLEBORGS LÄN</t>
        </is>
      </c>
      <c r="E10099" t="inlineStr">
        <is>
          <t>LJUSDAL</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521-2024</t>
        </is>
      </c>
      <c r="B10100" s="1" t="n">
        <v>45299</v>
      </c>
      <c r="C10100" s="1" t="n">
        <v>45344</v>
      </c>
      <c r="D10100" t="inlineStr">
        <is>
          <t>GÄVLEBORGS LÄN</t>
        </is>
      </c>
      <c r="E10100" t="inlineStr">
        <is>
          <t>BOLLNÄS</t>
        </is>
      </c>
      <c r="G10100" t="n">
        <v>4.8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657-2024</t>
        </is>
      </c>
      <c r="B10101" s="1" t="n">
        <v>45299</v>
      </c>
      <c r="C10101" s="1" t="n">
        <v>45344</v>
      </c>
      <c r="D10101" t="inlineStr">
        <is>
          <t>GÄVLEBORGS LÄN</t>
        </is>
      </c>
      <c r="E10101" t="inlineStr">
        <is>
          <t>HUDIKSVALL</t>
        </is>
      </c>
      <c r="G10101" t="n">
        <v>2.9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716-2024</t>
        </is>
      </c>
      <c r="B10102" s="1" t="n">
        <v>45300</v>
      </c>
      <c r="C10102" s="1" t="n">
        <v>45344</v>
      </c>
      <c r="D10102" t="inlineStr">
        <is>
          <t>GÄVLEBORGS LÄN</t>
        </is>
      </c>
      <c r="E10102" t="inlineStr">
        <is>
          <t>SANDVIKEN</t>
        </is>
      </c>
      <c r="G10102" t="n">
        <v>0.9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768-2024</t>
        </is>
      </c>
      <c r="B10103" s="1" t="n">
        <v>45300</v>
      </c>
      <c r="C10103" s="1" t="n">
        <v>45344</v>
      </c>
      <c r="D10103" t="inlineStr">
        <is>
          <t>GÄVLEBORGS LÄN</t>
        </is>
      </c>
      <c r="E10103" t="inlineStr">
        <is>
          <t>GÄVLE</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817-2024</t>
        </is>
      </c>
      <c r="B10104" s="1" t="n">
        <v>45300</v>
      </c>
      <c r="C10104" s="1" t="n">
        <v>45344</v>
      </c>
      <c r="D10104" t="inlineStr">
        <is>
          <t>GÄVLEBORGS LÄN</t>
        </is>
      </c>
      <c r="E10104" t="inlineStr">
        <is>
          <t>OCKELBO</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750-2024</t>
        </is>
      </c>
      <c r="B10105" s="1" t="n">
        <v>45300</v>
      </c>
      <c r="C10105" s="1" t="n">
        <v>45344</v>
      </c>
      <c r="D10105" t="inlineStr">
        <is>
          <t>GÄVLEBORGS LÄN</t>
        </is>
      </c>
      <c r="E10105" t="inlineStr">
        <is>
          <t>HUDIKSVALL</t>
        </is>
      </c>
      <c r="F10105" t="inlineStr">
        <is>
          <t>Holmen skog AB</t>
        </is>
      </c>
      <c r="G10105" t="n">
        <v>1.2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718-2024</t>
        </is>
      </c>
      <c r="B10106" s="1" t="n">
        <v>45300</v>
      </c>
      <c r="C10106" s="1" t="n">
        <v>45344</v>
      </c>
      <c r="D10106" t="inlineStr">
        <is>
          <t>GÄVLEBORGS LÄN</t>
        </is>
      </c>
      <c r="E10106" t="inlineStr">
        <is>
          <t>LJUSDAL</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838-2024</t>
        </is>
      </c>
      <c r="B10107" s="1" t="n">
        <v>45300</v>
      </c>
      <c r="C10107" s="1" t="n">
        <v>45344</v>
      </c>
      <c r="D10107" t="inlineStr">
        <is>
          <t>GÄVLEBORGS LÄN</t>
        </is>
      </c>
      <c r="E10107" t="inlineStr">
        <is>
          <t>OVANÅKER</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839-2024</t>
        </is>
      </c>
      <c r="B10108" s="1" t="n">
        <v>45300</v>
      </c>
      <c r="C10108" s="1" t="n">
        <v>45344</v>
      </c>
      <c r="D10108" t="inlineStr">
        <is>
          <t>GÄVLEBORGS LÄN</t>
        </is>
      </c>
      <c r="E10108" t="inlineStr">
        <is>
          <t>OVANÅKER</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840-2024</t>
        </is>
      </c>
      <c r="B10109" s="1" t="n">
        <v>45300</v>
      </c>
      <c r="C10109" s="1" t="n">
        <v>45344</v>
      </c>
      <c r="D10109" t="inlineStr">
        <is>
          <t>GÄVLEBORGS LÄN</t>
        </is>
      </c>
      <c r="E10109" t="inlineStr">
        <is>
          <t>OVANÅKER</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853-2024</t>
        </is>
      </c>
      <c r="B10110" s="1" t="n">
        <v>45300</v>
      </c>
      <c r="C10110" s="1" t="n">
        <v>45344</v>
      </c>
      <c r="D10110" t="inlineStr">
        <is>
          <t>GÄVLEBORGS LÄN</t>
        </is>
      </c>
      <c r="E10110" t="inlineStr">
        <is>
          <t>NORDANSTIG</t>
        </is>
      </c>
      <c r="G10110" t="n">
        <v>8.1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812-2024</t>
        </is>
      </c>
      <c r="B10111" s="1" t="n">
        <v>45300</v>
      </c>
      <c r="C10111" s="1" t="n">
        <v>45344</v>
      </c>
      <c r="D10111" t="inlineStr">
        <is>
          <t>GÄVLEBORGS LÄN</t>
        </is>
      </c>
      <c r="E10111" t="inlineStr">
        <is>
          <t>OCKELBO</t>
        </is>
      </c>
      <c r="G10111" t="n">
        <v>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943-2024</t>
        </is>
      </c>
      <c r="B10112" s="1" t="n">
        <v>45301</v>
      </c>
      <c r="C10112" s="1" t="n">
        <v>45344</v>
      </c>
      <c r="D10112" t="inlineStr">
        <is>
          <t>GÄVLEBORGS LÄN</t>
        </is>
      </c>
      <c r="E10112" t="inlineStr">
        <is>
          <t>OVANÅKER</t>
        </is>
      </c>
      <c r="G10112" t="n">
        <v>2.9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921-2024</t>
        </is>
      </c>
      <c r="B10113" s="1" t="n">
        <v>45301</v>
      </c>
      <c r="C10113" s="1" t="n">
        <v>45344</v>
      </c>
      <c r="D10113" t="inlineStr">
        <is>
          <t>GÄVLEBORGS LÄN</t>
        </is>
      </c>
      <c r="E10113" t="inlineStr">
        <is>
          <t>OCKELBO</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884-2024</t>
        </is>
      </c>
      <c r="B10114" s="1" t="n">
        <v>45301</v>
      </c>
      <c r="C10114" s="1" t="n">
        <v>45344</v>
      </c>
      <c r="D10114" t="inlineStr">
        <is>
          <t>GÄVLEBORGS LÄN</t>
        </is>
      </c>
      <c r="E10114" t="inlineStr">
        <is>
          <t>NORDANSTIG</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904-2024</t>
        </is>
      </c>
      <c r="B10115" s="1" t="n">
        <v>45301</v>
      </c>
      <c r="C10115" s="1" t="n">
        <v>45344</v>
      </c>
      <c r="D10115" t="inlineStr">
        <is>
          <t>GÄVLEBORGS LÄN</t>
        </is>
      </c>
      <c r="E10115" t="inlineStr">
        <is>
          <t>OCKELBO</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1059-2024</t>
        </is>
      </c>
      <c r="B10116" s="1" t="n">
        <v>45301</v>
      </c>
      <c r="C10116" s="1" t="n">
        <v>45344</v>
      </c>
      <c r="D10116" t="inlineStr">
        <is>
          <t>GÄVLEBORGS LÄN</t>
        </is>
      </c>
      <c r="E10116" t="inlineStr">
        <is>
          <t>GÄVLE</t>
        </is>
      </c>
      <c r="G10116" t="n">
        <v>11.1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1033-2024</t>
        </is>
      </c>
      <c r="B10117" s="1" t="n">
        <v>45301</v>
      </c>
      <c r="C10117" s="1" t="n">
        <v>45344</v>
      </c>
      <c r="D10117" t="inlineStr">
        <is>
          <t>GÄVLEBORGS LÄN</t>
        </is>
      </c>
      <c r="E10117" t="inlineStr">
        <is>
          <t>LJUSDAL</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1151-2024</t>
        </is>
      </c>
      <c r="B10118" s="1" t="n">
        <v>45302</v>
      </c>
      <c r="C10118" s="1" t="n">
        <v>45344</v>
      </c>
      <c r="D10118" t="inlineStr">
        <is>
          <t>GÄVLEBORGS LÄN</t>
        </is>
      </c>
      <c r="E10118" t="inlineStr">
        <is>
          <t>HOFORS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1155-2024</t>
        </is>
      </c>
      <c r="B10119" s="1" t="n">
        <v>45302</v>
      </c>
      <c r="C10119" s="1" t="n">
        <v>45344</v>
      </c>
      <c r="D10119" t="inlineStr">
        <is>
          <t>GÄVLEBORGS LÄN</t>
        </is>
      </c>
      <c r="E10119" t="inlineStr">
        <is>
          <t>HOFORS</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1092-2024</t>
        </is>
      </c>
      <c r="B10120" s="1" t="n">
        <v>45302</v>
      </c>
      <c r="C10120" s="1" t="n">
        <v>45344</v>
      </c>
      <c r="D10120" t="inlineStr">
        <is>
          <t>GÄVLEBORGS LÄN</t>
        </is>
      </c>
      <c r="E10120" t="inlineStr">
        <is>
          <t>OCKELBO</t>
        </is>
      </c>
      <c r="F10120" t="inlineStr">
        <is>
          <t>Bergvik skog väst AB</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1104-2024</t>
        </is>
      </c>
      <c r="B10121" s="1" t="n">
        <v>45302</v>
      </c>
      <c r="C10121" s="1" t="n">
        <v>45344</v>
      </c>
      <c r="D10121" t="inlineStr">
        <is>
          <t>GÄVLEBORGS LÄN</t>
        </is>
      </c>
      <c r="E10121" t="inlineStr">
        <is>
          <t>GÄVLE</t>
        </is>
      </c>
      <c r="F10121" t="inlineStr">
        <is>
          <t>Bergvik skog väst AB</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1149-2024</t>
        </is>
      </c>
      <c r="B10122" s="1" t="n">
        <v>45302</v>
      </c>
      <c r="C10122" s="1" t="n">
        <v>45344</v>
      </c>
      <c r="D10122" t="inlineStr">
        <is>
          <t>GÄVLEBORGS LÄN</t>
        </is>
      </c>
      <c r="E10122" t="inlineStr">
        <is>
          <t>HOFORS</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1105-2024</t>
        </is>
      </c>
      <c r="B10123" s="1" t="n">
        <v>45302</v>
      </c>
      <c r="C10123" s="1" t="n">
        <v>45344</v>
      </c>
      <c r="D10123" t="inlineStr">
        <is>
          <t>GÄVLEBORGS LÄN</t>
        </is>
      </c>
      <c r="E10123" t="inlineStr">
        <is>
          <t>OVANÅKER</t>
        </is>
      </c>
      <c r="G10123" t="n">
        <v>2.3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1121-2024</t>
        </is>
      </c>
      <c r="B10124" s="1" t="n">
        <v>45302</v>
      </c>
      <c r="C10124" s="1" t="n">
        <v>45344</v>
      </c>
      <c r="D10124" t="inlineStr">
        <is>
          <t>GÄVLEBORGS LÄN</t>
        </is>
      </c>
      <c r="E10124" t="inlineStr">
        <is>
          <t>GÄVLE</t>
        </is>
      </c>
      <c r="F10124" t="inlineStr">
        <is>
          <t>Bergvik skog öst AB</t>
        </is>
      </c>
      <c r="G10124" t="n">
        <v>14.6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1162-2024</t>
        </is>
      </c>
      <c r="B10125" s="1" t="n">
        <v>45302</v>
      </c>
      <c r="C10125" s="1" t="n">
        <v>45344</v>
      </c>
      <c r="D10125" t="inlineStr">
        <is>
          <t>GÄVLEBORGS LÄN</t>
        </is>
      </c>
      <c r="E10125" t="inlineStr">
        <is>
          <t>SANDVIKEN</t>
        </is>
      </c>
      <c r="G10125" t="n">
        <v>3.4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1183-2024</t>
        </is>
      </c>
      <c r="B10126" s="1" t="n">
        <v>45302</v>
      </c>
      <c r="C10126" s="1" t="n">
        <v>45344</v>
      </c>
      <c r="D10126" t="inlineStr">
        <is>
          <t>GÄVLEBORGS LÄN</t>
        </is>
      </c>
      <c r="E10126" t="inlineStr">
        <is>
          <t>BOLLNÄS</t>
        </is>
      </c>
      <c r="G10126" t="n">
        <v>3.7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1213-2024</t>
        </is>
      </c>
      <c r="B10127" s="1" t="n">
        <v>45302</v>
      </c>
      <c r="C10127" s="1" t="n">
        <v>45344</v>
      </c>
      <c r="D10127" t="inlineStr">
        <is>
          <t>GÄVLEBORGS LÄN</t>
        </is>
      </c>
      <c r="E10127" t="inlineStr">
        <is>
          <t>BOLLNÄS</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1144-2024</t>
        </is>
      </c>
      <c r="B10128" s="1" t="n">
        <v>45302</v>
      </c>
      <c r="C10128" s="1" t="n">
        <v>45344</v>
      </c>
      <c r="D10128" t="inlineStr">
        <is>
          <t>GÄVLEBORGS LÄN</t>
        </is>
      </c>
      <c r="E10128" t="inlineStr">
        <is>
          <t>HOFORS</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1156-2024</t>
        </is>
      </c>
      <c r="B10129" s="1" t="n">
        <v>45302</v>
      </c>
      <c r="C10129" s="1" t="n">
        <v>45344</v>
      </c>
      <c r="D10129" t="inlineStr">
        <is>
          <t>GÄVLEBORGS LÄN</t>
        </is>
      </c>
      <c r="E10129" t="inlineStr">
        <is>
          <t>SANDVIKEN</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1198-2024</t>
        </is>
      </c>
      <c r="B10130" s="1" t="n">
        <v>45302</v>
      </c>
      <c r="C10130" s="1" t="n">
        <v>45344</v>
      </c>
      <c r="D10130" t="inlineStr">
        <is>
          <t>GÄVLEBORGS LÄN</t>
        </is>
      </c>
      <c r="E10130" t="inlineStr">
        <is>
          <t>OVANÅKER</t>
        </is>
      </c>
      <c r="F10130" t="inlineStr">
        <is>
          <t>Bergvik skog väst AB</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1406-2024</t>
        </is>
      </c>
      <c r="B10131" s="1" t="n">
        <v>45303</v>
      </c>
      <c r="C10131" s="1" t="n">
        <v>45344</v>
      </c>
      <c r="D10131" t="inlineStr">
        <is>
          <t>GÄVLEBORGS LÄN</t>
        </is>
      </c>
      <c r="E10131" t="inlineStr">
        <is>
          <t>OVANÅKER</t>
        </is>
      </c>
      <c r="G10131" t="n">
        <v>0.8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1392-2024</t>
        </is>
      </c>
      <c r="B10132" s="1" t="n">
        <v>45303</v>
      </c>
      <c r="C10132" s="1" t="n">
        <v>45344</v>
      </c>
      <c r="D10132" t="inlineStr">
        <is>
          <t>GÄVLEBORGS LÄN</t>
        </is>
      </c>
      <c r="E10132" t="inlineStr">
        <is>
          <t>SANDVIKEN</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1408-2024</t>
        </is>
      </c>
      <c r="B10133" s="1" t="n">
        <v>45303</v>
      </c>
      <c r="C10133" s="1" t="n">
        <v>45344</v>
      </c>
      <c r="D10133" t="inlineStr">
        <is>
          <t>GÄVLEBORGS LÄN</t>
        </is>
      </c>
      <c r="E10133" t="inlineStr">
        <is>
          <t>SANDVIKEN</t>
        </is>
      </c>
      <c r="G10133" t="n">
        <v>4.1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1294-2024</t>
        </is>
      </c>
      <c r="B10134" s="1" t="n">
        <v>45303</v>
      </c>
      <c r="C10134" s="1" t="n">
        <v>45344</v>
      </c>
      <c r="D10134" t="inlineStr">
        <is>
          <t>GÄVLEBORGS LÄN</t>
        </is>
      </c>
      <c r="E10134" t="inlineStr">
        <is>
          <t>HUDIKSVALL</t>
        </is>
      </c>
      <c r="G10134" t="n">
        <v>0.2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1297-2024</t>
        </is>
      </c>
      <c r="B10135" s="1" t="n">
        <v>45303</v>
      </c>
      <c r="C10135" s="1" t="n">
        <v>45344</v>
      </c>
      <c r="D10135" t="inlineStr">
        <is>
          <t>GÄVLEBORGS LÄN</t>
        </is>
      </c>
      <c r="E10135" t="inlineStr">
        <is>
          <t>HUDIKSVALL</t>
        </is>
      </c>
      <c r="F10135" t="inlineStr">
        <is>
          <t>Holmen skog AB</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1351-2024</t>
        </is>
      </c>
      <c r="B10136" s="1" t="n">
        <v>45303</v>
      </c>
      <c r="C10136" s="1" t="n">
        <v>45344</v>
      </c>
      <c r="D10136" t="inlineStr">
        <is>
          <t>GÄVLEBORGS LÄN</t>
        </is>
      </c>
      <c r="E10136" t="inlineStr">
        <is>
          <t>NORDANSTIG</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1335-2024</t>
        </is>
      </c>
      <c r="B10137" s="1" t="n">
        <v>45303</v>
      </c>
      <c r="C10137" s="1" t="n">
        <v>45344</v>
      </c>
      <c r="D10137" t="inlineStr">
        <is>
          <t>GÄVLEBORGS LÄN</t>
        </is>
      </c>
      <c r="E10137" t="inlineStr">
        <is>
          <t>LJUSDAL</t>
        </is>
      </c>
      <c r="G10137" t="n">
        <v>13.8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1331-2024</t>
        </is>
      </c>
      <c r="B10138" s="1" t="n">
        <v>45303</v>
      </c>
      <c r="C10138" s="1" t="n">
        <v>45344</v>
      </c>
      <c r="D10138" t="inlineStr">
        <is>
          <t>GÄVLEBORGS LÄN</t>
        </is>
      </c>
      <c r="E10138" t="inlineStr">
        <is>
          <t>LJUSDAL</t>
        </is>
      </c>
      <c r="G10138" t="n">
        <v>39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1327-2024</t>
        </is>
      </c>
      <c r="B10139" s="1" t="n">
        <v>45303</v>
      </c>
      <c r="C10139" s="1" t="n">
        <v>45344</v>
      </c>
      <c r="D10139" t="inlineStr">
        <is>
          <t>GÄVLEBORGS LÄN</t>
        </is>
      </c>
      <c r="E10139" t="inlineStr">
        <is>
          <t>NORDANSTIG</t>
        </is>
      </c>
      <c r="G10139" t="n">
        <v>2.2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1283-2024</t>
        </is>
      </c>
      <c r="B10140" s="1" t="n">
        <v>45303</v>
      </c>
      <c r="C10140" s="1" t="n">
        <v>45344</v>
      </c>
      <c r="D10140" t="inlineStr">
        <is>
          <t>GÄVLEBORGS LÄN</t>
        </is>
      </c>
      <c r="E10140" t="inlineStr">
        <is>
          <t>BOLLNÄS</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1409-2024</t>
        </is>
      </c>
      <c r="B10141" s="1" t="n">
        <v>45303</v>
      </c>
      <c r="C10141" s="1" t="n">
        <v>45344</v>
      </c>
      <c r="D10141" t="inlineStr">
        <is>
          <t>GÄVLEBORGS LÄN</t>
        </is>
      </c>
      <c r="E10141" t="inlineStr">
        <is>
          <t>HUDIKSVALL</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1405-2024</t>
        </is>
      </c>
      <c r="B10142" s="1" t="n">
        <v>45303</v>
      </c>
      <c r="C10142" s="1" t="n">
        <v>45344</v>
      </c>
      <c r="D10142" t="inlineStr">
        <is>
          <t>GÄVLEBORGS LÄN</t>
        </is>
      </c>
      <c r="E10142" t="inlineStr">
        <is>
          <t>OVANÅKER</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1308-2024</t>
        </is>
      </c>
      <c r="B10143" s="1" t="n">
        <v>45303</v>
      </c>
      <c r="C10143" s="1" t="n">
        <v>45344</v>
      </c>
      <c r="D10143" t="inlineStr">
        <is>
          <t>GÄVLEBORGS LÄN</t>
        </is>
      </c>
      <c r="E10143" t="inlineStr">
        <is>
          <t>NORDANSTIG</t>
        </is>
      </c>
      <c r="G10143" t="n">
        <v>20.6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1296-2024</t>
        </is>
      </c>
      <c r="B10144" s="1" t="n">
        <v>45303</v>
      </c>
      <c r="C10144" s="1" t="n">
        <v>45344</v>
      </c>
      <c r="D10144" t="inlineStr">
        <is>
          <t>GÄVLEBORGS LÄN</t>
        </is>
      </c>
      <c r="E10144" t="inlineStr">
        <is>
          <t>GÄVLE</t>
        </is>
      </c>
      <c r="F10144" t="inlineStr">
        <is>
          <t>Bergvik skog öst AB</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1526-2024</t>
        </is>
      </c>
      <c r="B10145" s="1" t="n">
        <v>45306</v>
      </c>
      <c r="C10145" s="1" t="n">
        <v>45344</v>
      </c>
      <c r="D10145" t="inlineStr">
        <is>
          <t>GÄVLEBORGS LÄN</t>
        </is>
      </c>
      <c r="E10145" t="inlineStr">
        <is>
          <t>NORDANSTIG</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1530-2024</t>
        </is>
      </c>
      <c r="B10146" s="1" t="n">
        <v>45306</v>
      </c>
      <c r="C10146" s="1" t="n">
        <v>45344</v>
      </c>
      <c r="D10146" t="inlineStr">
        <is>
          <t>GÄVLEBORGS LÄN</t>
        </is>
      </c>
      <c r="E10146" t="inlineStr">
        <is>
          <t>OVANÅKER</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1505-2024</t>
        </is>
      </c>
      <c r="B10147" s="1" t="n">
        <v>45306</v>
      </c>
      <c r="C10147" s="1" t="n">
        <v>45344</v>
      </c>
      <c r="D10147" t="inlineStr">
        <is>
          <t>GÄVLEBORGS LÄN</t>
        </is>
      </c>
      <c r="E10147" t="inlineStr">
        <is>
          <t>OVANÅKER</t>
        </is>
      </c>
      <c r="G10147" t="n">
        <v>2.6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1525-2024</t>
        </is>
      </c>
      <c r="B10148" s="1" t="n">
        <v>45306</v>
      </c>
      <c r="C10148" s="1" t="n">
        <v>45344</v>
      </c>
      <c r="D10148" t="inlineStr">
        <is>
          <t>GÄVLEBORGS LÄN</t>
        </is>
      </c>
      <c r="E10148" t="inlineStr">
        <is>
          <t>NORDANSTIG</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1532-2024</t>
        </is>
      </c>
      <c r="B10149" s="1" t="n">
        <v>45306</v>
      </c>
      <c r="C10149" s="1" t="n">
        <v>45344</v>
      </c>
      <c r="D10149" t="inlineStr">
        <is>
          <t>GÄVLEBORGS LÄN</t>
        </is>
      </c>
      <c r="E10149" t="inlineStr">
        <is>
          <t>NORDANSTIG</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1570-2024</t>
        </is>
      </c>
      <c r="B10150" s="1" t="n">
        <v>45306</v>
      </c>
      <c r="C10150" s="1" t="n">
        <v>45344</v>
      </c>
      <c r="D10150" t="inlineStr">
        <is>
          <t>GÄVLEBORGS LÄN</t>
        </is>
      </c>
      <c r="E10150" t="inlineStr">
        <is>
          <t>OVANÅKER</t>
        </is>
      </c>
      <c r="G10150" t="n">
        <v>2.7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1573-2024</t>
        </is>
      </c>
      <c r="B10151" s="1" t="n">
        <v>45306</v>
      </c>
      <c r="C10151" s="1" t="n">
        <v>45344</v>
      </c>
      <c r="D10151" t="inlineStr">
        <is>
          <t>GÄVLEBORGS LÄN</t>
        </is>
      </c>
      <c r="E10151" t="inlineStr">
        <is>
          <t>HUDIKSVALL</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1594-2024</t>
        </is>
      </c>
      <c r="B10152" s="1" t="n">
        <v>45306</v>
      </c>
      <c r="C10152" s="1" t="n">
        <v>45344</v>
      </c>
      <c r="D10152" t="inlineStr">
        <is>
          <t>GÄVLEBORGS LÄN</t>
        </is>
      </c>
      <c r="E10152" t="inlineStr">
        <is>
          <t>GÄVLE</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1606-2024</t>
        </is>
      </c>
      <c r="B10153" s="1" t="n">
        <v>45306</v>
      </c>
      <c r="C10153" s="1" t="n">
        <v>45344</v>
      </c>
      <c r="D10153" t="inlineStr">
        <is>
          <t>GÄVLEBORGS LÄN</t>
        </is>
      </c>
      <c r="E10153" t="inlineStr">
        <is>
          <t>HOFORS</t>
        </is>
      </c>
      <c r="G10153" t="n">
        <v>4.2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1618-2024</t>
        </is>
      </c>
      <c r="B10154" s="1" t="n">
        <v>45306</v>
      </c>
      <c r="C10154" s="1" t="n">
        <v>45344</v>
      </c>
      <c r="D10154" t="inlineStr">
        <is>
          <t>GÄVLEBORGS LÄN</t>
        </is>
      </c>
      <c r="E10154" t="inlineStr">
        <is>
          <t>LJUSDAL</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1642-2024</t>
        </is>
      </c>
      <c r="B10155" s="1" t="n">
        <v>45306</v>
      </c>
      <c r="C10155" s="1" t="n">
        <v>45344</v>
      </c>
      <c r="D10155" t="inlineStr">
        <is>
          <t>GÄVLEBORGS LÄN</t>
        </is>
      </c>
      <c r="E10155" t="inlineStr">
        <is>
          <t>BOLLNÄS</t>
        </is>
      </c>
      <c r="G10155" t="n">
        <v>0.8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1632-2024</t>
        </is>
      </c>
      <c r="B10156" s="1" t="n">
        <v>45306</v>
      </c>
      <c r="C10156" s="1" t="n">
        <v>45344</v>
      </c>
      <c r="D10156" t="inlineStr">
        <is>
          <t>GÄVLEBORGS LÄN</t>
        </is>
      </c>
      <c r="E10156" t="inlineStr">
        <is>
          <t>OVANÅKER</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1603-2024</t>
        </is>
      </c>
      <c r="B10157" s="1" t="n">
        <v>45306</v>
      </c>
      <c r="C10157" s="1" t="n">
        <v>45344</v>
      </c>
      <c r="D10157" t="inlineStr">
        <is>
          <t>GÄVLEBORGS LÄN</t>
        </is>
      </c>
      <c r="E10157" t="inlineStr">
        <is>
          <t>HUDIKSVALL</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1635-2024</t>
        </is>
      </c>
      <c r="B10158" s="1" t="n">
        <v>45306</v>
      </c>
      <c r="C10158" s="1" t="n">
        <v>45344</v>
      </c>
      <c r="D10158" t="inlineStr">
        <is>
          <t>GÄVLEBORGS LÄN</t>
        </is>
      </c>
      <c r="E10158" t="inlineStr">
        <is>
          <t>OVANÅKER</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1639-2024</t>
        </is>
      </c>
      <c r="B10159" s="1" t="n">
        <v>45306</v>
      </c>
      <c r="C10159" s="1" t="n">
        <v>45344</v>
      </c>
      <c r="D10159" t="inlineStr">
        <is>
          <t>GÄVLEBORGS LÄN</t>
        </is>
      </c>
      <c r="E10159" t="inlineStr">
        <is>
          <t>OVANÅKER</t>
        </is>
      </c>
      <c r="G10159" t="n">
        <v>7.7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1655-2024</t>
        </is>
      </c>
      <c r="B10160" s="1" t="n">
        <v>45306</v>
      </c>
      <c r="C10160" s="1" t="n">
        <v>45344</v>
      </c>
      <c r="D10160" t="inlineStr">
        <is>
          <t>GÄVLEBORGS LÄN</t>
        </is>
      </c>
      <c r="E10160" t="inlineStr">
        <is>
          <t>BOLLNÄS</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1883-2024</t>
        </is>
      </c>
      <c r="B10161" s="1" t="n">
        <v>45308</v>
      </c>
      <c r="C10161" s="1" t="n">
        <v>45344</v>
      </c>
      <c r="D10161" t="inlineStr">
        <is>
          <t>GÄVLEBORGS LÄN</t>
        </is>
      </c>
      <c r="E10161" t="inlineStr">
        <is>
          <t>GÄVLE</t>
        </is>
      </c>
      <c r="G10161" t="n">
        <v>14.5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1820-2024</t>
        </is>
      </c>
      <c r="B10162" s="1" t="n">
        <v>45307</v>
      </c>
      <c r="C10162" s="1" t="n">
        <v>45344</v>
      </c>
      <c r="D10162" t="inlineStr">
        <is>
          <t>GÄVLEBORGS LÄN</t>
        </is>
      </c>
      <c r="E10162" t="inlineStr">
        <is>
          <t>LJUSDAL</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1771-2024</t>
        </is>
      </c>
      <c r="B10163" s="1" t="n">
        <v>45307</v>
      </c>
      <c r="C10163" s="1" t="n">
        <v>45344</v>
      </c>
      <c r="D10163" t="inlineStr">
        <is>
          <t>GÄVLEBORGS LÄN</t>
        </is>
      </c>
      <c r="E10163" t="inlineStr">
        <is>
          <t>HUDIKSVALL</t>
        </is>
      </c>
      <c r="G10163" t="n">
        <v>1.7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1805-2024</t>
        </is>
      </c>
      <c r="B10164" s="1" t="n">
        <v>45307</v>
      </c>
      <c r="C10164" s="1" t="n">
        <v>45344</v>
      </c>
      <c r="D10164" t="inlineStr">
        <is>
          <t>GÄVLEBORGS LÄN</t>
        </is>
      </c>
      <c r="E10164" t="inlineStr">
        <is>
          <t>HOFORS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1759-2024</t>
        </is>
      </c>
      <c r="B10165" s="1" t="n">
        <v>45307</v>
      </c>
      <c r="C10165" s="1" t="n">
        <v>45344</v>
      </c>
      <c r="D10165" t="inlineStr">
        <is>
          <t>GÄVLEBORGS LÄN</t>
        </is>
      </c>
      <c r="E10165" t="inlineStr">
        <is>
          <t>BOLLNÄS</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1735-2024</t>
        </is>
      </c>
      <c r="B10166" s="1" t="n">
        <v>45307</v>
      </c>
      <c r="C10166" s="1" t="n">
        <v>45344</v>
      </c>
      <c r="D10166" t="inlineStr">
        <is>
          <t>GÄVLEBORGS LÄN</t>
        </is>
      </c>
      <c r="E10166" t="inlineStr">
        <is>
          <t>BOLLNÄS</t>
        </is>
      </c>
      <c r="G10166" t="n">
        <v>9.9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1731-2024</t>
        </is>
      </c>
      <c r="B10167" s="1" t="n">
        <v>45307</v>
      </c>
      <c r="C10167" s="1" t="n">
        <v>45344</v>
      </c>
      <c r="D10167" t="inlineStr">
        <is>
          <t>GÄVLEBORGS LÄN</t>
        </is>
      </c>
      <c r="E10167" t="inlineStr">
        <is>
          <t>OVANÅKER</t>
        </is>
      </c>
      <c r="F10167" t="inlineStr">
        <is>
          <t>Bergvik skog öst AB</t>
        </is>
      </c>
      <c r="G10167" t="n">
        <v>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1728-2024</t>
        </is>
      </c>
      <c r="B10168" s="1" t="n">
        <v>45307</v>
      </c>
      <c r="C10168" s="1" t="n">
        <v>45344</v>
      </c>
      <c r="D10168" t="inlineStr">
        <is>
          <t>GÄVLEBORGS LÄN</t>
        </is>
      </c>
      <c r="E10168" t="inlineStr">
        <is>
          <t>BOLLNÄS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1882-2024</t>
        </is>
      </c>
      <c r="B10169" s="1" t="n">
        <v>45308</v>
      </c>
      <c r="C10169" s="1" t="n">
        <v>45344</v>
      </c>
      <c r="D10169" t="inlineStr">
        <is>
          <t>GÄVLEBORGS LÄN</t>
        </is>
      </c>
      <c r="E10169" t="inlineStr">
        <is>
          <t>GÄVLE</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1893-2024</t>
        </is>
      </c>
      <c r="B10170" s="1" t="n">
        <v>45308</v>
      </c>
      <c r="C10170" s="1" t="n">
        <v>45344</v>
      </c>
      <c r="D10170" t="inlineStr">
        <is>
          <t>GÄVLEBORGS LÄN</t>
        </is>
      </c>
      <c r="E10170" t="inlineStr">
        <is>
          <t>HOFORS</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1907-2024</t>
        </is>
      </c>
      <c r="B10171" s="1" t="n">
        <v>45308</v>
      </c>
      <c r="C10171" s="1" t="n">
        <v>45344</v>
      </c>
      <c r="D10171" t="inlineStr">
        <is>
          <t>GÄVLEBORGS LÄN</t>
        </is>
      </c>
      <c r="E10171" t="inlineStr">
        <is>
          <t>OVANÅKER</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1892-2024</t>
        </is>
      </c>
      <c r="B10172" s="1" t="n">
        <v>45308</v>
      </c>
      <c r="C10172" s="1" t="n">
        <v>45344</v>
      </c>
      <c r="D10172" t="inlineStr">
        <is>
          <t>GÄVLEBORGS LÄN</t>
        </is>
      </c>
      <c r="E10172" t="inlineStr">
        <is>
          <t>OVANÅKER</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2113-2024</t>
        </is>
      </c>
      <c r="B10173" s="1" t="n">
        <v>45309</v>
      </c>
      <c r="C10173" s="1" t="n">
        <v>45344</v>
      </c>
      <c r="D10173" t="inlineStr">
        <is>
          <t>GÄVLEBORGS LÄN</t>
        </is>
      </c>
      <c r="E10173" t="inlineStr">
        <is>
          <t>SANDVIKEN</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2117-2024</t>
        </is>
      </c>
      <c r="B10174" s="1" t="n">
        <v>45309</v>
      </c>
      <c r="C10174" s="1" t="n">
        <v>45344</v>
      </c>
      <c r="D10174" t="inlineStr">
        <is>
          <t>GÄVLEBORGS LÄN</t>
        </is>
      </c>
      <c r="E10174" t="inlineStr">
        <is>
          <t>SANDVIKEN</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2125-2024</t>
        </is>
      </c>
      <c r="B10175" s="1" t="n">
        <v>45309</v>
      </c>
      <c r="C10175" s="1" t="n">
        <v>45344</v>
      </c>
      <c r="D10175" t="inlineStr">
        <is>
          <t>GÄVLEBORGS LÄN</t>
        </is>
      </c>
      <c r="E10175" t="inlineStr">
        <is>
          <t>HUDIKSVALL</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2120-2024</t>
        </is>
      </c>
      <c r="B10176" s="1" t="n">
        <v>45309</v>
      </c>
      <c r="C10176" s="1" t="n">
        <v>45344</v>
      </c>
      <c r="D10176" t="inlineStr">
        <is>
          <t>GÄVLEBORGS LÄN</t>
        </is>
      </c>
      <c r="E10176" t="inlineStr">
        <is>
          <t>HUDIKSVALL</t>
        </is>
      </c>
      <c r="F10176" t="inlineStr">
        <is>
          <t>Holmen skog AB</t>
        </is>
      </c>
      <c r="G10176" t="n">
        <v>10.9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2141-2024</t>
        </is>
      </c>
      <c r="B10177" s="1" t="n">
        <v>45309</v>
      </c>
      <c r="C10177" s="1" t="n">
        <v>45344</v>
      </c>
      <c r="D10177" t="inlineStr">
        <is>
          <t>GÄVLEBORGS LÄN</t>
        </is>
      </c>
      <c r="E10177" t="inlineStr">
        <is>
          <t>NORDANSTIG</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2160-2024</t>
        </is>
      </c>
      <c r="B10178" s="1" t="n">
        <v>45309</v>
      </c>
      <c r="C10178" s="1" t="n">
        <v>45344</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2074-2024</t>
        </is>
      </c>
      <c r="B10179" s="1" t="n">
        <v>45309</v>
      </c>
      <c r="C10179" s="1" t="n">
        <v>45344</v>
      </c>
      <c r="D10179" t="inlineStr">
        <is>
          <t>GÄVLEBORGS LÄN</t>
        </is>
      </c>
      <c r="E10179" t="inlineStr">
        <is>
          <t>LJUSDAL</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2123-2024</t>
        </is>
      </c>
      <c r="B10180" s="1" t="n">
        <v>45309</v>
      </c>
      <c r="C10180" s="1" t="n">
        <v>45344</v>
      </c>
      <c r="D10180" t="inlineStr">
        <is>
          <t>GÄVLEBORGS LÄN</t>
        </is>
      </c>
      <c r="E10180" t="inlineStr">
        <is>
          <t>SANDVIKEN</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2127-2024</t>
        </is>
      </c>
      <c r="B10181" s="1" t="n">
        <v>45309</v>
      </c>
      <c r="C10181" s="1" t="n">
        <v>45344</v>
      </c>
      <c r="D10181" t="inlineStr">
        <is>
          <t>GÄVLEBORGS LÄN</t>
        </is>
      </c>
      <c r="E10181" t="inlineStr">
        <is>
          <t>HUDIKSVALL</t>
        </is>
      </c>
      <c r="F10181" t="inlineStr">
        <is>
          <t>Holmen skog AB</t>
        </is>
      </c>
      <c r="G10181" t="n">
        <v>3.1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2149-2024</t>
        </is>
      </c>
      <c r="B10182" s="1" t="n">
        <v>45309</v>
      </c>
      <c r="C10182" s="1" t="n">
        <v>45344</v>
      </c>
      <c r="D10182" t="inlineStr">
        <is>
          <t>GÄVLEBORGS LÄN</t>
        </is>
      </c>
      <c r="E10182" t="inlineStr">
        <is>
          <t>NORDANSTIG</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2254-2024</t>
        </is>
      </c>
      <c r="B10183" s="1" t="n">
        <v>45310</v>
      </c>
      <c r="C10183" s="1" t="n">
        <v>45344</v>
      </c>
      <c r="D10183" t="inlineStr">
        <is>
          <t>GÄVLEBORGS LÄN</t>
        </is>
      </c>
      <c r="E10183" t="inlineStr">
        <is>
          <t>BOLLNÄS</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2303-2024</t>
        </is>
      </c>
      <c r="B10184" s="1" t="n">
        <v>45310</v>
      </c>
      <c r="C10184" s="1" t="n">
        <v>45344</v>
      </c>
      <c r="D10184" t="inlineStr">
        <is>
          <t>GÄVLEBORGS LÄN</t>
        </is>
      </c>
      <c r="E10184" t="inlineStr">
        <is>
          <t>OVANÅKER</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2311-2024</t>
        </is>
      </c>
      <c r="B10185" s="1" t="n">
        <v>45310</v>
      </c>
      <c r="C10185" s="1" t="n">
        <v>45344</v>
      </c>
      <c r="D10185" t="inlineStr">
        <is>
          <t>GÄVLEBORGS LÄN</t>
        </is>
      </c>
      <c r="E10185" t="inlineStr">
        <is>
          <t>BOLLNÄS</t>
        </is>
      </c>
      <c r="F10185" t="inlineStr">
        <is>
          <t>Övriga statliga verk och myndigheter</t>
        </is>
      </c>
      <c r="G10185" t="n">
        <v>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2297-2024</t>
        </is>
      </c>
      <c r="B10186" s="1" t="n">
        <v>45310</v>
      </c>
      <c r="C10186" s="1" t="n">
        <v>45344</v>
      </c>
      <c r="D10186" t="inlineStr">
        <is>
          <t>GÄVLEBORGS LÄN</t>
        </is>
      </c>
      <c r="E10186" t="inlineStr">
        <is>
          <t>BOLLNÄS</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2348-2024</t>
        </is>
      </c>
      <c r="B10187" s="1" t="n">
        <v>45310</v>
      </c>
      <c r="C10187" s="1" t="n">
        <v>45344</v>
      </c>
      <c r="D10187" t="inlineStr">
        <is>
          <t>GÄVLEBORGS LÄN</t>
        </is>
      </c>
      <c r="E10187" t="inlineStr">
        <is>
          <t>BOLLNÄS</t>
        </is>
      </c>
      <c r="G10187" t="n">
        <v>0.4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2345-2024</t>
        </is>
      </c>
      <c r="B10188" s="1" t="n">
        <v>45310</v>
      </c>
      <c r="C10188" s="1" t="n">
        <v>45344</v>
      </c>
      <c r="D10188" t="inlineStr">
        <is>
          <t>GÄVLEBORGS LÄN</t>
        </is>
      </c>
      <c r="E10188" t="inlineStr">
        <is>
          <t>BOLLNÄS</t>
        </is>
      </c>
      <c r="G10188" t="n">
        <v>0.5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2367-2024</t>
        </is>
      </c>
      <c r="B10189" s="1" t="n">
        <v>45310</v>
      </c>
      <c r="C10189" s="1" t="n">
        <v>45344</v>
      </c>
      <c r="D10189" t="inlineStr">
        <is>
          <t>GÄVLEBORGS LÄN</t>
        </is>
      </c>
      <c r="E10189" t="inlineStr">
        <is>
          <t>LJUSDAL</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2396-2024</t>
        </is>
      </c>
      <c r="B10190" s="1" t="n">
        <v>45310</v>
      </c>
      <c r="C10190" s="1" t="n">
        <v>45344</v>
      </c>
      <c r="D10190" t="inlineStr">
        <is>
          <t>GÄVLEBORGS LÄN</t>
        </is>
      </c>
      <c r="E10190" t="inlineStr">
        <is>
          <t>LJUSDAL</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2416-2024</t>
        </is>
      </c>
      <c r="B10191" s="1" t="n">
        <v>45310</v>
      </c>
      <c r="C10191" s="1" t="n">
        <v>45344</v>
      </c>
      <c r="D10191" t="inlineStr">
        <is>
          <t>GÄVLEBORGS LÄN</t>
        </is>
      </c>
      <c r="E10191" t="inlineStr">
        <is>
          <t>HUDIKSVALL</t>
        </is>
      </c>
      <c r="G10191" t="n">
        <v>7.1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2418-2024</t>
        </is>
      </c>
      <c r="B10192" s="1" t="n">
        <v>45310</v>
      </c>
      <c r="C10192" s="1" t="n">
        <v>45344</v>
      </c>
      <c r="D10192" t="inlineStr">
        <is>
          <t>GÄVLEBORGS LÄN</t>
        </is>
      </c>
      <c r="E10192" t="inlineStr">
        <is>
          <t>HUDIKSVALL</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2458-2024</t>
        </is>
      </c>
      <c r="B10193" s="1" t="n">
        <v>45312</v>
      </c>
      <c r="C10193" s="1" t="n">
        <v>45344</v>
      </c>
      <c r="D10193" t="inlineStr">
        <is>
          <t>GÄVLEBORGS LÄN</t>
        </is>
      </c>
      <c r="E10193" t="inlineStr">
        <is>
          <t>GÄVLE</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2457-2024</t>
        </is>
      </c>
      <c r="B10194" s="1" t="n">
        <v>45312</v>
      </c>
      <c r="C10194" s="1" t="n">
        <v>45344</v>
      </c>
      <c r="D10194" t="inlineStr">
        <is>
          <t>GÄVLEBORGS LÄN</t>
        </is>
      </c>
      <c r="E10194" t="inlineStr">
        <is>
          <t>GÄVLE</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2461-2024</t>
        </is>
      </c>
      <c r="B10195" s="1" t="n">
        <v>45312</v>
      </c>
      <c r="C10195" s="1" t="n">
        <v>45344</v>
      </c>
      <c r="D10195" t="inlineStr">
        <is>
          <t>GÄVLEBORGS LÄN</t>
        </is>
      </c>
      <c r="E10195" t="inlineStr">
        <is>
          <t>GÄVLE</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2569-2024</t>
        </is>
      </c>
      <c r="B10196" s="1" t="n">
        <v>45313</v>
      </c>
      <c r="C10196" s="1" t="n">
        <v>45344</v>
      </c>
      <c r="D10196" t="inlineStr">
        <is>
          <t>GÄVLEBORGS LÄN</t>
        </is>
      </c>
      <c r="E10196" t="inlineStr">
        <is>
          <t>NORDANSTIG</t>
        </is>
      </c>
      <c r="G10196" t="n">
        <v>7.7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2573-2024</t>
        </is>
      </c>
      <c r="B10197" s="1" t="n">
        <v>45313</v>
      </c>
      <c r="C10197" s="1" t="n">
        <v>45344</v>
      </c>
      <c r="D10197" t="inlineStr">
        <is>
          <t>GÄVLEBORGS LÄN</t>
        </is>
      </c>
      <c r="E10197" t="inlineStr">
        <is>
          <t>NORDANSTIG</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2518-2024</t>
        </is>
      </c>
      <c r="B10198" s="1" t="n">
        <v>45313</v>
      </c>
      <c r="C10198" s="1" t="n">
        <v>45344</v>
      </c>
      <c r="D10198" t="inlineStr">
        <is>
          <t>GÄVLEBORGS LÄN</t>
        </is>
      </c>
      <c r="E10198" t="inlineStr">
        <is>
          <t>OCKELBO</t>
        </is>
      </c>
      <c r="G10198" t="n">
        <v>6.9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2566-2024</t>
        </is>
      </c>
      <c r="B10199" s="1" t="n">
        <v>45313</v>
      </c>
      <c r="C10199" s="1" t="n">
        <v>45344</v>
      </c>
      <c r="D10199" t="inlineStr">
        <is>
          <t>GÄVLEBORGS LÄN</t>
        </is>
      </c>
      <c r="E10199" t="inlineStr">
        <is>
          <t>NORDANSTIG</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2618-2024</t>
        </is>
      </c>
      <c r="B10200" s="1" t="n">
        <v>45313</v>
      </c>
      <c r="C10200" s="1" t="n">
        <v>45344</v>
      </c>
      <c r="D10200" t="inlineStr">
        <is>
          <t>GÄVLEBORGS LÄN</t>
        </is>
      </c>
      <c r="E10200" t="inlineStr">
        <is>
          <t>HUDIKSVALL</t>
        </is>
      </c>
      <c r="G10200" t="n">
        <v>3.6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2644-2024</t>
        </is>
      </c>
      <c r="B10201" s="1" t="n">
        <v>45314</v>
      </c>
      <c r="C10201" s="1" t="n">
        <v>45344</v>
      </c>
      <c r="D10201" t="inlineStr">
        <is>
          <t>GÄVLEBORGS LÄN</t>
        </is>
      </c>
      <c r="E10201" t="inlineStr">
        <is>
          <t>SÖDERHAMN</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2648-2024</t>
        </is>
      </c>
      <c r="B10202" s="1" t="n">
        <v>45314</v>
      </c>
      <c r="C10202" s="1" t="n">
        <v>45344</v>
      </c>
      <c r="D10202" t="inlineStr">
        <is>
          <t>GÄVLEBORGS LÄN</t>
        </is>
      </c>
      <c r="E10202" t="inlineStr">
        <is>
          <t>HUDIKSVALL</t>
        </is>
      </c>
      <c r="G10202" t="n">
        <v>3.2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2652-2024</t>
        </is>
      </c>
      <c r="B10203" s="1" t="n">
        <v>45314</v>
      </c>
      <c r="C10203" s="1" t="n">
        <v>45344</v>
      </c>
      <c r="D10203" t="inlineStr">
        <is>
          <t>GÄVLEBORGS LÄN</t>
        </is>
      </c>
      <c r="E10203" t="inlineStr">
        <is>
          <t>HUDIKSVALL</t>
        </is>
      </c>
      <c r="G10203" t="n">
        <v>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2656-2024</t>
        </is>
      </c>
      <c r="B10204" s="1" t="n">
        <v>45314</v>
      </c>
      <c r="C10204" s="1" t="n">
        <v>45344</v>
      </c>
      <c r="D10204" t="inlineStr">
        <is>
          <t>GÄVLEBORGS LÄN</t>
        </is>
      </c>
      <c r="E10204" t="inlineStr">
        <is>
          <t>HUDIKSVALL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2661-2024</t>
        </is>
      </c>
      <c r="B10205" s="1" t="n">
        <v>45314</v>
      </c>
      <c r="C10205" s="1" t="n">
        <v>45344</v>
      </c>
      <c r="D10205" t="inlineStr">
        <is>
          <t>GÄVLEBORGS LÄN</t>
        </is>
      </c>
      <c r="E10205" t="inlineStr">
        <is>
          <t>HUDIKSVALL</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2654-2024</t>
        </is>
      </c>
      <c r="B10206" s="1" t="n">
        <v>45314</v>
      </c>
      <c r="C10206" s="1" t="n">
        <v>45344</v>
      </c>
      <c r="D10206" t="inlineStr">
        <is>
          <t>GÄVLEBORGS LÄN</t>
        </is>
      </c>
      <c r="E10206" t="inlineStr">
        <is>
          <t>HUDIKSVALL</t>
        </is>
      </c>
      <c r="F10206" t="inlineStr">
        <is>
          <t>Holmen skog AB</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45344</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2651-2024</t>
        </is>
      </c>
      <c r="B10208" s="1" t="n">
        <v>45314</v>
      </c>
      <c r="C10208" s="1" t="n">
        <v>45344</v>
      </c>
      <c r="D10208" t="inlineStr">
        <is>
          <t>GÄVLEBORGS LÄN</t>
        </is>
      </c>
      <c r="E10208" t="inlineStr">
        <is>
          <t>HUDIKSVALL</t>
        </is>
      </c>
      <c r="F10208" t="inlineStr">
        <is>
          <t>Holmen skog AB</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45344</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2685-2024</t>
        </is>
      </c>
      <c r="B10210" s="1" t="n">
        <v>45314</v>
      </c>
      <c r="C10210" s="1" t="n">
        <v>45344</v>
      </c>
      <c r="D10210" t="inlineStr">
        <is>
          <t>GÄVLEBORGS LÄN</t>
        </is>
      </c>
      <c r="E10210" t="inlineStr">
        <is>
          <t>HUDIKSVALL</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2695-2024</t>
        </is>
      </c>
      <c r="B10211" s="1" t="n">
        <v>45314</v>
      </c>
      <c r="C10211" s="1" t="n">
        <v>45344</v>
      </c>
      <c r="D10211" t="inlineStr">
        <is>
          <t>GÄVLEBORGS LÄN</t>
        </is>
      </c>
      <c r="E10211" t="inlineStr">
        <is>
          <t>HUDIKSVALL</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2707-2024</t>
        </is>
      </c>
      <c r="B10212" s="1" t="n">
        <v>45314</v>
      </c>
      <c r="C10212" s="1" t="n">
        <v>45344</v>
      </c>
      <c r="D10212" t="inlineStr">
        <is>
          <t>GÄVLEBORGS LÄN</t>
        </is>
      </c>
      <c r="E10212" t="inlineStr">
        <is>
          <t>HUDIKSVALL</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2760-2024</t>
        </is>
      </c>
      <c r="B10213" s="1" t="n">
        <v>45314</v>
      </c>
      <c r="C10213" s="1" t="n">
        <v>45344</v>
      </c>
      <c r="D10213" t="inlineStr">
        <is>
          <t>GÄVLEBORGS LÄN</t>
        </is>
      </c>
      <c r="E10213" t="inlineStr">
        <is>
          <t>HUDIKSVALL</t>
        </is>
      </c>
      <c r="G10213" t="n">
        <v>2.4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2645-2024</t>
        </is>
      </c>
      <c r="B10214" s="1" t="n">
        <v>45314</v>
      </c>
      <c r="C10214" s="1" t="n">
        <v>45344</v>
      </c>
      <c r="D10214" t="inlineStr">
        <is>
          <t>GÄVLEBORGS LÄN</t>
        </is>
      </c>
      <c r="E10214" t="inlineStr">
        <is>
          <t>HUDIKSVALL</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2805-2024</t>
        </is>
      </c>
      <c r="B10215" s="1" t="n">
        <v>45314</v>
      </c>
      <c r="C10215" s="1" t="n">
        <v>45344</v>
      </c>
      <c r="D10215" t="inlineStr">
        <is>
          <t>GÄVLEBORGS LÄN</t>
        </is>
      </c>
      <c r="E10215" t="inlineStr">
        <is>
          <t>SANDVIKEN</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2912-2024</t>
        </is>
      </c>
      <c r="B10216" s="1" t="n">
        <v>45315</v>
      </c>
      <c r="C10216" s="1" t="n">
        <v>45344</v>
      </c>
      <c r="D10216" t="inlineStr">
        <is>
          <t>GÄVLEBORGS LÄN</t>
        </is>
      </c>
      <c r="E10216" t="inlineStr">
        <is>
          <t>OVANÅKER</t>
        </is>
      </c>
      <c r="G10216" t="n">
        <v>3.2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2924-2024</t>
        </is>
      </c>
      <c r="B10217" s="1" t="n">
        <v>45315</v>
      </c>
      <c r="C10217" s="1" t="n">
        <v>45344</v>
      </c>
      <c r="D10217" t="inlineStr">
        <is>
          <t>GÄVLEBORGS LÄN</t>
        </is>
      </c>
      <c r="E10217" t="inlineStr">
        <is>
          <t>OCKELBO</t>
        </is>
      </c>
      <c r="F10217" t="inlineStr">
        <is>
          <t>Bergvik skog väst AB</t>
        </is>
      </c>
      <c r="G10217" t="n">
        <v>11.1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2932-2024</t>
        </is>
      </c>
      <c r="B10218" s="1" t="n">
        <v>45315</v>
      </c>
      <c r="C10218" s="1" t="n">
        <v>45344</v>
      </c>
      <c r="D10218" t="inlineStr">
        <is>
          <t>GÄVLEBORGS LÄN</t>
        </is>
      </c>
      <c r="E10218" t="inlineStr">
        <is>
          <t>BOLLNÄS</t>
        </is>
      </c>
      <c r="G10218" t="n">
        <v>2.2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2985-2024</t>
        </is>
      </c>
      <c r="B10219" s="1" t="n">
        <v>45315</v>
      </c>
      <c r="C10219" s="1" t="n">
        <v>45344</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2894-2024</t>
        </is>
      </c>
      <c r="B10220" s="1" t="n">
        <v>45315</v>
      </c>
      <c r="C10220" s="1" t="n">
        <v>45344</v>
      </c>
      <c r="D10220" t="inlineStr">
        <is>
          <t>GÄVLEBORGS LÄN</t>
        </is>
      </c>
      <c r="E10220" t="inlineStr">
        <is>
          <t>LJUSDAL</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2909-2024</t>
        </is>
      </c>
      <c r="B10221" s="1" t="n">
        <v>45315</v>
      </c>
      <c r="C10221" s="1" t="n">
        <v>45344</v>
      </c>
      <c r="D10221" t="inlineStr">
        <is>
          <t>GÄVLEBORGS LÄN</t>
        </is>
      </c>
      <c r="E10221" t="inlineStr">
        <is>
          <t>LJUSDAL</t>
        </is>
      </c>
      <c r="G10221" t="n">
        <v>4.2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2911-2024</t>
        </is>
      </c>
      <c r="B10222" s="1" t="n">
        <v>45315</v>
      </c>
      <c r="C10222" s="1" t="n">
        <v>45344</v>
      </c>
      <c r="D10222" t="inlineStr">
        <is>
          <t>GÄVLEBORGS LÄN</t>
        </is>
      </c>
      <c r="E10222" t="inlineStr">
        <is>
          <t>OVANÅKER</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2986-2024</t>
        </is>
      </c>
      <c r="B10223" s="1" t="n">
        <v>45315</v>
      </c>
      <c r="C10223" s="1" t="n">
        <v>45344</v>
      </c>
      <c r="D10223" t="inlineStr">
        <is>
          <t>GÄVLEBORGS LÄN</t>
        </is>
      </c>
      <c r="E10223" t="inlineStr">
        <is>
          <t>LJUSDAL</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3171-2024</t>
        </is>
      </c>
      <c r="B10224" s="1" t="n">
        <v>45316</v>
      </c>
      <c r="C10224" s="1" t="n">
        <v>45344</v>
      </c>
      <c r="D10224" t="inlineStr">
        <is>
          <t>GÄVLEBORGS LÄN</t>
        </is>
      </c>
      <c r="E10224" t="inlineStr">
        <is>
          <t>OCKELBO</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3193-2024</t>
        </is>
      </c>
      <c r="B10225" s="1" t="n">
        <v>45316</v>
      </c>
      <c r="C10225" s="1" t="n">
        <v>45344</v>
      </c>
      <c r="D10225" t="inlineStr">
        <is>
          <t>GÄVLEBORGS LÄN</t>
        </is>
      </c>
      <c r="E10225" t="inlineStr">
        <is>
          <t>LJUSDAL</t>
        </is>
      </c>
      <c r="G10225" t="n">
        <v>1.7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3267-2024</t>
        </is>
      </c>
      <c r="B10226" s="1" t="n">
        <v>45317</v>
      </c>
      <c r="C10226" s="1" t="n">
        <v>45344</v>
      </c>
      <c r="D10226" t="inlineStr">
        <is>
          <t>GÄVLEBORGS LÄN</t>
        </is>
      </c>
      <c r="E10226" t="inlineStr">
        <is>
          <t>LJUSDAL</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3287-2024</t>
        </is>
      </c>
      <c r="B10227" s="1" t="n">
        <v>45317</v>
      </c>
      <c r="C10227" s="1" t="n">
        <v>45344</v>
      </c>
      <c r="D10227" t="inlineStr">
        <is>
          <t>GÄVLEBORGS LÄN</t>
        </is>
      </c>
      <c r="E10227" t="inlineStr">
        <is>
          <t>LJUSDAL</t>
        </is>
      </c>
      <c r="F10227" t="inlineStr">
        <is>
          <t>Övriga Aktiebolag</t>
        </is>
      </c>
      <c r="G10227" t="n">
        <v>4.8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3297-2024</t>
        </is>
      </c>
      <c r="B10228" s="1" t="n">
        <v>45317</v>
      </c>
      <c r="C10228" s="1" t="n">
        <v>45344</v>
      </c>
      <c r="D10228" t="inlineStr">
        <is>
          <t>GÄVLEBORGS LÄN</t>
        </is>
      </c>
      <c r="E10228" t="inlineStr">
        <is>
          <t>HUDIKSVALL</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3316-2024</t>
        </is>
      </c>
      <c r="B10229" s="1" t="n">
        <v>45317</v>
      </c>
      <c r="C10229" s="1" t="n">
        <v>45344</v>
      </c>
      <c r="D10229" t="inlineStr">
        <is>
          <t>GÄVLEBORGS LÄN</t>
        </is>
      </c>
      <c r="E10229" t="inlineStr">
        <is>
          <t>SÖDERHAMN</t>
        </is>
      </c>
      <c r="G10229" t="n">
        <v>9.6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3333-2024</t>
        </is>
      </c>
      <c r="B10230" s="1" t="n">
        <v>45317</v>
      </c>
      <c r="C10230" s="1" t="n">
        <v>45344</v>
      </c>
      <c r="D10230" t="inlineStr">
        <is>
          <t>GÄVLEBORGS LÄN</t>
        </is>
      </c>
      <c r="E10230" t="inlineStr">
        <is>
          <t>OVANÅKER</t>
        </is>
      </c>
      <c r="G10230" t="n">
        <v>4.6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3337-2024</t>
        </is>
      </c>
      <c r="B10231" s="1" t="n">
        <v>45317</v>
      </c>
      <c r="C10231" s="1" t="n">
        <v>45344</v>
      </c>
      <c r="D10231" t="inlineStr">
        <is>
          <t>GÄVLEBORGS LÄN</t>
        </is>
      </c>
      <c r="E10231" t="inlineStr">
        <is>
          <t>GÄVLE</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3341-2024</t>
        </is>
      </c>
      <c r="B10232" s="1" t="n">
        <v>45317</v>
      </c>
      <c r="C10232" s="1" t="n">
        <v>45344</v>
      </c>
      <c r="D10232" t="inlineStr">
        <is>
          <t>GÄVLEBORGS LÄN</t>
        </is>
      </c>
      <c r="E10232" t="inlineStr">
        <is>
          <t>HUDIKSVALL</t>
        </is>
      </c>
      <c r="G10232" t="n">
        <v>10.1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3324-2024</t>
        </is>
      </c>
      <c r="B10233" s="1" t="n">
        <v>45317</v>
      </c>
      <c r="C10233" s="1" t="n">
        <v>45344</v>
      </c>
      <c r="D10233" t="inlineStr">
        <is>
          <t>GÄVLEBORGS LÄN</t>
        </is>
      </c>
      <c r="E10233" t="inlineStr">
        <is>
          <t>OVANÅKER</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3375-2024</t>
        </is>
      </c>
      <c r="B10234" s="1" t="n">
        <v>45317</v>
      </c>
      <c r="C10234" s="1" t="n">
        <v>45344</v>
      </c>
      <c r="D10234" t="inlineStr">
        <is>
          <t>GÄVLEBORGS LÄN</t>
        </is>
      </c>
      <c r="E10234" t="inlineStr">
        <is>
          <t>LJUSDAL</t>
        </is>
      </c>
      <c r="G10234" t="n">
        <v>7.3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3334-2024</t>
        </is>
      </c>
      <c r="B10235" s="1" t="n">
        <v>45317</v>
      </c>
      <c r="C10235" s="1" t="n">
        <v>45344</v>
      </c>
      <c r="D10235" t="inlineStr">
        <is>
          <t>GÄVLEBORGS LÄN</t>
        </is>
      </c>
      <c r="E10235" t="inlineStr">
        <is>
          <t>GÄVLE</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3426-2024</t>
        </is>
      </c>
      <c r="B10236" s="1" t="n">
        <v>45319</v>
      </c>
      <c r="C10236" s="1" t="n">
        <v>45344</v>
      </c>
      <c r="D10236" t="inlineStr">
        <is>
          <t>GÄVLEBORGS LÄN</t>
        </is>
      </c>
      <c r="E10236" t="inlineStr">
        <is>
          <t>GÄVLE</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3424-2024</t>
        </is>
      </c>
      <c r="B10237" s="1" t="n">
        <v>45319</v>
      </c>
      <c r="C10237" s="1" t="n">
        <v>45344</v>
      </c>
      <c r="D10237" t="inlineStr">
        <is>
          <t>GÄVLEBORGS LÄN</t>
        </is>
      </c>
      <c r="E10237" t="inlineStr">
        <is>
          <t>BOLLNÄS</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3434-2024</t>
        </is>
      </c>
      <c r="B10238" s="1" t="n">
        <v>45320</v>
      </c>
      <c r="C10238" s="1" t="n">
        <v>45344</v>
      </c>
      <c r="D10238" t="inlineStr">
        <is>
          <t>GÄVLEBORGS LÄN</t>
        </is>
      </c>
      <c r="E10238" t="inlineStr">
        <is>
          <t>LJUSDAL</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3449-2024</t>
        </is>
      </c>
      <c r="B10239" s="1" t="n">
        <v>45320</v>
      </c>
      <c r="C10239" s="1" t="n">
        <v>45344</v>
      </c>
      <c r="D10239" t="inlineStr">
        <is>
          <t>GÄVLEBORGS LÄN</t>
        </is>
      </c>
      <c r="E10239" t="inlineStr">
        <is>
          <t>LJUSDAL</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3470-2024</t>
        </is>
      </c>
      <c r="B10240" s="1" t="n">
        <v>45320</v>
      </c>
      <c r="C10240" s="1" t="n">
        <v>45344</v>
      </c>
      <c r="D10240" t="inlineStr">
        <is>
          <t>GÄVLEBORGS LÄN</t>
        </is>
      </c>
      <c r="E10240" t="inlineStr">
        <is>
          <t>LJUSDAL</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3474-2024</t>
        </is>
      </c>
      <c r="B10241" s="1" t="n">
        <v>45320</v>
      </c>
      <c r="C10241" s="1" t="n">
        <v>45344</v>
      </c>
      <c r="D10241" t="inlineStr">
        <is>
          <t>GÄVLEBORGS LÄN</t>
        </is>
      </c>
      <c r="E10241" t="inlineStr">
        <is>
          <t>NORDANSTIG</t>
        </is>
      </c>
      <c r="F10241" t="inlineStr">
        <is>
          <t>Holmen skog AB</t>
        </is>
      </c>
      <c r="G10241" t="n">
        <v>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3437-2024</t>
        </is>
      </c>
      <c r="B10242" s="1" t="n">
        <v>45320</v>
      </c>
      <c r="C10242" s="1" t="n">
        <v>45344</v>
      </c>
      <c r="D10242" t="inlineStr">
        <is>
          <t>GÄVLEBORGS LÄN</t>
        </is>
      </c>
      <c r="E10242" t="inlineStr">
        <is>
          <t>LJUSDAL</t>
        </is>
      </c>
      <c r="G10242" t="n">
        <v>2.1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3456-2024</t>
        </is>
      </c>
      <c r="B10243" s="1" t="n">
        <v>45320</v>
      </c>
      <c r="C10243" s="1" t="n">
        <v>45344</v>
      </c>
      <c r="D10243" t="inlineStr">
        <is>
          <t>GÄVLEBORGS LÄN</t>
        </is>
      </c>
      <c r="E10243" t="inlineStr">
        <is>
          <t>SANDVIKEN</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3508-2024</t>
        </is>
      </c>
      <c r="B10244" s="1" t="n">
        <v>45320</v>
      </c>
      <c r="C10244" s="1" t="n">
        <v>45344</v>
      </c>
      <c r="D10244" t="inlineStr">
        <is>
          <t>GÄVLEBORGS LÄN</t>
        </is>
      </c>
      <c r="E10244" t="inlineStr">
        <is>
          <t>LJUSDAL</t>
        </is>
      </c>
      <c r="G10244" t="n">
        <v>4.8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3442-2024</t>
        </is>
      </c>
      <c r="B10245" s="1" t="n">
        <v>45320</v>
      </c>
      <c r="C10245" s="1" t="n">
        <v>45344</v>
      </c>
      <c r="D10245" t="inlineStr">
        <is>
          <t>GÄVLEBORGS LÄN</t>
        </is>
      </c>
      <c r="E10245" t="inlineStr">
        <is>
          <t>LJUSDAL</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3443-2024</t>
        </is>
      </c>
      <c r="B10246" s="1" t="n">
        <v>45320</v>
      </c>
      <c r="C10246" s="1" t="n">
        <v>45344</v>
      </c>
      <c r="D10246" t="inlineStr">
        <is>
          <t>GÄVLEBORGS LÄN</t>
        </is>
      </c>
      <c r="E10246" t="inlineStr">
        <is>
          <t>OVANÅKER</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3486-2024</t>
        </is>
      </c>
      <c r="B10247" s="1" t="n">
        <v>45320</v>
      </c>
      <c r="C10247" s="1" t="n">
        <v>45344</v>
      </c>
      <c r="D10247" t="inlineStr">
        <is>
          <t>GÄVLEBORGS LÄN</t>
        </is>
      </c>
      <c r="E10247" t="inlineStr">
        <is>
          <t>BOLLNÄS</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3615-2024</t>
        </is>
      </c>
      <c r="B10248" s="1" t="n">
        <v>45320</v>
      </c>
      <c r="C10248" s="1" t="n">
        <v>45344</v>
      </c>
      <c r="D10248" t="inlineStr">
        <is>
          <t>GÄVLEBORGS LÄN</t>
        </is>
      </c>
      <c r="E10248" t="inlineStr">
        <is>
          <t>GÄVLE</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3731-2024</t>
        </is>
      </c>
      <c r="B10249" s="1" t="n">
        <v>45321</v>
      </c>
      <c r="C10249" s="1" t="n">
        <v>45344</v>
      </c>
      <c r="D10249" t="inlineStr">
        <is>
          <t>GÄVLEBORGS LÄN</t>
        </is>
      </c>
      <c r="E10249" t="inlineStr">
        <is>
          <t>SANDVIKEN</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3788-2024</t>
        </is>
      </c>
      <c r="B10250" s="1" t="n">
        <v>45321</v>
      </c>
      <c r="C10250" s="1" t="n">
        <v>45344</v>
      </c>
      <c r="D10250" t="inlineStr">
        <is>
          <t>GÄVLEBORGS LÄN</t>
        </is>
      </c>
      <c r="E10250" t="inlineStr">
        <is>
          <t>OCKELBO</t>
        </is>
      </c>
      <c r="G10250" t="n">
        <v>14.5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3810-2024</t>
        </is>
      </c>
      <c r="B10251" s="1" t="n">
        <v>45321</v>
      </c>
      <c r="C10251" s="1" t="n">
        <v>45344</v>
      </c>
      <c r="D10251" t="inlineStr">
        <is>
          <t>GÄVLEBORGS LÄN</t>
        </is>
      </c>
      <c r="E10251" t="inlineStr">
        <is>
          <t>HUDIKSVALL</t>
        </is>
      </c>
      <c r="G10251" t="n">
        <v>14.4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3833-2024</t>
        </is>
      </c>
      <c r="B10252" s="1" t="n">
        <v>45321</v>
      </c>
      <c r="C10252" s="1" t="n">
        <v>45344</v>
      </c>
      <c r="D10252" t="inlineStr">
        <is>
          <t>GÄVLEBORGS LÄN</t>
        </is>
      </c>
      <c r="E10252" t="inlineStr">
        <is>
          <t>SANDVIKEN</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3859-2024</t>
        </is>
      </c>
      <c r="B10253" s="1" t="n">
        <v>45322</v>
      </c>
      <c r="C10253" s="1" t="n">
        <v>45344</v>
      </c>
      <c r="D10253" t="inlineStr">
        <is>
          <t>GÄVLEBORGS LÄN</t>
        </is>
      </c>
      <c r="E10253" t="inlineStr">
        <is>
          <t>OVANÅKER</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3862-2024</t>
        </is>
      </c>
      <c r="B10254" s="1" t="n">
        <v>45322</v>
      </c>
      <c r="C10254" s="1" t="n">
        <v>45344</v>
      </c>
      <c r="D10254" t="inlineStr">
        <is>
          <t>GÄVLEBORGS LÄN</t>
        </is>
      </c>
      <c r="E10254" t="inlineStr">
        <is>
          <t>GÄVLE</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3871-2024</t>
        </is>
      </c>
      <c r="B10255" s="1" t="n">
        <v>45322</v>
      </c>
      <c r="C10255" s="1" t="n">
        <v>45344</v>
      </c>
      <c r="D10255" t="inlineStr">
        <is>
          <t>GÄVLEBORGS LÄN</t>
        </is>
      </c>
      <c r="E10255" t="inlineStr">
        <is>
          <t>OVANÅKER</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3907-2024</t>
        </is>
      </c>
      <c r="B10256" s="1" t="n">
        <v>45322</v>
      </c>
      <c r="C10256" s="1" t="n">
        <v>45344</v>
      </c>
      <c r="D10256" t="inlineStr">
        <is>
          <t>GÄVLEBORGS LÄN</t>
        </is>
      </c>
      <c r="E10256" t="inlineStr">
        <is>
          <t>OCKELBO</t>
        </is>
      </c>
      <c r="G10256" t="n">
        <v>4.8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3873-2024</t>
        </is>
      </c>
      <c r="B10257" s="1" t="n">
        <v>45322</v>
      </c>
      <c r="C10257" s="1" t="n">
        <v>45344</v>
      </c>
      <c r="D10257" t="inlineStr">
        <is>
          <t>GÄVLEBORGS LÄN</t>
        </is>
      </c>
      <c r="E10257" t="inlineStr">
        <is>
          <t>BOLLNÄS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3877-2024</t>
        </is>
      </c>
      <c r="B10258" s="1" t="n">
        <v>45322</v>
      </c>
      <c r="C10258" s="1" t="n">
        <v>45344</v>
      </c>
      <c r="D10258" t="inlineStr">
        <is>
          <t>GÄVLEBORGS LÄN</t>
        </is>
      </c>
      <c r="E10258" t="inlineStr">
        <is>
          <t>OVANÅKER</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4021-2024</t>
        </is>
      </c>
      <c r="B10259" s="1" t="n">
        <v>45323</v>
      </c>
      <c r="C10259" s="1" t="n">
        <v>45344</v>
      </c>
      <c r="D10259" t="inlineStr">
        <is>
          <t>GÄVLEBORGS LÄN</t>
        </is>
      </c>
      <c r="E10259" t="inlineStr">
        <is>
          <t>LJUSDAL</t>
        </is>
      </c>
      <c r="G10259" t="n">
        <v>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4043-2024</t>
        </is>
      </c>
      <c r="B10260" s="1" t="n">
        <v>45323</v>
      </c>
      <c r="C10260" s="1" t="n">
        <v>45344</v>
      </c>
      <c r="D10260" t="inlineStr">
        <is>
          <t>GÄVLEBORGS LÄN</t>
        </is>
      </c>
      <c r="E10260" t="inlineStr">
        <is>
          <t>LJUSDAL</t>
        </is>
      </c>
      <c r="G10260" t="n">
        <v>9.9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4069-2024</t>
        </is>
      </c>
      <c r="B10261" s="1" t="n">
        <v>45323</v>
      </c>
      <c r="C10261" s="1" t="n">
        <v>45344</v>
      </c>
      <c r="D10261" t="inlineStr">
        <is>
          <t>GÄVLEBORGS LÄN</t>
        </is>
      </c>
      <c r="E10261" t="inlineStr">
        <is>
          <t>OCKELBO</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4087-2024</t>
        </is>
      </c>
      <c r="B10262" s="1" t="n">
        <v>45323</v>
      </c>
      <c r="C10262" s="1" t="n">
        <v>45344</v>
      </c>
      <c r="D10262" t="inlineStr">
        <is>
          <t>GÄVLEBORGS LÄN</t>
        </is>
      </c>
      <c r="E10262" t="inlineStr">
        <is>
          <t>OVANÅKER</t>
        </is>
      </c>
      <c r="G10262" t="n">
        <v>6.6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4095-2024</t>
        </is>
      </c>
      <c r="B10263" s="1" t="n">
        <v>45323</v>
      </c>
      <c r="C10263" s="1" t="n">
        <v>45344</v>
      </c>
      <c r="D10263" t="inlineStr">
        <is>
          <t>GÄVLEBORGS LÄN</t>
        </is>
      </c>
      <c r="E10263" t="inlineStr">
        <is>
          <t>LJUSDAL</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4164-2024</t>
        </is>
      </c>
      <c r="B10264" s="1" t="n">
        <v>45323</v>
      </c>
      <c r="C10264" s="1" t="n">
        <v>45344</v>
      </c>
      <c r="D10264" t="inlineStr">
        <is>
          <t>GÄVLEBORGS LÄN</t>
        </is>
      </c>
      <c r="E10264" t="inlineStr">
        <is>
          <t>HUDIKSVALL</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4221-2024</t>
        </is>
      </c>
      <c r="B10265" s="1" t="n">
        <v>45324</v>
      </c>
      <c r="C10265" s="1" t="n">
        <v>45344</v>
      </c>
      <c r="D10265" t="inlineStr">
        <is>
          <t>GÄVLEBORGS LÄN</t>
        </is>
      </c>
      <c r="E10265" t="inlineStr">
        <is>
          <t>LJUSDAL</t>
        </is>
      </c>
      <c r="G10265" t="n">
        <v>14.5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4230-2024</t>
        </is>
      </c>
      <c r="B10266" s="1" t="n">
        <v>45324</v>
      </c>
      <c r="C10266" s="1" t="n">
        <v>45344</v>
      </c>
      <c r="D10266" t="inlineStr">
        <is>
          <t>GÄVLEBORGS LÄN</t>
        </is>
      </c>
      <c r="E10266" t="inlineStr">
        <is>
          <t>LJUSDAL</t>
        </is>
      </c>
      <c r="G10266" t="n">
        <v>1.2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4234-2024</t>
        </is>
      </c>
      <c r="B10267" s="1" t="n">
        <v>45324</v>
      </c>
      <c r="C10267" s="1" t="n">
        <v>45344</v>
      </c>
      <c r="D10267" t="inlineStr">
        <is>
          <t>GÄVLEBORGS LÄN</t>
        </is>
      </c>
      <c r="E10267" t="inlineStr">
        <is>
          <t>OVANÅKER</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4238-2024</t>
        </is>
      </c>
      <c r="B10268" s="1" t="n">
        <v>45324</v>
      </c>
      <c r="C10268" s="1" t="n">
        <v>45344</v>
      </c>
      <c r="D10268" t="inlineStr">
        <is>
          <t>GÄVLEBORGS LÄN</t>
        </is>
      </c>
      <c r="E10268" t="inlineStr">
        <is>
          <t>LJUSDAL</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4260-2024</t>
        </is>
      </c>
      <c r="B10269" s="1" t="n">
        <v>45324</v>
      </c>
      <c r="C10269" s="1" t="n">
        <v>45344</v>
      </c>
      <c r="D10269" t="inlineStr">
        <is>
          <t>GÄVLEBORGS LÄN</t>
        </is>
      </c>
      <c r="E10269" t="inlineStr">
        <is>
          <t>LJUSDAL</t>
        </is>
      </c>
      <c r="G10269" t="n">
        <v>2.2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4300-2024</t>
        </is>
      </c>
      <c r="B10270" s="1" t="n">
        <v>45324</v>
      </c>
      <c r="C10270" s="1" t="n">
        <v>45344</v>
      </c>
      <c r="D10270" t="inlineStr">
        <is>
          <t>GÄVLEBORGS LÄN</t>
        </is>
      </c>
      <c r="E10270" t="inlineStr">
        <is>
          <t>HUDIKSVALL</t>
        </is>
      </c>
      <c r="G10270" t="n">
        <v>3.6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4255-2024</t>
        </is>
      </c>
      <c r="B10271" s="1" t="n">
        <v>45324</v>
      </c>
      <c r="C10271" s="1" t="n">
        <v>45344</v>
      </c>
      <c r="D10271" t="inlineStr">
        <is>
          <t>GÄVLEBORGS LÄN</t>
        </is>
      </c>
      <c r="E10271" t="inlineStr">
        <is>
          <t>NORDANSTIG</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4283-2024</t>
        </is>
      </c>
      <c r="B10272" s="1" t="n">
        <v>45324</v>
      </c>
      <c r="C10272" s="1" t="n">
        <v>45344</v>
      </c>
      <c r="D10272" t="inlineStr">
        <is>
          <t>GÄVLEBORGS LÄN</t>
        </is>
      </c>
      <c r="E10272" t="inlineStr">
        <is>
          <t>SÖDERHAMN</t>
        </is>
      </c>
      <c r="G10272" t="n">
        <v>9.1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4287-2024</t>
        </is>
      </c>
      <c r="B10273" s="1" t="n">
        <v>45324</v>
      </c>
      <c r="C10273" s="1" t="n">
        <v>45344</v>
      </c>
      <c r="D10273" t="inlineStr">
        <is>
          <t>GÄVLEBORGS LÄN</t>
        </is>
      </c>
      <c r="E10273" t="inlineStr">
        <is>
          <t>GÄVLE</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4290-2024</t>
        </is>
      </c>
      <c r="B10274" s="1" t="n">
        <v>45324</v>
      </c>
      <c r="C10274" s="1" t="n">
        <v>45344</v>
      </c>
      <c r="D10274" t="inlineStr">
        <is>
          <t>GÄVLEBORGS LÄN</t>
        </is>
      </c>
      <c r="E10274" t="inlineStr">
        <is>
          <t>GÄVLE</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4294-2024</t>
        </is>
      </c>
      <c r="B10275" s="1" t="n">
        <v>45324</v>
      </c>
      <c r="C10275" s="1" t="n">
        <v>45344</v>
      </c>
      <c r="D10275" t="inlineStr">
        <is>
          <t>GÄVLEBORGS LÄN</t>
        </is>
      </c>
      <c r="E10275" t="inlineStr">
        <is>
          <t>GÄVLE</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4298-2024</t>
        </is>
      </c>
      <c r="B10276" s="1" t="n">
        <v>45324</v>
      </c>
      <c r="C10276" s="1" t="n">
        <v>45344</v>
      </c>
      <c r="D10276" t="inlineStr">
        <is>
          <t>GÄVLEBORGS LÄN</t>
        </is>
      </c>
      <c r="E10276" t="inlineStr">
        <is>
          <t>SÖDERHAMN</t>
        </is>
      </c>
      <c r="G10276" t="n">
        <v>5.1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4360-2024</t>
        </is>
      </c>
      <c r="B10277" s="1" t="n">
        <v>45325</v>
      </c>
      <c r="C10277" s="1" t="n">
        <v>45344</v>
      </c>
      <c r="D10277" t="inlineStr">
        <is>
          <t>GÄVLEBORGS LÄN</t>
        </is>
      </c>
      <c r="E10277" t="inlineStr">
        <is>
          <t>LJUSDAL</t>
        </is>
      </c>
      <c r="G10277" t="n">
        <v>2.5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4385-2024</t>
        </is>
      </c>
      <c r="B10278" s="1" t="n">
        <v>45327</v>
      </c>
      <c r="C10278" s="1" t="n">
        <v>45344</v>
      </c>
      <c r="D10278" t="inlineStr">
        <is>
          <t>GÄVLEBORGS LÄN</t>
        </is>
      </c>
      <c r="E10278" t="inlineStr">
        <is>
          <t>SANDVIKEN</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4407-2024</t>
        </is>
      </c>
      <c r="B10279" s="1" t="n">
        <v>45327</v>
      </c>
      <c r="C10279" s="1" t="n">
        <v>45344</v>
      </c>
      <c r="D10279" t="inlineStr">
        <is>
          <t>GÄVLEBORGS LÄN</t>
        </is>
      </c>
      <c r="E10279" t="inlineStr">
        <is>
          <t>HUDIKSVALL</t>
        </is>
      </c>
      <c r="G10279" t="n">
        <v>16.8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4420-2024</t>
        </is>
      </c>
      <c r="B10280" s="1" t="n">
        <v>45327</v>
      </c>
      <c r="C10280" s="1" t="n">
        <v>45344</v>
      </c>
      <c r="D10280" t="inlineStr">
        <is>
          <t>GÄVLEBORGS LÄN</t>
        </is>
      </c>
      <c r="E10280" t="inlineStr">
        <is>
          <t>LJUSDAL</t>
        </is>
      </c>
      <c r="F10280" t="inlineStr">
        <is>
          <t>Holmen skog AB</t>
        </is>
      </c>
      <c r="G10280" t="n">
        <v>3.6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4498-2024</t>
        </is>
      </c>
      <c r="B10281" s="1" t="n">
        <v>45327</v>
      </c>
      <c r="C10281" s="1" t="n">
        <v>45344</v>
      </c>
      <c r="D10281" t="inlineStr">
        <is>
          <t>GÄVLEBORGS LÄN</t>
        </is>
      </c>
      <c r="E10281" t="inlineStr">
        <is>
          <t>SANDVIKEN</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4502-2024</t>
        </is>
      </c>
      <c r="B10282" s="1" t="n">
        <v>45327</v>
      </c>
      <c r="C10282" s="1" t="n">
        <v>45344</v>
      </c>
      <c r="D10282" t="inlineStr">
        <is>
          <t>GÄVLEBORGS LÄN</t>
        </is>
      </c>
      <c r="E10282" t="inlineStr">
        <is>
          <t>SANDVIKEN</t>
        </is>
      </c>
      <c r="G10282" t="n">
        <v>0.2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4500-2024</t>
        </is>
      </c>
      <c r="B10283" s="1" t="n">
        <v>45327</v>
      </c>
      <c r="C10283" s="1" t="n">
        <v>45344</v>
      </c>
      <c r="D10283" t="inlineStr">
        <is>
          <t>GÄVLEBORGS LÄN</t>
        </is>
      </c>
      <c r="E10283" t="inlineStr">
        <is>
          <t>SANDVIKEN</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4504-2024</t>
        </is>
      </c>
      <c r="B10284" s="1" t="n">
        <v>45327</v>
      </c>
      <c r="C10284" s="1" t="n">
        <v>45344</v>
      </c>
      <c r="D10284" t="inlineStr">
        <is>
          <t>GÄVLEBORGS LÄN</t>
        </is>
      </c>
      <c r="E10284" t="inlineStr">
        <is>
          <t>HUDIKSVALL</t>
        </is>
      </c>
      <c r="G10284" t="n">
        <v>2.7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4497-2024</t>
        </is>
      </c>
      <c r="B10285" s="1" t="n">
        <v>45327</v>
      </c>
      <c r="C10285" s="1" t="n">
        <v>45344</v>
      </c>
      <c r="D10285" t="inlineStr">
        <is>
          <t>GÄVLEBORGS LÄN</t>
        </is>
      </c>
      <c r="E10285" t="inlineStr">
        <is>
          <t>SÖDERHAMN</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4505-2024</t>
        </is>
      </c>
      <c r="B10286" s="1" t="n">
        <v>45327</v>
      </c>
      <c r="C10286" s="1" t="n">
        <v>45344</v>
      </c>
      <c r="D10286" t="inlineStr">
        <is>
          <t>GÄVLEBORGS LÄN</t>
        </is>
      </c>
      <c r="E10286" t="inlineStr">
        <is>
          <t>HUDIKSVALL</t>
        </is>
      </c>
      <c r="G10286" t="n">
        <v>0.2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4517-2024</t>
        </is>
      </c>
      <c r="B10287" s="1" t="n">
        <v>45327</v>
      </c>
      <c r="C10287" s="1" t="n">
        <v>45344</v>
      </c>
      <c r="D10287" t="inlineStr">
        <is>
          <t>GÄVLEBORGS LÄN</t>
        </is>
      </c>
      <c r="E10287" t="inlineStr">
        <is>
          <t>BOLLNÄS</t>
        </is>
      </c>
      <c r="G10287" t="n">
        <v>3.5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4495-2024</t>
        </is>
      </c>
      <c r="B10288" s="1" t="n">
        <v>45327</v>
      </c>
      <c r="C10288" s="1" t="n">
        <v>45344</v>
      </c>
      <c r="D10288" t="inlineStr">
        <is>
          <t>GÄVLEBORGS LÄN</t>
        </is>
      </c>
      <c r="E10288" t="inlineStr">
        <is>
          <t>SANDVIKEN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4511-2024</t>
        </is>
      </c>
      <c r="B10289" s="1" t="n">
        <v>45327</v>
      </c>
      <c r="C10289" s="1" t="n">
        <v>45344</v>
      </c>
      <c r="D10289" t="inlineStr">
        <is>
          <t>GÄVLEBORGS LÄN</t>
        </is>
      </c>
      <c r="E10289" t="inlineStr">
        <is>
          <t>SANDVIKEN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4531-2024</t>
        </is>
      </c>
      <c r="B10290" s="1" t="n">
        <v>45327</v>
      </c>
      <c r="C10290" s="1" t="n">
        <v>45344</v>
      </c>
      <c r="D10290" t="inlineStr">
        <is>
          <t>GÄVLEBORGS LÄN</t>
        </is>
      </c>
      <c r="E10290" t="inlineStr">
        <is>
          <t>NORDANSTIG</t>
        </is>
      </c>
      <c r="F10290" t="inlineStr">
        <is>
          <t>Holmen skog AB</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4557-2024</t>
        </is>
      </c>
      <c r="B10291" s="1" t="n">
        <v>45327</v>
      </c>
      <c r="C10291" s="1" t="n">
        <v>45344</v>
      </c>
      <c r="D10291" t="inlineStr">
        <is>
          <t>GÄVLEBORGS LÄN</t>
        </is>
      </c>
      <c r="E10291" t="inlineStr">
        <is>
          <t>SÖDERHAMN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4565-2024</t>
        </is>
      </c>
      <c r="B10292" s="1" t="n">
        <v>45327</v>
      </c>
      <c r="C10292" s="1" t="n">
        <v>45344</v>
      </c>
      <c r="D10292" t="inlineStr">
        <is>
          <t>GÄVLEBORGS LÄN</t>
        </is>
      </c>
      <c r="E10292" t="inlineStr">
        <is>
          <t>HUDIKSVALL</t>
        </is>
      </c>
      <c r="F10292" t="inlineStr">
        <is>
          <t>Holmen skog AB</t>
        </is>
      </c>
      <c r="G10292" t="n">
        <v>34.7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4573-2024</t>
        </is>
      </c>
      <c r="B10293" s="1" t="n">
        <v>45327</v>
      </c>
      <c r="C10293" s="1" t="n">
        <v>45344</v>
      </c>
      <c r="D10293" t="inlineStr">
        <is>
          <t>GÄVLEBORGS LÄN</t>
        </is>
      </c>
      <c r="E10293" t="inlineStr">
        <is>
          <t>HUDIKSVALL</t>
        </is>
      </c>
      <c r="F10293" t="inlineStr">
        <is>
          <t>Holmen skog AB</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4581-2024</t>
        </is>
      </c>
      <c r="B10294" s="1" t="n">
        <v>45327</v>
      </c>
      <c r="C10294" s="1" t="n">
        <v>45344</v>
      </c>
      <c r="D10294" t="inlineStr">
        <is>
          <t>GÄVLEBORGS LÄN</t>
        </is>
      </c>
      <c r="E10294" t="inlineStr">
        <is>
          <t>LJUSDAL</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4580-2024</t>
        </is>
      </c>
      <c r="B10295" s="1" t="n">
        <v>45327</v>
      </c>
      <c r="C10295" s="1" t="n">
        <v>45344</v>
      </c>
      <c r="D10295" t="inlineStr">
        <is>
          <t>GÄVLEBORGS LÄN</t>
        </is>
      </c>
      <c r="E10295" t="inlineStr">
        <is>
          <t>LJUSDAL</t>
        </is>
      </c>
      <c r="G10295" t="n">
        <v>4.4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4582-2024</t>
        </is>
      </c>
      <c r="B10296" s="1" t="n">
        <v>45327</v>
      </c>
      <c r="C10296" s="1" t="n">
        <v>45344</v>
      </c>
      <c r="D10296" t="inlineStr">
        <is>
          <t>GÄVLEBORGS LÄN</t>
        </is>
      </c>
      <c r="E10296" t="inlineStr">
        <is>
          <t>LJUSDAL</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4619-2024</t>
        </is>
      </c>
      <c r="B10297" s="1" t="n">
        <v>45328</v>
      </c>
      <c r="C10297" s="1" t="n">
        <v>45344</v>
      </c>
      <c r="D10297" t="inlineStr">
        <is>
          <t>GÄVLEBORGS LÄN</t>
        </is>
      </c>
      <c r="E10297" t="inlineStr">
        <is>
          <t>HUDIKSVALL</t>
        </is>
      </c>
      <c r="F10297" t="inlineStr">
        <is>
          <t>Holmen skog AB</t>
        </is>
      </c>
      <c r="G10297" t="n">
        <v>2.2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4607-2024</t>
        </is>
      </c>
      <c r="B10298" s="1" t="n">
        <v>45328</v>
      </c>
      <c r="C10298" s="1" t="n">
        <v>45344</v>
      </c>
      <c r="D10298" t="inlineStr">
        <is>
          <t>GÄVLEBORGS LÄN</t>
        </is>
      </c>
      <c r="E10298" t="inlineStr">
        <is>
          <t>OVANÅKER</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4683-2024</t>
        </is>
      </c>
      <c r="B10299" s="1" t="n">
        <v>45328</v>
      </c>
      <c r="C10299" s="1" t="n">
        <v>45344</v>
      </c>
      <c r="D10299" t="inlineStr">
        <is>
          <t>GÄVLEBORGS LÄN</t>
        </is>
      </c>
      <c r="E10299" t="inlineStr">
        <is>
          <t>HUDIKSVALL</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4741-2024</t>
        </is>
      </c>
      <c r="B10300" s="1" t="n">
        <v>45328</v>
      </c>
      <c r="C10300" s="1" t="n">
        <v>45344</v>
      </c>
      <c r="D10300" t="inlineStr">
        <is>
          <t>GÄVLEBORGS LÄN</t>
        </is>
      </c>
      <c r="E10300" t="inlineStr">
        <is>
          <t>OCKELBO</t>
        </is>
      </c>
      <c r="F10300" t="inlineStr">
        <is>
          <t>Bergvik skog väst AB</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4685-2024</t>
        </is>
      </c>
      <c r="B10301" s="1" t="n">
        <v>45328</v>
      </c>
      <c r="C10301" s="1" t="n">
        <v>45344</v>
      </c>
      <c r="D10301" t="inlineStr">
        <is>
          <t>GÄVLEBORGS LÄN</t>
        </is>
      </c>
      <c r="E10301" t="inlineStr">
        <is>
          <t>HUDIKSVALL</t>
        </is>
      </c>
      <c r="G10301" t="n">
        <v>1.2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4763-2024</t>
        </is>
      </c>
      <c r="B10302" s="1" t="n">
        <v>45328</v>
      </c>
      <c r="C10302" s="1" t="n">
        <v>45344</v>
      </c>
      <c r="D10302" t="inlineStr">
        <is>
          <t>GÄVLEBORGS LÄN</t>
        </is>
      </c>
      <c r="E10302" t="inlineStr">
        <is>
          <t>LJUSDAL</t>
        </is>
      </c>
      <c r="G10302" t="n">
        <v>2.7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4814-2024</t>
        </is>
      </c>
      <c r="B10303" s="1" t="n">
        <v>45328</v>
      </c>
      <c r="C10303" s="1" t="n">
        <v>45344</v>
      </c>
      <c r="D10303" t="inlineStr">
        <is>
          <t>GÄVLEBORGS LÄN</t>
        </is>
      </c>
      <c r="E10303" t="inlineStr">
        <is>
          <t>GÄVLE</t>
        </is>
      </c>
      <c r="G10303" t="n">
        <v>7.9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4826-2024</t>
        </is>
      </c>
      <c r="B10304" s="1" t="n">
        <v>45328</v>
      </c>
      <c r="C10304" s="1" t="n">
        <v>45344</v>
      </c>
      <c r="D10304" t="inlineStr">
        <is>
          <t>GÄVLEBORGS LÄN</t>
        </is>
      </c>
      <c r="E10304" t="inlineStr">
        <is>
          <t>LJUSDAL</t>
        </is>
      </c>
      <c r="G10304" t="n">
        <v>7.4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4830-2024</t>
        </is>
      </c>
      <c r="B10305" s="1" t="n">
        <v>45329</v>
      </c>
      <c r="C10305" s="1" t="n">
        <v>45344</v>
      </c>
      <c r="D10305" t="inlineStr">
        <is>
          <t>GÄVLEBORGS LÄN</t>
        </is>
      </c>
      <c r="E10305" t="inlineStr">
        <is>
          <t>OVANÅKER</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4874-2024</t>
        </is>
      </c>
      <c r="B10306" s="1" t="n">
        <v>45329</v>
      </c>
      <c r="C10306" s="1" t="n">
        <v>45344</v>
      </c>
      <c r="D10306" t="inlineStr">
        <is>
          <t>GÄVLEBORGS LÄN</t>
        </is>
      </c>
      <c r="E10306" t="inlineStr">
        <is>
          <t>HUDIKSVALL</t>
        </is>
      </c>
      <c r="F10306" t="inlineStr">
        <is>
          <t>Holmen skog AB</t>
        </is>
      </c>
      <c r="G10306" t="n">
        <v>40.8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4912-2024</t>
        </is>
      </c>
      <c r="B10307" s="1" t="n">
        <v>45329</v>
      </c>
      <c r="C10307" s="1" t="n">
        <v>45344</v>
      </c>
      <c r="D10307" t="inlineStr">
        <is>
          <t>GÄVLEBORGS LÄN</t>
        </is>
      </c>
      <c r="E10307" t="inlineStr">
        <is>
          <t>BOLLNÄS</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5010-2024</t>
        </is>
      </c>
      <c r="B10308" s="1" t="n">
        <v>45329</v>
      </c>
      <c r="C10308" s="1" t="n">
        <v>45344</v>
      </c>
      <c r="D10308" t="inlineStr">
        <is>
          <t>GÄVLEBORGS LÄN</t>
        </is>
      </c>
      <c r="E10308" t="inlineStr">
        <is>
          <t>SANDVIKEN</t>
        </is>
      </c>
      <c r="G10308" t="n">
        <v>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5000-2024</t>
        </is>
      </c>
      <c r="B10309" s="1" t="n">
        <v>45329</v>
      </c>
      <c r="C10309" s="1" t="n">
        <v>45344</v>
      </c>
      <c r="D10309" t="inlineStr">
        <is>
          <t>GÄVLEBORGS LÄN</t>
        </is>
      </c>
      <c r="E10309" t="inlineStr">
        <is>
          <t>GÄVLE</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5090-2024</t>
        </is>
      </c>
      <c r="B10310" s="1" t="n">
        <v>45330</v>
      </c>
      <c r="C10310" s="1" t="n">
        <v>45344</v>
      </c>
      <c r="D10310" t="inlineStr">
        <is>
          <t>GÄVLEBORGS LÄN</t>
        </is>
      </c>
      <c r="E10310" t="inlineStr">
        <is>
          <t>LJUSDAL</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5098-2024</t>
        </is>
      </c>
      <c r="B10311" s="1" t="n">
        <v>45330</v>
      </c>
      <c r="C10311" s="1" t="n">
        <v>45344</v>
      </c>
      <c r="D10311" t="inlineStr">
        <is>
          <t>GÄVLEBORGS LÄN</t>
        </is>
      </c>
      <c r="E10311" t="inlineStr">
        <is>
          <t>LJUSDAL</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5081-2024</t>
        </is>
      </c>
      <c r="B10312" s="1" t="n">
        <v>45330</v>
      </c>
      <c r="C10312" s="1" t="n">
        <v>45344</v>
      </c>
      <c r="D10312" t="inlineStr">
        <is>
          <t>GÄVLEBORGS LÄN</t>
        </is>
      </c>
      <c r="E10312" t="inlineStr">
        <is>
          <t>BOLLNÄS</t>
        </is>
      </c>
      <c r="G10312" t="n">
        <v>6.8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5092-2024</t>
        </is>
      </c>
      <c r="B10313" s="1" t="n">
        <v>45330</v>
      </c>
      <c r="C10313" s="1" t="n">
        <v>45344</v>
      </c>
      <c r="D10313" t="inlineStr">
        <is>
          <t>GÄVLEBORGS LÄN</t>
        </is>
      </c>
      <c r="E10313" t="inlineStr">
        <is>
          <t>LJUSDAL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5131-2024</t>
        </is>
      </c>
      <c r="B10314" s="1" t="n">
        <v>45330</v>
      </c>
      <c r="C10314" s="1" t="n">
        <v>45344</v>
      </c>
      <c r="D10314" t="inlineStr">
        <is>
          <t>GÄVLEBORGS LÄN</t>
        </is>
      </c>
      <c r="E10314" t="inlineStr">
        <is>
          <t>OCKELBO</t>
        </is>
      </c>
      <c r="F10314" t="inlineStr">
        <is>
          <t>Bergvik skog väst AB</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5151-2024</t>
        </is>
      </c>
      <c r="B10315" s="1" t="n">
        <v>45330</v>
      </c>
      <c r="C10315" s="1" t="n">
        <v>45344</v>
      </c>
      <c r="D10315" t="inlineStr">
        <is>
          <t>GÄVLEBORGS LÄN</t>
        </is>
      </c>
      <c r="E10315" t="inlineStr">
        <is>
          <t>OVANÅKER</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5225-2024</t>
        </is>
      </c>
      <c r="B10316" s="1" t="n">
        <v>45330</v>
      </c>
      <c r="C10316" s="1" t="n">
        <v>45344</v>
      </c>
      <c r="D10316" t="inlineStr">
        <is>
          <t>GÄVLEBORGS LÄN</t>
        </is>
      </c>
      <c r="E10316" t="inlineStr">
        <is>
          <t>LJUSDAL</t>
        </is>
      </c>
      <c r="G10316" t="n">
        <v>5.1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5230-2024</t>
        </is>
      </c>
      <c r="B10317" s="1" t="n">
        <v>45330</v>
      </c>
      <c r="C10317" s="1" t="n">
        <v>45344</v>
      </c>
      <c r="D10317" t="inlineStr">
        <is>
          <t>GÄVLEBORGS LÄN</t>
        </is>
      </c>
      <c r="E10317" t="inlineStr">
        <is>
          <t>HUDIKSVALL</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5241-2024</t>
        </is>
      </c>
      <c r="B10318" s="1" t="n">
        <v>45330</v>
      </c>
      <c r="C10318" s="1" t="n">
        <v>45344</v>
      </c>
      <c r="D10318" t="inlineStr">
        <is>
          <t>GÄVLEBORGS LÄN</t>
        </is>
      </c>
      <c r="E10318" t="inlineStr">
        <is>
          <t>GÄVLE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5243-2024</t>
        </is>
      </c>
      <c r="B10319" s="1" t="n">
        <v>45330</v>
      </c>
      <c r="C10319" s="1" t="n">
        <v>45344</v>
      </c>
      <c r="D10319" t="inlineStr">
        <is>
          <t>GÄVLEBORGS LÄN</t>
        </is>
      </c>
      <c r="E10319" t="inlineStr">
        <is>
          <t>GÄVLE</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5244-2024</t>
        </is>
      </c>
      <c r="B10320" s="1" t="n">
        <v>45330</v>
      </c>
      <c r="C10320" s="1" t="n">
        <v>45344</v>
      </c>
      <c r="D10320" t="inlineStr">
        <is>
          <t>GÄVLEBORGS LÄN</t>
        </is>
      </c>
      <c r="E10320" t="inlineStr">
        <is>
          <t>SANDVIKEN</t>
        </is>
      </c>
      <c r="G10320" t="n">
        <v>8.5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5309-2024</t>
        </is>
      </c>
      <c r="B10321" s="1" t="n">
        <v>45331</v>
      </c>
      <c r="C10321" s="1" t="n">
        <v>45344</v>
      </c>
      <c r="D10321" t="inlineStr">
        <is>
          <t>GÄVLEBORGS LÄN</t>
        </is>
      </c>
      <c r="E10321" t="inlineStr">
        <is>
          <t>OVANÅKER</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5388-2024</t>
        </is>
      </c>
      <c r="B10322" s="1" t="n">
        <v>45331</v>
      </c>
      <c r="C10322" s="1" t="n">
        <v>45344</v>
      </c>
      <c r="D10322" t="inlineStr">
        <is>
          <t>GÄVLEBORGS LÄN</t>
        </is>
      </c>
      <c r="E10322" t="inlineStr">
        <is>
          <t>BOLLNÄS</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5366-2024</t>
        </is>
      </c>
      <c r="B10323" s="1" t="n">
        <v>45331</v>
      </c>
      <c r="C10323" s="1" t="n">
        <v>45344</v>
      </c>
      <c r="D10323" t="inlineStr">
        <is>
          <t>GÄVLEBORGS LÄN</t>
        </is>
      </c>
      <c r="E10323" t="inlineStr">
        <is>
          <t>SÖDERHAMN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5385-2024</t>
        </is>
      </c>
      <c r="B10324" s="1" t="n">
        <v>45331</v>
      </c>
      <c r="C10324" s="1" t="n">
        <v>45344</v>
      </c>
      <c r="D10324" t="inlineStr">
        <is>
          <t>GÄVLEBORGS LÄN</t>
        </is>
      </c>
      <c r="E10324" t="inlineStr">
        <is>
          <t>NORDANSTIG</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5416-2024</t>
        </is>
      </c>
      <c r="B10325" s="1" t="n">
        <v>45331</v>
      </c>
      <c r="C10325" s="1" t="n">
        <v>45344</v>
      </c>
      <c r="D10325" t="inlineStr">
        <is>
          <t>GÄVLEBORGS LÄN</t>
        </is>
      </c>
      <c r="E10325" t="inlineStr">
        <is>
          <t>OVANÅKER</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5481-2024</t>
        </is>
      </c>
      <c r="B10326" s="1" t="n">
        <v>45333</v>
      </c>
      <c r="C10326" s="1" t="n">
        <v>45344</v>
      </c>
      <c r="D10326" t="inlineStr">
        <is>
          <t>GÄVLEBORGS LÄN</t>
        </is>
      </c>
      <c r="E10326" t="inlineStr">
        <is>
          <t>BOLLNÄS</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5500-2024</t>
        </is>
      </c>
      <c r="B10327" s="1" t="n">
        <v>45334</v>
      </c>
      <c r="C10327" s="1" t="n">
        <v>45344</v>
      </c>
      <c r="D10327" t="inlineStr">
        <is>
          <t>GÄVLEBORGS LÄN</t>
        </is>
      </c>
      <c r="E10327" t="inlineStr">
        <is>
          <t>HUDIKSVALL</t>
        </is>
      </c>
      <c r="F10327" t="inlineStr">
        <is>
          <t>Holmen skog AB</t>
        </is>
      </c>
      <c r="G10327" t="n">
        <v>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5535-2024</t>
        </is>
      </c>
      <c r="B10328" s="1" t="n">
        <v>45334</v>
      </c>
      <c r="C10328" s="1" t="n">
        <v>45344</v>
      </c>
      <c r="D10328" t="inlineStr">
        <is>
          <t>GÄVLEBORGS LÄN</t>
        </is>
      </c>
      <c r="E10328" t="inlineStr">
        <is>
          <t>LJUSDAL</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5554-2024</t>
        </is>
      </c>
      <c r="B10329" s="1" t="n">
        <v>45334</v>
      </c>
      <c r="C10329" s="1" t="n">
        <v>45344</v>
      </c>
      <c r="D10329" t="inlineStr">
        <is>
          <t>GÄVLEBORGS LÄN</t>
        </is>
      </c>
      <c r="E10329" t="inlineStr">
        <is>
          <t>HOFORS</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5558-2024</t>
        </is>
      </c>
      <c r="B10330" s="1" t="n">
        <v>45334</v>
      </c>
      <c r="C10330" s="1" t="n">
        <v>45344</v>
      </c>
      <c r="D10330" t="inlineStr">
        <is>
          <t>GÄVLEBORGS LÄN</t>
        </is>
      </c>
      <c r="E10330" t="inlineStr">
        <is>
          <t>OCKELBO</t>
        </is>
      </c>
      <c r="G10330" t="n">
        <v>4.7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5571-2024</t>
        </is>
      </c>
      <c r="B10331" s="1" t="n">
        <v>45334</v>
      </c>
      <c r="C10331" s="1" t="n">
        <v>45344</v>
      </c>
      <c r="D10331" t="inlineStr">
        <is>
          <t>GÄVLEBORGS LÄN</t>
        </is>
      </c>
      <c r="E10331" t="inlineStr">
        <is>
          <t>OCKELBO</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5579-2024</t>
        </is>
      </c>
      <c r="B10332" s="1" t="n">
        <v>45334</v>
      </c>
      <c r="C10332" s="1" t="n">
        <v>45344</v>
      </c>
      <c r="D10332" t="inlineStr">
        <is>
          <t>GÄVLEBORGS LÄN</t>
        </is>
      </c>
      <c r="E10332" t="inlineStr">
        <is>
          <t>LJUSDAL</t>
        </is>
      </c>
      <c r="G10332" t="n">
        <v>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5605-2024</t>
        </is>
      </c>
      <c r="B10333" s="1" t="n">
        <v>45334</v>
      </c>
      <c r="C10333" s="1" t="n">
        <v>45344</v>
      </c>
      <c r="D10333" t="inlineStr">
        <is>
          <t>GÄVLEBORGS LÄN</t>
        </is>
      </c>
      <c r="E10333" t="inlineStr">
        <is>
          <t>GÄVLE</t>
        </is>
      </c>
      <c r="G10333" t="n">
        <v>5.5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5635-2024</t>
        </is>
      </c>
      <c r="B10334" s="1" t="n">
        <v>45334</v>
      </c>
      <c r="C10334" s="1" t="n">
        <v>45344</v>
      </c>
      <c r="D10334" t="inlineStr">
        <is>
          <t>GÄVLEBORGS LÄN</t>
        </is>
      </c>
      <c r="E10334" t="inlineStr">
        <is>
          <t>HUDIKSVALL</t>
        </is>
      </c>
      <c r="F10334" t="inlineStr">
        <is>
          <t>Kommuner</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5620-2024</t>
        </is>
      </c>
      <c r="B10335" s="1" t="n">
        <v>45334</v>
      </c>
      <c r="C10335" s="1" t="n">
        <v>45344</v>
      </c>
      <c r="D10335" t="inlineStr">
        <is>
          <t>GÄVLEBORGS LÄN</t>
        </is>
      </c>
      <c r="E10335" t="inlineStr">
        <is>
          <t>SANDVIKEN</t>
        </is>
      </c>
      <c r="G10335" t="n">
        <v>7.9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5725-2024</t>
        </is>
      </c>
      <c r="B10336" s="1" t="n">
        <v>45334</v>
      </c>
      <c r="C10336" s="1" t="n">
        <v>45344</v>
      </c>
      <c r="D10336" t="inlineStr">
        <is>
          <t>GÄVLEBORGS LÄN</t>
        </is>
      </c>
      <c r="E10336" t="inlineStr">
        <is>
          <t>HUDIKSVALL</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5534-2024</t>
        </is>
      </c>
      <c r="B10337" s="1" t="n">
        <v>45334</v>
      </c>
      <c r="C10337" s="1" t="n">
        <v>45344</v>
      </c>
      <c r="D10337" t="inlineStr">
        <is>
          <t>GÄVLEBORGS LÄN</t>
        </is>
      </c>
      <c r="E10337" t="inlineStr">
        <is>
          <t>LJUSDAL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5711-2024</t>
        </is>
      </c>
      <c r="B10338" s="1" t="n">
        <v>45334</v>
      </c>
      <c r="C10338" s="1" t="n">
        <v>45344</v>
      </c>
      <c r="D10338" t="inlineStr">
        <is>
          <t>GÄVLEBORGS LÄN</t>
        </is>
      </c>
      <c r="E10338" t="inlineStr">
        <is>
          <t>HUDIKSVALL</t>
        </is>
      </c>
      <c r="F10338" t="inlineStr">
        <is>
          <t>Holmen skog AB</t>
        </is>
      </c>
      <c r="G10338" t="n">
        <v>14.5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5604-2024</t>
        </is>
      </c>
      <c r="B10339" s="1" t="n">
        <v>45334</v>
      </c>
      <c r="C10339" s="1" t="n">
        <v>45344</v>
      </c>
      <c r="D10339" t="inlineStr">
        <is>
          <t>GÄVLEBORGS LÄN</t>
        </is>
      </c>
      <c r="E10339" t="inlineStr">
        <is>
          <t>HUDIKSVALL</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5633-2024</t>
        </is>
      </c>
      <c r="B10340" s="1" t="n">
        <v>45334</v>
      </c>
      <c r="C10340" s="1" t="n">
        <v>45344</v>
      </c>
      <c r="D10340" t="inlineStr">
        <is>
          <t>GÄVLEBORGS LÄN</t>
        </is>
      </c>
      <c r="E10340" t="inlineStr">
        <is>
          <t>GÄVLE</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5756-2024</t>
        </is>
      </c>
      <c r="B10341" s="1" t="n">
        <v>45335</v>
      </c>
      <c r="C10341" s="1" t="n">
        <v>45344</v>
      </c>
      <c r="D10341" t="inlineStr">
        <is>
          <t>GÄVLEBORGS LÄN</t>
        </is>
      </c>
      <c r="E10341" t="inlineStr">
        <is>
          <t>BOLLNÄS</t>
        </is>
      </c>
      <c r="G10341" t="n">
        <v>4.1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5838-2024</t>
        </is>
      </c>
      <c r="B10342" s="1" t="n">
        <v>45335</v>
      </c>
      <c r="C10342" s="1" t="n">
        <v>45344</v>
      </c>
      <c r="D10342" t="inlineStr">
        <is>
          <t>GÄVLEBORGS LÄN</t>
        </is>
      </c>
      <c r="E10342" t="inlineStr">
        <is>
          <t>BOLLNÄS</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5893-2024</t>
        </is>
      </c>
      <c r="B10343" s="1" t="n">
        <v>45335</v>
      </c>
      <c r="C10343" s="1" t="n">
        <v>45344</v>
      </c>
      <c r="D10343" t="inlineStr">
        <is>
          <t>GÄVLEBORGS LÄN</t>
        </is>
      </c>
      <c r="E10343" t="inlineStr">
        <is>
          <t>GÄVLE</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5897-2024</t>
        </is>
      </c>
      <c r="B10344" s="1" t="n">
        <v>45335</v>
      </c>
      <c r="C10344" s="1" t="n">
        <v>45344</v>
      </c>
      <c r="D10344" t="inlineStr">
        <is>
          <t>GÄVLEBORGS LÄN</t>
        </is>
      </c>
      <c r="E10344" t="inlineStr">
        <is>
          <t>HUDIKSVALL</t>
        </is>
      </c>
      <c r="F10344" t="inlineStr">
        <is>
          <t>Holmen skog AB</t>
        </is>
      </c>
      <c r="G10344" t="n">
        <v>11.2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5836-2024</t>
        </is>
      </c>
      <c r="B10345" s="1" t="n">
        <v>45335</v>
      </c>
      <c r="C10345" s="1" t="n">
        <v>45344</v>
      </c>
      <c r="D10345" t="inlineStr">
        <is>
          <t>GÄVLEBORGS LÄN</t>
        </is>
      </c>
      <c r="E10345" t="inlineStr">
        <is>
          <t>BOLLNÄS</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5983-2024</t>
        </is>
      </c>
      <c r="B10346" s="1" t="n">
        <v>45336</v>
      </c>
      <c r="C10346" s="1" t="n">
        <v>45344</v>
      </c>
      <c r="D10346" t="inlineStr">
        <is>
          <t>GÄVLEBORGS LÄN</t>
        </is>
      </c>
      <c r="E10346" t="inlineStr">
        <is>
          <t>NORDANSTIG</t>
        </is>
      </c>
      <c r="G10346" t="n">
        <v>5.5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5999-2024</t>
        </is>
      </c>
      <c r="B10347" s="1" t="n">
        <v>45336</v>
      </c>
      <c r="C10347" s="1" t="n">
        <v>45344</v>
      </c>
      <c r="D10347" t="inlineStr">
        <is>
          <t>GÄVLEBORGS LÄN</t>
        </is>
      </c>
      <c r="E10347" t="inlineStr">
        <is>
          <t>NORDANSTIG</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6015-2024</t>
        </is>
      </c>
      <c r="B10348" s="1" t="n">
        <v>45336</v>
      </c>
      <c r="C10348" s="1" t="n">
        <v>45344</v>
      </c>
      <c r="D10348" t="inlineStr">
        <is>
          <t>GÄVLEBORGS LÄN</t>
        </is>
      </c>
      <c r="E10348" t="inlineStr">
        <is>
          <t>HUDIKSVALL</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6062-2024</t>
        </is>
      </c>
      <c r="B10349" s="1" t="n">
        <v>45336</v>
      </c>
      <c r="C10349" s="1" t="n">
        <v>45344</v>
      </c>
      <c r="D10349" t="inlineStr">
        <is>
          <t>GÄVLEBORGS LÄN</t>
        </is>
      </c>
      <c r="E10349" t="inlineStr">
        <is>
          <t>HUDIKSVALL</t>
        </is>
      </c>
      <c r="F10349" t="inlineStr">
        <is>
          <t>Holmen skog AB</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6074-2024</t>
        </is>
      </c>
      <c r="B10350" s="1" t="n">
        <v>45336</v>
      </c>
      <c r="C10350" s="1" t="n">
        <v>45344</v>
      </c>
      <c r="D10350" t="inlineStr">
        <is>
          <t>GÄVLEBORGS LÄN</t>
        </is>
      </c>
      <c r="E10350" t="inlineStr">
        <is>
          <t>LJUSDAL</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6073-2024</t>
        </is>
      </c>
      <c r="B10351" s="1" t="n">
        <v>45336</v>
      </c>
      <c r="C10351" s="1" t="n">
        <v>45344</v>
      </c>
      <c r="D10351" t="inlineStr">
        <is>
          <t>GÄVLEBORGS LÄN</t>
        </is>
      </c>
      <c r="E10351" t="inlineStr">
        <is>
          <t>LJUSDAL</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6072-2024</t>
        </is>
      </c>
      <c r="B10352" s="1" t="n">
        <v>45336</v>
      </c>
      <c r="C10352" s="1" t="n">
        <v>45344</v>
      </c>
      <c r="D10352" t="inlineStr">
        <is>
          <t>GÄVLEBORGS LÄN</t>
        </is>
      </c>
      <c r="E10352" t="inlineStr">
        <is>
          <t>LJUSDAL</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6016-2024</t>
        </is>
      </c>
      <c r="B10353" s="1" t="n">
        <v>45336</v>
      </c>
      <c r="C10353" s="1" t="n">
        <v>45344</v>
      </c>
      <c r="D10353" t="inlineStr">
        <is>
          <t>GÄVLEBORGS LÄN</t>
        </is>
      </c>
      <c r="E10353" t="inlineStr">
        <is>
          <t>HUDIKSVALL</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6095-2024</t>
        </is>
      </c>
      <c r="B10354" s="1" t="n">
        <v>45337</v>
      </c>
      <c r="C10354" s="1" t="n">
        <v>45344</v>
      </c>
      <c r="D10354" t="inlineStr">
        <is>
          <t>GÄVLEBORGS LÄN</t>
        </is>
      </c>
      <c r="E10354" t="inlineStr">
        <is>
          <t>HUDIKSVALL</t>
        </is>
      </c>
      <c r="F10354" t="inlineStr">
        <is>
          <t>Holmen skog AB</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6128-2024</t>
        </is>
      </c>
      <c r="B10355" s="1" t="n">
        <v>45337</v>
      </c>
      <c r="C10355" s="1" t="n">
        <v>45344</v>
      </c>
      <c r="D10355" t="inlineStr">
        <is>
          <t>GÄVLEBORGS LÄN</t>
        </is>
      </c>
      <c r="E10355" t="inlineStr">
        <is>
          <t>OCKELBO</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6191-2024</t>
        </is>
      </c>
      <c r="B10356" s="1" t="n">
        <v>45337</v>
      </c>
      <c r="C10356" s="1" t="n">
        <v>45344</v>
      </c>
      <c r="D10356" t="inlineStr">
        <is>
          <t>GÄVLEBORGS LÄN</t>
        </is>
      </c>
      <c r="E10356" t="inlineStr">
        <is>
          <t>BOLLNÄS</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6188-2024</t>
        </is>
      </c>
      <c r="B10357" s="1" t="n">
        <v>45337</v>
      </c>
      <c r="C10357" s="1" t="n">
        <v>45344</v>
      </c>
      <c r="D10357" t="inlineStr">
        <is>
          <t>GÄVLEBORGS LÄN</t>
        </is>
      </c>
      <c r="E10357" t="inlineStr">
        <is>
          <t>OVANÅKER</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6235-2024</t>
        </is>
      </c>
      <c r="B10358" s="1" t="n">
        <v>45337</v>
      </c>
      <c r="C10358" s="1" t="n">
        <v>45344</v>
      </c>
      <c r="D10358" t="inlineStr">
        <is>
          <t>GÄVLEBORGS LÄN</t>
        </is>
      </c>
      <c r="E10358" t="inlineStr">
        <is>
          <t>SANDVIKEN</t>
        </is>
      </c>
      <c r="G10358" t="n">
        <v>3.4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6110-2024</t>
        </is>
      </c>
      <c r="B10359" s="1" t="n">
        <v>45337</v>
      </c>
      <c r="C10359" s="1" t="n">
        <v>45344</v>
      </c>
      <c r="D10359" t="inlineStr">
        <is>
          <t>GÄVLEBORGS LÄN</t>
        </is>
      </c>
      <c r="E10359" t="inlineStr">
        <is>
          <t>HUDIKSVALL</t>
        </is>
      </c>
      <c r="F10359" t="inlineStr">
        <is>
          <t>Kommuner</t>
        </is>
      </c>
      <c r="G10359" t="n">
        <v>2.6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6260-2024</t>
        </is>
      </c>
      <c r="B10360" s="1" t="n">
        <v>45337</v>
      </c>
      <c r="C10360" s="1" t="n">
        <v>45344</v>
      </c>
      <c r="D10360" t="inlineStr">
        <is>
          <t>GÄVLEBORGS LÄN</t>
        </is>
      </c>
      <c r="E10360" t="inlineStr">
        <is>
          <t>HUDIKSVALL</t>
        </is>
      </c>
      <c r="F10360" t="inlineStr">
        <is>
          <t>Holmen skog AB</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6331-2024</t>
        </is>
      </c>
      <c r="B10361" s="1" t="n">
        <v>45338</v>
      </c>
      <c r="C10361" s="1" t="n">
        <v>45344</v>
      </c>
      <c r="D10361" t="inlineStr">
        <is>
          <t>GÄVLEBORGS LÄN</t>
        </is>
      </c>
      <c r="E10361" t="inlineStr">
        <is>
          <t>OVANÅKER</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6425-2024</t>
        </is>
      </c>
      <c r="B10362" s="1" t="n">
        <v>45338</v>
      </c>
      <c r="C10362" s="1" t="n">
        <v>45344</v>
      </c>
      <c r="D10362" t="inlineStr">
        <is>
          <t>GÄVLEBORGS LÄN</t>
        </is>
      </c>
      <c r="E10362" t="inlineStr">
        <is>
          <t>HUDIKSVALL</t>
        </is>
      </c>
      <c r="F10362" t="inlineStr">
        <is>
          <t>Holmen skog AB</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6467-2024</t>
        </is>
      </c>
      <c r="B10363" s="1" t="n">
        <v>45338</v>
      </c>
      <c r="C10363" s="1" t="n">
        <v>45344</v>
      </c>
      <c r="D10363" t="inlineStr">
        <is>
          <t>GÄVLEBORGS LÄN</t>
        </is>
      </c>
      <c r="E10363" t="inlineStr">
        <is>
          <t>NORDANSTIG</t>
        </is>
      </c>
      <c r="G10363" t="n">
        <v>0.8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6469-2024</t>
        </is>
      </c>
      <c r="B10364" s="1" t="n">
        <v>45338</v>
      </c>
      <c r="C10364" s="1" t="n">
        <v>45344</v>
      </c>
      <c r="D10364" t="inlineStr">
        <is>
          <t>GÄVLEBORGS LÄN</t>
        </is>
      </c>
      <c r="E10364" t="inlineStr">
        <is>
          <t>LJUSDAL</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6474-2024</t>
        </is>
      </c>
      <c r="B10365" s="1" t="n">
        <v>45338</v>
      </c>
      <c r="C10365" s="1" t="n">
        <v>45344</v>
      </c>
      <c r="D10365" t="inlineStr">
        <is>
          <t>GÄVLEBORGS LÄN</t>
        </is>
      </c>
      <c r="E10365" t="inlineStr">
        <is>
          <t>GÄVLE</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6568-2024</t>
        </is>
      </c>
      <c r="B10366" s="1" t="n">
        <v>45341</v>
      </c>
      <c r="C10366" s="1" t="n">
        <v>45344</v>
      </c>
      <c r="D10366" t="inlineStr">
        <is>
          <t>GÄVLEBORGS LÄN</t>
        </is>
      </c>
      <c r="E10366" t="inlineStr">
        <is>
          <t>OCKELBO</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6581-2024</t>
        </is>
      </c>
      <c r="B10367" s="1" t="n">
        <v>45341</v>
      </c>
      <c r="C10367" s="1" t="n">
        <v>45344</v>
      </c>
      <c r="D10367" t="inlineStr">
        <is>
          <t>GÄVLEBORGS LÄN</t>
        </is>
      </c>
      <c r="E10367" t="inlineStr">
        <is>
          <t>HUDIKSVALL</t>
        </is>
      </c>
      <c r="G10367" t="n">
        <v>0.7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6626-2024</t>
        </is>
      </c>
      <c r="B10368" s="1" t="n">
        <v>45341</v>
      </c>
      <c r="C10368" s="1" t="n">
        <v>45344</v>
      </c>
      <c r="D10368" t="inlineStr">
        <is>
          <t>GÄVLEBORGS LÄN</t>
        </is>
      </c>
      <c r="E10368" t="inlineStr">
        <is>
          <t>OCKELBO</t>
        </is>
      </c>
      <c r="G10368" t="n">
        <v>6.5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6724-2024</t>
        </is>
      </c>
      <c r="B10369" s="1" t="n">
        <v>45342</v>
      </c>
      <c r="C10369" s="1" t="n">
        <v>45344</v>
      </c>
      <c r="D10369" t="inlineStr">
        <is>
          <t>GÄVLEBORGS LÄN</t>
        </is>
      </c>
      <c r="E10369" t="inlineStr">
        <is>
          <t>LJUSDAL</t>
        </is>
      </c>
      <c r="F10369" t="inlineStr">
        <is>
          <t>Bergvik skog väst AB</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6730-2024</t>
        </is>
      </c>
      <c r="B10370" s="1" t="n">
        <v>45342</v>
      </c>
      <c r="C10370" s="1" t="n">
        <v>45344</v>
      </c>
      <c r="D10370" t="inlineStr">
        <is>
          <t>GÄVLEBORGS LÄN</t>
        </is>
      </c>
      <c r="E10370" t="inlineStr">
        <is>
          <t>HUDIKSVALL</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6752-2024</t>
        </is>
      </c>
      <c r="B10371" s="1" t="n">
        <v>45342</v>
      </c>
      <c r="C10371" s="1" t="n">
        <v>45344</v>
      </c>
      <c r="D10371" t="inlineStr">
        <is>
          <t>GÄVLEBORGS LÄN</t>
        </is>
      </c>
      <c r="E10371" t="inlineStr">
        <is>
          <t>BOLLNÄS</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6761-2024</t>
        </is>
      </c>
      <c r="B10372" s="1" t="n">
        <v>45342</v>
      </c>
      <c r="C10372" s="1" t="n">
        <v>45344</v>
      </c>
      <c r="D10372" t="inlineStr">
        <is>
          <t>GÄVLEBORGS LÄN</t>
        </is>
      </c>
      <c r="E10372" t="inlineStr">
        <is>
          <t>OVANÅKER</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6729-2024</t>
        </is>
      </c>
      <c r="B10373" s="1" t="n">
        <v>45342</v>
      </c>
      <c r="C10373" s="1" t="n">
        <v>45344</v>
      </c>
      <c r="D10373" t="inlineStr">
        <is>
          <t>GÄVLEBORGS LÄN</t>
        </is>
      </c>
      <c r="E10373" t="inlineStr">
        <is>
          <t>LJUSDAL</t>
        </is>
      </c>
      <c r="F10373" t="inlineStr">
        <is>
          <t>Bergvik skog väst AB</t>
        </is>
      </c>
      <c r="G10373" t="n">
        <v>22.5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6755-2024</t>
        </is>
      </c>
      <c r="B10374" s="1" t="n">
        <v>45342</v>
      </c>
      <c r="C10374" s="1" t="n">
        <v>45344</v>
      </c>
      <c r="D10374" t="inlineStr">
        <is>
          <t>GÄVLEBORGS LÄN</t>
        </is>
      </c>
      <c r="E10374" t="inlineStr">
        <is>
          <t>BOLLNÄS</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6802-2024</t>
        </is>
      </c>
      <c r="B10375" s="1" t="n">
        <v>45342</v>
      </c>
      <c r="C10375" s="1" t="n">
        <v>45344</v>
      </c>
      <c r="D10375" t="inlineStr">
        <is>
          <t>GÄVLEBORGS LÄN</t>
        </is>
      </c>
      <c r="E10375" t="inlineStr">
        <is>
          <t>LJUSDAL</t>
        </is>
      </c>
      <c r="F10375" t="inlineStr">
        <is>
          <t>Holmen skog AB</t>
        </is>
      </c>
      <c r="G10375" t="n">
        <v>23.2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6792-2024</t>
        </is>
      </c>
      <c r="B10376" s="1" t="n">
        <v>45342</v>
      </c>
      <c r="C10376" s="1" t="n">
        <v>45344</v>
      </c>
      <c r="D10376" t="inlineStr">
        <is>
          <t>GÄVLEBORGS LÄN</t>
        </is>
      </c>
      <c r="E10376" t="inlineStr">
        <is>
          <t>SÖDERHAMN</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6844-2024</t>
        </is>
      </c>
      <c r="B10377" s="1" t="n">
        <v>45342</v>
      </c>
      <c r="C10377" s="1" t="n">
        <v>45344</v>
      </c>
      <c r="D10377" t="inlineStr">
        <is>
          <t>GÄVLEBORGS LÄN</t>
        </is>
      </c>
      <c r="E10377" t="inlineStr">
        <is>
          <t>LJUSDAL</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6853-2024</t>
        </is>
      </c>
      <c r="B10378" s="1" t="n">
        <v>45342</v>
      </c>
      <c r="C10378" s="1" t="n">
        <v>45344</v>
      </c>
      <c r="D10378" t="inlineStr">
        <is>
          <t>GÄVLEBORGS LÄN</t>
        </is>
      </c>
      <c r="E10378" t="inlineStr">
        <is>
          <t>SÖDERHAMN</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6851-2024</t>
        </is>
      </c>
      <c r="B10379" s="1" t="n">
        <v>45342</v>
      </c>
      <c r="C10379" s="1" t="n">
        <v>45344</v>
      </c>
      <c r="D10379" t="inlineStr">
        <is>
          <t>GÄVLEBORGS LÄN</t>
        </is>
      </c>
      <c r="E10379" t="inlineStr">
        <is>
          <t>SÖDERHAMN</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6742-2024</t>
        </is>
      </c>
      <c r="B10380" s="1" t="n">
        <v>45342</v>
      </c>
      <c r="C10380" s="1" t="n">
        <v>45344</v>
      </c>
      <c r="D10380" t="inlineStr">
        <is>
          <t>GÄVLEBORGS LÄN</t>
        </is>
      </c>
      <c r="E10380" t="inlineStr">
        <is>
          <t>OCKELBO</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6872-2024</t>
        </is>
      </c>
      <c r="B10381" s="1" t="n">
        <v>45342</v>
      </c>
      <c r="C10381" s="1" t="n">
        <v>45344</v>
      </c>
      <c r="D10381" t="inlineStr">
        <is>
          <t>GÄVLEBORGS LÄN</t>
        </is>
      </c>
      <c r="E10381" t="inlineStr">
        <is>
          <t>HUDIKSVALL</t>
        </is>
      </c>
      <c r="F10381" t="inlineStr">
        <is>
          <t>Holmen skog AB</t>
        </is>
      </c>
      <c r="G10381" t="n">
        <v>8.300000000000001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6923-2024</t>
        </is>
      </c>
      <c r="B10382" s="1" t="n">
        <v>45343</v>
      </c>
      <c r="C10382" s="1" t="n">
        <v>45344</v>
      </c>
      <c r="D10382" t="inlineStr">
        <is>
          <t>GÄVLEBORGS LÄN</t>
        </is>
      </c>
      <c r="E10382" t="inlineStr">
        <is>
          <t>NORDANSTIG</t>
        </is>
      </c>
      <c r="F10382" t="inlineStr">
        <is>
          <t>Holmen skog AB</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7031-2024</t>
        </is>
      </c>
      <c r="B10383" s="1" t="n">
        <v>45343</v>
      </c>
      <c r="C10383" s="1" t="n">
        <v>45344</v>
      </c>
      <c r="D10383" t="inlineStr">
        <is>
          <t>GÄVLEBORGS LÄN</t>
        </is>
      </c>
      <c r="E10383" t="inlineStr">
        <is>
          <t>LJUSDAL</t>
        </is>
      </c>
      <c r="G10383" t="n">
        <v>3.6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6951-2024</t>
        </is>
      </c>
      <c r="B10384" s="1" t="n">
        <v>45343</v>
      </c>
      <c r="C10384" s="1" t="n">
        <v>45344</v>
      </c>
      <c r="D10384" t="inlineStr">
        <is>
          <t>GÄVLEBORGS LÄN</t>
        </is>
      </c>
      <c r="E10384" t="inlineStr">
        <is>
          <t>SANDVIKEN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6963-2024</t>
        </is>
      </c>
      <c r="B10385" s="1" t="n">
        <v>45343</v>
      </c>
      <c r="C10385" s="1" t="n">
        <v>45344</v>
      </c>
      <c r="D10385" t="inlineStr">
        <is>
          <t>GÄVLEBORGS LÄN</t>
        </is>
      </c>
      <c r="E10385" t="inlineStr">
        <is>
          <t>HOFORS</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6958-2024</t>
        </is>
      </c>
      <c r="B10386" s="1" t="n">
        <v>45343</v>
      </c>
      <c r="C10386" s="1" t="n">
        <v>45344</v>
      </c>
      <c r="D10386" t="inlineStr">
        <is>
          <t>GÄVLEBORGS LÄN</t>
        </is>
      </c>
      <c r="E10386" t="inlineStr">
        <is>
          <t>HOFORS</t>
        </is>
      </c>
      <c r="G10386" t="n">
        <v>3.4</v>
      </c>
      <c r="H10386" t="n">
        <v>0</v>
      </c>
      <c r="I10386" t="n">
        <v>0</v>
      </c>
      <c r="J10386" t="n">
        <v>0</v>
      </c>
      <c r="K10386" t="n">
        <v>0</v>
      </c>
      <c r="L10386" t="n">
        <v>0</v>
      </c>
      <c r="M10386" t="n">
        <v>0</v>
      </c>
      <c r="N10386" t="n">
        <v>0</v>
      </c>
      <c r="O10386" t="n">
        <v>0</v>
      </c>
      <c r="P10386" t="n">
        <v>0</v>
      </c>
      <c r="Q10386" t="n">
        <v>0</v>
      </c>
      <c r="R10386" s="2" t="inlineStr"/>
    </row>
    <row r="10387">
      <c r="A10387" t="inlineStr">
        <is>
          <t>A 7080-2024</t>
        </is>
      </c>
      <c r="B10387" s="1" t="n">
        <v>45343</v>
      </c>
      <c r="C10387" s="1" t="n">
        <v>45344</v>
      </c>
      <c r="D10387" t="inlineStr">
        <is>
          <t>GÄVLEBORGS LÄN</t>
        </is>
      </c>
      <c r="E10387" t="inlineStr">
        <is>
          <t>NORDANSTIG</t>
        </is>
      </c>
      <c r="G10387" t="n">
        <v>20.9</v>
      </c>
      <c r="H10387" t="n">
        <v>0</v>
      </c>
      <c r="I10387" t="n">
        <v>0</v>
      </c>
      <c r="J10387" t="n">
        <v>0</v>
      </c>
      <c r="K10387" t="n">
        <v>0</v>
      </c>
      <c r="L10387" t="n">
        <v>0</v>
      </c>
      <c r="M10387" t="n">
        <v>0</v>
      </c>
      <c r="N10387" t="n">
        <v>0</v>
      </c>
      <c r="O10387" t="n">
        <v>0</v>
      </c>
      <c r="P10387" t="n">
        <v>0</v>
      </c>
      <c r="Q10387" t="n">
        <v>0</v>
      </c>
      <c r="R1038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2024-02-22T06:49:21Z</dcterms:created>
  <dcterms:modified xmlns:dcterms="http://purl.org/dc/terms/" xmlns:xsi="http://www.w3.org/2001/XMLSchema-instance" xsi:type="dcterms:W3CDTF">2024-02-22T06:49:30Z</dcterms:modified>
</cp:coreProperties>
</file>