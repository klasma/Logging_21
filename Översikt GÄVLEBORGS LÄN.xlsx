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45568</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45568</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45568</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45568</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45568</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45568</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45568</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45568</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45568</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45568</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45568</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45568</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45568</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45568</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45568</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45568</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45568</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45568</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45568</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45568</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45568</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45568</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45568</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45568</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45568</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45568</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45568</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45568</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45568</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45568</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45568</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45568</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45568</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45568</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45568</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45568</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45568</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45568</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45568</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45568</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45568</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45568</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45568</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45568</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45568</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45568</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45568</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45568</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45568</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45568</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45568</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45568</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45568</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45568</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45568</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45568</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45568</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45568</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45568</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45568</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45568</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45568</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45568</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45568</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45568</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45568</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45568</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45568</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45568</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45568</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45568</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45568</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45568</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45568</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45568</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45568</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45568</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45568</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45568</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45568</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45568</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45568</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45568</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45568</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45568</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45568</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45568</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45568</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45568</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45568</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45568</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45568</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45568</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45568</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45568</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45568</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45568</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45568</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45568</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45568</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45568</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45568</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45568</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45568</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45568</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45568</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45568</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45568</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45568</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45568</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45568</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45568</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45568</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45568</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45568</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45568</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45568</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45568</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45568</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45568</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45568</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45568</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45568</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45568</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45568</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45568</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45568</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45568</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45568</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45568</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45568</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45568</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45568</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45568</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45568</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45568</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45568</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45568</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45568</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45568</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45568</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45568</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45568</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45568</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45568</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45568</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45568</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45568</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45568</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45568</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45568</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45568</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45568</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45568</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45568</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45568</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45568</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45568</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45568</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45568</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45568</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45568</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45568</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45568</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45568</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45568</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45568</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45568</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45568</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45568</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45568</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45568</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45568</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45568</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45568</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45568</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45568</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45568</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45568</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45568</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45568</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45568</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45568</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45568</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45568</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45568</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45568</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45568</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45568</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45568</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45568</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45568</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45568</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45568</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45568</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45568</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45568</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45568</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45568</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45568</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45568</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45568</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45568</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45568</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45568</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45568</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45568</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45568</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45568</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45568</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45568</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45568</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45568</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45568</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45568</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45568</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45568</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45568</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45568</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45568</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45568</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45568</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45568</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45568</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45568</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45568</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45568</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45568</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45568</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45568</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45568</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45568</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45568</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45568</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45568</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45568</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45568</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45568</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45568</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45568</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45568</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45568</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45568</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45568</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45568</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45568</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45568</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45568</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45568</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45568</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45568</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45568</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45568</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45568</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45568</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45568</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45568</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45568</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45568</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45568</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45568</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45568</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45568</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45568</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45568</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45568</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45568</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45568</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45568</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45568</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45568</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45568</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45568</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45568</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45568</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45568</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45568</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45568</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45568</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45568</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45568</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45568</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45568</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45568</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45568</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45568</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45568</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45568</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45568</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45568</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45568</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45568</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45568</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45568</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45568</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45568</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45568</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45568</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45568</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45568</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45568</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45568</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45568</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45568</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45568</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45568</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45568</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45568</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45568</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45568</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45568</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45568</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45568</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45568</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45568</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45568</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45568</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45568</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45568</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45568</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45568</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45568</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45568</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45568</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45568</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45568</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45568</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45568</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45568</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45568</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45568</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45568</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45568</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45568</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45568</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45568</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45568</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45568</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45568</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45568</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45568</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45568</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45568</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45568</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45568</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45568</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45568</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45568</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45568</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45568</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45568</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45568</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45568</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45568</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45568</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45568</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45568</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45568</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45568</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45568</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45568</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45568</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45568</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45568</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45568</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45568</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45568</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45568</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45568</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45568</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45568</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45568</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45568</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45568</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45568</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45568</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45568</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45568</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45568</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45568</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45568</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45568</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45568</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45568</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45568</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45568</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45568</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45568</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45568</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45568</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45568</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45568</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45568</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45568</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45568</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45568</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45568</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45568</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45568</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45568</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45568</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45568</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45568</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45568</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45568</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45568</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45568</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45568</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45568</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45568</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45568</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45568</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45568</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45568</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45568</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45568</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45568</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45568</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45568</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45568</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45568</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45568</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45568</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45568</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45568</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45568</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45568</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45568</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45568</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45568</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45568</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45568</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45568</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45568</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45568</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45568</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45568</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45568</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45568</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45568</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45568</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45568</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45568</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45568</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45568</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45568</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45568</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45568</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45568</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45568</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45568</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45568</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45568</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45568</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45568</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45568</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45568</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45568</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45568</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45568</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45568</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45568</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45568</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45568</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45568</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45568</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45568</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45568</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45568</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45568</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45568</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45568</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45568</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45568</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45568</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45568</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45568</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45568</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45568</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45568</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45568</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45568</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45568</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45568</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45568</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45568</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45568</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45568</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45568</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45568</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45568</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45568</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45568</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45568</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45568</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45568</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45568</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45568</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45568</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45568</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45568</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45568</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45568</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45568</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45568</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45568</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45568</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45568</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45568</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45568</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45568</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45568</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45568</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45568</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45568</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45568</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45568</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45568</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45568</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45568</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45568</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45568</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45568</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45568</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45568</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45568</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45568</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45568</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45568</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45568</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45568</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45568</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45568</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45568</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45568</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45568</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45568</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45568</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45568</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45568</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45568</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45568</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45568</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45568</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45568</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45568</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45568</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45568</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45568</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45568</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45568</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45568</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45568</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45568</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45568</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45568</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45568</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45568</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45568</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45568</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45568</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45568</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45568</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45568</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45568</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45568</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45568</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45568</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45568</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45568</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45568</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45568</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45568</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45568</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45568</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45568</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45568</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45568</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45568</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45568</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45568</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45568</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45568</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45568</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45568</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45568</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45568</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45568</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45568</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45568</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45568</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45568</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45568</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45568</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45568</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45568</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45568</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45568</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45568</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45568</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45568</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45568</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45568</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45568</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45568</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45568</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45568</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45568</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45568</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45568</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45568</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45568</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45568</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45568</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45568</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45568</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45568</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45568</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45568</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45568</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45568</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45568</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45568</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45568</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45568</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38971-2024</t>
        </is>
      </c>
      <c r="B633" s="1" t="n">
        <v>45548</v>
      </c>
      <c r="C633" s="1" t="n">
        <v>45568</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39024-2024</t>
        </is>
      </c>
      <c r="B634" s="1" t="n">
        <v>45548</v>
      </c>
      <c r="C634" s="1" t="n">
        <v>45568</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HYPERLINK("https://klasma.github.io/Logging_2161/artfynd/A 39024-2024 artfynd.xlsx", "A 39024-2024")</f>
        <v/>
      </c>
      <c r="T634">
        <f>HYPERLINK("https://klasma.github.io/Logging_2161/kartor/A 39024-2024 karta.png", "A 39024-2024")</f>
        <v/>
      </c>
      <c r="V634">
        <f>HYPERLINK("https://klasma.github.io/Logging_2161/klagomål/A 39024-2024 FSC-klagomål.docx", "A 39024-2024")</f>
        <v/>
      </c>
      <c r="W634">
        <f>HYPERLINK("https://klasma.github.io/Logging_2161/klagomålsmail/A 39024-2024 FSC-klagomål mail.docx", "A 39024-2024")</f>
        <v/>
      </c>
      <c r="X634">
        <f>HYPERLINK("https://klasma.github.io/Logging_2161/tillsyn/A 39024-2024 tillsynsbegäran.docx", "A 39024-2024")</f>
        <v/>
      </c>
      <c r="Y634">
        <f>HYPERLINK("https://klasma.github.io/Logging_2161/tillsynsmail/A 39024-2024 tillsynsbegäran mail.docx", "A 39024-2024")</f>
        <v/>
      </c>
    </row>
    <row r="635" ht="15" customHeight="1">
      <c r="A635" t="inlineStr">
        <is>
          <t>A 38960-2024</t>
        </is>
      </c>
      <c r="B635" s="1" t="n">
        <v>45548</v>
      </c>
      <c r="C635" s="1" t="n">
        <v>45568</v>
      </c>
      <c r="D635" t="inlineStr">
        <is>
          <t>GÄVLEBORGS LÄN</t>
        </is>
      </c>
      <c r="E635" t="inlineStr">
        <is>
          <t>SANDVIKEN</t>
        </is>
      </c>
      <c r="F635" t="inlineStr">
        <is>
          <t>Sveaskog</t>
        </is>
      </c>
      <c r="G635" t="n">
        <v>5.3</v>
      </c>
      <c r="H635" t="n">
        <v>1</v>
      </c>
      <c r="I635" t="n">
        <v>0</v>
      </c>
      <c r="J635" t="n">
        <v>0</v>
      </c>
      <c r="K635" t="n">
        <v>1</v>
      </c>
      <c r="L635" t="n">
        <v>0</v>
      </c>
      <c r="M635" t="n">
        <v>0</v>
      </c>
      <c r="N635" t="n">
        <v>0</v>
      </c>
      <c r="O635" t="n">
        <v>1</v>
      </c>
      <c r="P635" t="n">
        <v>1</v>
      </c>
      <c r="Q635" t="n">
        <v>1</v>
      </c>
      <c r="R635" s="2" t="inlineStr">
        <is>
          <t>Knärot</t>
        </is>
      </c>
      <c r="S635">
        <f>HYPERLINK("https://klasma.github.io/Logging_2181/artfynd/A 38960-2024 artfynd.xlsx", "A 38960-2024")</f>
        <v/>
      </c>
      <c r="T635">
        <f>HYPERLINK("https://klasma.github.io/Logging_2181/kartor/A 38960-2024 karta.png", "A 38960-2024")</f>
        <v/>
      </c>
      <c r="U635">
        <f>HYPERLINK("https://klasma.github.io/Logging_2181/knärot/A 38960-2024 karta knärot.png", "A 38960-2024")</f>
        <v/>
      </c>
      <c r="V635">
        <f>HYPERLINK("https://klasma.github.io/Logging_2181/klagomål/A 38960-2024 FSC-klagomål.docx", "A 38960-2024")</f>
        <v/>
      </c>
      <c r="W635">
        <f>HYPERLINK("https://klasma.github.io/Logging_2181/klagomålsmail/A 38960-2024 FSC-klagomål mail.docx", "A 38960-2024")</f>
        <v/>
      </c>
      <c r="X635">
        <f>HYPERLINK("https://klasma.github.io/Logging_2181/tillsyn/A 38960-2024 tillsynsbegäran.docx", "A 38960-2024")</f>
        <v/>
      </c>
      <c r="Y635">
        <f>HYPERLINK("https://klasma.github.io/Logging_2181/tillsynsmail/A 38960-2024 tillsynsbegäran mail.docx", "A 38960-2024")</f>
        <v/>
      </c>
    </row>
    <row r="636" ht="15" customHeight="1">
      <c r="A636" t="inlineStr">
        <is>
          <t>A 39838-2024</t>
        </is>
      </c>
      <c r="B636" s="1" t="n">
        <v>45553</v>
      </c>
      <c r="C636" s="1" t="n">
        <v>45568</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39838-2024 artfynd.xlsx", "A 39838-2024")</f>
        <v/>
      </c>
      <c r="T636">
        <f>HYPERLINK("https://klasma.github.io/Logging_2161/kartor/A 39838-2024 karta.png", "A 39838-2024")</f>
        <v/>
      </c>
      <c r="U636">
        <f>HYPERLINK("https://klasma.github.io/Logging_2161/knärot/A 39838-2024 karta knärot.png", "A 39838-2024")</f>
        <v/>
      </c>
      <c r="V636">
        <f>HYPERLINK("https://klasma.github.io/Logging_2161/klagomål/A 39838-2024 FSC-klagomål.docx", "A 39838-2024")</f>
        <v/>
      </c>
      <c r="W636">
        <f>HYPERLINK("https://klasma.github.io/Logging_2161/klagomålsmail/A 39838-2024 FSC-klagomål mail.docx", "A 39838-2024")</f>
        <v/>
      </c>
      <c r="X636">
        <f>HYPERLINK("https://klasma.github.io/Logging_2161/tillsyn/A 39838-2024 tillsynsbegäran.docx", "A 39838-2024")</f>
        <v/>
      </c>
      <c r="Y636">
        <f>HYPERLINK("https://klasma.github.io/Logging_2161/tillsynsmail/A 39838-2024 tillsynsbegäran mail.docx", "A 39838-2024")</f>
        <v/>
      </c>
    </row>
    <row r="637" ht="15" customHeight="1">
      <c r="A637" t="inlineStr">
        <is>
          <t>A 39793-2024</t>
        </is>
      </c>
      <c r="B637" s="1" t="n">
        <v>45553</v>
      </c>
      <c r="C637" s="1" t="n">
        <v>45568</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40904-2024</t>
        </is>
      </c>
      <c r="B638" s="1" t="n">
        <v>45558</v>
      </c>
      <c r="C638" s="1" t="n">
        <v>45568</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41494-2024</t>
        </is>
      </c>
      <c r="B639" s="1" t="n">
        <v>45560</v>
      </c>
      <c r="C639" s="1" t="n">
        <v>45568</v>
      </c>
      <c r="D639" t="inlineStr">
        <is>
          <t>GÄVLEBORGS LÄN</t>
        </is>
      </c>
      <c r="E639" t="inlineStr">
        <is>
          <t>HUDIKSVALL</t>
        </is>
      </c>
      <c r="F639" t="inlineStr">
        <is>
          <t>Holmen skog AB</t>
        </is>
      </c>
      <c r="G639" t="n">
        <v>20.9</v>
      </c>
      <c r="H639" t="n">
        <v>0</v>
      </c>
      <c r="I639" t="n">
        <v>0</v>
      </c>
      <c r="J639" t="n">
        <v>1</v>
      </c>
      <c r="K639" t="n">
        <v>0</v>
      </c>
      <c r="L639" t="n">
        <v>0</v>
      </c>
      <c r="M639" t="n">
        <v>0</v>
      </c>
      <c r="N639" t="n">
        <v>0</v>
      </c>
      <c r="O639" t="n">
        <v>1</v>
      </c>
      <c r="P639" t="n">
        <v>0</v>
      </c>
      <c r="Q639" t="n">
        <v>1</v>
      </c>
      <c r="R639" s="2" t="inlineStr">
        <is>
          <t>Lunglav</t>
        </is>
      </c>
      <c r="S639">
        <f>HYPERLINK("https://klasma.github.io/Logging_2184/artfynd/A 41494-2024 artfynd.xlsx", "A 41494-2024")</f>
        <v/>
      </c>
      <c r="T639">
        <f>HYPERLINK("https://klasma.github.io/Logging_2184/kartor/A 41494-2024 karta.png", "A 41494-2024")</f>
        <v/>
      </c>
      <c r="V639">
        <f>HYPERLINK("https://klasma.github.io/Logging_2184/klagomål/A 41494-2024 FSC-klagomål.docx", "A 41494-2024")</f>
        <v/>
      </c>
      <c r="W639">
        <f>HYPERLINK("https://klasma.github.io/Logging_2184/klagomålsmail/A 41494-2024 FSC-klagomål mail.docx", "A 41494-2024")</f>
        <v/>
      </c>
      <c r="X639">
        <f>HYPERLINK("https://klasma.github.io/Logging_2184/tillsyn/A 41494-2024 tillsynsbegäran.docx", "A 41494-2024")</f>
        <v/>
      </c>
      <c r="Y639">
        <f>HYPERLINK("https://klasma.github.io/Logging_2184/tillsynsmail/A 41494-2024 tillsynsbegäran mail.docx", "A 41494-2024")</f>
        <v/>
      </c>
    </row>
    <row r="640" ht="15" customHeight="1">
      <c r="A640" t="inlineStr">
        <is>
          <t>A 41388-2024</t>
        </is>
      </c>
      <c r="B640" s="1" t="n">
        <v>45560</v>
      </c>
      <c r="C640" s="1" t="n">
        <v>45568</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17688-2019</t>
        </is>
      </c>
      <c r="B641" s="1" t="n">
        <v>43556</v>
      </c>
      <c r="C641" s="1" t="n">
        <v>45568</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45568</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45568</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45568</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45568</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45568</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45568</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45568</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45568</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45568</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45568</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45568</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45568</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45568</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45568</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45568</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45568</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45568</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45568</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45568</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45568</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45568</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45568</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45568</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45568</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45568</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45568</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45568</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45568</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45568</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45568</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45568</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45568</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45568</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45568</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45568</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45568</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45568</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45568</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45568</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45568</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45568</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45568</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45568</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45568</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45568</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45568</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45568</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45568</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45568</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45568</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45568</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45568</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45568</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45568</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45568</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45568</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45568</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45568</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45568</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45568</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45568</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45568</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45568</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45568</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45568</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45568</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45568</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45568</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45568</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45568</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45568</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45568</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45568</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45568</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45568</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45568</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45568</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45568</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45568</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45568</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45568</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45568</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45568</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45568</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45568</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45568</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45568</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45568</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45568</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45568</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45568</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45568</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45568</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45568</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45568</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45568</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45568</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45568</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45568</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45568</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45568</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45568</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45568</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45568</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45568</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45568</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45568</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45568</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45568</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45568</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45568</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45568</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45568</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45568</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45568</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45568</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45568</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45568</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45568</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45568</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45568</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45568</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45568</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45568</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45568</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45568</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45568</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45568</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45568</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45568</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45568</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45568</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45568</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45568</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45568</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45568</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45568</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45568</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45568</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45568</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45568</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45568</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45568</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45568</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45568</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45568</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45568</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45568</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45568</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45568</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45568</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45568</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45568</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45568</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45568</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45568</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45568</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45568</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45568</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45568</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45568</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45568</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45568</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45568</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45568</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45568</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45568</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45568</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45568</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45568</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45568</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45568</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45568</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45568</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45568</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45568</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45568</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45568</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45568</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45568</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45568</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45568</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45568</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45568</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45568</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45568</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45568</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45568</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45568</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45568</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45568</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45568</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45568</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45568</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45568</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45568</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45568</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45568</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45568</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45568</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45568</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45568</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45568</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45568</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45568</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45568</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45568</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45568</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45568</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45568</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45568</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45568</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45568</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45568</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45568</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45568</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45568</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45568</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45568</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45568</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45568</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45568</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45568</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45568</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45568</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45568</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45568</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45568</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45568</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45568</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45568</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45568</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45568</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45568</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45568</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45568</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45568</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45568</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45568</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45568</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45568</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45568</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45568</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45568</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45568</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45568</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45568</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45568</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45568</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45568</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45568</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45568</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45568</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45568</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45568</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45568</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45568</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45568</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45568</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45568</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45568</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45568</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45568</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45568</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45568</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45568</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45568</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45568</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45568</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45568</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45568</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45568</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45568</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45568</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45568</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45568</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45568</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45568</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45568</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45568</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45568</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45568</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45568</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45568</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45568</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45568</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45568</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45568</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45568</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45568</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45568</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45568</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45568</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45568</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45568</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45568</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45568</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45568</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45568</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45568</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45568</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45568</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45568</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45568</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45568</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45568</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45568</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45568</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45568</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45568</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45568</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45568</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45568</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45568</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45568</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45568</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45568</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45568</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45568</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45568</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45568</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45568</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45568</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45568</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45568</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45568</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45568</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45568</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45568</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45568</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45568</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45568</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45568</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45568</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45568</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45568</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45568</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45568</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45568</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45568</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45568</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45568</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45568</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45568</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45568</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45568</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45568</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45568</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45568</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45568</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45568</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45568</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45568</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45568</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45568</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45568</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45568</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45568</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45568</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45568</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45568</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45568</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45568</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45568</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45568</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45568</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45568</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45568</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45568</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45568</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45568</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45568</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45568</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45568</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45568</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45568</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45568</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45568</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45568</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45568</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45568</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45568</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45568</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45568</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45568</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45568</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45568</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45568</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45568</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45568</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45568</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45568</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45568</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45568</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45568</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45568</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45568</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45568</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45568</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45568</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45568</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45568</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45568</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45568</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45568</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45568</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45568</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45568</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45568</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45568</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45568</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45568</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45568</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45568</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45568</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45568</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45568</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45568</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45568</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45568</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45568</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45568</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45568</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45568</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45568</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45568</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45568</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45568</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45568</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45568</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45568</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45568</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45568</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45568</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45568</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45568</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45568</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45568</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45568</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45568</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45568</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45568</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45568</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45568</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45568</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45568</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45568</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45568</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45568</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45568</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45568</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45568</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45568</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45568</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45568</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45568</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45568</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45568</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45568</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45568</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45568</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45568</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45568</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45568</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45568</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45568</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45568</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45568</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45568</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45568</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45568</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45568</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45568</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45568</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45568</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45568</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45568</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45568</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45568</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45568</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45568</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45568</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45568</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45568</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45568</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45568</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45568</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45568</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45568</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45568</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45568</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45568</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45568</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45568</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45568</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45568</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45568</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45568</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45568</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45568</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45568</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45568</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45568</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45568</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45568</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45568</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45568</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45568</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45568</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45568</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45568</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45568</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45568</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45568</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45568</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45568</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45568</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45568</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45568</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45568</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45568</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45568</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45568</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45568</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45568</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45568</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45568</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45568</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45568</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45568</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45568</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45568</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45568</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45568</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45568</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45568</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45568</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45568</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45568</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45568</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45568</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45568</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45568</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45568</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45568</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45568</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45568</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45568</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45568</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45568</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45568</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45568</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45568</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45568</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45568</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45568</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45568</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45568</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45568</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45568</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45568</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45568</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45568</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45568</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45568</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45568</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45568</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45568</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45568</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45568</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45568</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45568</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45568</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45568</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45568</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45568</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45568</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45568</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45568</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45568</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45568</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45568</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45568</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45568</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45568</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45568</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45568</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45568</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45568</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45568</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45568</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45568</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45568</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45568</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45568</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45568</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45568</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45568</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45568</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45568</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45568</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45568</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45568</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45568</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45568</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45568</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45568</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45568</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45568</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45568</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45568</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45568</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45568</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45568</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45568</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45568</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45568</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45568</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45568</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45568</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45568</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45568</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45568</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45568</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45568</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45568</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45568</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45568</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45568</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45568</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45568</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45568</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45568</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45568</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45568</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45568</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45568</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45568</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45568</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45568</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45568</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45568</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45568</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45568</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45568</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45568</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45568</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45568</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45568</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45568</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45568</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45568</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45568</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45568</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45568</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45568</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45568</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45568</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45568</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45568</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45568</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45568</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45568</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45568</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45568</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45568</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45568</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45568</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45568</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45568</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45568</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45568</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45568</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45568</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45568</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45568</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45568</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45568</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45568</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45568</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45568</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45568</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45568</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45568</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45568</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45568</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45568</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45568</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45568</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45568</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45568</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45568</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45568</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45568</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45568</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45568</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45568</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45568</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45568</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45568</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45568</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45568</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45568</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45568</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45568</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45568</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45568</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45568</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45568</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45568</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45568</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45568</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45568</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45568</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45568</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45568</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45568</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45568</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45568</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45568</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45568</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45568</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45568</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45568</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45568</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45568</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45568</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45568</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45568</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45568</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45568</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45568</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45568</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45568</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45568</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45568</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45568</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45568</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45568</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45568</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45568</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45568</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45568</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45568</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45568</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45568</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45568</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45568</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45568</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45568</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45568</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45568</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45568</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45568</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45568</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45568</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45568</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45568</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45568</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45568</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45568</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45568</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45568</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45568</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45568</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45568</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45568</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45568</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45568</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45568</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45568</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45568</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45568</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45568</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45568</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45568</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45568</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45568</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45568</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45568</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45568</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45568</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45568</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45568</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45568</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45568</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45568</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45568</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45568</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45568</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45568</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45568</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45568</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45568</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45568</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45568</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45568</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45568</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45568</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45568</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45568</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45568</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45568</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45568</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45568</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45568</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45568</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45568</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45568</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45568</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45568</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45568</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45568</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45568</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45568</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45568</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45568</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45568</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45568</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45568</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45568</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45568</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45568</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45568</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45568</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45568</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45568</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45568</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45568</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45568</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45568</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45568</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45568</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45568</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45568</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45568</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45568</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45568</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45568</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45568</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45568</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45568</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45568</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45568</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45568</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45568</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45568</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45568</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45568</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45568</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45568</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45568</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45568</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45568</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45568</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45568</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45568</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45568</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45568</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45568</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45568</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45568</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45568</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45568</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45568</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45568</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45568</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45568</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45568</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45568</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45568</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45568</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45568</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45568</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45568</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45568</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45568</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45568</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45568</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45568</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45568</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45568</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45568</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45568</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45568</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45568</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45568</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45568</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45568</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45568</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45568</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45568</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45568</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45568</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45568</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45568</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45568</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45568</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45568</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45568</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45568</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45568</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45568</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45568</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45568</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45568</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45568</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45568</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45568</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45568</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45568</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45568</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45568</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45568</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45568</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45568</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45568</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45568</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45568</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45568</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45568</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45568</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45568</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45568</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45568</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45568</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45568</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45568</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45568</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45568</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45568</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45568</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45568</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45568</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45568</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45568</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45568</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45568</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45568</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45568</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45568</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45568</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45568</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45568</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45568</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45568</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45568</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45568</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45568</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45568</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45568</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45568</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45568</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45568</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45568</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45568</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45568</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45568</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45568</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45568</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45568</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45568</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45568</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45568</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45568</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45568</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45568</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45568</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45568</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45568</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45568</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45568</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45568</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45568</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45568</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45568</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45568</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45568</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45568</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45568</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45568</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45568</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45568</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45568</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45568</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45568</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45568</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45568</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45568</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45568</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45568</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45568</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45568</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45568</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45568</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45568</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45568</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45568</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45568</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45568</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45568</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45568</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45568</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45568</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45568</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45568</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45568</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45568</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45568</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45568</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45568</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45568</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45568</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45568</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45568</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45568</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45568</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45568</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45568</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45568</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45568</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45568</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45568</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45568</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45568</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45568</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45568</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45568</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45568</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45568</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45568</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45568</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45568</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45568</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45568</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45568</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45568</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45568</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45568</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45568</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45568</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45568</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45568</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45568</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45568</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45568</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45568</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45568</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45568</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45568</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45568</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45568</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45568</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45568</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45568</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45568</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45568</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45568</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45568</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45568</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45568</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45568</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45568</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45568</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45568</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45568</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45568</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45568</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45568</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45568</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45568</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45568</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45568</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45568</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45568</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45568</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45568</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45568</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45568</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45568</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45568</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45568</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45568</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45568</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45568</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45568</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45568</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45568</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45568</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45568</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45568</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45568</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45568</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45568</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45568</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45568</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45568</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45568</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45568</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45568</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45568</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45568</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45568</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45568</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45568</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45568</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45568</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45568</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45568</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45568</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45568</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45568</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45568</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45568</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45568</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45568</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45568</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45568</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45568</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45568</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45568</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45568</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45568</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45568</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45568</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45568</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45568</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45568</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45568</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45568</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45568</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45568</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45568</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45568</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45568</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45568</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45568</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45568</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45568</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45568</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45568</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45568</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45568</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45568</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45568</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45568</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45568</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45568</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45568</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45568</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45568</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45568</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45568</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45568</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45568</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45568</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45568</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45568</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45568</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45568</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45568</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45568</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45568</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45568</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45568</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45568</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45568</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45568</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45568</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45568</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45568</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45568</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45568</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45568</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45568</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45568</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45568</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45568</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45568</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45568</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45568</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45568</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45568</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45568</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45568</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45568</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45568</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45568</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45568</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45568</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45568</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45568</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45568</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45568</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45568</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45568</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45568</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45568</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45568</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45568</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45568</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45568</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45568</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45568</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45568</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45568</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45568</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45568</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45568</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45568</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45568</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45568</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45568</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45568</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45568</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45568</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45568</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45568</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45568</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45568</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45568</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45568</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45568</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45568</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45568</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45568</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45568</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45568</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45568</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45568</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45568</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45568</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45568</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45568</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45568</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45568</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45568</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45568</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45568</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45568</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45568</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45568</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45568</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45568</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45568</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45568</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45568</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45568</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45568</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45568</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45568</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45568</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45568</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45568</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45568</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45568</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45568</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45568</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45568</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45568</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45568</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45568</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45568</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45568</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45568</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45568</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45568</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45568</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45568</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45568</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45568</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45568</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45568</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45568</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45568</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45568</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45568</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45568</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45568</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45568</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45568</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45568</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45568</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45568</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45568</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45568</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45568</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45568</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45568</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45568</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45568</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45568</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45568</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45568</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45568</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45568</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45568</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45568</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45568</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45568</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45568</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45568</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45568</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45568</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45568</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45568</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45568</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45568</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45568</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45568</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45568</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45568</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45568</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45568</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45568</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45568</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45568</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45568</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45568</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45568</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45568</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45568</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45568</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45568</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45568</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45568</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45568</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45568</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45568</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45568</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45568</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45568</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45568</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45568</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45568</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45568</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45568</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45568</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45568</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45568</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45568</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45568</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45568</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45568</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45568</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45568</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45568</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45568</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45568</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45568</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45568</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45568</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45568</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45568</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45568</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45568</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45568</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45568</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45568</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45568</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45568</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45568</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45568</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45568</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45568</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45568</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45568</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45568</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45568</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45568</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45568</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45568</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45568</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45568</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45568</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45568</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45568</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45568</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45568</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45568</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45568</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45568</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45568</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45568</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45568</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45568</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45568</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45568</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45568</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45568</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45568</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45568</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45568</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45568</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45568</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45568</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45568</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45568</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45568</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45568</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45568</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45568</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45568</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45568</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45568</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45568</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45568</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45568</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45568</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45568</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45568</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45568</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45568</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45568</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45568</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45568</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45568</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45568</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45568</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45568</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45568</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45568</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45568</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45568</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45568</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45568</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45568</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45568</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45568</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45568</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45568</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45568</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45568</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45568</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45568</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45568</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45568</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45568</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45568</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45568</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45568</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45568</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45568</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45568</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45568</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45568</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45568</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45568</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45568</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45568</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45568</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45568</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45568</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45568</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45568</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45568</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45568</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45568</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45568</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45568</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45568</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45568</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45568</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45568</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45568</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45568</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45568</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45568</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45568</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45568</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45568</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45568</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45568</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45568</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45568</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45568</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45568</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45568</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45568</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45568</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45568</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45568</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45568</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45568</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45568</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45568</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45568</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45568</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45568</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45568</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45568</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45568</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45568</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45568</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45568</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45568</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45568</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45568</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45568</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45568</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45568</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45568</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45568</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45568</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45568</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45568</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45568</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45568</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45568</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45568</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45568</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45568</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45568</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45568</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45568</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45568</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45568</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45568</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45568</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45568</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45568</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45568</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45568</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45568</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45568</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45568</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45568</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45568</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45568</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45568</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45568</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45568</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45568</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45568</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45568</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45568</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45568</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45568</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45568</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45568</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45568</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45568</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45568</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45568</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45568</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45568</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45568</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45568</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45568</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45568</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45568</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45568</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45568</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45568</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45568</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45568</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45568</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45568</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45568</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45568</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45568</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45568</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45568</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45568</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45568</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45568</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45568</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45568</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45568</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45568</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45568</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45568</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45568</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45568</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45568</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45568</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45568</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45568</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45568</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45568</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45568</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45568</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45568</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45568</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45568</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45568</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45568</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45568</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45568</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45568</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45568</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45568</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45568</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45568</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45568</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45568</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45568</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45568</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45568</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45568</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45568</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45568</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45568</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45568</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45568</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45568</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45568</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45568</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45568</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45568</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45568</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45568</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45568</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45568</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45568</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45568</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45568</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45568</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45568</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45568</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45568</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45568</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45568</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45568</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45568</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45568</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45568</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45568</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45568</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45568</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45568</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45568</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45568</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45568</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45568</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45568</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45568</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45568</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45568</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45568</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45568</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45568</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45568</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45568</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45568</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45568</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45568</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45568</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45568</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45568</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45568</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45568</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45568</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45568</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45568</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45568</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45568</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45568</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45568</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45568</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45568</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45568</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45568</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45568</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45568</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45568</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45568</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45568</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45568</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45568</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45568</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45568</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45568</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45568</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45568</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45568</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45568</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45568</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45568</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45568</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45568</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45568</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45568</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45568</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45568</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45568</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45568</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45568</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45568</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45568</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45568</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45568</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45568</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45568</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45568</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45568</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45568</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45568</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45568</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45568</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45568</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45568</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45568</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45568</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45568</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45568</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45568</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45568</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45568</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45568</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45568</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45568</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45568</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45568</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45568</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45568</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45568</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45568</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45568</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45568</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45568</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45568</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45568</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45568</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45568</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45568</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45568</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45568</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45568</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45568</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45568</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45568</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45568</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45568</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45568</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45568</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45568</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45568</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45568</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45568</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45568</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45568</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45568</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45568</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45568</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45568</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45568</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45568</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45568</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45568</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45568</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45568</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45568</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45568</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45568</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45568</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45568</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45568</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45568</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45568</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45568</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45568</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45568</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45568</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45568</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45568</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45568</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45568</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45568</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45568</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45568</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45568</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45568</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45568</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45568</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45568</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45568</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45568</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45568</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45568</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45568</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45568</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45568</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45568</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45568</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45568</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45568</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45568</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45568</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45568</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45568</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45568</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45568</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45568</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45568</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45568</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45568</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45568</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45568</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45568</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45568</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45568</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45568</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45568</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45568</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45568</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45568</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45568</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45568</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45568</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45568</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45568</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45568</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45568</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45568</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45568</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45568</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45568</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45568</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45568</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45568</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45568</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45568</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45568</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45568</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45568</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45568</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45568</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45568</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45568</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45568</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45568</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45568</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45568</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45568</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45568</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45568</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45568</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45568</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45568</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45568</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45568</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45568</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45568</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45568</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45568</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45568</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45568</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45568</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45568</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45568</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45568</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45568</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45568</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45568</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45568</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45568</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45568</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45568</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45568</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45568</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45568</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45568</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45568</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45568</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45568</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45568</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45568</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45568</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45568</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45568</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45568</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45568</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45568</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45568</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45568</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45568</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45568</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45568</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45568</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45568</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45568</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45568</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45568</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45568</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45568</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45568</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45568</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45568</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45568</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45568</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45568</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45568</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45568</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45568</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45568</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45568</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45568</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45568</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45568</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45568</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45568</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45568</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45568</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45568</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45568</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45568</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45568</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45568</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45568</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45568</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45568</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45568</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45568</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45568</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45568</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45568</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45568</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45568</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45568</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45568</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45568</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45568</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45568</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45568</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45568</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45568</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45568</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45568</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45568</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45568</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45568</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45568</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45568</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45568</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45568</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45568</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45568</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45568</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45568</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45568</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45568</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45568</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45568</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45568</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45568</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45568</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45568</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45568</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45568</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45568</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45568</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45568</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45568</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45568</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45568</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45568</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45568</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45568</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45568</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45568</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45568</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45568</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45568</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45568</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45568</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45568</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45568</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45568</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45568</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45568</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45568</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45568</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45568</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45568</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45568</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45568</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45568</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45568</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45568</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45568</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45568</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45568</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45568</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45568</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45568</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45568</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45568</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45568</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45568</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45568</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45568</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45568</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45568</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45568</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45568</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45568</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45568</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45568</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45568</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45568</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45568</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45568</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45568</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45568</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45568</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45568</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45568</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45568</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45568</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45568</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45568</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45568</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45568</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45568</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45568</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45568</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45568</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45568</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45568</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45568</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45568</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45568</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45568</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45568</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45568</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45568</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45568</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45568</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45568</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45568</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45568</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45568</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45568</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45568</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45568</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45568</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45568</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45568</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45568</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45568</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45568</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45568</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45568</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45568</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45568</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45568</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45568</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45568</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45568</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45568</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45568</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45568</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45568</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45568</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45568</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45568</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45568</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45568</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45568</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45568</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45568</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45568</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45568</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45568</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45568</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45568</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45568</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45568</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45568</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45568</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45568</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45568</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45568</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45568</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45568</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45568</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45568</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45568</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45568</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45568</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45568</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45568</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45568</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45568</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45568</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45568</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45568</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45568</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45568</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45568</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45568</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45568</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45568</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45568</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45568</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45568</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45568</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45568</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45568</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45568</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45568</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45568</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45568</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45568</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45568</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45568</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45568</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45568</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45568</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45568</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45568</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45568</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45568</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45568</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45568</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45568</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45568</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45568</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45568</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45568</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45568</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45568</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45568</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45568</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45568</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45568</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45568</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45568</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45568</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45568</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45568</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45568</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45568</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45568</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45568</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45568</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45568</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45568</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45568</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45568</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45568</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45568</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45568</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45568</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45568</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45568</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45568</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45568</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45568</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45568</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45568</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45568</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45568</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45568</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45568</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45568</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45568</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45568</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45568</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45568</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45568</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45568</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45568</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45568</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45568</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45568</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45568</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45568</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45568</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45568</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45568</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45568</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45568</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45568</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45568</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45568</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45568</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45568</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45568</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45568</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45568</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45568</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45568</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45568</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45568</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45568</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45568</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45568</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45568</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45568</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45568</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45568</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45568</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45568</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45568</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45568</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45568</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45568</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45568</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45568</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45568</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45568</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45568</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45568</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45568</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45568</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45568</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45568</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45568</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45568</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45568</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45568</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45568</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45568</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45568</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45568</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45568</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45568</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45568</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45568</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45568</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45568</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45568</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45568</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45568</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45568</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45568</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45568</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45568</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45568</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45568</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45568</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45568</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45568</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45568</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45568</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45568</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45568</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45568</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45568</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45568</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45568</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45568</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45568</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45568</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45568</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45568</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45568</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45568</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45568</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45568</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45568</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45568</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45568</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45568</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45568</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45568</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45568</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45568</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45568</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45568</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45568</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45568</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45568</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45568</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45568</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45568</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45568</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45568</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45568</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45568</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45568</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45568</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45568</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45568</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45568</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45568</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45568</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45568</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45568</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45568</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45568</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45568</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45568</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45568</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45568</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45568</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45568</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45568</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45568</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45568</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45568</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45568</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45568</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45568</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45568</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45568</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45568</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45568</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45568</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45568</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45568</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45568</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45568</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45568</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45568</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45568</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45568</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45568</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45568</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45568</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45568</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45568</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45568</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45568</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45568</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45568</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45568</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45568</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45568</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45568</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45568</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45568</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45568</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45568</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45568</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45568</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45568</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45568</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45568</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45568</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45568</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45568</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45568</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45568</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45568</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45568</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45568</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45568</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45568</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45568</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45568</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45568</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45568</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45568</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45568</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45568</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45568</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45568</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45568</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45568</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45568</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45568</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45568</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45568</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45568</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45568</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45568</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45568</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45568</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45568</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45568</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45568</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45568</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45568</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45568</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45568</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45568</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45568</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45568</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45568</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45568</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45568</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45568</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45568</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45568</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45568</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45568</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45568</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45568</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45568</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45568</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45568</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45568</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45568</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45568</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45568</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45568</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45568</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45568</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45568</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45568</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45568</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45568</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45568</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45568</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45568</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45568</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45568</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45568</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45568</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45568</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45568</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45568</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45568</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45568</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45568</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45568</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45568</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45568</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45568</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45568</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45568</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45568</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45568</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45568</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45568</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45568</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45568</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45568</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45568</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45568</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45568</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45568</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45568</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45568</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45568</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45568</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45568</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45568</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45568</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45568</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45568</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45568</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45568</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45568</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45568</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45568</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45568</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45568</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45568</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45568</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45568</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45568</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45568</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45568</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45568</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45568</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45568</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45568</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45568</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45568</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45568</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45568</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45568</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45568</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45568</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45568</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45568</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45568</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45568</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45568</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45568</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45568</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45568</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45568</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45568</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45568</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45568</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45568</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45568</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45568</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45568</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45568</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45568</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45568</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45568</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45568</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45568</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45568</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45568</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45568</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45568</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45568</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45568</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45568</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45568</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45568</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45568</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45568</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45568</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45568</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45568</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45568</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45568</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45568</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45568</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45568</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45568</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45568</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45568</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45568</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45568</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45568</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45568</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45568</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45568</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45568</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45568</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45568</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45568</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45568</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45568</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45568</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45568</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45568</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45568</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45568</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45568</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45568</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45568</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45568</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45568</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45568</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45568</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45568</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45568</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45568</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45568</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45568</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45568</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45568</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45568</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45568</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45568</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45568</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45568</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45568</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45568</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45568</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45568</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45568</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45568</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45568</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45568</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45568</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45568</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45568</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45568</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45568</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45568</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45568</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45568</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45568</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45568</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45568</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45568</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45568</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45568</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45568</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45568</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45568</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45568</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45568</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45568</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45568</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45568</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45568</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45568</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45568</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45568</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45568</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45568</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45568</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45568</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45568</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45568</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45568</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45568</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45568</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45568</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45568</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45568</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45568</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45568</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45568</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45568</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45568</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45568</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45568</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45568</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45568</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45568</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45568</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45568</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45568</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45568</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45568</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45568</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45568</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45568</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45568</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45568</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45568</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45568</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45568</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45568</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45568</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45568</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45568</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45568</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45568</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45568</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45568</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45568</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45568</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45568</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45568</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45568</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45568</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45568</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45568</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45568</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45568</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45568</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45568</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45568</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45568</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45568</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45568</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45568</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45568</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45568</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45568</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45568</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45568</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45568</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45568</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45568</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45568</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45568</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45568</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45568</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45568</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45568</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45568</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45568</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45568</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45568</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45568</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45568</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45568</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45568</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45568</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45568</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45568</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45568</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45568</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45568</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45568</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45568</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45568</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45568</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45568</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45568</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45568</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45568</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45568</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45568</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45568</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45568</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45568</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45568</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45568</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45568</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45568</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45568</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45568</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45568</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45568</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45568</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45568</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45568</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45568</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45568</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45568</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45568</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45568</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45568</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45568</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45568</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45568</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45568</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45568</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45568</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45568</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45568</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45568</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45568</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45568</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45568</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45568</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45568</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45568</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45568</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45568</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45568</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45568</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45568</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45568</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45568</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45568</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45568</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45568</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45568</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45568</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45568</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45568</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45568</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45568</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45568</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45568</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45568</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45568</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45568</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45568</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45568</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45568</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45568</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45568</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45568</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45568</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45568</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45568</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45568</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45568</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45568</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45568</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45568</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45568</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45568</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45568</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45568</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45568</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45568</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45568</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45568</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45568</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45568</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45568</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45568</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45568</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45568</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45568</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45568</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45568</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45568</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45568</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45568</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45568</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45568</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45568</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45568</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45568</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45568</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45568</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45568</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45568</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45568</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45568</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45568</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45568</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45568</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45568</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45568</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45568</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45568</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45568</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45568</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45568</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45568</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45568</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45568</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45568</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45568</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45568</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45568</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45568</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45568</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45568</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45568</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45568</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45568</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45568</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45568</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45568</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45568</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45568</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45568</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45568</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45568</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45568</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45568</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45568</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45568</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45568</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45568</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45568</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45568</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45568</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45568</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45568</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45568</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45568</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45568</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45568</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45568</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45568</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45568</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45568</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45568</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45568</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45568</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45568</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45568</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45568</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45568</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45568</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45568</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45568</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45568</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45568</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45568</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45568</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45568</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45568</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45568</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45568</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45568</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45568</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45568</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45568</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45568</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45568</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45568</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45568</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45568</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45568</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45568</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45568</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45568</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45568</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45568</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45568</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45568</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45568</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45568</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45568</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45568</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45568</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45568</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45568</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45568</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45568</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45568</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45568</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45568</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45568</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45568</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45568</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45568</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45568</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45568</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45568</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45568</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45568</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45568</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45568</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45568</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45568</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45568</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45568</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45568</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45568</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45568</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45568</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45568</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45568</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45568</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45568</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45568</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45568</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45568</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45568</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45568</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45568</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45568</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45568</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45568</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45568</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45568</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45568</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45568</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45568</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45568</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45568</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45568</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45568</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45568</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45568</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45568</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45568</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45568</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45568</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45568</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45568</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45568</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45568</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45568</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45568</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45568</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45568</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45568</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45568</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45568</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45568</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45568</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45568</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45568</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45568</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45568</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45568</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45568</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45568</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45568</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45568</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45568</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45568</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45568</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45568</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45568</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45568</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45568</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45568</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45568</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45568</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45568</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45568</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45568</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45568</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45568</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45568</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45568</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45568</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45568</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45568</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45568</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45568</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45568</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45568</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45568</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45568</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45568</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45568</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45568</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45568</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45568</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45568</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45568</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45568</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45568</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45568</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45568</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45568</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45568</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45568</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45568</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45568</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45568</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45568</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45568</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45568</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45568</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45568</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45568</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45568</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45568</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45568</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45568</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45568</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45568</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45568</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45568</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45568</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45568</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45568</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45568</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45568</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45568</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45568</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45568</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45568</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45568</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45568</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45568</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45568</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45568</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45568</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45568</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45568</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45568</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45568</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45568</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45568</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45568</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45568</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45568</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45568</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45568</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45568</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45568</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45568</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45568</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45568</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45568</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45568</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45568</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45568</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45568</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45568</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45568</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45568</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45568</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45568</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45568</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45568</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45568</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45568</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45568</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45568</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45568</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45568</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45568</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45568</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45568</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45568</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45568</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45568</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45568</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45568</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45568</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45568</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45568</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45568</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45568</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45568</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45568</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45568</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45568</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45568</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45568</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45568</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45568</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45568</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45568</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45568</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45568</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45568</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45568</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45568</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45568</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45568</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45568</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45568</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45568</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45568</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45568</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45568</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45568</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45568</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45568</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45568</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45568</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45568</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45568</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45568</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45568</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45568</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45568</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45568</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45568</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45568</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45568</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45568</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45568</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45568</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45568</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45568</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45568</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45568</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45568</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45568</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45568</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45568</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45568</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45568</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45568</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45568</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45568</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45568</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45568</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45568</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45568</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45568</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45568</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45568</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45568</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45568</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45568</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45568</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45568</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45568</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45568</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45568</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45568</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45568</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45568</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45568</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45568</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45568</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45568</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45568</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45568</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45568</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45568</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45568</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45568</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45568</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45568</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45568</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45568</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45568</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45568</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45568</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45568</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45568</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45568</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45568</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45568</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45568</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45568</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45568</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45568</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45568</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45568</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45568</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45568</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45568</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45568</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45568</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45568</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45568</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45568</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45568</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45568</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45568</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45568</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45568</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45568</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45568</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45568</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45568</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45568</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45568</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45568</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45568</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45568</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45568</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45568</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45568</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45568</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45568</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45568</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45568</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45568</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45568</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45568</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45568</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45568</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45568</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45568</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45568</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45568</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45568</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45568</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45568</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45568</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45568</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45568</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45568</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45568</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45568</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45568</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45568</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45568</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45568</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45568</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45568</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45568</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45568</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45568</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45568</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45568</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45568</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45568</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45568</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45568</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45568</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45568</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45568</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45568</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45568</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45568</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45568</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45568</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45568</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45568</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45568</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45568</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45568</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45568</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45568</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45568</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45568</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45568</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45568</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45568</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45568</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45568</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45568</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45568</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45568</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45568</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45568</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45568</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45568</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45568</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45568</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45568</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45568</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45568</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45568</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45568</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45568</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45568</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45568</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45568</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45568</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45568</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45568</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45568</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45568</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45568</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45568</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45568</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45568</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45568</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45568</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45568</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45568</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45568</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45568</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45568</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45568</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45568</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45568</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45568</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45568</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45568</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45568</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45568</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45568</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45568</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45568</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45568</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45568</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45568</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45568</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45568</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45568</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45568</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45568</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45568</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45568</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45568</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45568</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45568</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45568</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45568</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45568</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45568</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45568</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45568</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45568</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45568</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45568</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45568</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45568</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45568</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45568</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45568</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45568</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45568</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45568</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45568</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45568</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45568</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45568</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45568</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45568</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45568</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45568</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45568</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45568</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45568</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45568</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45568</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45568</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45568</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45568</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45568</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45568</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45568</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45568</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45568</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45568</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45568</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45568</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45568</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45568</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45568</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45568</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45568</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45568</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45568</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45568</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45568</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45568</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45568</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45568</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45568</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45568</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45568</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45568</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45568</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45568</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45568</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45568</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45568</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45568</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45568</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45568</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45568</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45568</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45568</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45568</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45568</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45568</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45568</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45568</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45568</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45568</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45568</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45568</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45568</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45568</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45568</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45568</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45568</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45568</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45568</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45568</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45568</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45568</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45568</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45568</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45568</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45568</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45568</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45568</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45568</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45568</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45568</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45568</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45568</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45568</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45568</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45568</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45568</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45568</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45568</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45568</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45568</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45568</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45568</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45568</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45568</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45568</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45568</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45568</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45568</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45568</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45568</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45568</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45568</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45568</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45568</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45568</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45568</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45568</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45568</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45568</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45568</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45568</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45568</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45568</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45568</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45568</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45568</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45568</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45568</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45568</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45568</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45568</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45568</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45568</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45568</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45568</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45568</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45568</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45568</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45568</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45568</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45568</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45568</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45568</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45568</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45568</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45568</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45568</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45568</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45568</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45568</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45568</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45568</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45568</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45568</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45568</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45568</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45568</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45568</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45568</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45568</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45568</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45568</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45568</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45568</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45568</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45568</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45568</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45568</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45568</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45568</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45568</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45568</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45568</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45568</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45568</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45568</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45568</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45568</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45568</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45568</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45568</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45568</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45568</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45568</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45568</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45568</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45568</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45568</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45568</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45568</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45568</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45568</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45568</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45568</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45568</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45568</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45568</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45568</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45568</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45568</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45568</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45568</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45568</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45568</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45568</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45568</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45568</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45568</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45568</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45568</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45568</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45568</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45568</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45568</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45568</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45568</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45568</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45568</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45568</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45568</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45568</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45568</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45568</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45568</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45568</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45568</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45568</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45568</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45568</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45568</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45568</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45568</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45568</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45568</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45568</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45568</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45568</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45568</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45568</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45568</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45568</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45568</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45568</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45568</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45568</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45568</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45568</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45568</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45568</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45568</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45568</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45568</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45568</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45568</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45568</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45568</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45568</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45568</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45568</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45568</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45568</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45568</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45568</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45568</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45568</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45568</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45568</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45568</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45568</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45568</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45568</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45568</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45568</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45568</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45568</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45568</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45568</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45568</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45568</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45568</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45568</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45568</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45568</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45568</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45568</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45568</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45568</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45568</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45568</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45568</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45568</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45568</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45568</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45568</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45568</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45568</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45568</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45568</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45568</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45568</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45568</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45568</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45568</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45568</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45568</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45568</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45568</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45568</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45568</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45568</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45568</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45568</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45568</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45568</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45568</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45568</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45568</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45568</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45568</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45568</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45568</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45568</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45568</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45568</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45568</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45568</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45568</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45568</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45568</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45568</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45568</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45568</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45568</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45568</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45568</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45568</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45568</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45568</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45568</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45568</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45568</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45568</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45568</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45568</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45568</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45568</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45568</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45568</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45568</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45568</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45568</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45568</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45568</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45568</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45568</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45568</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45568</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45568</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45568</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45568</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45568</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45568</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45568</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45568</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45568</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45568</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45568</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45568</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45568</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45568</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45568</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45568</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45568</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45568</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45568</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45568</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45568</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45568</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45568</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45568</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45568</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45568</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45568</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45568</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45568</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45568</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45568</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45568</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45568</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45568</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45568</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45568</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45568</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45568</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45568</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45568</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45568</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45568</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45568</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45568</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45568</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45568</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45568</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45568</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45568</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45568</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45568</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45568</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45568</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45568</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45568</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45568</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45568</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45568</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45568</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45568</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45568</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45568</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45568</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45568</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45568</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45568</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45568</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45568</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45568</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45568</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45568</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45568</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45568</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45568</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45568</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45568</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45568</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45568</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45568</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45568</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45568</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45568</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45568</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45568</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45568</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45568</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45568</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45568</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45568</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45568</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45568</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45568</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45568</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45568</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45568</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45568</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45568</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45568</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45568</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45568</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45568</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45568</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45568</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45568</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45568</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45568</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45568</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45568</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45568</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45568</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45568</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45568</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45568</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45568</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45568</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45568</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45568</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45568</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45568</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45568</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45568</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45568</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45568</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45568</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45568</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45568</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45568</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45568</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45568</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45568</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45568</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45568</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45568</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45568</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45568</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45568</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45568</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45568</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45568</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45568</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45568</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45568</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45568</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45568</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45568</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45568</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45568</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45568</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45568</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45568</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45568</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45568</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45568</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45568</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45568</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45568</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45568</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45568</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45568</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45568</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45568</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45568</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45568</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45568</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45568</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45568</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45568</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45568</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45568</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45568</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45568</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45568</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45568</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45568</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45568</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45568</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45568</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45568</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45568</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45568</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45568</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45568</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45568</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45568</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45568</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45568</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45568</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45568</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45568</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45568</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45568</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45568</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45568</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45568</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45568</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45568</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45568</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45568</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45568</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45568</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45568</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45568</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45568</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45568</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45568</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45568</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45568</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45568</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45568</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45568</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45568</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45568</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45568</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45568</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45568</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45568</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45568</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45568</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45568</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45568</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45568</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45568</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45568</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45568</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45568</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45568</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45568</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45568</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45568</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45568</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45568</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45568</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45568</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45568</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45568</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45568</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45568</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45568</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45568</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45568</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45568</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45568</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45568</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45568</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45568</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45568</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45568</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45568</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45568</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45568</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45568</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45568</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45568</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45568</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45568</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45568</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45568</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45568</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45568</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45568</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45568</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45568</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45568</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45568</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45568</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45568</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45568</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45568</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45568</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45568</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45568</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45568</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45568</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45568</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45568</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45568</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45568</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45568</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45568</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45568</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45568</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45568</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45568</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45568</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45568</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45568</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45568</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45568</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45568</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45568</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45568</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45568</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45568</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45568</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45568</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45568</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45568</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45568</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45568</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45568</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45568</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45568</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45568</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45568</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45568</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45568</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45568</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45568</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45568</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45568</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45568</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45568</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45568</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45568</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45568</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45568</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45568</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45568</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45568</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45568</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45568</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45568</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45568</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45568</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45568</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45568</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45568</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45568</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45568</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45568</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45568</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45568</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45568</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45568</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45568</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45568</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45568</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45568</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45568</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45568</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45568</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45568</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45568</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45568</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45568</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45568</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45568</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45568</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45568</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45568</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45568</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45568</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45568</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45568</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45568</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45568</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45568</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45568</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45568</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45568</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45568</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45568</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45568</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45568</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45568</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45568</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45568</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45568</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45568</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45568</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45568</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45568</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45568</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45568</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45568</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45568</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45568</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45568</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45568</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45568</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45568</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45568</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45568</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45568</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45568</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45568</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45568</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45568</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45568</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45568</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45568</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45568</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45568</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45568</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45568</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45568</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45568</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45568</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45568</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45568</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45568</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45568</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45568</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45568</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45568</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45568</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45568</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45568</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45568</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45568</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45568</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45568</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45568</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45568</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45568</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45568</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45568</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45568</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45568</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45568</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45568</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45568</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45568</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45568</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45568</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45568</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45568</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45568</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45568</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45568</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45568</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45568</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45568</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45568</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45568</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45568</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45568</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45568</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45568</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45568</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45568</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45568</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45568</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45568</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45568</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45568</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45568</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45568</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45568</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45568</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45568</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45568</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45568</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45568</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45568</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45568</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45568</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45568</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45568</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45568</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45568</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45568</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45568</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45568</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45568</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45568</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45568</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45568</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45568</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45568</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45568</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45568</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45568</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45568</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45568</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45568</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45568</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45568</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45568</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45568</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45568</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45568</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45568</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45568</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45568</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45568</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45568</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45568</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45568</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45568</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45568</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45568</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45568</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45568</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45568</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45568</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45568</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45568</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45568</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45568</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45568</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45568</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45568</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45568</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45568</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45568</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45568</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45568</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45568</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45568</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45568</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45568</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45568</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45568</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45568</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45568</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45568</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45568</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45568</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45568</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45568</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45568</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45568</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45568</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45568</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45568</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45568</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45568</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45568</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45568</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45568</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45568</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45568</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45568</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45568</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45568</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45568</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45568</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45568</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45568</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45568</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45568</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45568</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45568</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45568</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45568</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45568</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45568</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45568</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45568</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45568</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45568</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45568</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45568</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45568</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45568</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45568</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45568</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45568</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45568</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45568</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45568</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45568</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45568</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45568</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45568</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45568</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45568</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45568</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45568</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45568</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45568</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45568</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45568</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45568</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45568</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45568</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45568</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45568</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45568</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45568</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45568</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45568</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45568</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45568</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45568</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45568</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45568</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45568</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45568</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45568</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45568</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45568</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45568</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45568</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45568</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45568</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45568</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45568</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45568</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45568</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45568</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45568</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45568</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45568</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45568</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45568</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45568</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45568</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45568</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45568</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45568</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45568</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45568</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45568</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45568</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45568</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45568</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45568</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45568</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45568</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45568</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45568</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45568</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45568</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45568</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45568</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45568</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45568</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45568</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45568</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45568</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45568</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45568</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45568</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45568</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45568</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45568</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45568</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45568</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45568</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45568</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45568</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45568</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45568</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45568</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45568</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45568</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45568</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45568</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45568</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45568</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45568</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45568</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45568</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45568</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45568</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45568</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45568</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45568</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45568</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45568</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45568</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45568</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45568</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45568</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45568</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45568</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45568</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45568</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45568</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45568</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45568</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45568</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45568</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45568</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45568</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45568</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45568</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45568</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45568</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45568</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45568</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45568</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45568</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45568</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45568</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45568</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45568</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45568</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45568</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45568</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45568</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45568</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45568</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45568</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45568</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45568</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45568</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45568</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45568</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45568</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45568</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45568</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45568</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45568</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45568</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45568</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45568</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45568</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45568</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45568</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45568</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45568</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45568</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45568</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45568</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45568</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45568</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45568</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45568</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45568</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45568</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45568</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45568</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45568</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45568</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45568</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45568</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45568</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45568</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45568</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45568</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45568</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45568</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45568</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45568</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45568</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45568</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45568</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45568</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45568</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45568</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45568</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45568</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45568</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45568</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45568</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45568</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45568</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45568</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45568</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45568</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45568</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45568</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45568</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45568</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45568</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45568</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45568</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45568</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45568</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45568</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45568</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45568</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45568</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45568</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45568</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45568</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45568</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45568</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45568</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45568</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45568</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45568</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45568</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45568</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45568</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45568</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45568</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45568</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45568</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45568</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45568</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45568</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45568</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45568</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45568</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45568</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45568</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45568</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45568</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45568</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45568</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45568</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45568</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45568</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45568</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45568</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45568</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45568</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45568</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45568</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45568</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45568</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45568</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45568</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45568</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45568</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45568</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45568</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45568</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45568</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45568</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45568</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45568</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45568</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45568</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45568</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45568</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45568</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45568</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45568</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45568</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45568</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45568</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45568</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45568</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45568</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45568</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45568</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45568</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45568</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45568</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45568</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45568</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45568</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45568</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45568</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45568</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45568</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45568</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45568</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45568</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45568</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45568</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45568</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45568</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45568</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45568</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45568</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45568</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45568</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45568</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45568</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45568</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45568</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45568</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45568</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45568</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45568</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45568</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45568</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45568</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45568</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45568</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45568</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45568</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45568</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45568</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45568</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45568</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45568</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45568</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45568</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45568</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45568</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45568</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45568</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45568</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45568</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45568</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45568</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45568</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45568</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45568</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45568</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45568</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45568</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45568</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45568</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45568</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45568</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45568</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45568</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45568</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45568</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45568</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45568</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45568</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45568</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45568</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45568</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45568</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45568</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45568</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45568</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45568</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45568</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45568</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45568</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45568</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45568</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45568</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45568</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45568</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45568</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45568</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45568</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45568</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45568</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45568</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45568</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45568</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45568</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45568</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45568</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45568</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45568</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45568</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45568</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45568</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45568</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45568</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45568</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45568</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45568</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45568</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45568</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45568</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45568</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45568</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45568</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45568</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45568</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45568</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45568</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45568</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45568</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45568</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45568</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45568</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45568</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45568</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45568</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45568</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45568</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45568</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45568</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45568</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45568</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45568</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45568</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45568</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45568</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45568</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45568</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45568</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45568</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45568</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45568</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45568</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45568</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45568</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45568</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45568</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45568</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45568</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45568</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45568</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45568</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45568</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45568</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45568</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45568</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45568</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45568</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45568</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45568</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45568</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45568</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45568</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45568</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45568</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45568</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45568</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45568</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45568</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45568</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45568</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45568</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45568</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45568</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45568</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45568</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45568</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45568</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45568</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45568</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45568</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45568</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45568</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45568</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45568</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45568</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45568</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45568</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45568</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45568</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45568</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45568</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45568</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45568</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45568</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45568</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45568</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45568</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45568</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45568</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45568</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45568</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45568</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45568</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45568</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45568</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45568</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45568</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45568</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45568</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45568</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45568</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45568</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45568</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45568</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45568</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45568</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45568</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45568</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45568</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45568</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45568</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45568</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45568</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45568</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45568</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45568</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45568</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45568</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45568</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45568</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45568</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45568</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45568</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45568</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45568</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45568</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45568</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45568</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45568</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45568</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45568</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45568</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45568</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45568</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45568</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45568</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45568</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45568</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45568</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45568</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45568</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45568</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45568</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45568</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45568</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45568</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45568</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45568</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45568</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45568</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45568</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45568</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45568</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45568</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45568</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45568</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45568</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45568</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45568</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45568</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45568</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45568</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45568</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45568</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45568</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45568</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45568</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45568</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45568</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45568</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45568</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45568</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45568</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45568</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45568</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45568</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45568</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45568</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45568</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45568</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45568</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45568</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45568</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45568</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45568</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45568</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45568</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45568</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45568</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45568</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45568</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45568</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45568</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45568</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45568</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45568</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45568</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45568</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45568</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45568</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45568</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45568</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45568</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45568</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45568</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45568</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45568</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45568</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45568</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45568</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45568</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45568</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45568</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45568</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45568</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45568</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45568</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45568</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45568</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45568</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45568</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45568</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45568</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45568</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45568</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45568</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45568</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45568</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45568</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45568</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45568</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45568</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45568</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45568</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45568</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45568</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45568</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45568</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45568</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45568</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45568</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45568</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45568</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45568</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45568</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45568</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45568</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45568</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45568</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45568</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45568</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45568</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45568</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45568</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45568</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45568</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45568</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45568</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45568</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45568</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45568</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45568</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45568</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45568</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45568</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45568</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45568</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45568</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45568</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45568</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45568</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45568</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45568</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45568</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45568</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45568</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45568</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45568</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45568</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45568</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45568</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45568</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45568</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45568</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45568</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45568</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45568</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45568</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45568</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45568</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45568</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45568</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45568</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45568</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45568</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45568</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45568</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45568</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45568</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45568</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45568</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45568</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45568</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45568</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45568</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45568</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45568</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45568</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45568</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45568</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45568</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45568</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45568</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45568</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45568</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45568</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45568</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45568</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45568</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45568</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45568</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45568</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45568</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45568</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45568</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45568</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45568</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45568</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45568</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45568</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45568</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45568</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45568</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45568</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45568</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45568</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45568</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45568</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45568</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45568</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45568</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45568</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45568</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45568</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45568</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45568</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45568</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45568</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45568</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45568</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45568</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45568</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45568</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45568</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45568</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45568</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45568</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45568</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45568</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45568</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45568</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45568</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45568</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45568</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45568</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45568</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45568</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45568</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45568</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45568</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45568</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45568</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45568</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45568</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45568</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45568</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45568</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45568</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45568</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45568</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45568</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45568</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45568</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45568</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45568</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45568</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45568</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45568</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45568</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45568</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45568</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45568</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45568</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45568</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45568</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45568</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45568</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45568</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45568</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45568</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45568</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45568</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45568</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45568</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45568</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45568</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45568</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45568</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45568</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45568</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45568</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45568</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45568</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45568</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45568</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45568</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45568</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45568</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45568</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45568</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45568</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45568</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45568</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45568</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45568</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45568</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45568</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45568</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45568</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45568</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45568</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45568</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45568</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45568</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45568</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45568</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45568</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45568</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45568</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45568</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45568</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45568</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45568</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45568</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45568</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45568</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45568</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45568</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45568</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45568</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45568</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45568</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45568</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45568</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45568</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45568</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45568</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45568</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45568</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45568</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45568</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45568</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45568</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45568</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45568</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45568</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45568</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45568</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45568</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45568</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45568</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45568</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45568</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45568</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45568</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45568</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45568</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45568</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45568</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45568</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45568</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45568</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45568</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45568</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45568</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45568</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45568</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45568</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45568</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45568</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45568</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45568</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45568</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45568</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45568</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45568</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45568</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45568</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45568</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45568</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45568</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45568</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45568</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45568</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45568</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45568</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45568</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45568</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45568</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45568</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45568</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45568</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45568</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45568</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45568</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45568</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45568</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45568</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45568</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45568</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45568</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45568</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45568</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45568</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45568</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45568</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45568</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45568</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45568</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45568</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45568</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45568</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45568</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45568</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45568</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45568</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45568</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45568</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45568</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45568</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45568</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45568</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45568</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45568</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45568</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45568</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45568</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45568</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45568</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45568</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45568</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45568</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45568</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45568</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45568</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45568</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45568</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45568</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45568</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45568</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45568</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45568</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45568</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45568</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45568</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45568</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45568</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45568</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45568</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45568</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45568</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45568</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45568</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45568</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45568</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45568</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45568</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45568</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45568</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45568</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45568</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45568</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45568</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45568</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45568</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45568</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45568</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45568</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45568</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45568</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45568</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45568</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45568</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45568</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45568</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45568</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45568</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45568</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45568</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45568</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45568</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45568</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45568</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45568</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45568</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45568</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45568</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45568</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45568</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45568</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45568</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45568</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45568</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45568</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45568</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45568</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45568</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45568</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45568</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45568</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45568</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45568</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45568</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45568</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45568</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45568</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45568</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45568</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45568</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45568</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45568</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45568</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45568</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45568</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45568</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45568</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45568</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45568</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45568</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45568</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45568</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45568</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45568</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45568</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45568</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45568</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45568</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45568</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45568</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45568</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45568</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45568</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45568</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45568</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45568</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45568</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45568</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45568</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45568</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45568</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45568</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45568</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45568</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45568</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45568</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45568</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45568</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45568</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45568</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45568</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45568</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45568</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45568</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45568</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45568</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45568</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45568</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45568</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45568</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45568</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45568</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45568</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45568</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45568</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45568</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45568</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45568</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45568</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45568</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45568</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45568</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45568</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45568</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45568</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45568</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45568</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45568</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45568</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45568</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45568</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45568</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45568</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45568</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45568</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45568</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45568</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45568</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45568</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45568</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45568</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45568</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45568</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45568</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45568</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45568</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45568</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45568</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45568</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45568</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45568</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45568</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45568</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45568</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45568</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45568</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45568</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45568</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45568</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45568</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45568</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45568</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45568</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45568</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45568</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45568</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45568</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45568</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45568</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45568</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45568</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45568</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45568</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45568</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45568</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45568</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45568</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45568</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45568</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45568</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45568</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45568</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45568</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45568</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45568</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45568</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45568</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45568</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45568</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45568</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45568</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45568</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45568</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45568</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45568</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45568</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45568</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45568</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45568</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45568</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45568</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45568</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45568</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45568</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45568</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45568</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45568</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45568</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45568</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45568</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45568</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45568</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45568</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45568</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45568</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45568</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45568</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45568</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45568</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45568</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45568</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45568</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45568</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45568</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45568</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45568</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45568</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45568</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45568</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45568</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45568</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45568</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45568</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45568</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45568</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45568</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45568</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45568</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45568</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45568</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45568</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45568</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45568</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45568</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45568</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45568</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45568</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45568</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45568</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45568</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45568</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45568</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45568</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45568</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45568</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45568</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45568</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45568</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45568</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45568</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45568</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45568</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45568</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45568</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45568</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45568</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45568</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45568</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45568</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45568</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45568</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45568</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45568</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45568</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45568</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45568</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45568</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45568</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45568</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45568</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45568</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45568</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45568</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45568</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45568</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45568</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45568</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45568</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45568</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45568</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45568</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45568</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45568</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45568</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45568</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45568</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45568</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45568</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45568</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45568</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45568</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45568</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45568</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45568</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45568</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45568</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45568</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45568</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45568</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45568</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45568</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45568</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45568</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45568</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45568</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45568</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45568</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45568</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45568</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45568</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45568</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45568</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45568</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45568</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45568</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45568</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45568</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45568</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45568</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45568</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45568</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45568</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45568</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45568</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45568</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45568</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45568</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45568</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45568</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45568</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45568</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45568</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45568</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45568</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45568</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45568</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45568</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45568</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45568</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45568</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45568</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45568</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45568</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45568</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45568</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45568</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45568</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45568</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45568</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45568</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45568</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45568</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45568</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45568</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45568</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45568</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45568</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45568</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45568</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45568</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45568</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45568</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45568</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45568</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45568</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45568</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45568</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45568</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45568</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45568</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45568</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45568</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45568</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45568</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45568</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45568</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45568</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45568</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45568</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45568</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45568</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45568</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45568</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45568</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45568</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45568</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45568</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45568</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45568</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45568</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45568</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45568</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45568</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45568</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45568</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45568</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45568</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45568</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45568</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45568</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45568</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45568</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45568</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45568</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45568</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45568</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45568</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45568</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45568</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45568</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45568</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45568</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45568</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45568</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45568</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45568</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45568</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45568</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45568</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45568</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45568</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45568</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45568</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45568</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45568</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45568</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45568</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45568</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45568</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45568</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45568</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45568</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45568</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45568</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45568</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45568</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45568</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45568</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45568</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45568</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45568</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45568</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45568</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45568</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45568</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45568</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45568</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45568</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45568</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45568</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45568</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45568</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45568</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45568</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45568</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45568</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45568</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45568</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45568</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45568</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45568</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45568</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45568</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45568</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45568</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45568</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45568</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45568</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45568</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45568</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45568</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45568</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45568</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45568</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45568</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45568</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45568</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45568</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45568</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45568</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45568</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45568</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45568</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45568</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45568</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45568</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45568</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45568</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45568</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45568</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45568</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45568</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45568</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45568</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45568</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45568</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45568</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45568</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45568</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45568</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45568</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45568</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45568</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45568</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45568</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45568</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45568</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45568</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45568</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45568</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45568</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45568</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45568</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45568</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45568</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45568</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45568</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45568</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45568</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45568</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45568</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45568</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45568</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45568</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45568</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45568</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45568</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45568</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45568</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45568</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45568</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45568</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45568</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45568</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45568</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45568</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45568</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45568</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45568</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45568</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45568</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45568</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45568</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45568</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45568</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45568</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45568</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45568</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45568</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45568</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45568</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45568</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45568</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45568</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45568</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45568</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45568</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45568</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45568</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45568</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45568</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45568</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45568</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45568</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45568</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45568</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45568</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45568</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45568</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45568</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45568</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45568</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45568</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45568</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45568</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45568</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45568</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45568</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45568</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45568</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45568</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45568</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45568</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45568</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45568</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45568</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45568</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45568</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45568</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45568</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45568</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45568</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45568</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45568</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45568</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45568</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45568</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45568</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45568</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45568</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45568</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45568</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45568</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45568</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45568</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45568</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45568</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45568</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45568</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45568</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45568</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45568</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45568</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45568</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45568</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45568</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45568</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45568</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45568</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45568</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45568</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45568</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45568</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45568</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45568</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45568</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45568</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45568</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45568</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45568</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45568</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45568</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45568</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45568</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45568</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45568</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45568</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45568</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45568</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45568</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45568</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45568</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45568</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45568</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45568</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45568</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45568</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45568</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45568</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45568</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45568</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45568</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45568</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45568</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45568</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45568</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45568</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45568</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45568</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45568</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45568</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45568</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45568</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45568</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45568</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45568</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45568</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45568</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45568</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45568</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45568</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45568</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45568</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45568</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45568</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45568</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45568</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45568</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45568</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45568</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45568</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45568</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45568</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45568</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45568</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45568</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45568</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45568</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45568</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45568</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45568</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45568</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45568</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45568</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45568</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45568</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45568</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45568</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45568</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45568</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45568</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45568</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45568</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45568</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45568</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45568</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45568</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45568</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45568</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45568</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45568</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45568</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45568</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45568</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45568</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45568</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45568</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45568</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45568</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45568</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45568</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45568</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45568</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45568</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45568</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45568</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45568</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45568</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45568</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45568</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45568</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45568</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45568</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45568</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45568</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45568</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45568</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45568</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45568</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45568</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45568</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45568</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45568</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45568</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45568</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45568</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45568</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45568</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45568</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45568</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45568</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45568</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45568</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45568</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45568</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45568</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45568</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45568</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45568</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45568</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45568</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45568</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45568</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45568</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45568</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45568</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45568</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45568</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45568</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45568</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45568</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45568</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45568</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45568</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45568</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45568</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45568</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45568</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45568</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45568</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45568</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45568</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45568</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45568</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45568</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45568</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45568</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45568</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45568</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45568</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45568</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45568</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45568</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45568</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45568</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45568</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45568</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45568</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45568</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45568</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45568</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45568</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45568</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45568</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45568</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45568</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45568</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45568</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45568</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45568</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45568</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45568</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45568</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45568</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45568</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45568</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45568</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45568</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45568</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45568</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45568</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45568</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45568</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45568</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45568</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45568</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45568</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45568</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45568</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45568</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45568</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45568</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45568</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45568</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45568</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45568</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45568</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45568</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45568</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45568</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45568</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45568</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45568</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45568</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45568</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45568</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45568</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45568</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45568</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45568</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45568</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45568</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45568</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45568</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45568</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45568</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45568</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45568</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45568</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45568</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45568</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45568</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45568</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45568</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45568</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45568</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45568</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45568</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45568</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45568</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45568</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45568</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45568</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45568</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45568</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45568</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45568</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45568</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45568</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45568</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45568</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45568</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45568</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45568</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45568</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45568</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45568</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45568</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45568</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45568</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45568</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45568</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45568</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45568</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45568</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45568</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45568</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45568</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45568</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45568</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45568</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45568</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45568</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45568</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45568</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45568</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45568</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45568</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45568</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45568</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45568</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45568</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45568</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45568</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45568</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45568</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45568</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45568</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45568</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45568</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45568</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45568</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45568</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45568</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45568</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45568</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45568</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45568</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45568</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45568</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45568</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45568</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45568</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45568</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45568</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45568</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45568</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45568</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45568</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45568</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45568</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45568</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45568</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45568</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45568</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45568</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45568</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45568</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45568</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45568</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45568</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45568</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45568</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45568</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45568</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45568</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45568</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45568</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45568</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45568</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45568</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45568</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45568</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45568</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45568</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45568</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45568</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45568</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45568</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45568</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45568</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45568</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45568</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45568</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45568</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45568</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45568</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45568</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45568</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45568</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45568</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45568</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45568</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45568</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45568</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45568</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45568</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45568</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45568</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45568</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45568</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45568</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45568</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45568</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45568</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45568</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45568</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45568</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45568</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45568</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45568</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45568</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45568</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45568</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45568</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45568</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45568</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45568</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45568</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45568</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45568</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45568</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45568</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45568</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45568</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45568</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45568</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45568</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45568</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45568</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45568</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45568</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45568</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45568</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45568</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45568</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45568</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45568</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45568</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45568</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45568</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45568</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45568</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45568</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45568</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45568</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45568</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45568</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45568</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45568</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45568</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45568</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45568</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45568</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45568</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45568</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45568</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45568</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45568</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45568</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45568</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45568</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45568</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45568</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45568</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45568</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45568</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45568</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45568</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45568</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45568</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45568</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45568</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45568</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45568</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45568</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45568</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45568</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45568</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45568</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45568</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45568</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45568</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45568</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45568</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45568</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45568</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45568</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45568</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45568</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45568</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45568</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45568</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45568</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45568</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45568</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45568</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45568</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45568</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45568</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45568</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45568</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45568</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45568</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45568</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45568</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45568</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45568</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45568</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45568</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45568</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45568</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45568</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45568</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45568</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45568</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45568</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45568</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45568</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45568</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45568</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45568</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45568</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45568</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45568</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45568</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45568</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45568</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45568</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45568</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45568</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45568</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45568</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45568</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45568</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45568</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45568</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45568</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45568</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45568</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45568</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45568</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45568</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45568</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45568</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45568</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45568</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45568</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45568</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45568</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45568</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45568</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45568</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45568</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45568</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45568</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45568</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45568</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45568</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45568</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45568</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45568</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45568</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45568</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45568</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45568</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45568</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45568</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45568</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45568</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45568</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45568</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45568</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45568</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45568</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45568</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45568</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45568</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45568</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45568</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45568</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45568</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45568</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45568</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45568</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45568</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45568</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45568</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45568</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45568</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45568</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45568</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45568</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45568</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45568</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45568</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45568</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45568</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45568</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45568</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45568</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45568</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45568</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45568</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45568</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45568</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45568</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45568</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45568</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45568</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45568</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45568</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45568</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45568</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45568</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45568</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45568</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45568</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45568</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45568</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45568</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45568</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45568</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45568</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45568</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45568</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45568</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45568</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45568</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45568</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45568</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45568</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45568</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45568</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45568</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45568</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45568</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45568</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45568</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45568</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45568</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45568</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45568</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45568</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45568</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45568</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45568</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45568</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45568</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45568</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45568</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45568</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45568</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45568</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45568</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45568</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45568</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45568</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45568</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45568</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45568</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45568</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45568</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45568</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45568</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45568</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45568</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45568</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45568</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45568</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45568</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45568</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45568</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45568</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45568</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45568</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45568</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45568</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45568</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45568</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45568</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45568</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45568</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45568</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45568</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45568</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45568</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45568</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45568</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45568</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45568</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45568</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45568</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45568</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45568</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45568</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45568</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45568</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45568</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45568</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45568</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45568</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45568</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45568</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45568</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45568</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45568</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45568</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45568</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45568</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45568</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45568</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45568</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45568</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45568</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45568</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45568</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45568</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45568</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45568</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45568</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45568</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45568</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45568</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45568</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45568</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45568</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45568</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45568</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45568</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45568</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45568</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45568</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45568</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45568</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45568</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45568</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45568</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45568</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45568</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45568</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45568</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45568</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45568</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45568</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45568</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45568</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45568</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45568</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45568</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45568</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45568</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45568</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45568</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45568</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45568</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45568</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45568</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45568</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45568</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45568</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45568</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45568</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45568</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45568</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45568</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45568</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45568</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45568</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45568</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45568</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45568</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45568</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45568</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45568</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45568</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45568</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45568</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45568</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45568</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45568</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45568</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45568</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45568</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45568</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45568</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45568</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45568</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45568</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45568</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45568</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45568</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45568</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45568</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45568</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45568</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45568</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45568</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45568</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45568</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45568</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45568</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45568</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45568</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45568</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45568</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45568</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45568</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45568</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45568</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45568</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45568</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45568</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45568</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45568</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45568</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45568</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45568</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45568</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45568</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45568</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45568</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45568</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45568</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45568</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45568</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45568</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45568</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45568</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45568</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45568</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45568</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45568</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45568</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45568</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45568</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45568</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45568</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45568</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45568</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45568</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45568</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45568</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45568</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45568</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45568</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45568</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45568</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45568</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45568</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45568</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45568</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45568</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45568</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45568</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45568</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45568</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45568</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45568</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45568</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45568</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45568</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45568</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45568</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45568</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45568</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45568</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45568</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45568</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45568</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45568</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45568</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45568</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45568</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45568</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45568</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45568</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45568</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45568</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45568</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45568</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45568</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45568</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45568</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45568</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45568</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45568</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45568</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45568</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45568</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45568</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45568</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45568</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45568</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45568</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45568</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45568</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45568</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45568</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45568</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45568</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45568</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45568</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45568</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45568</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45568</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45568</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45568</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45568</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45568</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45568</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45568</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45568</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45568</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45568</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45568</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45568</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45568</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45568</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45568</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45568</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45568</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45568</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45568</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45568</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45568</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45568</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45568</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45568</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45568</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45568</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45568</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45568</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45568</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45568</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45568</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45568</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45568</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45568</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45568</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45568</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45568</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45568</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45568</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45568</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45568</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45568</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45568</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45568</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45568</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45568</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45568</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45568</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45568</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45568</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45568</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45568</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45568</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45568</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45568</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45568</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45568</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45568</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45568</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45568</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45568</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45568</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45568</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45568</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45568</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45568</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45568</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45568</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45568</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45568</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45568</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45568</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45568</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45568</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45568</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45568</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45568</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45568</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45568</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45568</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45568</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45568</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45568</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45568</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45568</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45568</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45568</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45568</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45568</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45568</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45568</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45568</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45568</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45568</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45568</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45568</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45568</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45568</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45568</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45568</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45568</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45568</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45568</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45568</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45568</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45568</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45568</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45568</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45568</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45568</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45568</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45568</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45568</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45568</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45568</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45568</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45568</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45568</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45568</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45568</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45568</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45568</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45568</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45568</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45568</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45568</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45568</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45568</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45568</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45568</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45568</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45568</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45568</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45568</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45568</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45568</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45568</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45568</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45568</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45568</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45568</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45568</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45568</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45568</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45568</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45568</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45568</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45568</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45568</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45568</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45568</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45568</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45568</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45568</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45568</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45568</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45568</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45568</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45568</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45568</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45568</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45568</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45568</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45568</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45568</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45568</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45568</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45568</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45568</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45568</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45568</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45568</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45568</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45568</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45568</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45568</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45568</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45568</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45568</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45568</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45568</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45568</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45568</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45568</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45568</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45568</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45568</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45568</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45568</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45568</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45568</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45568</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45568</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45568</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45568</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45568</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45568</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45568</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45568</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45568</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45568</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45568</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45568</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45568</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45568</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45568</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45568</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45568</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45568</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45568</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45568</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45568</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45568</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45568</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45568</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45568</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45568</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45568</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45568</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45568</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45568</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45568</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45568</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45568</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45568</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45568</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45568</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45568</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45568</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45568</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45568</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45568</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45568</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45568</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45568</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45568</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45568</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45568</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45568</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45568</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45568</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45568</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45568</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45568</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45568</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45568</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45568</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45568</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45568</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45568</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45568</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45568</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45568</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45568</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45568</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45568</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45568</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45568</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45568</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45568</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45568</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45568</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45568</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45568</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45568</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45568</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45568</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45568</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45568</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45568</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45568</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45568</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45568</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45568</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45568</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45568</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45568</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45568</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45568</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45568</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45568</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45568</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45568</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45568</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45568</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45568</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45568</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45568</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45568</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45568</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45568</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45568</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45568</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45568</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45568</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45568</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45568</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45568</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45568</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45568</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45568</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45568</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45568</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45568</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45568</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45568</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45568</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45568</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45568</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45568</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45568</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45568</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45568</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45568</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45568</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45568</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45568</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45568</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45568</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45568</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45568</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45568</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45568</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45568</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45568</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45568</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45568</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45568</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45568</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45568</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45568</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45568</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45568</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45568</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45568</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45568</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45568</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45568</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45568</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45568</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45568</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45568</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45568</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45568</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45568</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45568</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45568</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45568</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45568</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45568</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45568</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45568</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45568</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45568</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45568</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45568</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45568</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45568</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45568</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45568</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45568</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45568</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45568</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45568</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45568</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45568</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45568</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45568</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45568</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45568</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45568</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45568</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45568</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45568</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45568</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45568</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45568</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45568</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45568</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45568</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45568</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45568</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45568</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45568</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45568</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45568</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45568</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45568</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45568</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45568</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45568</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45568</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45568</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45568</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45568</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45568</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45568</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45568</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45568</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45568</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45568</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45568</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45568</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45568</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45568</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45568</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45568</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45568</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45568</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45568</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45568</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45568</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45568</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45568</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45568</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45568</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45568</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45568</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45568</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45568</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45568</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45568</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45568</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45568</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45568</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45568</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45568</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45568</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45568</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45568</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45568</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45568</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45568</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45568</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45568</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45568</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45568</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45568</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45568</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45568</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45568</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45568</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45568</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45568</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45568</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45568</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45568</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45568</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45568</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45568</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45568</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45568</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45568</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45568</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45568</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45568</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45568</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45568</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45568</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45568</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45568</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45568</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45568</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45568</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45568</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45568</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45568</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45568</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45568</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45568</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45568</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45568</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45568</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45568</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45568</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45568</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45568</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45568</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45568</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45568</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45568</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45568</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45568</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45568</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45568</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45568</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45568</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45568</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45568</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45568</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45568</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45568</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45568</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45568</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45568</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45568</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45568</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45568</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45568</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45568</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45568</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45568</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45568</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45568</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45568</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45568</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45568</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45568</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45568</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45568</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45568</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45568</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45568</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45568</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45568</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45568</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45568</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45568</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45568</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45568</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45568</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45568</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45568</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45568</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45568</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45568</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45568</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45568</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45568</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45568</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45568</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45568</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45568</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45568</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45568</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45568</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45568</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45568</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45568</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45568</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45568</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45568</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45568</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45568</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45568</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45568</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45568</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45568</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45568</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45568</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45568</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45568</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45568</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45568</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45568</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45568</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45568</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45568</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45568</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45568</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45568</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45568</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45568</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45568</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45568</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45568</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45568</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45568</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45568</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45568</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45568</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45568</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45568</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45568</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45568</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45568</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45568</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45568</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45568</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45568</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45568</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45568</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45568</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45568</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45568</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45568</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45568</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45568</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45568</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45568</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45568</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45568</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45568</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45568</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45568</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45568</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45568</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45568</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45568</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45568</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45568</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45568</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45568</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45568</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45568</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45568</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45568</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45568</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45568</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45568</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45568</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45568</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45568</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45568</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45568</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45568</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45568</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45568</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45568</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45568</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45568</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45568</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45568</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45568</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45568</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45568</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45568</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45568</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45568</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45568</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45568</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45568</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45568</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45568</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45568</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45568</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45568</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45568</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45568</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45568</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45568</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45568</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45568</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45568</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45568</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45568</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45568</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45568</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45568</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45568</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45568</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45568</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45568</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45568</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45568</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45568</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45568</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45568</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45568</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45568</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45568</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45568</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45568</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45568</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45568</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45568</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45568</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45568</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45568</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45568</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45568</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45568</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45568</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45568</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45568</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45568</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45568</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45568</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45568</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45568</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45568</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45568</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45568</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45568</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45568</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45568</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45568</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45568</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45568</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45568</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45568</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45568</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45568</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45568</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45568</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45568</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45568</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45568</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45568</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45568</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45568</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45568</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45568</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45568</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45568</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45568</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45568</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45568</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45568</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45568</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45568</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45568</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45568</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45568</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45568</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45568</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45568</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45568</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45568</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45568</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45568</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45568</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45568</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45568</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45568</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45568</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45568</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45568</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45568</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45568</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45568</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45568</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45568</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45568</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45568</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45568</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45568</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45568</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45568</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45568</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45568</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45568</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45568</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45568</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45568</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45568</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45568</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45568</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45568</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45568</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45568</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45568</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45568</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45568</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45568</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45568</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45568</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45568</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45568</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45568</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45568</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45568</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45568</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45568</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45568</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45568</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45568</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45568</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45568</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45568</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45568</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45568</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45568</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45568</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45568</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45568</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45568</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45568</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45568</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45568</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45568</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45568</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45568</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45568</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45568</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45568</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45568</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45568</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45568</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45568</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45568</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45568</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45568</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45568</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45568</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45568</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45568</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45568</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45568</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45568</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45568</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45568</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45568</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45568</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45568</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45568</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45568</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45568</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45568</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45568</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45568</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45568</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45568</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45568</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45568</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45568</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45568</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45568</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45568</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45568</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45568</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45568</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45568</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45568</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45568</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45568</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45568</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45568</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45568</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45568</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45568</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45568</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45568</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45568</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45568</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45568</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45568</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45568</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45568</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45568</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45568</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45568</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45568</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45568</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45568</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45568</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45568</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45568</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45568</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45568</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45568</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45568</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45568</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45568</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45568</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45568</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45568</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45568</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45568</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45568</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45568</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45568</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45568</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45568</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45568</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45568</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45568</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45568</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45568</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45568</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45568</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45568</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45568</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45568</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45568</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45568</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45568</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45568</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45568</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45568</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45568</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45568</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45568</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45568</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45568</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45568</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45568</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45568</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45568</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45568</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45568</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45568</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45568</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45568</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45568</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45568</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45568</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45568</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45568</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45568</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45568</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45568</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45568</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45568</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45568</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45568</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45568</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45568</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45568</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45568</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45568</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45568</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45568</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45568</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45568</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45568</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45568</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45568</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45568</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45568</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45568</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45568</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45568</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45568</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45568</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45568</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45568</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45568</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45568</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45568</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45568</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45568</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45568</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45568</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45568</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45568</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45568</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45568</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45568</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45568</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45568</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45568</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45568</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45568</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45568</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45568</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45568</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45568</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45568</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45568</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45568</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45568</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45568</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45568</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45568</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45568</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45568</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45568</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45568</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45568</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45568</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45568</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45568</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45568</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45568</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45568</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45568</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45568</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45568</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45568</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45568</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45568</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45568</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45568</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45568</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45568</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45568</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45568</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45568</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45568</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45568</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45568</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45568</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45568</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45568</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45568</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45568</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45568</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45568</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45568</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45568</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45568</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45568</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45568</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45568</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45568</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45568</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45568</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45568</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45568</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45568</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45568</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45568</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45568</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45568</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45568</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45568</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45568</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45568</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45568</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45568</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45568</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45568</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45568</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45568</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45568</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45568</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45568</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45568</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45568</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45568</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45568</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45568</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45568</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45568</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45568</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45568</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45568</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45568</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45568</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45568</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45568</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45568</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45568</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45568</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45568</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45568</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45568</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45568</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45568</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45568</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45568</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45568</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45568</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45568</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45568</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45568</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45568</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45568</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45568</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45568</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45568</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45568</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45568</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45568</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45568</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45568</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45568</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45568</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45568</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45568</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45568</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45568</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45568</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45568</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45568</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45568</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45568</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45568</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45568</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45568</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45568</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45568</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45568</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45568</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45568</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45568</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45568</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45568</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45568</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45568</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45568</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45568</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45568</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45568</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45568</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45568</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45568</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45568</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45568</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45568</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45568</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45568</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45568</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45568</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45568</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45568</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45568</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45568</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45568</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45568</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45568</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45568</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45568</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45568</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45568</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45568</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45568</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45568</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45568</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45568</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45568</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45568</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45568</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45568</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45568</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45568</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45568</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45568</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45568</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45568</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45568</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45568</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45568</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45568</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45568</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45568</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45568</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45568</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45568</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45568</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45568</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45568</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45568</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45568</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45568</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45568</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45568</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45568</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45568</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45568</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45568</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45568</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45568</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45568</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45568</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45568</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45568</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45568</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45568</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45568</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45568</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45568</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45568</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45568</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45568</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45568</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45568</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45568</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45568</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45568</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45568</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45568</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45568</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45568</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45568</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45568</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45568</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45568</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45568</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45568</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45568</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45568</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45568</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45568</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45568</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45568</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45568</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45568</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45568</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45568</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45568</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45568</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45568</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45568</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45568</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45568</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45568</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45568</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45568</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45568</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45568</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45568</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45568</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45568</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45568</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45568</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45568</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45568</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45568</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45568</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45568</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45568</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45568</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45568</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45568</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45568</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45568</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45568</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45568</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45568</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45568</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45568</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45568</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45568</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45568</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45568</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45568</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45568</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45568</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45568</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45568</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45568</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45568</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45568</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45568</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45568</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45568</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45568</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45568</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45568</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45568</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45568</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45568</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45568</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45568</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45568</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45568</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45568</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45568</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45568</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45568</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45568</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45568</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45568</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45568</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45568</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45568</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45568</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45568</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45568</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45568</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45568</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45568</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45568</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45568</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45568</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45568</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45568</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45568</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45568</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45568</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45568</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45568</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45568</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45568</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45568</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45568</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45568</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45568</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45568</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45568</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45568</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45568</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45568</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45568</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45568</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45568</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45568</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45568</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45568</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45568</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45568</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45568</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45568</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45568</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45568</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45568</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45568</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45568</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45568</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45568</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45568</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45568</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45568</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45568</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45568</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45568</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45568</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45568</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45568</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45568</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45568</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45568</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45568</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45568</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45568</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45568</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45568</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45568</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45568</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45568</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45568</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45568</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45568</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45568</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45568</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45568</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45568</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45568</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45568</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45568</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45568</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45568</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45568</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45568</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45568</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45568</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45568</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45568</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45568</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45568</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45568</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45568</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45568</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45568</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45568</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45568</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45568</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45568</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45568</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45568</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45568</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45568</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45568</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45568</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45568</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45568</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45568</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45568</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45568</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45568</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45568</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45568</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45568</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45568</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45568</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45568</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45568</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45568</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45568</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45568</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45568</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45568</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45568</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45568</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45568</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45568</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45568</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45568</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45568</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45568</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45568</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45568</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45568</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45568</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45568</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45568</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45568</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45568</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45568</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45568</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45568</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45568</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45568</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45568</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45568</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45568</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45568</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45568</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45568</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45568</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45568</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45568</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45568</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45568</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45568</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45568</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45568</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45568</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45568</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45568</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45568</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45568</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45568</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45568</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45568</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45568</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45568</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45568</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45568</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45568</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45568</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45568</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45568</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45568</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45568</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45568</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45568</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45568</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45568</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45568</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45568</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45568</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45568</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45568</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45568</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45568</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45568</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45568</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45568</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45568</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45568</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45568</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45568</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45568</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45568</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45568</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45568</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45568</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45568</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45568</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45568</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45568</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45568</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45568</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45568</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45568</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45568</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45568</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45568</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45568</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45568</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45568</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45568</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45568</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45568</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45568</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45568</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45568</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45568</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45568</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45568</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45568</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45568</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45568</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45568</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45568</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45568</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45568</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45568</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45568</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45568</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45568</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45568</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45568</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45568</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45568</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45568</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45568</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45568</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45568</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45568</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45568</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45568</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45568</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45568</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45568</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45568</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45568</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45568</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45568</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45568</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45568</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45568</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45568</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45568</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45568</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45568</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45568</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45568</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45568</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45568</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45568</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45568</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45568</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45568</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45568</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45568</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45568</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45568</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45568</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45568</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45568</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45568</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45568</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45568</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45568</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45568</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45568</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45568</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45568</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45568</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45568</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45568</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45568</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45568</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45568</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45568</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45568</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45568</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45568</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45568</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45568</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45568</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45568</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45568</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45568</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45568</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45568</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45568</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45568</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45568</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45568</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45568</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45568</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45568</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45568</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45568</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45568</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45568</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45568</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45568</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45568</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45568</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45568</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45568</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45568</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45568</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45568</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45568</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45568</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45568</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45568</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45568</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45568</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45568</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45568</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45568</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45568</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45568</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45568</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45568</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45568</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45568</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45568</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45568</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45568</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45568</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45568</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45568</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45568</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45568</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45568</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45568</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45568</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45568</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45568</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45568</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45568</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45568</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45568</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45568</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45568</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45568</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45568</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45568</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45568</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45568</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45568</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45568</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45568</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45568</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45568</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45568</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45568</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45568</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45568</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45568</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45568</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45568</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45568</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45568</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45568</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45568</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45568</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45568</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45568</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45568</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45568</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45568</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45568</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45568</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45568</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45568</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45568</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45568</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45568</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45568</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45568</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45568</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45568</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45568</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45568</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45568</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45568</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45568</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45568</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45568</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45568</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45568</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45568</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45568</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45568</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45568</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45568</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45568</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45568</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45568</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45568</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45568</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45568</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45568</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45568</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45568</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45568</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45568</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45568</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45568</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45568</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45568</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45568</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45568</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45568</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45568</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45568</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45568</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45568</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45568</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45568</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45568</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45568</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45568</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45568</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45568</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45568</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45568</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45568</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45568</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45568</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45568</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45568</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45568</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45568</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45568</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45568</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45568</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45568</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45568</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45568</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45568</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45568</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45568</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45568</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45568</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45568</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45568</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45568</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45568</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45568</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45568</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45568</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45568</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45568</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45568</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45568</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45568</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45568</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45568</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45568</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45568</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45568</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45568</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45568</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45568</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45568</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45568</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45568</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45568</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45568</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45568</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45568</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45568</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45568</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45568</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45568</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45568</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45568</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45568</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45568</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45568</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45568</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45568</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45568</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45568</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45568</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45568</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45568</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45568</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45568</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45568</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45568</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45568</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45568</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45568</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45568</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45568</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45568</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45568</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45568</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45568</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45568</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45568</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45568</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45568</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45568</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45568</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45568</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45568</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45568</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45568</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45568</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45568</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45568</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45568</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45568</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45568</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45568</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45568</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45568</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45568</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45568</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45568</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45568</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45568</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45568</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45568</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45568</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45568</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45568</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45568</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45568</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45568</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45568</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45568</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45568</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45568</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45568</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45568</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45568</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45568</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45568</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45568</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45568</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45568</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45568</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45568</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45568</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45568</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45568</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45568</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45568</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45568</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45568</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45568</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45568</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45568</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45568</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45568</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45568</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45568</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45568</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45568</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45568</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45568</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45568</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45568</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45568</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45568</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45568</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45568</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45568</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45568</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45568</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45568</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45568</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45568</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45568</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45568</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45568</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45568</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45568</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45568</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45568</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45568</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45568</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45568</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45568</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45568</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45568</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45568</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45568</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45568</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45568</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45568</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45568</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45568</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45568</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45568</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45568</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45568</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45568</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45568</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45568</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45568</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45568</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45568</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45568</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45568</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45568</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45568</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45568</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45568</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45568</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45568</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45568</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45568</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45568</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45568</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45568</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45568</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45568</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45568</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45568</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45568</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45568</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45568</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45568</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45568</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45568</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45568</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45568</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45568</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45568</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45568</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45568</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45568</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45568</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45568</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45568</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45568</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45568</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45568</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45568</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45568</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45568</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45568</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45568</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45568</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45568</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45568</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45568</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45568</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45568</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45568</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45568</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45568</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45568</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45568</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45568</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45568</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45568</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45568</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45568</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45568</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45568</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45568</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45568</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45568</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45568</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45568</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45568</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45568</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45568</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45568</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45568</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45568</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45568</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45568</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45568</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45568</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45568</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45568</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45568</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45568</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45568</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45568</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45568</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45568</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45568</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45568</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45568</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45568</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45568</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45568</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45568</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45568</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45568</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45568</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45568</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45568</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45568</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45568</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45568</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45568</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45568</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45568</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45568</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45568</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45568</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45568</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45568</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45568</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45568</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45568</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45568</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45568</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45568</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45568</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45568</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45568</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45568</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45568</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45568</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45568</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45568</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45568</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45568</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45568</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45568</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45568</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45568</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45568</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45568</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45568</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45568</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45568</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45568</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45568</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45568</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45568</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45568</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45568</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45568</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45568</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45568</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45568</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45568</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45568</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45568</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45568</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45568</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45568</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45568</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45568</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45568</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45568</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45568</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45568</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45568</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45568</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45568</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45568</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45568</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45568</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45568</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45568</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45568</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45568</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45568</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45568</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45568</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45568</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45568</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45568</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45568</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45568</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45568</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45568</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45568</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45568</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45568</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45568</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45568</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45568</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45568</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45568</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45568</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45568</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45568</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45568</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45568</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45568</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45568</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45568</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45568</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45568</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45568</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45568</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45568</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45568</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45568</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45568</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45568</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45568</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45568</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45568</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45568</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45568</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45568</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45568</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45568</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45568</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45568</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45568</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45568</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45568</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45568</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45568</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45568</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45568</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45568</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45568</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45568</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45568</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45568</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45568</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45568</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45568</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45568</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45568</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45568</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45568</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45568</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45568</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45568</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45568</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45568</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45568</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45568</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45568</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45568</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45568</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45568</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45568</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45568</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45568</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45568</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45568</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45568</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45568</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45568</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45568</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45568</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45568</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45568</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45568</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45568</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45568</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45568</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45568</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45568</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45568</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45568</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45568</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45568</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45568</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45568</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45568</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45568</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45568</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45568</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45568</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45568</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45568</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45568</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45568</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45568</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45568</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45568</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45568</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45568</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45568</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45568</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45568</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45568</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45568</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45568</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45568</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45568</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45568</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45568</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45568</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45568</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45568</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45568</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45568</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45568</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45568</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45568</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45568</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45568</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45568</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45568</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45568</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45568</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45568</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45568</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45568</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45568</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45568</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45568</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45568</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45568</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45568</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45568</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45568</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45568</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45568</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45568</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45568</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45568</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45568</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45568</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45568</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45568</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45568</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45568</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45568</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45568</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45568</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45568</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45568</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45568</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45568</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45568</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45568</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45568</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45568</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45568</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45568</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45568</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45568</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45568</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45568</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45568</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45568</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45568</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45568</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45568</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45568</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45568</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45568</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45568</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45568</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45568</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45568</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45568</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45568</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45568</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45568</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45568</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45568</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45568</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45568</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45568</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45568</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45568</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45568</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45568</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45568</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45568</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45568</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45568</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45568</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45568</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45568</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45568</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45568</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45568</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45568</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45568</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45568</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45568</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45568</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45568</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45568</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45568</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45568</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45568</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45568</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45568</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45568</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45568</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45568</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45568</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45568</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45568</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45568</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45568</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45568</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45568</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45568</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45568</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45568</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45568</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45568</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45568</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45568</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45568</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45568</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45568</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45568</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45568</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45568</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45568</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45568</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45568</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45568</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45568</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45568</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45568</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45568</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45568</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45568</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45568</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45568</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45568</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45568</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45568</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45568</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45568</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45568</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45568</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45568</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45568</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45568</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45568</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45568</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45568</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45568</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45568</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45568</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45568</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45568</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45568</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45568</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45568</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45568</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45568</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45568</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45568</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45568</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45568</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45568</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45568</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45568</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45568</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45568</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45568</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45568</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45568</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45568</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45568</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45568</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45568</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45568</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45568</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45568</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45568</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45568</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45568</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45568</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45568</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45568</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45568</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45568</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45568</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45568</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45568</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45568</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45568</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45568</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45568</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45568</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45568</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45568</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45568</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45568</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45568</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45568</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45568</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45568</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45568</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45568</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45568</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45568</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45568</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45568</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45568</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45568</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45568</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45568</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45568</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45568</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45568</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45568</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45568</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45568</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45568</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45568</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45568</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45568</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45568</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45568</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45568</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45568</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45568</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45568</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45568</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45568</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45568</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45568</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45568</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45568</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45568</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45568</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45568</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45568</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45568</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45568</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45568</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45568</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45568</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45568</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45568</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45568</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45568</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45568</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45568</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45568</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45568</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45568</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45568</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45568</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45568</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45568</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45568</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45568</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45568</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45568</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45568</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45568</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45568</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45568</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45568</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45568</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45568</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45568</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45568</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45568</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45568</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45568</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45568</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45568</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45568</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45568</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45568</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45568</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45568</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45568</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45568</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45568</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45568</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45568</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45568</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45568</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45568</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45568</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45568</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45568</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45568</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45568</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45568</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45568</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45568</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45568</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45568</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45568</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45568</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45568</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45568</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45568</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45568</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45568</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45568</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45568</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45568</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45568</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45568</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45568</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45568</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45568</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45568</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45568</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45568</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45568</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45568</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45568</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45568</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45568</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45568</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45568</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45568</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45568</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45568</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45568</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45568</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45568</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45568</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45568</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45568</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45568</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45568</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45568</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45568</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45568</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45568</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45568</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45568</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45568</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45568</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45568</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45568</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45568</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45568</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45568</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45568</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45568</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45568</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45568</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45568</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45568</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45568</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45568</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45568</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45568</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45568</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45568</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45568</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45568</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45568</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45568</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45568</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45568</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45568</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45568</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45568</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45568</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45568</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45568</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45568</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45568</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45568</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45568</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45568</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45568</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45568</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45568</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45568</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45568</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45568</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45568</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45568</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45568</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45568</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45568</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45568</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45568</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45568</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45568</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45568</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45568</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45568</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45568</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45568</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45568</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45568</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45568</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45568</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45568</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45568</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45568</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45568</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45568</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45568</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45568</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45568</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45568</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45568</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45568</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45568</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45568</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45568</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45568</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45568</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45568</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45568</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45568</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45568</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45568</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45568</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45568</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45568</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45568</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45568</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45568</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45568</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45568</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45568</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45568</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45568</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45568</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45568</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45568</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45568</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45568</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45568</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45568</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45568</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45568</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45568</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45568</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45568</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45568</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45568</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45568</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45568</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45568</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45568</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45568</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45568</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45568</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45568</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45568</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45568</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45568</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45568</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45568</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45568</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45568</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45568</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45568</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45568</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45568</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45568</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45568</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45568</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45568</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45568</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45568</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45568</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45568</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45568</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45568</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45568</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45568</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45568</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45568</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45568</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45568</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45568</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45568</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45568</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45568</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45568</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45568</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45568</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45568</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45568</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45568</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45568</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45568</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45568</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45568</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45568</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45568</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45568</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45568</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45568</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45568</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45568</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45568</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45568</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45568</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45568</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45568</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45568</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45568</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45568</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45568</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45568</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45568</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45568</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45568</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45568</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45568</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45568</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45568</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45568</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45568</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45568</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45568</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45568</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45568</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45568</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45568</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45568</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45568</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45568</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45568</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45568</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45568</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45568</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45568</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45568</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45568</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45568</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45568</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45568</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45568</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45568</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45568</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45568</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45568</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45568</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45568</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45568</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45568</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45568</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45568</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45568</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45568</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45568</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45568</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45568</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45568</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45568</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45568</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45568</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45568</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45568</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45568</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45568</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45568</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45568</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45568</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45568</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45568</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45568</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45568</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45568</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45568</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45568</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45568</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45568</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45568</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45568</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45568</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45568</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45568</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45568</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45568</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45568</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45568</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45568</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45568</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45568</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45568</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45568</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45568</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45568</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45568</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45568</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45568</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45568</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45568</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45568</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45568</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45568</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45568</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45568</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45568</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45568</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45568</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45568</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45568</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45568</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45568</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45568</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45568</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45568</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45568</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45568</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45568</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45568</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45568</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45568</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45568</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45568</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45568</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45568</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45568</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45568</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45568</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45568</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45568</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45568</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45568</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45568</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45568</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45568</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45568</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45568</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45568</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45568</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45568</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45568</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45568</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45568</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45568</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45568</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45568</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45568</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45568</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45568</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45568</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45568</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45568</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45568</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45568</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45568</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45568</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45568</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45568</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45568</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45568</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45568</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45568</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45568</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45568</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45568</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45568</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45568</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45568</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45568</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45568</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45568</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45568</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45568</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45568</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45568</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45568</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45568</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45568</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45568</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45568</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45568</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45568</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45568</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45568</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45568</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45568</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45568</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45568</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45568</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45568</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45568</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45568</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45568</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45568</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45568</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45568</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45568</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45568</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45568</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45568</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45568</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45568</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45568</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45568</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45568</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45568</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45568</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45568</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45568</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45568</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45568</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45568</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45568</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45568</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45568</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45568</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45568</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45568</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45568</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45568</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45568</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45568</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45568</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45568</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45568</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45568</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45568</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45568</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45568</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45568</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45568</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45568</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45568</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45568</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45568</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45568</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45568</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45568</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45568</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45568</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45568</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45568</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45568</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45568</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45568</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45568</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45568</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45568</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45568</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45568</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45568</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45568</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45568</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45568</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45568</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45568</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45568</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45568</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45568</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45568</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45568</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45568</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45568</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45568</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45568</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45568</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45568</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45568</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45568</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45568</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45568</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45568</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45568</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45568</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45568</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45568</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45568</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45568</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45568</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45568</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45568</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45568</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45568</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45568</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45568</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45568</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45568</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45568</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45568</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45568</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45568</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45568</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45568</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45568</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45568</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45568</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45568</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45568</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45568</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45568</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45568</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45568</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45568</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45568</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45568</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45568</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45568</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45568</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45568</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45568</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45568</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45568</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45568</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45568</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45568</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45568</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45568</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45568</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45568</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45568</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45568</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45568</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45568</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45568</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45568</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45568</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45568</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45568</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45568</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45568</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45568</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45568</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45568</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45568</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45568</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45568</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45568</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45568</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45568</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45568</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45568</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45568</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45568</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45568</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45568</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45568</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45568</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45568</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45568</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45568</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45568</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45568</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45568</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45568</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45568</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45568</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45568</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45568</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45568</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45568</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45568</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45568</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45568</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45568</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45568</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45568</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45568</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45568</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45568</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45568</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45568</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45568</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45568</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45568</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45568</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45568</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45568</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45568</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45568</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45568</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45568</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45568</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45568</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45568</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45568</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45568</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45568</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45568</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45568</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45568</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45568</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45568</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45568</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45568</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45568</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45568</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45568</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45568</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45568</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45568</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45568</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45568</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45568</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45568</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45568</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45568</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45568</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45568</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45568</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45568</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45568</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45568</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45568</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45568</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45568</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45568</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45568</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45568</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45568</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45568</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45568</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45568</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45568</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45568</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45568</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45568</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45568</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45568</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45568</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45568</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45568</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45568</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45568</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45568</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45568</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45568</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45568</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45568</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45568</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45568</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45568</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45568</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45568</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45568</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45568</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45568</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45568</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45568</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45568</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45568</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45568</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45568</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45568</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45568</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45568</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45568</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45568</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45568</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45568</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45568</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45568</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45568</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45568</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45568</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45568</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45568</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45568</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45568</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45568</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45568</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45568</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45568</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45568</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45568</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45568</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45568</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45568</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45568</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45568</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45568</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45568</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45568</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45568</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45568</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45568</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45568</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45568</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45568</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45568</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45568</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45568</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45568</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45568</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45568</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45568</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45568</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45568</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45568</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45568</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45568</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45568</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45568</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45568</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45568</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45568</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45568</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45568</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45568</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45568</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45568</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45568</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45568</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45568</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45568</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45568</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45568</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45568</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45568</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45568</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45568</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45568</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45568</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45568</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45568</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45568</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45568</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45568</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45568</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45568</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45568</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45568</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45568</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45568</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45568</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45568</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45568</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45568</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45568</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45568</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45568</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45568</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45568</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45568</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45568</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45568</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45568</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45568</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45568</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45568</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45568</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45568</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45568</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45568</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45568</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45568</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45568</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45568</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45568</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45568</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45568</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45568</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45568</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45568</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45568</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45568</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45568</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45568</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45568</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45568</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45568</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45568</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45568</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45568</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45568</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45568</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45568</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45568</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45568</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45568</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45568</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45568</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45568</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45568</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45568</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45568</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45568</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45568</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45568</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45568</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45568</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45568</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45568</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45568</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45568</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45568</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45568</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45568</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45568</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45568</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45568</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45568</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45568</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45568</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45568</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45568</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45568</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45568</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45568</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45568</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45568</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45568</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45568</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45568</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45568</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45568</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45568</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45568</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45568</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45568</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45568</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45568</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45568</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45568</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45568</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45568</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45568</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45568</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45568</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45568</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45568</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45568</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45568</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45568</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45568</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45568</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45568</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45568</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45568</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45568</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45568</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45568</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45568</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45568</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45568</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45568</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45568</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45568</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45568</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45568</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45568</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45568</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45568</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45568</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45568</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45568</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45568</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45568</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45568</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45568</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45568</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45568</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45568</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45568</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45568</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45568</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45568</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45568</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45568</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45568</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45568</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45568</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45568</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45568</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45568</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45568</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45568</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45568</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45568</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45568</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45568</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45568</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45568</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45568</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45568</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45568</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45568</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45568</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45568</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45568</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45568</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45568</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45568</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45568</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45568</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45568</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45568</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45568</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45568</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45568</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45568</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45568</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45568</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45568</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45568</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45568</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45568</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45568</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45568</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45568</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45568</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45568</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45568</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45568</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45568</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45568</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45568</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45568</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45568</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45568</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45568</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45568</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45568</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45568</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45568</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45568</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45568</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45568</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45568</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45568</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45568</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45568</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45568</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45568</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45568</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45568</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45568</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45568</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45568</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45568</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45568</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45568</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45568</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45568</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45568</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45568</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45568</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45568</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45568</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45568</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45568</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45568</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45568</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45568</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45568</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45568</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45568</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45568</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45568</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45568</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45568</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45568</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45568</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45568</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45568</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45568</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45568</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45568</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45568</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45568</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45568</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45568</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45568</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45568</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45568</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45568</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45568</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45568</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45568</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45568</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45568</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45568</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45568</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45568</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45568</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45568</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45568</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45568</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45568</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45568</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45568</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45568</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45568</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45568</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45568</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45568</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45568</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45568</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45568</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45568</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45568</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45568</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45568</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45568</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45568</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45568</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45568</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45568</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45568</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45568</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45568</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45568</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45568</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45568</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45568</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45568</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45568</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45568</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45568</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45568</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45568</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45568</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45568</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45568</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45568</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45568</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45568</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45568</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45568</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45568</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45568</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45568</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45568</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45568</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45568</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45568</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45568</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45568</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45568</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45568</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45568</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45568</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45568</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45568</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45568</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45568</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45568</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45568</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45568</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45568</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45568</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45568</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45568</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45568</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45568</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45568</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45568</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45568</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45568</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45568</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45568</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45568</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45568</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45568</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45568</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45568</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45568</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45568</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45568</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45568</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45568</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45568</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45568</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45568</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45568</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45568</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45568</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45568</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45568</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45568</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45568</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45568</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45568</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45568</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45568</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45568</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45568</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45568</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45568</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45568</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45568</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45568</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45568</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45568</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45568</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45568</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45568</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45568</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45568</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45568</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45568</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45568</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45568</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45568</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45568</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45568</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45568</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45568</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45568</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45568</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45568</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45568</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45568</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45568</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45568</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45568</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45568</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45568</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45568</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45568</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45568</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45568</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45568</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45568</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45568</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45568</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45568</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45568</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45568</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45568</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45568</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45568</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45568</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45568</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45568</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45568</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45568</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45568</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45568</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45568</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45568</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45568</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45568</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45568</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45568</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45568</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45568</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45568</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45568</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45568</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45568</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45568</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45568</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45568</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45568</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45568</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45568</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45568</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45568</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45568</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45568</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45568</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45568</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45568</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45568</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45568</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45568</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45568</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45568</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45568</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45568</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45568</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45568</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45568</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45568</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45568</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45568</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45568</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45568</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45568</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45568</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45568</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45568</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45568</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45568</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45568</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45568</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45568</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45568</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45568</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45568</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45568</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45568</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45568</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45568</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45568</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45568</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45568</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45568</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45568</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45568</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45568</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45568</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45568</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45568</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45568</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45568</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45568</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45568</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45568</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45568</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45568</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45568</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45568</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45568</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45568</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45568</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45568</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45568</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45568</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45568</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45568</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45568</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45568</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45568</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45568</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45568</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45568</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45568</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45568</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45568</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45568</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45568</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45568</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45568</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45568</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45568</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45568</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45568</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45568</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45568</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45568</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45568</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45568</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45568</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45568</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45568</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45568</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45568</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45568</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45568</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45568</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45568</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45568</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45568</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45568</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45568</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45568</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45568</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45568</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45568</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45568</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45568</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45568</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45568</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45568</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45568</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45568</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45568</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45568</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45568</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45568</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45568</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45568</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45568</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45568</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45568</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45568</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45568</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45568</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45568</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45568</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45568</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45568</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45568</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45568</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45568</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45568</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45568</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45568</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45568</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45568</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45568</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45568</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45568</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45568</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45568</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45568</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45568</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45568</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45568</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45568</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45568</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45568</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45568</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45568</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45568</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45568</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45568</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45568</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45568</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45568</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45568</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45568</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45568</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45568</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45568</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45568</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45568</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45568</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45568</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45568</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45568</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45568</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45568</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45568</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45568</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45568</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45568</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45568</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45568</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45568</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45568</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45568</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45568</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45568</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45568</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45568</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45568</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45568</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45568</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45568</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45568</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45568</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45568</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45568</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45568</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45568</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45568</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45568</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45568</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45568</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45568</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45568</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45568</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45568</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45568</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45568</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45568</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45568</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45568</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45568</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45568</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45568</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45568</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45568</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45568</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45568</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45568</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45568</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45568</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45568</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45568</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45568</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45568</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45568</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45568</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45568</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45568</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45568</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45568</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45568</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45568</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45568</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45568</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45568</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45568</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45568</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45568</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45568</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45568</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45568</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45568</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45568</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45568</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45568</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45568</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45568</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45568</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45568</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45568</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45568</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45568</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45568</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45568</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45568</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45568</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45568</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45568</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45568</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45568</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45568</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45568</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45568</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45568</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45568</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45568</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45568</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45568</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45568</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45568</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45568</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45568</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45568</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45568</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45568</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45568</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45568</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45568</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45568</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45568</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45568</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45568</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45568</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45568</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45568</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45568</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45568</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45568</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45568</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45568</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45568</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45568</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45568</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45568</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45568</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45568</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45568</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45568</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45568</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45568</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45568</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45568</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45568</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45568</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45568</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45568</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45568</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45568</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45568</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45568</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45568</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45568</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45568</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45568</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45568</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45568</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45568</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45568</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45568</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45568</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45568</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45568</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45568</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45568</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45568</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45568</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45568</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45568</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45568</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45568</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45568</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45568</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45568</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45568</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45568</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45568</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45568</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45568</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45568</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45568</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45568</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45568</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45568</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45568</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45568</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45568</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45568</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45568</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45568</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45568</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45568</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45568</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45568</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45568</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45568</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45568</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45568</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45568</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45568</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45568</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45568</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45568</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45568</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45568</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45568</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45568</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45568</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45568</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45568</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45568</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45568</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45568</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45568</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45568</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45568</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45568</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45568</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45568</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45568</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45568</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45568</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45568</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45568</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45568</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45568</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45568</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45568</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45568</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45568</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45568</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45568</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45568</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45568</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45568</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45568</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45568</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45568</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45568</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45568</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45568</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45568</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45568</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45568</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45568</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45568</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45568</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45568</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45568</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45568</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45568</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45568</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45568</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45568</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45568</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45568</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45568</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45568</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45568</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45568</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45568</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45568</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45568</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45568</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45568</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45568</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45568</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45568</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45568</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45568</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45568</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45568</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45568</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45568</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45568</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45568</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45568</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45568</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45568</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45568</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45568</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45568</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45568</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45568</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45568</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45568</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45568</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45568</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45568</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45568</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45568</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45568</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45568</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45568</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45568</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45568</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45568</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45568</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45568</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45568</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45568</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45568</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45568</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45568</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45568</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45568</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45568</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45568</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45568</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45568</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45568</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45568</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45568</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45568</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45568</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45568</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45568</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45568</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45568</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45568</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45568</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45568</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45568</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45568</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45568</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45568</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45568</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45568</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45568</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45568</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45568</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45568</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45568</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45568</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45568</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45568</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45568</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45568</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45568</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45568</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45568</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45568</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45568</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45568</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45568</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45568</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45568</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45568</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45568</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45568</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45568</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45568</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45568</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45568</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45568</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45568</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45568</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45568</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45568</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45568</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45568</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45568</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45568</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45568</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45568</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45568</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45568</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45568</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45568</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45568</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45568</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45568</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45568</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45568</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45568</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45568</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45568</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45568</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45568</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45568</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45568</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45568</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45568</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45568</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45568</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45568</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45568</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45568</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45568</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45568</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45568</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45568</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45568</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45568</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45568</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45568</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45568</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45568</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45568</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45568</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45568</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45568</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45568</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45568</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45568</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45568</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45568</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45568</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45568</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45568</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45568</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45568</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45568</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45568</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45568</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45568</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45568</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45568</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45568</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45568</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45568</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45568</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45568</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45568</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45568</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45568</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45568</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45568</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45568</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45568</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45568</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45568</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45568</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45568</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45568</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45568</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45568</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45568</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45568</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45568</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45568</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45568</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45568</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45568</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45568</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45568</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45568</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45568</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45568</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45568</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45568</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45568</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45568</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45568</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45568</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45568</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45568</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45568</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45568</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45568</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45568</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45568</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45568</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45568</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45568</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45568</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45568</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45568</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45568</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45568</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45568</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45568</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45568</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45568</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45568</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45568</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45568</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45568</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45568</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45568</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45568</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45568</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45568</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45568</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45568</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45568</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45568</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45568</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45568</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45568</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45568</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45568</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45568</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45568</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45568</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45568</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45568</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45568</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45568</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45568</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45568</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45568</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45568</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45568</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45568</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45568</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45568</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45568</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45568</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45568</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45568</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45568</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45568</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45568</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45568</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45568</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45568</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45568</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45568</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45568</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45568</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45568</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45568</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45568</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45568</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45568</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45568</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45568</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45568</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45568</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45568</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45568</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45568</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45568</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45568</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45568</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45568</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45568</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45568</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45568</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45568</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45568</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45568</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45568</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45568</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45568</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45568</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45568</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45568</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45568</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45568</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45568</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45568</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45568</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45568</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45568</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45568</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45568</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45568</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45568</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45568</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45568</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45568</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45568</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45568</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45568</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45568</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45568</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45568</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45568</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45568</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45568</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45568</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45568</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45568</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45568</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45568</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45568</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45568</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45568</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45568</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45568</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45568</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45568</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45568</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45568</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45568</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45568</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45568</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45568</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45568</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45568</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45568</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45568</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45568</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45568</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45568</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45568</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45568</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45568</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45568</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45568</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45568</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45568</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45568</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45568</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45568</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45568</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45568</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45568</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45568</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45568</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45568</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45568</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45568</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45568</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45568</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45568</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45568</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45568</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45568</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45568</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45568</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45568</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45568</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45568</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45568</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45568</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45568</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45568</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45568</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45568</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45568</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45568</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45568</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45568</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45568</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45568</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45568</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45568</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45568</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45568</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45568</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45568</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45568</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45568</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45568</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45568</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45568</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45568</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45568</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45568</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45568</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45568</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45568</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45568</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45568</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45568</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45568</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45568</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45568</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45568</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45568</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45568</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45568</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45568</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45568</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45568</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45568</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45568</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45568</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45568</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45568</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45568</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45568</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45568</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45568</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45568</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45568</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45568</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45568</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45568</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45568</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45568</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45568</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45568</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45568</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45568</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45568</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45568</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45568</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45568</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45568</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45568</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45568</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45568</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45568</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45568</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45568</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45568</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45568</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45568</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45568</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45568</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45568</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45568</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45568</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45568</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45568</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45568</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45568</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45568</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45568</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45568</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45568</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45568</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45568</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45568</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45568</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45568</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45568</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45568</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45568</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45568</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45568</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45568</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45568</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45568</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45568</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45568</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45568</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45568</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45568</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45568</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45568</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45568</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45568</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45568</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45568</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45568</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45568</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45568</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45568</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45568</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45568</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45568</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45568</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45568</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45568</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45568</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45568</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45568</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45568</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45568</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45568</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45568</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45568</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45568</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45568</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45568</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45568</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45568</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45568</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45568</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45568</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45568</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45568</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45568</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45568</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45568</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45568</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45568</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45568</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45568</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45568</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45568</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45568</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45568</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45568</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45568</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45568</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45568</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45568</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45568</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45568</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45568</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45568</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45568</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45568</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45568</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45568</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45568</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45568</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45568</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45568</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45568</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45568</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45568</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45568</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45568</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45568</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45568</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45568</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45568</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45568</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45568</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45568</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45568</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45568</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45568</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45568</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45568</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45568</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45568</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45568</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45568</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45568</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45568</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45568</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45568</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45568</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45568</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45568</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45568</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45568</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45568</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45568</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45568</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45568</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45568</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45568</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45568</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45568</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45568</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45568</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45568</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45568</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45568</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45568</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45568</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45568</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45568</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45568</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45568</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45568</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45568</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45568</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45568</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45568</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45568</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45568</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45568</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45568</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45568</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45568</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45568</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45568</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45568</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37002-2024</t>
        </is>
      </c>
      <c r="B11920" s="1" t="n">
        <v>45539</v>
      </c>
      <c r="C11920" s="1" t="n">
        <v>45568</v>
      </c>
      <c r="D11920" t="inlineStr">
        <is>
          <t>GÄVLEBORGS LÄN</t>
        </is>
      </c>
      <c r="E11920" t="inlineStr">
        <is>
          <t>NORDANSTIG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37071-2024</t>
        </is>
      </c>
      <c r="B11921" s="1" t="n">
        <v>45539</v>
      </c>
      <c r="C11921" s="1" t="n">
        <v>45568</v>
      </c>
      <c r="D11921" t="inlineStr">
        <is>
          <t>GÄVLEBORGS LÄN</t>
        </is>
      </c>
      <c r="E11921" t="inlineStr">
        <is>
          <t>OVANÅKER</t>
        </is>
      </c>
      <c r="F11921" t="inlineStr">
        <is>
          <t>Bergvik skog väst AB</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36990-2024</t>
        </is>
      </c>
      <c r="B11922" s="1" t="n">
        <v>45539</v>
      </c>
      <c r="C11922" s="1" t="n">
        <v>45568</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37005-2024</t>
        </is>
      </c>
      <c r="B11923" s="1" t="n">
        <v>45539</v>
      </c>
      <c r="C11923" s="1" t="n">
        <v>45568</v>
      </c>
      <c r="D11923" t="inlineStr">
        <is>
          <t>GÄVLEBORGS LÄN</t>
        </is>
      </c>
      <c r="E11923" t="inlineStr">
        <is>
          <t>GÄVLE</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36991-2024</t>
        </is>
      </c>
      <c r="B11924" s="1" t="n">
        <v>45539</v>
      </c>
      <c r="C11924" s="1" t="n">
        <v>45568</v>
      </c>
      <c r="D11924" t="inlineStr">
        <is>
          <t>GÄVLEBORGS LÄN</t>
        </is>
      </c>
      <c r="E11924" t="inlineStr">
        <is>
          <t>OVANÅKER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37004-2024</t>
        </is>
      </c>
      <c r="B11925" s="1" t="n">
        <v>45539</v>
      </c>
      <c r="C11925" s="1" t="n">
        <v>45568</v>
      </c>
      <c r="D11925" t="inlineStr">
        <is>
          <t>GÄVLEBORGS LÄN</t>
        </is>
      </c>
      <c r="E11925" t="inlineStr">
        <is>
          <t>OVANÅKER</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37146-2024</t>
        </is>
      </c>
      <c r="B11926" s="1" t="n">
        <v>45539</v>
      </c>
      <c r="C11926" s="1" t="n">
        <v>45568</v>
      </c>
      <c r="D11926" t="inlineStr">
        <is>
          <t>GÄVLEBORGS LÄN</t>
        </is>
      </c>
      <c r="E11926" t="inlineStr">
        <is>
          <t>GÄVLE</t>
        </is>
      </c>
      <c r="G11926" t="n">
        <v>9.4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37158-2024</t>
        </is>
      </c>
      <c r="B11927" s="1" t="n">
        <v>45539</v>
      </c>
      <c r="C11927" s="1" t="n">
        <v>45568</v>
      </c>
      <c r="D11927" t="inlineStr">
        <is>
          <t>GÄVLEBORGS LÄN</t>
        </is>
      </c>
      <c r="E11927" t="inlineStr">
        <is>
          <t>OCKELBO</t>
        </is>
      </c>
      <c r="F11927" t="inlineStr">
        <is>
          <t>Bergvik skog väst AB</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37031-2024</t>
        </is>
      </c>
      <c r="B11928" s="1" t="n">
        <v>45539</v>
      </c>
      <c r="C11928" s="1" t="n">
        <v>45568</v>
      </c>
      <c r="D11928" t="inlineStr">
        <is>
          <t>GÄVLEBORGS LÄN</t>
        </is>
      </c>
      <c r="E11928" t="inlineStr">
        <is>
          <t>NORDANSTIG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37088-2024</t>
        </is>
      </c>
      <c r="B11929" s="1" t="n">
        <v>45539</v>
      </c>
      <c r="C11929" s="1" t="n">
        <v>45568</v>
      </c>
      <c r="D11929" t="inlineStr">
        <is>
          <t>GÄVLEBORGS LÄN</t>
        </is>
      </c>
      <c r="E11929" t="inlineStr">
        <is>
          <t>LJUSDAL</t>
        </is>
      </c>
      <c r="F11929" t="inlineStr">
        <is>
          <t>Sveaskog</t>
        </is>
      </c>
      <c r="G11929" t="n">
        <v>9.699999999999999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37100-2024</t>
        </is>
      </c>
      <c r="B11930" s="1" t="n">
        <v>45539</v>
      </c>
      <c r="C11930" s="1" t="n">
        <v>45568</v>
      </c>
      <c r="D11930" t="inlineStr">
        <is>
          <t>GÄVLEBORGS LÄN</t>
        </is>
      </c>
      <c r="E11930" t="inlineStr">
        <is>
          <t>GÄVLE</t>
        </is>
      </c>
      <c r="F11930" t="inlineStr">
        <is>
          <t>Bergvik skog öst AB</t>
        </is>
      </c>
      <c r="G11930" t="n">
        <v>16.5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37112-2024</t>
        </is>
      </c>
      <c r="B11931" s="1" t="n">
        <v>45539</v>
      </c>
      <c r="C11931" s="1" t="n">
        <v>45568</v>
      </c>
      <c r="D11931" t="inlineStr">
        <is>
          <t>GÄVLEBORGS LÄN</t>
        </is>
      </c>
      <c r="E11931" t="inlineStr">
        <is>
          <t>OVANÅKER</t>
        </is>
      </c>
      <c r="F11931" t="inlineStr">
        <is>
          <t>Bergvik skog väst AB</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37128-2024</t>
        </is>
      </c>
      <c r="B11932" s="1" t="n">
        <v>45539</v>
      </c>
      <c r="C11932" s="1" t="n">
        <v>45568</v>
      </c>
      <c r="D11932" t="inlineStr">
        <is>
          <t>GÄVLEBORGS LÄN</t>
        </is>
      </c>
      <c r="E11932" t="inlineStr">
        <is>
          <t>BOLLNÄS</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37148-2024</t>
        </is>
      </c>
      <c r="B11933" s="1" t="n">
        <v>45539</v>
      </c>
      <c r="C11933" s="1" t="n">
        <v>45568</v>
      </c>
      <c r="D11933" t="inlineStr">
        <is>
          <t>GÄVLEBORGS LÄN</t>
        </is>
      </c>
      <c r="E11933" t="inlineStr">
        <is>
          <t>GÄVLE</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45568</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37110-2024</t>
        </is>
      </c>
      <c r="B11935" s="1" t="n">
        <v>45539</v>
      </c>
      <c r="C11935" s="1" t="n">
        <v>45568</v>
      </c>
      <c r="D11935" t="inlineStr">
        <is>
          <t>GÄVLEBORGS LÄN</t>
        </is>
      </c>
      <c r="E11935" t="inlineStr">
        <is>
          <t>OVANÅKER</t>
        </is>
      </c>
      <c r="F11935" t="inlineStr">
        <is>
          <t>Bergvik skog väst AB</t>
        </is>
      </c>
      <c r="G11935" t="n">
        <v>6.2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37167-2024</t>
        </is>
      </c>
      <c r="B11936" s="1" t="n">
        <v>45539</v>
      </c>
      <c r="C11936" s="1" t="n">
        <v>45568</v>
      </c>
      <c r="D11936" t="inlineStr">
        <is>
          <t>GÄVLEBORGS LÄN</t>
        </is>
      </c>
      <c r="E11936" t="inlineStr">
        <is>
          <t>OCKELBO</t>
        </is>
      </c>
      <c r="F11936" t="inlineStr">
        <is>
          <t>Bergvik skog väst AB</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37176-2024</t>
        </is>
      </c>
      <c r="B11937" s="1" t="n">
        <v>45539</v>
      </c>
      <c r="C11937" s="1" t="n">
        <v>45568</v>
      </c>
      <c r="D11937" t="inlineStr">
        <is>
          <t>GÄVLEBORGS LÄN</t>
        </is>
      </c>
      <c r="E11937" t="inlineStr">
        <is>
          <t>OCKELBO</t>
        </is>
      </c>
      <c r="F11937" t="inlineStr">
        <is>
          <t>Bergvik skog väst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37253-2024</t>
        </is>
      </c>
      <c r="B11938" s="1" t="n">
        <v>45540</v>
      </c>
      <c r="C11938" s="1" t="n">
        <v>45568</v>
      </c>
      <c r="D11938" t="inlineStr">
        <is>
          <t>GÄVLEBORGS LÄN</t>
        </is>
      </c>
      <c r="E11938" t="inlineStr">
        <is>
          <t>GÄVLE</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37294-2024</t>
        </is>
      </c>
      <c r="B11939" s="1" t="n">
        <v>45540</v>
      </c>
      <c r="C11939" s="1" t="n">
        <v>45568</v>
      </c>
      <c r="D11939" t="inlineStr">
        <is>
          <t>GÄVLEBORGS LÄN</t>
        </is>
      </c>
      <c r="E11939" t="inlineStr">
        <is>
          <t>NORDANSTIG</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37306-2024</t>
        </is>
      </c>
      <c r="B11940" s="1" t="n">
        <v>45540</v>
      </c>
      <c r="C11940" s="1" t="n">
        <v>45568</v>
      </c>
      <c r="D11940" t="inlineStr">
        <is>
          <t>GÄVLEBORGS LÄN</t>
        </is>
      </c>
      <c r="E11940" t="inlineStr">
        <is>
          <t>OVANÅKER</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37243-2024</t>
        </is>
      </c>
      <c r="B11941" s="1" t="n">
        <v>45540</v>
      </c>
      <c r="C11941" s="1" t="n">
        <v>45568</v>
      </c>
      <c r="D11941" t="inlineStr">
        <is>
          <t>GÄVLEBORGS LÄN</t>
        </is>
      </c>
      <c r="E11941" t="inlineStr">
        <is>
          <t>NORDANSTIG</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37348-2024</t>
        </is>
      </c>
      <c r="B11942" s="1" t="n">
        <v>45540</v>
      </c>
      <c r="C11942" s="1" t="n">
        <v>45568</v>
      </c>
      <c r="D11942" t="inlineStr">
        <is>
          <t>GÄVLEBORGS LÄN</t>
        </is>
      </c>
      <c r="E11942" t="inlineStr">
        <is>
          <t>SANDVIKEN</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37352-2024</t>
        </is>
      </c>
      <c r="B11943" s="1" t="n">
        <v>45540</v>
      </c>
      <c r="C11943" s="1" t="n">
        <v>45568</v>
      </c>
      <c r="D11943" t="inlineStr">
        <is>
          <t>GÄVLEBORGS LÄN</t>
        </is>
      </c>
      <c r="E11943" t="inlineStr">
        <is>
          <t>GÄVLE</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37360-2024</t>
        </is>
      </c>
      <c r="B11944" s="1" t="n">
        <v>45540</v>
      </c>
      <c r="C11944" s="1" t="n">
        <v>45568</v>
      </c>
      <c r="D11944" t="inlineStr">
        <is>
          <t>GÄVLEBORGS LÄN</t>
        </is>
      </c>
      <c r="E11944" t="inlineStr">
        <is>
          <t>BOLLNÄS</t>
        </is>
      </c>
      <c r="F11944" t="inlineStr">
        <is>
          <t>Bergvik skog väst AB</t>
        </is>
      </c>
      <c r="G11944" t="n">
        <v>8.1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45568</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37350-2024</t>
        </is>
      </c>
      <c r="B11946" s="1" t="n">
        <v>45540</v>
      </c>
      <c r="C11946" s="1" t="n">
        <v>45568</v>
      </c>
      <c r="D11946" t="inlineStr">
        <is>
          <t>GÄVLEBORGS LÄN</t>
        </is>
      </c>
      <c r="E11946" t="inlineStr">
        <is>
          <t>GÄVLE</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37317-2024</t>
        </is>
      </c>
      <c r="B11947" s="1" t="n">
        <v>45540</v>
      </c>
      <c r="C11947" s="1" t="n">
        <v>45568</v>
      </c>
      <c r="D11947" t="inlineStr">
        <is>
          <t>GÄVLEBORGS LÄN</t>
        </is>
      </c>
      <c r="E11947" t="inlineStr">
        <is>
          <t>OVANÅKER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37338-2024</t>
        </is>
      </c>
      <c r="B11948" s="1" t="n">
        <v>45540</v>
      </c>
      <c r="C11948" s="1" t="n">
        <v>45568</v>
      </c>
      <c r="D11948" t="inlineStr">
        <is>
          <t>GÄVLEBORGS LÄN</t>
        </is>
      </c>
      <c r="E11948" t="inlineStr">
        <is>
          <t>OVANÅKER</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37342-2024</t>
        </is>
      </c>
      <c r="B11949" s="1" t="n">
        <v>45540</v>
      </c>
      <c r="C11949" s="1" t="n">
        <v>45568</v>
      </c>
      <c r="D11949" t="inlineStr">
        <is>
          <t>GÄVLEBORGS LÄN</t>
        </is>
      </c>
      <c r="E11949" t="inlineStr">
        <is>
          <t>OVANÅKER</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37363-2024</t>
        </is>
      </c>
      <c r="B11950" s="1" t="n">
        <v>45540</v>
      </c>
      <c r="C11950" s="1" t="n">
        <v>45568</v>
      </c>
      <c r="D11950" t="inlineStr">
        <is>
          <t>GÄVLEBORGS LÄN</t>
        </is>
      </c>
      <c r="E11950" t="inlineStr">
        <is>
          <t>GÄVLE</t>
        </is>
      </c>
      <c r="F11950" t="inlineStr">
        <is>
          <t>Bergvik skog väst AB</t>
        </is>
      </c>
      <c r="G11950" t="n">
        <v>5.9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37367-2024</t>
        </is>
      </c>
      <c r="B11951" s="1" t="n">
        <v>45540</v>
      </c>
      <c r="C11951" s="1" t="n">
        <v>45568</v>
      </c>
      <c r="D11951" t="inlineStr">
        <is>
          <t>GÄVLEBORGS LÄN</t>
        </is>
      </c>
      <c r="E11951" t="inlineStr">
        <is>
          <t>SANDVIKEN</t>
        </is>
      </c>
      <c r="G11951" t="n">
        <v>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37258-2024</t>
        </is>
      </c>
      <c r="B11952" s="1" t="n">
        <v>45540</v>
      </c>
      <c r="C11952" s="1" t="n">
        <v>45568</v>
      </c>
      <c r="D11952" t="inlineStr">
        <is>
          <t>GÄVLEBORGS LÄN</t>
        </is>
      </c>
      <c r="E11952" t="inlineStr">
        <is>
          <t>GÄVLE</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37299-2024</t>
        </is>
      </c>
      <c r="B11953" s="1" t="n">
        <v>45540</v>
      </c>
      <c r="C11953" s="1" t="n">
        <v>45568</v>
      </c>
      <c r="D11953" t="inlineStr">
        <is>
          <t>GÄVLEBORGS LÄN</t>
        </is>
      </c>
      <c r="E11953" t="inlineStr">
        <is>
          <t>BOLLNÄS</t>
        </is>
      </c>
      <c r="F11953" t="inlineStr">
        <is>
          <t>Bergvik skog väst AB</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37340-2024</t>
        </is>
      </c>
      <c r="B11954" s="1" t="n">
        <v>45540</v>
      </c>
      <c r="C11954" s="1" t="n">
        <v>45568</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37345-2024</t>
        </is>
      </c>
      <c r="B11955" s="1" t="n">
        <v>45540</v>
      </c>
      <c r="C11955" s="1" t="n">
        <v>45568</v>
      </c>
      <c r="D11955" t="inlineStr">
        <is>
          <t>GÄVLEBORGS LÄN</t>
        </is>
      </c>
      <c r="E11955" t="inlineStr">
        <is>
          <t>BOLLNÄS</t>
        </is>
      </c>
      <c r="F11955" t="inlineStr">
        <is>
          <t>Bergvik skog väst AB</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37349-2024</t>
        </is>
      </c>
      <c r="B11956" s="1" t="n">
        <v>45540</v>
      </c>
      <c r="C11956" s="1" t="n">
        <v>45568</v>
      </c>
      <c r="D11956" t="inlineStr">
        <is>
          <t>GÄVLEBORGS LÄN</t>
        </is>
      </c>
      <c r="E11956" t="inlineStr">
        <is>
          <t>SANDVIKEN</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37365-2024</t>
        </is>
      </c>
      <c r="B11957" s="1" t="n">
        <v>45540</v>
      </c>
      <c r="C11957" s="1" t="n">
        <v>45568</v>
      </c>
      <c r="D11957" t="inlineStr">
        <is>
          <t>GÄVLEBORGS LÄN</t>
        </is>
      </c>
      <c r="E11957" t="inlineStr">
        <is>
          <t>GÄVLE</t>
        </is>
      </c>
      <c r="F11957" t="inlineStr">
        <is>
          <t>Bergvik skog väst AB</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37369-2024</t>
        </is>
      </c>
      <c r="B11958" s="1" t="n">
        <v>45540</v>
      </c>
      <c r="C11958" s="1" t="n">
        <v>45568</v>
      </c>
      <c r="D11958" t="inlineStr">
        <is>
          <t>GÄVLEBORGS LÄN</t>
        </is>
      </c>
      <c r="E11958" t="inlineStr">
        <is>
          <t>HUDIKSVALL</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37453-2024</t>
        </is>
      </c>
      <c r="B11959" s="1" t="n">
        <v>45540</v>
      </c>
      <c r="C11959" s="1" t="n">
        <v>45568</v>
      </c>
      <c r="D11959" t="inlineStr">
        <is>
          <t>GÄVLEBORGS LÄN</t>
        </is>
      </c>
      <c r="E11959" t="inlineStr">
        <is>
          <t>SANDVIKEN</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37414-2024</t>
        </is>
      </c>
      <c r="B11960" s="1" t="n">
        <v>45540</v>
      </c>
      <c r="C11960" s="1" t="n">
        <v>45568</v>
      </c>
      <c r="D11960" t="inlineStr">
        <is>
          <t>GÄVLEBORGS LÄN</t>
        </is>
      </c>
      <c r="E11960" t="inlineStr">
        <is>
          <t>LJUSDAL</t>
        </is>
      </c>
      <c r="F11960" t="inlineStr">
        <is>
          <t>Allmännings- och besparingsskogar</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37443-2024</t>
        </is>
      </c>
      <c r="B11961" s="1" t="n">
        <v>45540</v>
      </c>
      <c r="C11961" s="1" t="n">
        <v>45568</v>
      </c>
      <c r="D11961" t="inlineStr">
        <is>
          <t>GÄVLEBORGS LÄN</t>
        </is>
      </c>
      <c r="E11961" t="inlineStr">
        <is>
          <t>SANDVIKEN</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37455-2024</t>
        </is>
      </c>
      <c r="B11962" s="1" t="n">
        <v>45540</v>
      </c>
      <c r="C11962" s="1" t="n">
        <v>45568</v>
      </c>
      <c r="D11962" t="inlineStr">
        <is>
          <t>GÄVLEBORGS LÄN</t>
        </is>
      </c>
      <c r="E11962" t="inlineStr">
        <is>
          <t>SANDVIKEN</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37459-2024</t>
        </is>
      </c>
      <c r="B11963" s="1" t="n">
        <v>45540</v>
      </c>
      <c r="C11963" s="1" t="n">
        <v>45568</v>
      </c>
      <c r="D11963" t="inlineStr">
        <is>
          <t>GÄVLEBORGS LÄN</t>
        </is>
      </c>
      <c r="E11963" t="inlineStr">
        <is>
          <t>SANDVIKEN</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45568</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45568</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37541-2024</t>
        </is>
      </c>
      <c r="B11966" s="1" t="n">
        <v>45541</v>
      </c>
      <c r="C11966" s="1" t="n">
        <v>45568</v>
      </c>
      <c r="D11966" t="inlineStr">
        <is>
          <t>GÄVLEBORGS LÄN</t>
        </is>
      </c>
      <c r="E11966" t="inlineStr">
        <is>
          <t>HUDIKSVALL</t>
        </is>
      </c>
      <c r="F11966" t="inlineStr">
        <is>
          <t>Naturvårdsverket</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45568</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45568</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37604-2024</t>
        </is>
      </c>
      <c r="B11969" s="1" t="n">
        <v>45541</v>
      </c>
      <c r="C11969" s="1" t="n">
        <v>45568</v>
      </c>
      <c r="D11969" t="inlineStr">
        <is>
          <t>GÄVLEBORGS LÄN</t>
        </is>
      </c>
      <c r="E11969" t="inlineStr">
        <is>
          <t>SANDVIKEN</t>
        </is>
      </c>
      <c r="F11969" t="inlineStr">
        <is>
          <t>Sveaskog</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37617-2024</t>
        </is>
      </c>
      <c r="B11970" s="1" t="n">
        <v>45541</v>
      </c>
      <c r="C11970" s="1" t="n">
        <v>45568</v>
      </c>
      <c r="D11970" t="inlineStr">
        <is>
          <t>GÄVLEBORGS LÄN</t>
        </is>
      </c>
      <c r="E11970" t="inlineStr">
        <is>
          <t>NORDANSTIG</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37495-2024</t>
        </is>
      </c>
      <c r="B11971" s="1" t="n">
        <v>45541</v>
      </c>
      <c r="C11971" s="1" t="n">
        <v>45568</v>
      </c>
      <c r="D11971" t="inlineStr">
        <is>
          <t>GÄVLEBORGS LÄN</t>
        </is>
      </c>
      <c r="E11971" t="inlineStr">
        <is>
          <t>HUDIKSVALL</t>
        </is>
      </c>
      <c r="F11971" t="inlineStr">
        <is>
          <t>Naturvårdsverket</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37641-2024</t>
        </is>
      </c>
      <c r="B11972" s="1" t="n">
        <v>45541</v>
      </c>
      <c r="C11972" s="1" t="n">
        <v>45568</v>
      </c>
      <c r="D11972" t="inlineStr">
        <is>
          <t>GÄVLEBORGS LÄN</t>
        </is>
      </c>
      <c r="E11972" t="inlineStr">
        <is>
          <t>SANDVIKEN</t>
        </is>
      </c>
      <c r="F11972" t="inlineStr">
        <is>
          <t>Sveaskog</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37657-2024</t>
        </is>
      </c>
      <c r="B11973" s="1" t="n">
        <v>45541</v>
      </c>
      <c r="C11973" s="1" t="n">
        <v>45568</v>
      </c>
      <c r="D11973" t="inlineStr">
        <is>
          <t>GÄVLEBORGS LÄN</t>
        </is>
      </c>
      <c r="E11973" t="inlineStr">
        <is>
          <t>OCKELBO</t>
        </is>
      </c>
      <c r="F11973" t="inlineStr">
        <is>
          <t>Bergvik skog väst AB</t>
        </is>
      </c>
      <c r="G11973" t="n">
        <v>9.5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37619-2024</t>
        </is>
      </c>
      <c r="B11974" s="1" t="n">
        <v>45541</v>
      </c>
      <c r="C11974" s="1" t="n">
        <v>45568</v>
      </c>
      <c r="D11974" t="inlineStr">
        <is>
          <t>GÄVLEBORGS LÄN</t>
        </is>
      </c>
      <c r="E11974" t="inlineStr">
        <is>
          <t>NORDANSTIG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37643-2024</t>
        </is>
      </c>
      <c r="B11975" s="1" t="n">
        <v>45541</v>
      </c>
      <c r="C11975" s="1" t="n">
        <v>45568</v>
      </c>
      <c r="D11975" t="inlineStr">
        <is>
          <t>GÄVLEBORGS LÄN</t>
        </is>
      </c>
      <c r="E11975" t="inlineStr">
        <is>
          <t>SANDVIKEN</t>
        </is>
      </c>
      <c r="F11975" t="inlineStr">
        <is>
          <t>Sveaskog</t>
        </is>
      </c>
      <c r="G11975" t="n">
        <v>4.1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37686-2024</t>
        </is>
      </c>
      <c r="B11976" s="1" t="n">
        <v>45541</v>
      </c>
      <c r="C11976" s="1" t="n">
        <v>45568</v>
      </c>
      <c r="D11976" t="inlineStr">
        <is>
          <t>GÄVLEBORGS LÄN</t>
        </is>
      </c>
      <c r="E11976" t="inlineStr">
        <is>
          <t>NORDANSTIG</t>
        </is>
      </c>
      <c r="F11976" t="inlineStr">
        <is>
          <t>Holmen skog AB</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37692-2024</t>
        </is>
      </c>
      <c r="B11977" s="1" t="n">
        <v>45541</v>
      </c>
      <c r="C11977" s="1" t="n">
        <v>45568</v>
      </c>
      <c r="D11977" t="inlineStr">
        <is>
          <t>GÄVLEBORGS LÄN</t>
        </is>
      </c>
      <c r="E11977" t="inlineStr">
        <is>
          <t>SÖDERHAMN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37764-2024</t>
        </is>
      </c>
      <c r="B11978" s="1" t="n">
        <v>45541</v>
      </c>
      <c r="C11978" s="1" t="n">
        <v>45568</v>
      </c>
      <c r="D11978" t="inlineStr">
        <is>
          <t>GÄVLEBORGS LÄN</t>
        </is>
      </c>
      <c r="E11978" t="inlineStr">
        <is>
          <t>LJUSDAL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37768-2024</t>
        </is>
      </c>
      <c r="B11979" s="1" t="n">
        <v>45541</v>
      </c>
      <c r="C11979" s="1" t="n">
        <v>45568</v>
      </c>
      <c r="D11979" t="inlineStr">
        <is>
          <t>GÄVLEBORGS LÄN</t>
        </is>
      </c>
      <c r="E11979" t="inlineStr">
        <is>
          <t>OVANÅKER</t>
        </is>
      </c>
      <c r="F11979" t="inlineStr">
        <is>
          <t>Bergvik skog väst AB</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37765-2024</t>
        </is>
      </c>
      <c r="B11980" s="1" t="n">
        <v>45541</v>
      </c>
      <c r="C11980" s="1" t="n">
        <v>45568</v>
      </c>
      <c r="D11980" t="inlineStr">
        <is>
          <t>GÄVLEBORGS LÄN</t>
        </is>
      </c>
      <c r="E11980" t="inlineStr">
        <is>
          <t>OVANÅKER</t>
        </is>
      </c>
      <c r="F11980" t="inlineStr">
        <is>
          <t>Bergvik skog väst AB</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37696-2024</t>
        </is>
      </c>
      <c r="B11981" s="1" t="n">
        <v>45541</v>
      </c>
      <c r="C11981" s="1" t="n">
        <v>45568</v>
      </c>
      <c r="D11981" t="inlineStr">
        <is>
          <t>GÄVLEBORGS LÄN</t>
        </is>
      </c>
      <c r="E11981" t="inlineStr">
        <is>
          <t>NORDANSTIG</t>
        </is>
      </c>
      <c r="F11981" t="inlineStr">
        <is>
          <t>Holmen skog AB</t>
        </is>
      </c>
      <c r="G11981" t="n">
        <v>5.5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37739-2024</t>
        </is>
      </c>
      <c r="B11982" s="1" t="n">
        <v>45541</v>
      </c>
      <c r="C11982" s="1" t="n">
        <v>45568</v>
      </c>
      <c r="D11982" t="inlineStr">
        <is>
          <t>GÄVLEBORGS LÄN</t>
        </is>
      </c>
      <c r="E11982" t="inlineStr">
        <is>
          <t>NORDANSTIG</t>
        </is>
      </c>
      <c r="F11982" t="inlineStr">
        <is>
          <t>Holmen skog AB</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37763-2024</t>
        </is>
      </c>
      <c r="B11983" s="1" t="n">
        <v>45541</v>
      </c>
      <c r="C11983" s="1" t="n">
        <v>45568</v>
      </c>
      <c r="D11983" t="inlineStr">
        <is>
          <t>GÄVLEBORGS LÄN</t>
        </is>
      </c>
      <c r="E11983" t="inlineStr">
        <is>
          <t>LJUSDAL</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37767-2024</t>
        </is>
      </c>
      <c r="B11984" s="1" t="n">
        <v>45541</v>
      </c>
      <c r="C11984" s="1" t="n">
        <v>45568</v>
      </c>
      <c r="D11984" t="inlineStr">
        <is>
          <t>GÄVLEBORGS LÄN</t>
        </is>
      </c>
      <c r="E11984" t="inlineStr">
        <is>
          <t>LJUSDAL</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37758-2024</t>
        </is>
      </c>
      <c r="B11985" s="1" t="n">
        <v>45541</v>
      </c>
      <c r="C11985" s="1" t="n">
        <v>45568</v>
      </c>
      <c r="D11985" t="inlineStr">
        <is>
          <t>GÄVLEBORGS LÄN</t>
        </is>
      </c>
      <c r="E11985" t="inlineStr">
        <is>
          <t>LJUSDAL</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37780-2024</t>
        </is>
      </c>
      <c r="B11986" s="1" t="n">
        <v>45542</v>
      </c>
      <c r="C11986" s="1" t="n">
        <v>45568</v>
      </c>
      <c r="D11986" t="inlineStr">
        <is>
          <t>GÄVLEBORGS LÄN</t>
        </is>
      </c>
      <c r="E11986" t="inlineStr">
        <is>
          <t>BOLLNÄS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37778-2024</t>
        </is>
      </c>
      <c r="B11987" s="1" t="n">
        <v>45542</v>
      </c>
      <c r="C11987" s="1" t="n">
        <v>45568</v>
      </c>
      <c r="D11987" t="inlineStr">
        <is>
          <t>GÄVLEBORGS LÄN</t>
        </is>
      </c>
      <c r="E11987" t="inlineStr">
        <is>
          <t>HUDIKSVALL</t>
        </is>
      </c>
      <c r="F11987" t="inlineStr">
        <is>
          <t>Holmen skog AB</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37779-2024</t>
        </is>
      </c>
      <c r="B11988" s="1" t="n">
        <v>45542</v>
      </c>
      <c r="C11988" s="1" t="n">
        <v>45568</v>
      </c>
      <c r="D11988" t="inlineStr">
        <is>
          <t>GÄVLEBORGS LÄN</t>
        </is>
      </c>
      <c r="E11988" t="inlineStr">
        <is>
          <t>BOLLNÄS</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37777-2024</t>
        </is>
      </c>
      <c r="B11989" s="1" t="n">
        <v>45542</v>
      </c>
      <c r="C11989" s="1" t="n">
        <v>45568</v>
      </c>
      <c r="D11989" t="inlineStr">
        <is>
          <t>GÄVLEBORGS LÄN</t>
        </is>
      </c>
      <c r="E11989" t="inlineStr">
        <is>
          <t>OVANÅKER</t>
        </is>
      </c>
      <c r="F11989" t="inlineStr">
        <is>
          <t>Bergvik skog väst AB</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37837-2024</t>
        </is>
      </c>
      <c r="B11990" s="1" t="n">
        <v>45544</v>
      </c>
      <c r="C11990" s="1" t="n">
        <v>45568</v>
      </c>
      <c r="D11990" t="inlineStr">
        <is>
          <t>GÄVLEBORGS LÄN</t>
        </is>
      </c>
      <c r="E11990" t="inlineStr">
        <is>
          <t>SÖDERHAMN</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37845-2024</t>
        </is>
      </c>
      <c r="B11991" s="1" t="n">
        <v>45544</v>
      </c>
      <c r="C11991" s="1" t="n">
        <v>45568</v>
      </c>
      <c r="D11991" t="inlineStr">
        <is>
          <t>GÄVLEBORGS LÄN</t>
        </is>
      </c>
      <c r="E11991" t="inlineStr">
        <is>
          <t>OCKELBO</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37893-2024</t>
        </is>
      </c>
      <c r="B11992" s="1" t="n">
        <v>45544</v>
      </c>
      <c r="C11992" s="1" t="n">
        <v>45568</v>
      </c>
      <c r="D11992" t="inlineStr">
        <is>
          <t>GÄVLEBORGS LÄN</t>
        </is>
      </c>
      <c r="E11992" t="inlineStr">
        <is>
          <t>GÄVLE</t>
        </is>
      </c>
      <c r="F11992" t="inlineStr">
        <is>
          <t>Bergvik skog öst AB</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38001-2024</t>
        </is>
      </c>
      <c r="B11993" s="1" t="n">
        <v>45544</v>
      </c>
      <c r="C11993" s="1" t="n">
        <v>45568</v>
      </c>
      <c r="D11993" t="inlineStr">
        <is>
          <t>GÄVLEBORGS LÄN</t>
        </is>
      </c>
      <c r="E11993" t="inlineStr">
        <is>
          <t>BOLLNÄS</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45568</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45568</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37996-2024</t>
        </is>
      </c>
      <c r="B11996" s="1" t="n">
        <v>45544</v>
      </c>
      <c r="C11996" s="1" t="n">
        <v>45568</v>
      </c>
      <c r="D11996" t="inlineStr">
        <is>
          <t>GÄVLEBORGS LÄN</t>
        </is>
      </c>
      <c r="E11996" t="inlineStr">
        <is>
          <t>SANDVIKEN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37974-2024</t>
        </is>
      </c>
      <c r="B11997" s="1" t="n">
        <v>45544</v>
      </c>
      <c r="C11997" s="1" t="n">
        <v>45568</v>
      </c>
      <c r="D11997" t="inlineStr">
        <is>
          <t>GÄVLEBORGS LÄN</t>
        </is>
      </c>
      <c r="E11997" t="inlineStr">
        <is>
          <t>NORDANSTIG</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38022-2024</t>
        </is>
      </c>
      <c r="B11998" s="1" t="n">
        <v>45544</v>
      </c>
      <c r="C11998" s="1" t="n">
        <v>45568</v>
      </c>
      <c r="D11998" t="inlineStr">
        <is>
          <t>GÄVLEBORGS LÄN</t>
        </is>
      </c>
      <c r="E11998" t="inlineStr">
        <is>
          <t>HUDIKSVALL</t>
        </is>
      </c>
      <c r="F11998" t="inlineStr">
        <is>
          <t>Kommuner</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38048-2024</t>
        </is>
      </c>
      <c r="B11999" s="1" t="n">
        <v>45544</v>
      </c>
      <c r="C11999" s="1" t="n">
        <v>45568</v>
      </c>
      <c r="D11999" t="inlineStr">
        <is>
          <t>GÄVLEBORGS LÄN</t>
        </is>
      </c>
      <c r="E11999" t="inlineStr">
        <is>
          <t>NORDANSTIG</t>
        </is>
      </c>
      <c r="F11999" t="inlineStr">
        <is>
          <t>Holmen skog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38050-2024</t>
        </is>
      </c>
      <c r="B12000" s="1" t="n">
        <v>45544</v>
      </c>
      <c r="C12000" s="1" t="n">
        <v>45568</v>
      </c>
      <c r="D12000" t="inlineStr">
        <is>
          <t>GÄVLEBORGS LÄN</t>
        </is>
      </c>
      <c r="E12000" t="inlineStr">
        <is>
          <t>NORDANSTIG</t>
        </is>
      </c>
      <c r="F12000" t="inlineStr">
        <is>
          <t>Holmen skog AB</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38049-2024</t>
        </is>
      </c>
      <c r="B12001" s="1" t="n">
        <v>45544</v>
      </c>
      <c r="C12001" s="1" t="n">
        <v>45568</v>
      </c>
      <c r="D12001" t="inlineStr">
        <is>
          <t>GÄVLEBORGS LÄN</t>
        </is>
      </c>
      <c r="E12001" t="inlineStr">
        <is>
          <t>BOLLNÄS</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38103-2024</t>
        </is>
      </c>
      <c r="B12002" s="1" t="n">
        <v>45545</v>
      </c>
      <c r="C12002" s="1" t="n">
        <v>45568</v>
      </c>
      <c r="D12002" t="inlineStr">
        <is>
          <t>GÄVLEBORGS LÄN</t>
        </is>
      </c>
      <c r="E12002" t="inlineStr">
        <is>
          <t>BOLLNÄS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38111-2024</t>
        </is>
      </c>
      <c r="B12003" s="1" t="n">
        <v>45545</v>
      </c>
      <c r="C12003" s="1" t="n">
        <v>45568</v>
      </c>
      <c r="D12003" t="inlineStr">
        <is>
          <t>GÄVLEBORGS LÄN</t>
        </is>
      </c>
      <c r="E12003" t="inlineStr">
        <is>
          <t>SÖDERHAMN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38089-2024</t>
        </is>
      </c>
      <c r="B12004" s="1" t="n">
        <v>45545</v>
      </c>
      <c r="C12004" s="1" t="n">
        <v>45568</v>
      </c>
      <c r="D12004" t="inlineStr">
        <is>
          <t>GÄVLEBORGS LÄN</t>
        </is>
      </c>
      <c r="E12004" t="inlineStr">
        <is>
          <t>NORDANSTIG</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38079-2024</t>
        </is>
      </c>
      <c r="B12005" s="1" t="n">
        <v>45545</v>
      </c>
      <c r="C12005" s="1" t="n">
        <v>45568</v>
      </c>
      <c r="D12005" t="inlineStr">
        <is>
          <t>GÄVLEBORGS LÄN</t>
        </is>
      </c>
      <c r="E12005" t="inlineStr">
        <is>
          <t>SÖDERHAMN</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38142-2024</t>
        </is>
      </c>
      <c r="B12006" s="1" t="n">
        <v>45545</v>
      </c>
      <c r="C12006" s="1" t="n">
        <v>45568</v>
      </c>
      <c r="D12006" t="inlineStr">
        <is>
          <t>GÄVLEBORGS LÄN</t>
        </is>
      </c>
      <c r="E12006" t="inlineStr">
        <is>
          <t>HUDIKSVALL</t>
        </is>
      </c>
      <c r="F12006" t="inlineStr">
        <is>
          <t>Holmen skog AB</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38202-2024</t>
        </is>
      </c>
      <c r="B12007" s="1" t="n">
        <v>45545</v>
      </c>
      <c r="C12007" s="1" t="n">
        <v>45568</v>
      </c>
      <c r="D12007" t="inlineStr">
        <is>
          <t>GÄVLEBORGS LÄN</t>
        </is>
      </c>
      <c r="E12007" t="inlineStr">
        <is>
          <t>SANDVIKEN</t>
        </is>
      </c>
      <c r="F12007" t="inlineStr">
        <is>
          <t>Sveaskog</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38218-2024</t>
        </is>
      </c>
      <c r="B12008" s="1" t="n">
        <v>45545</v>
      </c>
      <c r="C12008" s="1" t="n">
        <v>45568</v>
      </c>
      <c r="D12008" t="inlineStr">
        <is>
          <t>GÄVLEBORGS LÄN</t>
        </is>
      </c>
      <c r="E12008" t="inlineStr">
        <is>
          <t>LJUSDAL</t>
        </is>
      </c>
      <c r="F12008" t="inlineStr">
        <is>
          <t>Bergvik skog väst AB</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38230-2024</t>
        </is>
      </c>
      <c r="B12009" s="1" t="n">
        <v>45545</v>
      </c>
      <c r="C12009" s="1" t="n">
        <v>45568</v>
      </c>
      <c r="D12009" t="inlineStr">
        <is>
          <t>GÄVLEBORGS LÄN</t>
        </is>
      </c>
      <c r="E12009" t="inlineStr">
        <is>
          <t>OCKELBO</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38110-2024</t>
        </is>
      </c>
      <c r="B12010" s="1" t="n">
        <v>45545</v>
      </c>
      <c r="C12010" s="1" t="n">
        <v>45568</v>
      </c>
      <c r="D12010" t="inlineStr">
        <is>
          <t>GÄVLEBORGS LÄN</t>
        </is>
      </c>
      <c r="E12010" t="inlineStr">
        <is>
          <t>SÖDERHAMN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38122-2024</t>
        </is>
      </c>
      <c r="B12011" s="1" t="n">
        <v>45545</v>
      </c>
      <c r="C12011" s="1" t="n">
        <v>45568</v>
      </c>
      <c r="D12011" t="inlineStr">
        <is>
          <t>GÄVLEBORGS LÄN</t>
        </is>
      </c>
      <c r="E12011" t="inlineStr">
        <is>
          <t>BOLLNÄS</t>
        </is>
      </c>
      <c r="F12011" t="inlineStr">
        <is>
          <t>Bergvik skog väst AB</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38298-2024</t>
        </is>
      </c>
      <c r="B12012" s="1" t="n">
        <v>45545</v>
      </c>
      <c r="C12012" s="1" t="n">
        <v>45568</v>
      </c>
      <c r="D12012" t="inlineStr">
        <is>
          <t>GÄVLEBORGS LÄN</t>
        </is>
      </c>
      <c r="E12012" t="inlineStr">
        <is>
          <t>NORDANSTIG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38167-2024</t>
        </is>
      </c>
      <c r="B12013" s="1" t="n">
        <v>45545</v>
      </c>
      <c r="C12013" s="1" t="n">
        <v>45568</v>
      </c>
      <c r="D12013" t="inlineStr">
        <is>
          <t>GÄVLEBORGS LÄN</t>
        </is>
      </c>
      <c r="E12013" t="inlineStr">
        <is>
          <t>HUDIKSVALL</t>
        </is>
      </c>
      <c r="F12013" t="inlineStr">
        <is>
          <t>Holmen skog AB</t>
        </is>
      </c>
      <c r="G12013" t="n">
        <v>3.8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38201-2024</t>
        </is>
      </c>
      <c r="B12014" s="1" t="n">
        <v>45545</v>
      </c>
      <c r="C12014" s="1" t="n">
        <v>45568</v>
      </c>
      <c r="D12014" t="inlineStr">
        <is>
          <t>GÄVLEBORGS LÄN</t>
        </is>
      </c>
      <c r="E12014" t="inlineStr">
        <is>
          <t>HUDIKSVALL</t>
        </is>
      </c>
      <c r="F12014" t="inlineStr">
        <is>
          <t>Holmen skog AB</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38221-2024</t>
        </is>
      </c>
      <c r="B12015" s="1" t="n">
        <v>45545</v>
      </c>
      <c r="C12015" s="1" t="n">
        <v>45568</v>
      </c>
      <c r="D12015" t="inlineStr">
        <is>
          <t>GÄVLEBORGS LÄN</t>
        </is>
      </c>
      <c r="E12015" t="inlineStr">
        <is>
          <t>LJUSDAL</t>
        </is>
      </c>
      <c r="F12015" t="inlineStr">
        <is>
          <t>Bergvik skog väst AB</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38241-2024</t>
        </is>
      </c>
      <c r="B12016" s="1" t="n">
        <v>45545</v>
      </c>
      <c r="C12016" s="1" t="n">
        <v>45568</v>
      </c>
      <c r="D12016" t="inlineStr">
        <is>
          <t>GÄVLEBORGS LÄN</t>
        </is>
      </c>
      <c r="E12016" t="inlineStr">
        <is>
          <t>NORDANSTIG</t>
        </is>
      </c>
      <c r="F12016" t="inlineStr">
        <is>
          <t>Holmen skog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38200-2024</t>
        </is>
      </c>
      <c r="B12017" s="1" t="n">
        <v>45545</v>
      </c>
      <c r="C12017" s="1" t="n">
        <v>45568</v>
      </c>
      <c r="D12017" t="inlineStr">
        <is>
          <t>GÄVLEBORGS LÄN</t>
        </is>
      </c>
      <c r="E12017" t="inlineStr">
        <is>
          <t>SANDVIKEN</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38220-2024</t>
        </is>
      </c>
      <c r="B12018" s="1" t="n">
        <v>45545</v>
      </c>
      <c r="C12018" s="1" t="n">
        <v>45568</v>
      </c>
      <c r="D12018" t="inlineStr">
        <is>
          <t>GÄVLEBORGS LÄN</t>
        </is>
      </c>
      <c r="E12018" t="inlineStr">
        <is>
          <t>HUDIKSVALL</t>
        </is>
      </c>
      <c r="F12018" t="inlineStr">
        <is>
          <t>Holmen skog AB</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38224-2024</t>
        </is>
      </c>
      <c r="B12019" s="1" t="n">
        <v>45545</v>
      </c>
      <c r="C12019" s="1" t="n">
        <v>45568</v>
      </c>
      <c r="D12019" t="inlineStr">
        <is>
          <t>GÄVLEBORGS LÄN</t>
        </is>
      </c>
      <c r="E12019" t="inlineStr">
        <is>
          <t>LJUSDAL</t>
        </is>
      </c>
      <c r="F12019" t="inlineStr">
        <is>
          <t>Bergvik skog väst AB</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38232-2024</t>
        </is>
      </c>
      <c r="B12020" s="1" t="n">
        <v>45545</v>
      </c>
      <c r="C12020" s="1" t="n">
        <v>45568</v>
      </c>
      <c r="D12020" t="inlineStr">
        <is>
          <t>GÄVLEBORGS LÄN</t>
        </is>
      </c>
      <c r="E12020" t="inlineStr">
        <is>
          <t>LJUSDAL</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38240-2024</t>
        </is>
      </c>
      <c r="B12021" s="1" t="n">
        <v>45545</v>
      </c>
      <c r="C12021" s="1" t="n">
        <v>45568</v>
      </c>
      <c r="D12021" t="inlineStr">
        <is>
          <t>GÄVLEBORGS LÄN</t>
        </is>
      </c>
      <c r="E12021" t="inlineStr">
        <is>
          <t>GÄVLE</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38295-2024</t>
        </is>
      </c>
      <c r="B12022" s="1" t="n">
        <v>45545</v>
      </c>
      <c r="C12022" s="1" t="n">
        <v>45568</v>
      </c>
      <c r="D12022" t="inlineStr">
        <is>
          <t>GÄVLEBORGS LÄN</t>
        </is>
      </c>
      <c r="E12022" t="inlineStr">
        <is>
          <t>HUDIKSVALL</t>
        </is>
      </c>
      <c r="F12022" t="inlineStr">
        <is>
          <t>Holmen skog AB</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38323-2024</t>
        </is>
      </c>
      <c r="B12023" s="1" t="n">
        <v>45545</v>
      </c>
      <c r="C12023" s="1" t="n">
        <v>45568</v>
      </c>
      <c r="D12023" t="inlineStr">
        <is>
          <t>GÄVLEBORGS LÄN</t>
        </is>
      </c>
      <c r="E12023" t="inlineStr">
        <is>
          <t>SANDVIKEN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38320-2024</t>
        </is>
      </c>
      <c r="B12024" s="1" t="n">
        <v>45545</v>
      </c>
      <c r="C12024" s="1" t="n">
        <v>45568</v>
      </c>
      <c r="D12024" t="inlineStr">
        <is>
          <t>GÄVLEBORGS LÄN</t>
        </is>
      </c>
      <c r="E12024" t="inlineStr">
        <is>
          <t>HUDIKSVALL</t>
        </is>
      </c>
      <c r="F12024" t="inlineStr">
        <is>
          <t>Holmen skog AB</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38332-2024</t>
        </is>
      </c>
      <c r="B12025" s="1" t="n">
        <v>45545</v>
      </c>
      <c r="C12025" s="1" t="n">
        <v>45568</v>
      </c>
      <c r="D12025" t="inlineStr">
        <is>
          <t>GÄVLEBORGS LÄN</t>
        </is>
      </c>
      <c r="E12025" t="inlineStr">
        <is>
          <t>NORDANSTIG</t>
        </is>
      </c>
      <c r="G12025" t="n">
        <v>11.5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45568</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38309-2024</t>
        </is>
      </c>
      <c r="B12027" s="1" t="n">
        <v>45545</v>
      </c>
      <c r="C12027" s="1" t="n">
        <v>45568</v>
      </c>
      <c r="D12027" t="inlineStr">
        <is>
          <t>GÄVLEBORGS LÄN</t>
        </is>
      </c>
      <c r="E12027" t="inlineStr">
        <is>
          <t>OVANÅKER</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45568</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45568</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38369-2024</t>
        </is>
      </c>
      <c r="B12030" s="1" t="n">
        <v>45545</v>
      </c>
      <c r="C12030" s="1" t="n">
        <v>45568</v>
      </c>
      <c r="D12030" t="inlineStr">
        <is>
          <t>GÄVLEBORGS LÄN</t>
        </is>
      </c>
      <c r="E12030" t="inlineStr">
        <is>
          <t>OVANÅKER</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38364-2024</t>
        </is>
      </c>
      <c r="B12031" s="1" t="n">
        <v>45545</v>
      </c>
      <c r="C12031" s="1" t="n">
        <v>45568</v>
      </c>
      <c r="D12031" t="inlineStr">
        <is>
          <t>GÄVLEBORGS LÄN</t>
        </is>
      </c>
      <c r="E12031" t="inlineStr">
        <is>
          <t>SANDVIKEN</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38367-2024</t>
        </is>
      </c>
      <c r="B12032" s="1" t="n">
        <v>45545</v>
      </c>
      <c r="C12032" s="1" t="n">
        <v>45568</v>
      </c>
      <c r="D12032" t="inlineStr">
        <is>
          <t>GÄVLEBORGS LÄN</t>
        </is>
      </c>
      <c r="E12032" t="inlineStr">
        <is>
          <t>OVANÅKER</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38451-2024</t>
        </is>
      </c>
      <c r="B12033" s="1" t="n">
        <v>45546</v>
      </c>
      <c r="C12033" s="1" t="n">
        <v>45568</v>
      </c>
      <c r="D12033" t="inlineStr">
        <is>
          <t>GÄVLEBORGS LÄN</t>
        </is>
      </c>
      <c r="E12033" t="inlineStr">
        <is>
          <t>NORDANSTIG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38578-2024</t>
        </is>
      </c>
      <c r="B12034" s="1" t="n">
        <v>45546</v>
      </c>
      <c r="C12034" s="1" t="n">
        <v>45568</v>
      </c>
      <c r="D12034" t="inlineStr">
        <is>
          <t>GÄVLEBORGS LÄN</t>
        </is>
      </c>
      <c r="E12034" t="inlineStr">
        <is>
          <t>HUDIKSVALL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38541-2024</t>
        </is>
      </c>
      <c r="B12035" s="1" t="n">
        <v>45546</v>
      </c>
      <c r="C12035" s="1" t="n">
        <v>45568</v>
      </c>
      <c r="D12035" t="inlineStr">
        <is>
          <t>GÄVLEBORGS LÄN</t>
        </is>
      </c>
      <c r="E12035" t="inlineStr">
        <is>
          <t>GÄVLE</t>
        </is>
      </c>
      <c r="F12035" t="inlineStr">
        <is>
          <t>Bergvik skog öst AB</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38581-2024</t>
        </is>
      </c>
      <c r="B12036" s="1" t="n">
        <v>45546</v>
      </c>
      <c r="C12036" s="1" t="n">
        <v>45568</v>
      </c>
      <c r="D12036" t="inlineStr">
        <is>
          <t>GÄVLEBORGS LÄN</t>
        </is>
      </c>
      <c r="E12036" t="inlineStr">
        <is>
          <t>NORDANSTIG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38585-2024</t>
        </is>
      </c>
      <c r="B12037" s="1" t="n">
        <v>45546</v>
      </c>
      <c r="C12037" s="1" t="n">
        <v>45568</v>
      </c>
      <c r="D12037" t="inlineStr">
        <is>
          <t>GÄVLEBORGS LÄN</t>
        </is>
      </c>
      <c r="E12037" t="inlineStr">
        <is>
          <t>HUDIKSVALL</t>
        </is>
      </c>
      <c r="G12037" t="n">
        <v>8.699999999999999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38589-2024</t>
        </is>
      </c>
      <c r="B12038" s="1" t="n">
        <v>45546</v>
      </c>
      <c r="C12038" s="1" t="n">
        <v>45568</v>
      </c>
      <c r="D12038" t="inlineStr">
        <is>
          <t>GÄVLEBORGS LÄN</t>
        </is>
      </c>
      <c r="E12038" t="inlineStr">
        <is>
          <t>NORDANSTIG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45568</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45568</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38594-2024</t>
        </is>
      </c>
      <c r="B12041" s="1" t="n">
        <v>45546</v>
      </c>
      <c r="C12041" s="1" t="n">
        <v>45568</v>
      </c>
      <c r="D12041" t="inlineStr">
        <is>
          <t>GÄVLEBORGS LÄN</t>
        </is>
      </c>
      <c r="E12041" t="inlineStr">
        <is>
          <t>BOLLNÄS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38610-2024</t>
        </is>
      </c>
      <c r="B12042" s="1" t="n">
        <v>45546</v>
      </c>
      <c r="C12042" s="1" t="n">
        <v>45568</v>
      </c>
      <c r="D12042" t="inlineStr">
        <is>
          <t>GÄVLEBORGS LÄN</t>
        </is>
      </c>
      <c r="E12042" t="inlineStr">
        <is>
          <t>BOLLNÄS</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38672-2024</t>
        </is>
      </c>
      <c r="B12043" s="1" t="n">
        <v>45547</v>
      </c>
      <c r="C12043" s="1" t="n">
        <v>45568</v>
      </c>
      <c r="D12043" t="inlineStr">
        <is>
          <t>GÄVLEBORGS LÄN</t>
        </is>
      </c>
      <c r="E12043" t="inlineStr">
        <is>
          <t>LJUSDAL</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38673-2024</t>
        </is>
      </c>
      <c r="B12044" s="1" t="n">
        <v>45547</v>
      </c>
      <c r="C12044" s="1" t="n">
        <v>45568</v>
      </c>
      <c r="D12044" t="inlineStr">
        <is>
          <t>GÄVLEBORGS LÄN</t>
        </is>
      </c>
      <c r="E12044" t="inlineStr">
        <is>
          <t>GÄVLE</t>
        </is>
      </c>
      <c r="F12044" t="inlineStr">
        <is>
          <t>Bergvik skog öst AB</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38675-2024</t>
        </is>
      </c>
      <c r="B12045" s="1" t="n">
        <v>45547</v>
      </c>
      <c r="C12045" s="1" t="n">
        <v>45568</v>
      </c>
      <c r="D12045" t="inlineStr">
        <is>
          <t>GÄVLEBORGS LÄN</t>
        </is>
      </c>
      <c r="E12045" t="inlineStr">
        <is>
          <t>LJUSDAL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38694-2024</t>
        </is>
      </c>
      <c r="B12046" s="1" t="n">
        <v>45547</v>
      </c>
      <c r="C12046" s="1" t="n">
        <v>45568</v>
      </c>
      <c r="D12046" t="inlineStr">
        <is>
          <t>GÄVLEBORGS LÄN</t>
        </is>
      </c>
      <c r="E12046" t="inlineStr">
        <is>
          <t>GÄVLE</t>
        </is>
      </c>
      <c r="F12046" t="inlineStr">
        <is>
          <t>Bergvik skog öst AB</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38755-2024</t>
        </is>
      </c>
      <c r="B12047" s="1" t="n">
        <v>45547</v>
      </c>
      <c r="C12047" s="1" t="n">
        <v>45568</v>
      </c>
      <c r="D12047" t="inlineStr">
        <is>
          <t>GÄVLEBORGS LÄN</t>
        </is>
      </c>
      <c r="E12047" t="inlineStr">
        <is>
          <t>HUDIKSVALL</t>
        </is>
      </c>
      <c r="F12047" t="inlineStr">
        <is>
          <t>Holmen skog AB</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38799-2024</t>
        </is>
      </c>
      <c r="B12048" s="1" t="n">
        <v>45547</v>
      </c>
      <c r="C12048" s="1" t="n">
        <v>45568</v>
      </c>
      <c r="D12048" t="inlineStr">
        <is>
          <t>GÄVLEBORGS LÄN</t>
        </is>
      </c>
      <c r="E12048" t="inlineStr">
        <is>
          <t>OCKELBO</t>
        </is>
      </c>
      <c r="F12048" t="inlineStr">
        <is>
          <t>Kyrkan</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38804-2024</t>
        </is>
      </c>
      <c r="B12049" s="1" t="n">
        <v>45547</v>
      </c>
      <c r="C12049" s="1" t="n">
        <v>45568</v>
      </c>
      <c r="D12049" t="inlineStr">
        <is>
          <t>GÄVLEBORGS LÄN</t>
        </is>
      </c>
      <c r="E12049" t="inlineStr">
        <is>
          <t>LJUSDAL</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38732-2024</t>
        </is>
      </c>
      <c r="B12050" s="1" t="n">
        <v>45547</v>
      </c>
      <c r="C12050" s="1" t="n">
        <v>45568</v>
      </c>
      <c r="D12050" t="inlineStr">
        <is>
          <t>GÄVLEBORGS LÄN</t>
        </is>
      </c>
      <c r="E12050" t="inlineStr">
        <is>
          <t>HUDIKSVALL</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38843-2024</t>
        </is>
      </c>
      <c r="B12051" s="1" t="n">
        <v>45547</v>
      </c>
      <c r="C12051" s="1" t="n">
        <v>45568</v>
      </c>
      <c r="D12051" t="inlineStr">
        <is>
          <t>GÄVLEBORGS LÄN</t>
        </is>
      </c>
      <c r="E12051" t="inlineStr">
        <is>
          <t>OVANÅKER</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38805-2024</t>
        </is>
      </c>
      <c r="B12052" s="1" t="n">
        <v>45547</v>
      </c>
      <c r="C12052" s="1" t="n">
        <v>45568</v>
      </c>
      <c r="D12052" t="inlineStr">
        <is>
          <t>GÄVLEBORGS LÄN</t>
        </is>
      </c>
      <c r="E12052" t="inlineStr">
        <is>
          <t>LJUSDAL</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38837-2024</t>
        </is>
      </c>
      <c r="B12053" s="1" t="n">
        <v>45547</v>
      </c>
      <c r="C12053" s="1" t="n">
        <v>45568</v>
      </c>
      <c r="D12053" t="inlineStr">
        <is>
          <t>GÄVLEBORGS LÄN</t>
        </is>
      </c>
      <c r="E12053" t="inlineStr">
        <is>
          <t>BOLLNÄS</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38849-2024</t>
        </is>
      </c>
      <c r="B12054" s="1" t="n">
        <v>45547</v>
      </c>
      <c r="C12054" s="1" t="n">
        <v>45568</v>
      </c>
      <c r="D12054" t="inlineStr">
        <is>
          <t>GÄVLEBORGS LÄN</t>
        </is>
      </c>
      <c r="E12054" t="inlineStr">
        <is>
          <t>OCKELBO</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38793-2024</t>
        </is>
      </c>
      <c r="B12055" s="1" t="n">
        <v>45547</v>
      </c>
      <c r="C12055" s="1" t="n">
        <v>45568</v>
      </c>
      <c r="D12055" t="inlineStr">
        <is>
          <t>GÄVLEBORGS LÄN</t>
        </is>
      </c>
      <c r="E12055" t="inlineStr">
        <is>
          <t>GÄVLE</t>
        </is>
      </c>
      <c r="G12055" t="n">
        <v>4.4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38814-2024</t>
        </is>
      </c>
      <c r="B12056" s="1" t="n">
        <v>45547</v>
      </c>
      <c r="C12056" s="1" t="n">
        <v>45568</v>
      </c>
      <c r="D12056" t="inlineStr">
        <is>
          <t>GÄVLEBORGS LÄN</t>
        </is>
      </c>
      <c r="E12056" t="inlineStr">
        <is>
          <t>LJUSDAL</t>
        </is>
      </c>
      <c r="G12056" t="n">
        <v>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38826-2024</t>
        </is>
      </c>
      <c r="B12057" s="1" t="n">
        <v>45547</v>
      </c>
      <c r="C12057" s="1" t="n">
        <v>45568</v>
      </c>
      <c r="D12057" t="inlineStr">
        <is>
          <t>GÄVLEBORGS LÄN</t>
        </is>
      </c>
      <c r="E12057" t="inlineStr">
        <is>
          <t>HUDIKSVALL</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38870-2024</t>
        </is>
      </c>
      <c r="B12058" s="1" t="n">
        <v>45547</v>
      </c>
      <c r="C12058" s="1" t="n">
        <v>45568</v>
      </c>
      <c r="D12058" t="inlineStr">
        <is>
          <t>GÄVLEBORGS LÄN</t>
        </is>
      </c>
      <c r="E12058" t="inlineStr">
        <is>
          <t>LJUSDAL</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38934-2024</t>
        </is>
      </c>
      <c r="B12059" s="1" t="n">
        <v>45548</v>
      </c>
      <c r="C12059" s="1" t="n">
        <v>45568</v>
      </c>
      <c r="D12059" t="inlineStr">
        <is>
          <t>GÄVLEBORGS LÄN</t>
        </is>
      </c>
      <c r="E12059" t="inlineStr">
        <is>
          <t>BOLLNÄS</t>
        </is>
      </c>
      <c r="F12059" t="inlineStr">
        <is>
          <t>Sveaskog</t>
        </is>
      </c>
      <c r="G12059" t="n">
        <v>7.4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38950-2024</t>
        </is>
      </c>
      <c r="B12060" s="1" t="n">
        <v>45548</v>
      </c>
      <c r="C12060" s="1" t="n">
        <v>45568</v>
      </c>
      <c r="D12060" t="inlineStr">
        <is>
          <t>GÄVLEBORGS LÄN</t>
        </is>
      </c>
      <c r="E12060" t="inlineStr">
        <is>
          <t>HUDIKSVALL</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38936-2024</t>
        </is>
      </c>
      <c r="B12061" s="1" t="n">
        <v>45548</v>
      </c>
      <c r="C12061" s="1" t="n">
        <v>45568</v>
      </c>
      <c r="D12061" t="inlineStr">
        <is>
          <t>GÄVLEBORGS LÄN</t>
        </is>
      </c>
      <c r="E12061" t="inlineStr">
        <is>
          <t>BOLLNÄS</t>
        </is>
      </c>
      <c r="F12061" t="inlineStr">
        <is>
          <t>Sveaskog</t>
        </is>
      </c>
      <c r="G12061" t="n">
        <v>1.2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38979-2024</t>
        </is>
      </c>
      <c r="B12062" s="1" t="n">
        <v>45548</v>
      </c>
      <c r="C12062" s="1" t="n">
        <v>45568</v>
      </c>
      <c r="D12062" t="inlineStr">
        <is>
          <t>GÄVLEBORGS LÄN</t>
        </is>
      </c>
      <c r="E12062" t="inlineStr">
        <is>
          <t>SANDVIKEN</t>
        </is>
      </c>
      <c r="F12062" t="inlineStr">
        <is>
          <t>Sveaskog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39012-2024</t>
        </is>
      </c>
      <c r="B12063" s="1" t="n">
        <v>45548</v>
      </c>
      <c r="C12063" s="1" t="n">
        <v>45568</v>
      </c>
      <c r="D12063" t="inlineStr">
        <is>
          <t>GÄVLEBORGS LÄN</t>
        </is>
      </c>
      <c r="E12063" t="inlineStr">
        <is>
          <t>LJUSDAL</t>
        </is>
      </c>
      <c r="F12063" t="inlineStr">
        <is>
          <t>Sveaskog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39078-2024</t>
        </is>
      </c>
      <c r="B12064" s="1" t="n">
        <v>45548</v>
      </c>
      <c r="C12064" s="1" t="n">
        <v>45568</v>
      </c>
      <c r="D12064" t="inlineStr">
        <is>
          <t>GÄVLEBORGS LÄN</t>
        </is>
      </c>
      <c r="E12064" t="inlineStr">
        <is>
          <t>HUDIKSVALL</t>
        </is>
      </c>
      <c r="F12064" t="inlineStr">
        <is>
          <t>Holmen skog AB</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39047-2024</t>
        </is>
      </c>
      <c r="B12065" s="1" t="n">
        <v>45548</v>
      </c>
      <c r="C12065" s="1" t="n">
        <v>45568</v>
      </c>
      <c r="D12065" t="inlineStr">
        <is>
          <t>GÄVLEBORGS LÄN</t>
        </is>
      </c>
      <c r="E12065" t="inlineStr">
        <is>
          <t>SANDVIKEN</t>
        </is>
      </c>
      <c r="F12065" t="inlineStr">
        <is>
          <t>Sveaskog</t>
        </is>
      </c>
      <c r="G12065" t="n">
        <v>12.9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39051-2024</t>
        </is>
      </c>
      <c r="B12066" s="1" t="n">
        <v>45548</v>
      </c>
      <c r="C12066" s="1" t="n">
        <v>45568</v>
      </c>
      <c r="D12066" t="inlineStr">
        <is>
          <t>GÄVLEBORGS LÄN</t>
        </is>
      </c>
      <c r="E12066" t="inlineStr">
        <is>
          <t>HUDIKSVALL</t>
        </is>
      </c>
      <c r="F12066" t="inlineStr">
        <is>
          <t>Holmen skog AB</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38981-2024</t>
        </is>
      </c>
      <c r="B12067" s="1" t="n">
        <v>45548</v>
      </c>
      <c r="C12067" s="1" t="n">
        <v>45568</v>
      </c>
      <c r="D12067" t="inlineStr">
        <is>
          <t>GÄVLEBORGS LÄN</t>
        </is>
      </c>
      <c r="E12067" t="inlineStr">
        <is>
          <t>HUDIKSVALL</t>
        </is>
      </c>
      <c r="F12067" t="inlineStr">
        <is>
          <t>Holmen skog AB</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38964-2024</t>
        </is>
      </c>
      <c r="B12068" s="1" t="n">
        <v>45548</v>
      </c>
      <c r="C12068" s="1" t="n">
        <v>45568</v>
      </c>
      <c r="D12068" t="inlineStr">
        <is>
          <t>GÄVLEBORGS LÄN</t>
        </is>
      </c>
      <c r="E12068" t="inlineStr">
        <is>
          <t>GÄVLE</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39029-2024</t>
        </is>
      </c>
      <c r="B12069" s="1" t="n">
        <v>45548</v>
      </c>
      <c r="C12069" s="1" t="n">
        <v>45568</v>
      </c>
      <c r="D12069" t="inlineStr">
        <is>
          <t>GÄVLEBORGS LÄN</t>
        </is>
      </c>
      <c r="E12069" t="inlineStr">
        <is>
          <t>LJUSDAL</t>
        </is>
      </c>
      <c r="F12069" t="inlineStr">
        <is>
          <t>Sveaskog</t>
        </is>
      </c>
      <c r="G12069" t="n">
        <v>13.4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39026-2024</t>
        </is>
      </c>
      <c r="B12070" s="1" t="n">
        <v>45548</v>
      </c>
      <c r="C12070" s="1" t="n">
        <v>45568</v>
      </c>
      <c r="D12070" t="inlineStr">
        <is>
          <t>GÄVLEBORGS LÄN</t>
        </is>
      </c>
      <c r="E12070" t="inlineStr">
        <is>
          <t>HUDIKSVALL</t>
        </is>
      </c>
      <c r="F12070" t="inlineStr">
        <is>
          <t>Naturvårdsverket</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39041-2024</t>
        </is>
      </c>
      <c r="B12071" s="1" t="n">
        <v>45548</v>
      </c>
      <c r="C12071" s="1" t="n">
        <v>45568</v>
      </c>
      <c r="D12071" t="inlineStr">
        <is>
          <t>GÄVLEBORGS LÄN</t>
        </is>
      </c>
      <c r="E12071" t="inlineStr">
        <is>
          <t>NORDANSTIG</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39062-2024</t>
        </is>
      </c>
      <c r="B12072" s="1" t="n">
        <v>45548</v>
      </c>
      <c r="C12072" s="1" t="n">
        <v>45568</v>
      </c>
      <c r="D12072" t="inlineStr">
        <is>
          <t>GÄVLEBORGS LÄN</t>
        </is>
      </c>
      <c r="E12072" t="inlineStr">
        <is>
          <t>OCKELBO</t>
        </is>
      </c>
      <c r="F12072" t="inlineStr">
        <is>
          <t>Bergvik skog väst AB</t>
        </is>
      </c>
      <c r="G12072" t="n">
        <v>10.1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39083-2024</t>
        </is>
      </c>
      <c r="B12073" s="1" t="n">
        <v>45548</v>
      </c>
      <c r="C12073" s="1" t="n">
        <v>45568</v>
      </c>
      <c r="D12073" t="inlineStr">
        <is>
          <t>GÄVLEBORGS LÄN</t>
        </is>
      </c>
      <c r="E12073" t="inlineStr">
        <is>
          <t>HOFORS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39091-2024</t>
        </is>
      </c>
      <c r="B12074" s="1" t="n">
        <v>45548</v>
      </c>
      <c r="C12074" s="1" t="n">
        <v>45568</v>
      </c>
      <c r="D12074" t="inlineStr">
        <is>
          <t>GÄVLEBORGS LÄN</t>
        </is>
      </c>
      <c r="E12074" t="inlineStr">
        <is>
          <t>BOLLNÄS</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39163-2024</t>
        </is>
      </c>
      <c r="B12075" s="1" t="n">
        <v>45548</v>
      </c>
      <c r="C12075" s="1" t="n">
        <v>45568</v>
      </c>
      <c r="D12075" t="inlineStr">
        <is>
          <t>GÄVLEBORGS LÄN</t>
        </is>
      </c>
      <c r="E12075" t="inlineStr">
        <is>
          <t>OVANÅKER</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39207-2024</t>
        </is>
      </c>
      <c r="B12076" s="1" t="n">
        <v>45548</v>
      </c>
      <c r="C12076" s="1" t="n">
        <v>45568</v>
      </c>
      <c r="D12076" t="inlineStr">
        <is>
          <t>GÄVLEBORGS LÄN</t>
        </is>
      </c>
      <c r="E12076" t="inlineStr">
        <is>
          <t>SÖDERHAMN</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39173-2024</t>
        </is>
      </c>
      <c r="B12077" s="1" t="n">
        <v>45548</v>
      </c>
      <c r="C12077" s="1" t="n">
        <v>45568</v>
      </c>
      <c r="D12077" t="inlineStr">
        <is>
          <t>GÄVLEBORGS LÄN</t>
        </is>
      </c>
      <c r="E12077" t="inlineStr">
        <is>
          <t>OVANÅKER</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39183-2024</t>
        </is>
      </c>
      <c r="B12078" s="1" t="n">
        <v>45548</v>
      </c>
      <c r="C12078" s="1" t="n">
        <v>45568</v>
      </c>
      <c r="D12078" t="inlineStr">
        <is>
          <t>GÄVLEBORGS LÄN</t>
        </is>
      </c>
      <c r="E12078" t="inlineStr">
        <is>
          <t>GÄVLE</t>
        </is>
      </c>
      <c r="F12078" t="inlineStr">
        <is>
          <t>Bergvik skog väst AB</t>
        </is>
      </c>
      <c r="G12078" t="n">
        <v>6.6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39196-2024</t>
        </is>
      </c>
      <c r="B12079" s="1" t="n">
        <v>45548</v>
      </c>
      <c r="C12079" s="1" t="n">
        <v>45568</v>
      </c>
      <c r="D12079" t="inlineStr">
        <is>
          <t>GÄVLEBORGS LÄN</t>
        </is>
      </c>
      <c r="E12079" t="inlineStr">
        <is>
          <t>BOLLNÄS</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39208-2024</t>
        </is>
      </c>
      <c r="B12080" s="1" t="n">
        <v>45548</v>
      </c>
      <c r="C12080" s="1" t="n">
        <v>45568</v>
      </c>
      <c r="D12080" t="inlineStr">
        <is>
          <t>GÄVLEBORGS LÄN</t>
        </is>
      </c>
      <c r="E12080" t="inlineStr">
        <is>
          <t>SÖDERHAMN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39189-2024</t>
        </is>
      </c>
      <c r="B12081" s="1" t="n">
        <v>45548</v>
      </c>
      <c r="C12081" s="1" t="n">
        <v>45568</v>
      </c>
      <c r="D12081" t="inlineStr">
        <is>
          <t>GÄVLEBORGS LÄN</t>
        </is>
      </c>
      <c r="E12081" t="inlineStr">
        <is>
          <t>OVANÅKER</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39194-2024</t>
        </is>
      </c>
      <c r="B12082" s="1" t="n">
        <v>45548</v>
      </c>
      <c r="C12082" s="1" t="n">
        <v>45568</v>
      </c>
      <c r="D12082" t="inlineStr">
        <is>
          <t>GÄVLEBORGS LÄN</t>
        </is>
      </c>
      <c r="E12082" t="inlineStr">
        <is>
          <t>OVANÅKER</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39275-2024</t>
        </is>
      </c>
      <c r="B12083" s="1" t="n">
        <v>45551</v>
      </c>
      <c r="C12083" s="1" t="n">
        <v>45568</v>
      </c>
      <c r="D12083" t="inlineStr">
        <is>
          <t>GÄVLEBORGS LÄN</t>
        </is>
      </c>
      <c r="E12083" t="inlineStr">
        <is>
          <t>HUDIKSVALL</t>
        </is>
      </c>
      <c r="F12083" t="inlineStr">
        <is>
          <t>Holmen skog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39340-2024</t>
        </is>
      </c>
      <c r="B12084" s="1" t="n">
        <v>45551</v>
      </c>
      <c r="C12084" s="1" t="n">
        <v>45568</v>
      </c>
      <c r="D12084" t="inlineStr">
        <is>
          <t>GÄVLEBORGS LÄN</t>
        </is>
      </c>
      <c r="E12084" t="inlineStr">
        <is>
          <t>SANDVIKEN</t>
        </is>
      </c>
      <c r="F12084" t="inlineStr">
        <is>
          <t>Sveaskog</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39249-2024</t>
        </is>
      </c>
      <c r="B12085" s="1" t="n">
        <v>45551</v>
      </c>
      <c r="C12085" s="1" t="n">
        <v>45568</v>
      </c>
      <c r="D12085" t="inlineStr">
        <is>
          <t>GÄVLEBORGS LÄN</t>
        </is>
      </c>
      <c r="E12085" t="inlineStr">
        <is>
          <t>OVANÅKER</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39322-2024</t>
        </is>
      </c>
      <c r="B12086" s="1" t="n">
        <v>45551</v>
      </c>
      <c r="C12086" s="1" t="n">
        <v>45568</v>
      </c>
      <c r="D12086" t="inlineStr">
        <is>
          <t>GÄVLEBORGS LÄN</t>
        </is>
      </c>
      <c r="E12086" t="inlineStr">
        <is>
          <t>NORDANSTIG</t>
        </is>
      </c>
      <c r="G12086" t="n">
        <v>4.7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39342-2024</t>
        </is>
      </c>
      <c r="B12087" s="1" t="n">
        <v>45551</v>
      </c>
      <c r="C12087" s="1" t="n">
        <v>45568</v>
      </c>
      <c r="D12087" t="inlineStr">
        <is>
          <t>GÄVLEBORGS LÄN</t>
        </is>
      </c>
      <c r="E12087" t="inlineStr">
        <is>
          <t>SANDVIKEN</t>
        </is>
      </c>
      <c r="F12087" t="inlineStr">
        <is>
          <t>Sveaskog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39346-2024</t>
        </is>
      </c>
      <c r="B12088" s="1" t="n">
        <v>45551</v>
      </c>
      <c r="C12088" s="1" t="n">
        <v>45568</v>
      </c>
      <c r="D12088" t="inlineStr">
        <is>
          <t>GÄVLEBORGS LÄN</t>
        </is>
      </c>
      <c r="E12088" t="inlineStr">
        <is>
          <t>SÖDERHAMN</t>
        </is>
      </c>
      <c r="G12088" t="n">
        <v>3.5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39329-2024</t>
        </is>
      </c>
      <c r="B12089" s="1" t="n">
        <v>45551</v>
      </c>
      <c r="C12089" s="1" t="n">
        <v>45568</v>
      </c>
      <c r="D12089" t="inlineStr">
        <is>
          <t>GÄVLEBORGS LÄN</t>
        </is>
      </c>
      <c r="E12089" t="inlineStr">
        <is>
          <t>OVANÅKER</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39337-2024</t>
        </is>
      </c>
      <c r="B12090" s="1" t="n">
        <v>45551</v>
      </c>
      <c r="C12090" s="1" t="n">
        <v>45568</v>
      </c>
      <c r="D12090" t="inlineStr">
        <is>
          <t>GÄVLEBORGS LÄN</t>
        </is>
      </c>
      <c r="E12090" t="inlineStr">
        <is>
          <t>SANDVIKEN</t>
        </is>
      </c>
      <c r="F12090" t="inlineStr">
        <is>
          <t>Sveaskog</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39373-2024</t>
        </is>
      </c>
      <c r="B12091" s="1" t="n">
        <v>45551</v>
      </c>
      <c r="C12091" s="1" t="n">
        <v>45568</v>
      </c>
      <c r="D12091" t="inlineStr">
        <is>
          <t>GÄVLEBORGS LÄN</t>
        </is>
      </c>
      <c r="E12091" t="inlineStr">
        <is>
          <t>OVANÅKER</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39424-2024</t>
        </is>
      </c>
      <c r="B12092" s="1" t="n">
        <v>45551</v>
      </c>
      <c r="C12092" s="1" t="n">
        <v>45568</v>
      </c>
      <c r="D12092" t="inlineStr">
        <is>
          <t>GÄVLEBORGS LÄN</t>
        </is>
      </c>
      <c r="E12092" t="inlineStr">
        <is>
          <t>OCKELBO</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39418-2024</t>
        </is>
      </c>
      <c r="B12093" s="1" t="n">
        <v>45551</v>
      </c>
      <c r="C12093" s="1" t="n">
        <v>45568</v>
      </c>
      <c r="D12093" t="inlineStr">
        <is>
          <t>GÄVLEBORGS LÄN</t>
        </is>
      </c>
      <c r="E12093" t="inlineStr">
        <is>
          <t>LJUSDAL</t>
        </is>
      </c>
      <c r="F12093" t="inlineStr">
        <is>
          <t>Allmännings- och besparingsskogar</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39440-2024</t>
        </is>
      </c>
      <c r="B12094" s="1" t="n">
        <v>45551</v>
      </c>
      <c r="C12094" s="1" t="n">
        <v>45568</v>
      </c>
      <c r="D12094" t="inlineStr">
        <is>
          <t>GÄVLEBORGS LÄN</t>
        </is>
      </c>
      <c r="E12094" t="inlineStr">
        <is>
          <t>HUDIKSVALL</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39457-2024</t>
        </is>
      </c>
      <c r="B12095" s="1" t="n">
        <v>45551</v>
      </c>
      <c r="C12095" s="1" t="n">
        <v>45568</v>
      </c>
      <c r="D12095" t="inlineStr">
        <is>
          <t>GÄVLEBORGS LÄN</t>
        </is>
      </c>
      <c r="E12095" t="inlineStr">
        <is>
          <t>LJUSDAL</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39430-2024</t>
        </is>
      </c>
      <c r="B12096" s="1" t="n">
        <v>45551</v>
      </c>
      <c r="C12096" s="1" t="n">
        <v>45568</v>
      </c>
      <c r="D12096" t="inlineStr">
        <is>
          <t>GÄVLEBORGS LÄN</t>
        </is>
      </c>
      <c r="E12096" t="inlineStr">
        <is>
          <t>OCKELBO</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39463-2024</t>
        </is>
      </c>
      <c r="B12097" s="1" t="n">
        <v>45551</v>
      </c>
      <c r="C12097" s="1" t="n">
        <v>45568</v>
      </c>
      <c r="D12097" t="inlineStr">
        <is>
          <t>GÄVLEBORGS LÄN</t>
        </is>
      </c>
      <c r="E12097" t="inlineStr">
        <is>
          <t>LJUSDAL</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39417-2024</t>
        </is>
      </c>
      <c r="B12098" s="1" t="n">
        <v>45551</v>
      </c>
      <c r="C12098" s="1" t="n">
        <v>45568</v>
      </c>
      <c r="D12098" t="inlineStr">
        <is>
          <t>GÄVLEBORGS LÄN</t>
        </is>
      </c>
      <c r="E12098" t="inlineStr">
        <is>
          <t>LJUSDAL</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39447-2024</t>
        </is>
      </c>
      <c r="B12099" s="1" t="n">
        <v>45551</v>
      </c>
      <c r="C12099" s="1" t="n">
        <v>45568</v>
      </c>
      <c r="D12099" t="inlineStr">
        <is>
          <t>GÄVLEBORGS LÄN</t>
        </is>
      </c>
      <c r="E12099" t="inlineStr">
        <is>
          <t>OCKELBO</t>
        </is>
      </c>
      <c r="G12099" t="n">
        <v>2.6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39460-2024</t>
        </is>
      </c>
      <c r="B12100" s="1" t="n">
        <v>45551</v>
      </c>
      <c r="C12100" s="1" t="n">
        <v>45568</v>
      </c>
      <c r="D12100" t="inlineStr">
        <is>
          <t>GÄVLEBORGS LÄN</t>
        </is>
      </c>
      <c r="E12100" t="inlineStr">
        <is>
          <t>GÄVLE</t>
        </is>
      </c>
      <c r="F12100" t="inlineStr">
        <is>
          <t>Bergvik skog väst AB</t>
        </is>
      </c>
      <c r="G12100" t="n">
        <v>5.1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39473-2024</t>
        </is>
      </c>
      <c r="B12101" s="1" t="n">
        <v>45551</v>
      </c>
      <c r="C12101" s="1" t="n">
        <v>45568</v>
      </c>
      <c r="D12101" t="inlineStr">
        <is>
          <t>GÄVLEBORGS LÄN</t>
        </is>
      </c>
      <c r="E12101" t="inlineStr">
        <is>
          <t>OVANÅKER</t>
        </is>
      </c>
      <c r="F12101" t="inlineStr">
        <is>
          <t>Bergvik skog väst AB</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39541-2024</t>
        </is>
      </c>
      <c r="B12102" s="1" t="n">
        <v>45552</v>
      </c>
      <c r="C12102" s="1" t="n">
        <v>45568</v>
      </c>
      <c r="D12102" t="inlineStr">
        <is>
          <t>GÄVLEBORGS LÄN</t>
        </is>
      </c>
      <c r="E12102" t="inlineStr">
        <is>
          <t>OVANÅKER</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39539-2024</t>
        </is>
      </c>
      <c r="B12103" s="1" t="n">
        <v>45552</v>
      </c>
      <c r="C12103" s="1" t="n">
        <v>45568</v>
      </c>
      <c r="D12103" t="inlineStr">
        <is>
          <t>GÄVLEBORGS LÄN</t>
        </is>
      </c>
      <c r="E12103" t="inlineStr">
        <is>
          <t>OVANÅKER</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39540-2024</t>
        </is>
      </c>
      <c r="B12104" s="1" t="n">
        <v>45552</v>
      </c>
      <c r="C12104" s="1" t="n">
        <v>45568</v>
      </c>
      <c r="D12104" t="inlineStr">
        <is>
          <t>GÄVLEBORGS LÄN</t>
        </is>
      </c>
      <c r="E12104" t="inlineStr">
        <is>
          <t>OVANÅKER</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39591-2024</t>
        </is>
      </c>
      <c r="B12105" s="1" t="n">
        <v>45552</v>
      </c>
      <c r="C12105" s="1" t="n">
        <v>45568</v>
      </c>
      <c r="D12105" t="inlineStr">
        <is>
          <t>GÄVLEBORGS LÄN</t>
        </is>
      </c>
      <c r="E12105" t="inlineStr">
        <is>
          <t>SANDVIKEN</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39665-2024</t>
        </is>
      </c>
      <c r="B12106" s="1" t="n">
        <v>45552</v>
      </c>
      <c r="C12106" s="1" t="n">
        <v>45568</v>
      </c>
      <c r="D12106" t="inlineStr">
        <is>
          <t>GÄVLEBORGS LÄN</t>
        </is>
      </c>
      <c r="E12106" t="inlineStr">
        <is>
          <t>LJUSDAL</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39657-2024</t>
        </is>
      </c>
      <c r="B12107" s="1" t="n">
        <v>45552</v>
      </c>
      <c r="C12107" s="1" t="n">
        <v>45568</v>
      </c>
      <c r="D12107" t="inlineStr">
        <is>
          <t>GÄVLEBORGS LÄN</t>
        </is>
      </c>
      <c r="E12107" t="inlineStr">
        <is>
          <t>LJUSDAL</t>
        </is>
      </c>
      <c r="F12107" t="inlineStr">
        <is>
          <t>Holmen skog AB</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39597-2024</t>
        </is>
      </c>
      <c r="B12108" s="1" t="n">
        <v>45552</v>
      </c>
      <c r="C12108" s="1" t="n">
        <v>45568</v>
      </c>
      <c r="D12108" t="inlineStr">
        <is>
          <t>GÄVLEBORGS LÄN</t>
        </is>
      </c>
      <c r="E12108" t="inlineStr">
        <is>
          <t>LJUSDAL</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39729-2024</t>
        </is>
      </c>
      <c r="B12109" s="1" t="n">
        <v>45552</v>
      </c>
      <c r="C12109" s="1" t="n">
        <v>45568</v>
      </c>
      <c r="D12109" t="inlineStr">
        <is>
          <t>GÄVLEBORGS LÄN</t>
        </is>
      </c>
      <c r="E12109" t="inlineStr">
        <is>
          <t>OVANÅKER</t>
        </is>
      </c>
      <c r="G12109" t="n">
        <v>3.1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39804-2024</t>
        </is>
      </c>
      <c r="B12110" s="1" t="n">
        <v>45553</v>
      </c>
      <c r="C12110" s="1" t="n">
        <v>45568</v>
      </c>
      <c r="D12110" t="inlineStr">
        <is>
          <t>GÄVLEBORGS LÄN</t>
        </is>
      </c>
      <c r="E12110" t="inlineStr">
        <is>
          <t>GÄVLE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39928-2024</t>
        </is>
      </c>
      <c r="B12111" s="1" t="n">
        <v>45553</v>
      </c>
      <c r="C12111" s="1" t="n">
        <v>45568</v>
      </c>
      <c r="D12111" t="inlineStr">
        <is>
          <t>GÄVLEBORGS LÄN</t>
        </is>
      </c>
      <c r="E12111" t="inlineStr">
        <is>
          <t>LJUSDAL</t>
        </is>
      </c>
      <c r="F12111" t="inlineStr">
        <is>
          <t>Holmen skog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39917-2024</t>
        </is>
      </c>
      <c r="B12112" s="1" t="n">
        <v>45553</v>
      </c>
      <c r="C12112" s="1" t="n">
        <v>45568</v>
      </c>
      <c r="D12112" t="inlineStr">
        <is>
          <t>GÄVLEBORGS LÄN</t>
        </is>
      </c>
      <c r="E12112" t="inlineStr">
        <is>
          <t>LJUSDAL</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39927-2024</t>
        </is>
      </c>
      <c r="B12113" s="1" t="n">
        <v>45553</v>
      </c>
      <c r="C12113" s="1" t="n">
        <v>45568</v>
      </c>
      <c r="D12113" t="inlineStr">
        <is>
          <t>GÄVLEBORGS LÄN</t>
        </is>
      </c>
      <c r="E12113" t="inlineStr">
        <is>
          <t>LJUSDAL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39943-2024</t>
        </is>
      </c>
      <c r="B12114" s="1" t="n">
        <v>45553</v>
      </c>
      <c r="C12114" s="1" t="n">
        <v>45568</v>
      </c>
      <c r="D12114" t="inlineStr">
        <is>
          <t>GÄVLEBORGS LÄN</t>
        </is>
      </c>
      <c r="E12114" t="inlineStr">
        <is>
          <t>NORDANSTIG</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39947-2024</t>
        </is>
      </c>
      <c r="B12115" s="1" t="n">
        <v>45553</v>
      </c>
      <c r="C12115" s="1" t="n">
        <v>45568</v>
      </c>
      <c r="D12115" t="inlineStr">
        <is>
          <t>GÄVLEBORGS LÄN</t>
        </is>
      </c>
      <c r="E12115" t="inlineStr">
        <is>
          <t>LJUSDAL</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39999-2024</t>
        </is>
      </c>
      <c r="B12116" s="1" t="n">
        <v>45553</v>
      </c>
      <c r="C12116" s="1" t="n">
        <v>45568</v>
      </c>
      <c r="D12116" t="inlineStr">
        <is>
          <t>GÄVLEBORGS LÄN</t>
        </is>
      </c>
      <c r="E12116" t="inlineStr">
        <is>
          <t>GÄVLE</t>
        </is>
      </c>
      <c r="F12116" t="inlineStr">
        <is>
          <t>Bergvik skog väst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40048-2024</t>
        </is>
      </c>
      <c r="B12117" s="1" t="n">
        <v>45553</v>
      </c>
      <c r="C12117" s="1" t="n">
        <v>45568</v>
      </c>
      <c r="D12117" t="inlineStr">
        <is>
          <t>GÄVLEBORGS LÄN</t>
        </is>
      </c>
      <c r="E12117" t="inlineStr">
        <is>
          <t>LJUSDAL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40071-2024</t>
        </is>
      </c>
      <c r="B12118" s="1" t="n">
        <v>45554</v>
      </c>
      <c r="C12118" s="1" t="n">
        <v>45568</v>
      </c>
      <c r="D12118" t="inlineStr">
        <is>
          <t>GÄVLEBORGS LÄN</t>
        </is>
      </c>
      <c r="E12118" t="inlineStr">
        <is>
          <t>GÄVLE</t>
        </is>
      </c>
      <c r="F12118" t="inlineStr">
        <is>
          <t>Bergvik skog öst AB</t>
        </is>
      </c>
      <c r="G12118" t="n">
        <v>2.9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40078-2024</t>
        </is>
      </c>
      <c r="B12119" s="1" t="n">
        <v>45554</v>
      </c>
      <c r="C12119" s="1" t="n">
        <v>45568</v>
      </c>
      <c r="D12119" t="inlineStr">
        <is>
          <t>GÄVLEBORGS LÄN</t>
        </is>
      </c>
      <c r="E12119" t="inlineStr">
        <is>
          <t>NORDANSTIG</t>
        </is>
      </c>
      <c r="G12119" t="n">
        <v>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40098-2024</t>
        </is>
      </c>
      <c r="B12120" s="1" t="n">
        <v>45554</v>
      </c>
      <c r="C12120" s="1" t="n">
        <v>45568</v>
      </c>
      <c r="D12120" t="inlineStr">
        <is>
          <t>GÄVLEBORGS LÄN</t>
        </is>
      </c>
      <c r="E12120" t="inlineStr">
        <is>
          <t>LJUSDAL</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40102-2024</t>
        </is>
      </c>
      <c r="B12121" s="1" t="n">
        <v>45554</v>
      </c>
      <c r="C12121" s="1" t="n">
        <v>45568</v>
      </c>
      <c r="D12121" t="inlineStr">
        <is>
          <t>GÄVLEBORGS LÄN</t>
        </is>
      </c>
      <c r="E12121" t="inlineStr">
        <is>
          <t>HUDIKSVALL</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40106-2024</t>
        </is>
      </c>
      <c r="B12122" s="1" t="n">
        <v>45554</v>
      </c>
      <c r="C12122" s="1" t="n">
        <v>45568</v>
      </c>
      <c r="D12122" t="inlineStr">
        <is>
          <t>GÄVLEBORGS LÄN</t>
        </is>
      </c>
      <c r="E12122" t="inlineStr">
        <is>
          <t>LJUSDAL</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40096-2024</t>
        </is>
      </c>
      <c r="B12123" s="1" t="n">
        <v>45554</v>
      </c>
      <c r="C12123" s="1" t="n">
        <v>45568</v>
      </c>
      <c r="D12123" t="inlineStr">
        <is>
          <t>GÄVLEBORGS LÄN</t>
        </is>
      </c>
      <c r="E12123" t="inlineStr">
        <is>
          <t>HUDIKSVALL</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40104-2024</t>
        </is>
      </c>
      <c r="B12124" s="1" t="n">
        <v>45554</v>
      </c>
      <c r="C12124" s="1" t="n">
        <v>45568</v>
      </c>
      <c r="D12124" t="inlineStr">
        <is>
          <t>GÄVLEBORGS LÄN</t>
        </is>
      </c>
      <c r="E12124" t="inlineStr">
        <is>
          <t>NORDANSTIG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40112-2024</t>
        </is>
      </c>
      <c r="B12125" s="1" t="n">
        <v>45554</v>
      </c>
      <c r="C12125" s="1" t="n">
        <v>45568</v>
      </c>
      <c r="D12125" t="inlineStr">
        <is>
          <t>GÄVLEBORGS LÄN</t>
        </is>
      </c>
      <c r="E12125" t="inlineStr">
        <is>
          <t>OCKELBO</t>
        </is>
      </c>
      <c r="G12125" t="n">
        <v>17.7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40196-2024</t>
        </is>
      </c>
      <c r="B12126" s="1" t="n">
        <v>45554</v>
      </c>
      <c r="C12126" s="1" t="n">
        <v>45568</v>
      </c>
      <c r="D12126" t="inlineStr">
        <is>
          <t>GÄVLEBORGS LÄN</t>
        </is>
      </c>
      <c r="E12126" t="inlineStr">
        <is>
          <t>OCKELBO</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40259-2024</t>
        </is>
      </c>
      <c r="B12127" s="1" t="n">
        <v>45554</v>
      </c>
      <c r="C12127" s="1" t="n">
        <v>45568</v>
      </c>
      <c r="D12127" t="inlineStr">
        <is>
          <t>GÄVLEBORGS LÄN</t>
        </is>
      </c>
      <c r="E12127" t="inlineStr">
        <is>
          <t>SANDVIKEN</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40283-2024</t>
        </is>
      </c>
      <c r="B12128" s="1" t="n">
        <v>45554</v>
      </c>
      <c r="C12128" s="1" t="n">
        <v>45568</v>
      </c>
      <c r="D12128" t="inlineStr">
        <is>
          <t>GÄVLEBORGS LÄN</t>
        </is>
      </c>
      <c r="E12128" t="inlineStr">
        <is>
          <t>OCKELBO</t>
        </is>
      </c>
      <c r="F12128" t="inlineStr">
        <is>
          <t>Bergvik skog väst AB</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40245-2024</t>
        </is>
      </c>
      <c r="B12129" s="1" t="n">
        <v>45554</v>
      </c>
      <c r="C12129" s="1" t="n">
        <v>45568</v>
      </c>
      <c r="D12129" t="inlineStr">
        <is>
          <t>GÄVLEBORGS LÄN</t>
        </is>
      </c>
      <c r="E12129" t="inlineStr">
        <is>
          <t>OCKELBO</t>
        </is>
      </c>
      <c r="F12129" t="inlineStr">
        <is>
          <t>Bergvik skog väst AB</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40281-2024</t>
        </is>
      </c>
      <c r="B12130" s="1" t="n">
        <v>45554</v>
      </c>
      <c r="C12130" s="1" t="n">
        <v>45568</v>
      </c>
      <c r="D12130" t="inlineStr">
        <is>
          <t>GÄVLEBORGS LÄN</t>
        </is>
      </c>
      <c r="E12130" t="inlineStr">
        <is>
          <t>OCKELBO</t>
        </is>
      </c>
      <c r="F12130" t="inlineStr">
        <is>
          <t>Bergvik skog väst AB</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40073-2024</t>
        </is>
      </c>
      <c r="B12131" s="1" t="n">
        <v>45554</v>
      </c>
      <c r="C12131" s="1" t="n">
        <v>45568</v>
      </c>
      <c r="D12131" t="inlineStr">
        <is>
          <t>GÄVLEBORGS LÄN</t>
        </is>
      </c>
      <c r="E12131" t="inlineStr">
        <is>
          <t>HUDIKSVALL</t>
        </is>
      </c>
      <c r="F12131" t="inlineStr">
        <is>
          <t>Naturvårdsverket</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40097-2024</t>
        </is>
      </c>
      <c r="B12132" s="1" t="n">
        <v>45554</v>
      </c>
      <c r="C12132" s="1" t="n">
        <v>45568</v>
      </c>
      <c r="D12132" t="inlineStr">
        <is>
          <t>GÄVLEBORGS LÄN</t>
        </is>
      </c>
      <c r="E12132" t="inlineStr">
        <is>
          <t>SÖDERHAMN</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40105-2024</t>
        </is>
      </c>
      <c r="B12133" s="1" t="n">
        <v>45554</v>
      </c>
      <c r="C12133" s="1" t="n">
        <v>45568</v>
      </c>
      <c r="D12133" t="inlineStr">
        <is>
          <t>GÄVLEBORGS LÄN</t>
        </is>
      </c>
      <c r="E12133" t="inlineStr">
        <is>
          <t>SANDVIKEN</t>
        </is>
      </c>
      <c r="G12133" t="n">
        <v>5.9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40177-2024</t>
        </is>
      </c>
      <c r="B12134" s="1" t="n">
        <v>45554</v>
      </c>
      <c r="C12134" s="1" t="n">
        <v>45568</v>
      </c>
      <c r="D12134" t="inlineStr">
        <is>
          <t>GÄVLEBORGS LÄN</t>
        </is>
      </c>
      <c r="E12134" t="inlineStr">
        <is>
          <t>HUDIKSVALL</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40243-2024</t>
        </is>
      </c>
      <c r="B12135" s="1" t="n">
        <v>45554</v>
      </c>
      <c r="C12135" s="1" t="n">
        <v>45568</v>
      </c>
      <c r="D12135" t="inlineStr">
        <is>
          <t>GÄVLEBORGS LÄN</t>
        </is>
      </c>
      <c r="E12135" t="inlineStr">
        <is>
          <t>OCKELBO</t>
        </is>
      </c>
      <c r="F12135" t="inlineStr">
        <is>
          <t>Bergvik skog väst AB</t>
        </is>
      </c>
      <c r="G12135" t="n">
        <v>14.8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40318-2024</t>
        </is>
      </c>
      <c r="B12136" s="1" t="n">
        <v>45554</v>
      </c>
      <c r="C12136" s="1" t="n">
        <v>45568</v>
      </c>
      <c r="D12136" t="inlineStr">
        <is>
          <t>GÄVLEBORGS LÄN</t>
        </is>
      </c>
      <c r="E12136" t="inlineStr">
        <is>
          <t>LJUSDAL</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40321-2024</t>
        </is>
      </c>
      <c r="B12137" s="1" t="n">
        <v>45554</v>
      </c>
      <c r="C12137" s="1" t="n">
        <v>45568</v>
      </c>
      <c r="D12137" t="inlineStr">
        <is>
          <t>GÄVLEBORGS LÄN</t>
        </is>
      </c>
      <c r="E12137" t="inlineStr">
        <is>
          <t>HUDIKSVALL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40460-2024</t>
        </is>
      </c>
      <c r="B12138" s="1" t="n">
        <v>45555</v>
      </c>
      <c r="C12138" s="1" t="n">
        <v>45568</v>
      </c>
      <c r="D12138" t="inlineStr">
        <is>
          <t>GÄVLEBORGS LÄN</t>
        </is>
      </c>
      <c r="E12138" t="inlineStr">
        <is>
          <t>SANDVIKEN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40476-2024</t>
        </is>
      </c>
      <c r="B12139" s="1" t="n">
        <v>45555</v>
      </c>
      <c r="C12139" s="1" t="n">
        <v>45568</v>
      </c>
      <c r="D12139" t="inlineStr">
        <is>
          <t>GÄVLEBORGS LÄN</t>
        </is>
      </c>
      <c r="E12139" t="inlineStr">
        <is>
          <t>OVANÅKER</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40480-2024</t>
        </is>
      </c>
      <c r="B12140" s="1" t="n">
        <v>45555</v>
      </c>
      <c r="C12140" s="1" t="n">
        <v>45568</v>
      </c>
      <c r="D12140" t="inlineStr">
        <is>
          <t>GÄVLEBORGS LÄN</t>
        </is>
      </c>
      <c r="E12140" t="inlineStr">
        <is>
          <t>NORDANSTIG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40520-2024</t>
        </is>
      </c>
      <c r="B12141" s="1" t="n">
        <v>45555</v>
      </c>
      <c r="C12141" s="1" t="n">
        <v>45568</v>
      </c>
      <c r="D12141" t="inlineStr">
        <is>
          <t>GÄVLEBORGS LÄN</t>
        </is>
      </c>
      <c r="E12141" t="inlineStr">
        <is>
          <t>BOLLNÄS</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40453-2024</t>
        </is>
      </c>
      <c r="B12142" s="1" t="n">
        <v>45555</v>
      </c>
      <c r="C12142" s="1" t="n">
        <v>45568</v>
      </c>
      <c r="D12142" t="inlineStr">
        <is>
          <t>GÄVLEBORGS LÄN</t>
        </is>
      </c>
      <c r="E12142" t="inlineStr">
        <is>
          <t>BOLLNÄS</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40477-2024</t>
        </is>
      </c>
      <c r="B12143" s="1" t="n">
        <v>45555</v>
      </c>
      <c r="C12143" s="1" t="n">
        <v>45568</v>
      </c>
      <c r="D12143" t="inlineStr">
        <is>
          <t>GÄVLEBORGS LÄN</t>
        </is>
      </c>
      <c r="E12143" t="inlineStr">
        <is>
          <t>NORDANSTIG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40481-2024</t>
        </is>
      </c>
      <c r="B12144" s="1" t="n">
        <v>45555</v>
      </c>
      <c r="C12144" s="1" t="n">
        <v>45568</v>
      </c>
      <c r="D12144" t="inlineStr">
        <is>
          <t>GÄVLEBORGS LÄN</t>
        </is>
      </c>
      <c r="E12144" t="inlineStr">
        <is>
          <t>BOLLNÄS</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40364-2024</t>
        </is>
      </c>
      <c r="B12145" s="1" t="n">
        <v>45555</v>
      </c>
      <c r="C12145" s="1" t="n">
        <v>45568</v>
      </c>
      <c r="D12145" t="inlineStr">
        <is>
          <t>GÄVLEBORGS LÄN</t>
        </is>
      </c>
      <c r="E12145" t="inlineStr">
        <is>
          <t>HUDIKSVALL</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40474-2024</t>
        </is>
      </c>
      <c r="B12146" s="1" t="n">
        <v>45555</v>
      </c>
      <c r="C12146" s="1" t="n">
        <v>45568</v>
      </c>
      <c r="D12146" t="inlineStr">
        <is>
          <t>GÄVLEBORGS LÄN</t>
        </is>
      </c>
      <c r="E12146" t="inlineStr">
        <is>
          <t>OVANÅKER</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40486-2024</t>
        </is>
      </c>
      <c r="B12147" s="1" t="n">
        <v>45555</v>
      </c>
      <c r="C12147" s="1" t="n">
        <v>45568</v>
      </c>
      <c r="D12147" t="inlineStr">
        <is>
          <t>GÄVLEBORGS LÄN</t>
        </is>
      </c>
      <c r="E12147" t="inlineStr">
        <is>
          <t>BOLLNÄS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40498-2024</t>
        </is>
      </c>
      <c r="B12148" s="1" t="n">
        <v>45555</v>
      </c>
      <c r="C12148" s="1" t="n">
        <v>45568</v>
      </c>
      <c r="D12148" t="inlineStr">
        <is>
          <t>GÄVLEBORGS LÄN</t>
        </is>
      </c>
      <c r="E12148" t="inlineStr">
        <is>
          <t>NORDANSTIG</t>
        </is>
      </c>
      <c r="G12148" t="n">
        <v>12.5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40332-2024</t>
        </is>
      </c>
      <c r="B12149" s="1" t="n">
        <v>45555</v>
      </c>
      <c r="C12149" s="1" t="n">
        <v>45568</v>
      </c>
      <c r="D12149" t="inlineStr">
        <is>
          <t>GÄVLEBORGS LÄN</t>
        </is>
      </c>
      <c r="E12149" t="inlineStr">
        <is>
          <t>HUDIKSVALL</t>
        </is>
      </c>
      <c r="F12149" t="inlineStr">
        <is>
          <t>Naturvårdsverket</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40336-2024</t>
        </is>
      </c>
      <c r="B12150" s="1" t="n">
        <v>45555</v>
      </c>
      <c r="C12150" s="1" t="n">
        <v>45568</v>
      </c>
      <c r="D12150" t="inlineStr">
        <is>
          <t>GÄVLEBORGS LÄN</t>
        </is>
      </c>
      <c r="E12150" t="inlineStr">
        <is>
          <t>BOLLNÄS</t>
        </is>
      </c>
      <c r="F12150" t="inlineStr">
        <is>
          <t>Bergvik skog väst AB</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40386-2024</t>
        </is>
      </c>
      <c r="B12151" s="1" t="n">
        <v>45555</v>
      </c>
      <c r="C12151" s="1" t="n">
        <v>45568</v>
      </c>
      <c r="D12151" t="inlineStr">
        <is>
          <t>GÄVLEBORGS LÄN</t>
        </is>
      </c>
      <c r="E12151" t="inlineStr">
        <is>
          <t>BOLLNÄS</t>
        </is>
      </c>
      <c r="F12151" t="inlineStr">
        <is>
          <t>Bergvik skog väst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40402-2024</t>
        </is>
      </c>
      <c r="B12152" s="1" t="n">
        <v>45555</v>
      </c>
      <c r="C12152" s="1" t="n">
        <v>45568</v>
      </c>
      <c r="D12152" t="inlineStr">
        <is>
          <t>GÄVLEBORGS LÄN</t>
        </is>
      </c>
      <c r="E12152" t="inlineStr">
        <is>
          <t>GÄVLE</t>
        </is>
      </c>
      <c r="F12152" t="inlineStr">
        <is>
          <t>Kyrkan</t>
        </is>
      </c>
      <c r="G12152" t="n">
        <v>5.3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40459-2024</t>
        </is>
      </c>
      <c r="B12153" s="1" t="n">
        <v>45555</v>
      </c>
      <c r="C12153" s="1" t="n">
        <v>45568</v>
      </c>
      <c r="D12153" t="inlineStr">
        <is>
          <t>GÄVLEBORGS LÄN</t>
        </is>
      </c>
      <c r="E12153" t="inlineStr">
        <is>
          <t>BOLLNÄS</t>
        </is>
      </c>
      <c r="F12153" t="inlineStr">
        <is>
          <t>Bergvik skog väst AB</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40479-2024</t>
        </is>
      </c>
      <c r="B12154" s="1" t="n">
        <v>45555</v>
      </c>
      <c r="C12154" s="1" t="n">
        <v>45568</v>
      </c>
      <c r="D12154" t="inlineStr">
        <is>
          <t>GÄVLEBORGS LÄN</t>
        </is>
      </c>
      <c r="E12154" t="inlineStr">
        <is>
          <t>OVANÅKER</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40487-2024</t>
        </is>
      </c>
      <c r="B12155" s="1" t="n">
        <v>45555</v>
      </c>
      <c r="C12155" s="1" t="n">
        <v>45568</v>
      </c>
      <c r="D12155" t="inlineStr">
        <is>
          <t>GÄVLEBORGS LÄN</t>
        </is>
      </c>
      <c r="E12155" t="inlineStr">
        <is>
          <t>BOLLNÄS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40507-2024</t>
        </is>
      </c>
      <c r="B12156" s="1" t="n">
        <v>45555</v>
      </c>
      <c r="C12156" s="1" t="n">
        <v>45568</v>
      </c>
      <c r="D12156" t="inlineStr">
        <is>
          <t>GÄVLEBORGS LÄN</t>
        </is>
      </c>
      <c r="E12156" t="inlineStr">
        <is>
          <t>GÄVLE</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40515-2024</t>
        </is>
      </c>
      <c r="B12157" s="1" t="n">
        <v>45555</v>
      </c>
      <c r="C12157" s="1" t="n">
        <v>45568</v>
      </c>
      <c r="D12157" t="inlineStr">
        <is>
          <t>GÄVLEBORGS LÄN</t>
        </is>
      </c>
      <c r="E12157" t="inlineStr">
        <is>
          <t>GÄVLE</t>
        </is>
      </c>
      <c r="F12157" t="inlineStr">
        <is>
          <t>Bergvik skog öst AB</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40745-2024</t>
        </is>
      </c>
      <c r="B12158" s="1" t="n">
        <v>45558</v>
      </c>
      <c r="C12158" s="1" t="n">
        <v>45568</v>
      </c>
      <c r="D12158" t="inlineStr">
        <is>
          <t>GÄVLEBORGS LÄN</t>
        </is>
      </c>
      <c r="E12158" t="inlineStr">
        <is>
          <t>SANDVIKEN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40861-2024</t>
        </is>
      </c>
      <c r="B12159" s="1" t="n">
        <v>45558</v>
      </c>
      <c r="C12159" s="1" t="n">
        <v>45568</v>
      </c>
      <c r="D12159" t="inlineStr">
        <is>
          <t>GÄVLEBORGS LÄN</t>
        </is>
      </c>
      <c r="E12159" t="inlineStr">
        <is>
          <t>HOFORS</t>
        </is>
      </c>
      <c r="F12159" t="inlineStr">
        <is>
          <t>Sveaskog</t>
        </is>
      </c>
      <c r="G12159" t="n">
        <v>19.5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40886-2024</t>
        </is>
      </c>
      <c r="B12160" s="1" t="n">
        <v>45558</v>
      </c>
      <c r="C12160" s="1" t="n">
        <v>45568</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40723-2024</t>
        </is>
      </c>
      <c r="B12161" s="1" t="n">
        <v>45558</v>
      </c>
      <c r="C12161" s="1" t="n">
        <v>45568</v>
      </c>
      <c r="D12161" t="inlineStr">
        <is>
          <t>GÄVLEBORGS LÄN</t>
        </is>
      </c>
      <c r="E12161" t="inlineStr">
        <is>
          <t>HUDIKSVALL</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40637-2024</t>
        </is>
      </c>
      <c r="B12162" s="1" t="n">
        <v>45558</v>
      </c>
      <c r="C12162" s="1" t="n">
        <v>45568</v>
      </c>
      <c r="D12162" t="inlineStr">
        <is>
          <t>GÄVLEBORGS LÄN</t>
        </is>
      </c>
      <c r="E12162" t="inlineStr">
        <is>
          <t>NORDANSTIG</t>
        </is>
      </c>
      <c r="F12162" t="inlineStr">
        <is>
          <t>Holmen skog AB</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40641-2024</t>
        </is>
      </c>
      <c r="B12163" s="1" t="n">
        <v>45558</v>
      </c>
      <c r="C12163" s="1" t="n">
        <v>45568</v>
      </c>
      <c r="D12163" t="inlineStr">
        <is>
          <t>GÄVLEBORGS LÄN</t>
        </is>
      </c>
      <c r="E12163" t="inlineStr">
        <is>
          <t>NORDANSTIG</t>
        </is>
      </c>
      <c r="F12163" t="inlineStr">
        <is>
          <t>Holmen skog AB</t>
        </is>
      </c>
      <c r="G12163" t="n">
        <v>15.7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40794-2024</t>
        </is>
      </c>
      <c r="B12164" s="1" t="n">
        <v>45558</v>
      </c>
      <c r="C12164" s="1" t="n">
        <v>45568</v>
      </c>
      <c r="D12164" t="inlineStr">
        <is>
          <t>GÄVLEBORGS LÄN</t>
        </is>
      </c>
      <c r="E12164" t="inlineStr">
        <is>
          <t>OCKELBO</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40945-2024</t>
        </is>
      </c>
      <c r="B12165" s="1" t="n">
        <v>45558</v>
      </c>
      <c r="C12165" s="1" t="n">
        <v>45568</v>
      </c>
      <c r="D12165" t="inlineStr">
        <is>
          <t>GÄVLEBORGS LÄN</t>
        </is>
      </c>
      <c r="E12165" t="inlineStr">
        <is>
          <t>OVANÅKER</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40953-2024</t>
        </is>
      </c>
      <c r="B12166" s="1" t="n">
        <v>45558</v>
      </c>
      <c r="C12166" s="1" t="n">
        <v>45568</v>
      </c>
      <c r="D12166" t="inlineStr">
        <is>
          <t>GÄVLEBORGS LÄN</t>
        </is>
      </c>
      <c r="E12166" t="inlineStr">
        <is>
          <t>OVANÅKER</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40942-2024</t>
        </is>
      </c>
      <c r="B12167" s="1" t="n">
        <v>45558</v>
      </c>
      <c r="C12167" s="1" t="n">
        <v>45568</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40946-2024</t>
        </is>
      </c>
      <c r="B12168" s="1" t="n">
        <v>45558</v>
      </c>
      <c r="C12168" s="1" t="n">
        <v>45568</v>
      </c>
      <c r="D12168" t="inlineStr">
        <is>
          <t>GÄVLEBORGS LÄN</t>
        </is>
      </c>
      <c r="E12168" t="inlineStr">
        <is>
          <t>BOLLNÄS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40979-2024</t>
        </is>
      </c>
      <c r="B12169" s="1" t="n">
        <v>45558</v>
      </c>
      <c r="C12169" s="1" t="n">
        <v>45568</v>
      </c>
      <c r="D12169" t="inlineStr">
        <is>
          <t>GÄVLEBORGS LÄN</t>
        </is>
      </c>
      <c r="E12169" t="inlineStr">
        <is>
          <t>LJUSDAL</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40907-2024</t>
        </is>
      </c>
      <c r="B12170" s="1" t="n">
        <v>45558</v>
      </c>
      <c r="C12170" s="1" t="n">
        <v>45568</v>
      </c>
      <c r="D12170" t="inlineStr">
        <is>
          <t>GÄVLEBORGS LÄN</t>
        </is>
      </c>
      <c r="E12170" t="inlineStr">
        <is>
          <t>LJUSDAL</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40793-2024</t>
        </is>
      </c>
      <c r="B12171" s="1" t="n">
        <v>45558</v>
      </c>
      <c r="C12171" s="1" t="n">
        <v>45568</v>
      </c>
      <c r="D12171" t="inlineStr">
        <is>
          <t>GÄVLEBORGS LÄN</t>
        </is>
      </c>
      <c r="E12171" t="inlineStr">
        <is>
          <t>SÖDERHAMN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40863-2024</t>
        </is>
      </c>
      <c r="B12172" s="1" t="n">
        <v>45558</v>
      </c>
      <c r="C12172" s="1" t="n">
        <v>45568</v>
      </c>
      <c r="D12172" t="inlineStr">
        <is>
          <t>GÄVLEBORGS LÄN</t>
        </is>
      </c>
      <c r="E12172" t="inlineStr">
        <is>
          <t>HOFORS</t>
        </is>
      </c>
      <c r="F12172" t="inlineStr">
        <is>
          <t>Sveaskog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40928-2024</t>
        </is>
      </c>
      <c r="B12173" s="1" t="n">
        <v>45558</v>
      </c>
      <c r="C12173" s="1" t="n">
        <v>45568</v>
      </c>
      <c r="D12173" t="inlineStr">
        <is>
          <t>GÄVLEBORGS LÄN</t>
        </is>
      </c>
      <c r="E12173" t="inlineStr">
        <is>
          <t>BOLLNÄS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41197-2024</t>
        </is>
      </c>
      <c r="B12174" s="1" t="n">
        <v>45559</v>
      </c>
      <c r="C12174" s="1" t="n">
        <v>45568</v>
      </c>
      <c r="D12174" t="inlineStr">
        <is>
          <t>GÄVLEBORGS LÄN</t>
        </is>
      </c>
      <c r="E12174" t="inlineStr">
        <is>
          <t>SÖDERHAMN</t>
        </is>
      </c>
      <c r="G12174" t="n">
        <v>9.1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41230-2024</t>
        </is>
      </c>
      <c r="B12175" s="1" t="n">
        <v>45559</v>
      </c>
      <c r="C12175" s="1" t="n">
        <v>45568</v>
      </c>
      <c r="D12175" t="inlineStr">
        <is>
          <t>GÄVLEBORGS LÄN</t>
        </is>
      </c>
      <c r="E12175" t="inlineStr">
        <is>
          <t>HUDIKSVALL</t>
        </is>
      </c>
      <c r="F12175" t="inlineStr">
        <is>
          <t>Holmen skog AB</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41100-2024</t>
        </is>
      </c>
      <c r="B12176" s="1" t="n">
        <v>45559</v>
      </c>
      <c r="C12176" s="1" t="n">
        <v>45568</v>
      </c>
      <c r="D12176" t="inlineStr">
        <is>
          <t>GÄVLEBORGS LÄN</t>
        </is>
      </c>
      <c r="E12176" t="inlineStr">
        <is>
          <t>GÄVLE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41163-2024</t>
        </is>
      </c>
      <c r="B12177" s="1" t="n">
        <v>45559</v>
      </c>
      <c r="C12177" s="1" t="n">
        <v>45568</v>
      </c>
      <c r="D12177" t="inlineStr">
        <is>
          <t>GÄVLEBORGS LÄN</t>
        </is>
      </c>
      <c r="E12177" t="inlineStr">
        <is>
          <t>LJUSDAL</t>
        </is>
      </c>
      <c r="G12177" t="n">
        <v>2.9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41167-2024</t>
        </is>
      </c>
      <c r="B12178" s="1" t="n">
        <v>45559</v>
      </c>
      <c r="C12178" s="1" t="n">
        <v>45568</v>
      </c>
      <c r="D12178" t="inlineStr">
        <is>
          <t>GÄVLEBORGS LÄN</t>
        </is>
      </c>
      <c r="E12178" t="inlineStr">
        <is>
          <t>LJUSDAL</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41191-2024</t>
        </is>
      </c>
      <c r="B12179" s="1" t="n">
        <v>45559</v>
      </c>
      <c r="C12179" s="1" t="n">
        <v>45568</v>
      </c>
      <c r="D12179" t="inlineStr">
        <is>
          <t>GÄVLEBORGS LÄN</t>
        </is>
      </c>
      <c r="E12179" t="inlineStr">
        <is>
          <t>HUDIKSVALL</t>
        </is>
      </c>
      <c r="F12179" t="inlineStr">
        <is>
          <t>Holmen skog AB</t>
        </is>
      </c>
      <c r="G12179" t="n">
        <v>15.7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41207-2024</t>
        </is>
      </c>
      <c r="B12180" s="1" t="n">
        <v>45559</v>
      </c>
      <c r="C12180" s="1" t="n">
        <v>45568</v>
      </c>
      <c r="D12180" t="inlineStr">
        <is>
          <t>GÄVLEBORGS LÄN</t>
        </is>
      </c>
      <c r="E12180" t="inlineStr">
        <is>
          <t>NORDANSTIG</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41249-2024</t>
        </is>
      </c>
      <c r="B12181" s="1" t="n">
        <v>45559</v>
      </c>
      <c r="C12181" s="1" t="n">
        <v>45568</v>
      </c>
      <c r="D12181" t="inlineStr">
        <is>
          <t>GÄVLEBORGS LÄN</t>
        </is>
      </c>
      <c r="E12181" t="inlineStr">
        <is>
          <t>HUDIKSVALL</t>
        </is>
      </c>
      <c r="F12181" t="inlineStr">
        <is>
          <t>Holmen skog AB</t>
        </is>
      </c>
      <c r="G12181" t="n">
        <v>16.3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41074-2024</t>
        </is>
      </c>
      <c r="B12182" s="1" t="n">
        <v>45559</v>
      </c>
      <c r="C12182" s="1" t="n">
        <v>45568</v>
      </c>
      <c r="D12182" t="inlineStr">
        <is>
          <t>GÄVLEBORGS LÄN</t>
        </is>
      </c>
      <c r="E12182" t="inlineStr">
        <is>
          <t>OCKELBO</t>
        </is>
      </c>
      <c r="F12182" t="inlineStr">
        <is>
          <t>Bergvik skog väst AB</t>
        </is>
      </c>
      <c r="G12182" t="n">
        <v>11.2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41094-2024</t>
        </is>
      </c>
      <c r="B12183" s="1" t="n">
        <v>45559</v>
      </c>
      <c r="C12183" s="1" t="n">
        <v>45568</v>
      </c>
      <c r="D12183" t="inlineStr">
        <is>
          <t>GÄVLEBORGS LÄN</t>
        </is>
      </c>
      <c r="E12183" t="inlineStr">
        <is>
          <t>LJUSDAL</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41098-2024</t>
        </is>
      </c>
      <c r="B12184" s="1" t="n">
        <v>45559</v>
      </c>
      <c r="C12184" s="1" t="n">
        <v>45568</v>
      </c>
      <c r="D12184" t="inlineStr">
        <is>
          <t>GÄVLEBORGS LÄN</t>
        </is>
      </c>
      <c r="E12184" t="inlineStr">
        <is>
          <t>GÄVLE</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41168-2024</t>
        </is>
      </c>
      <c r="B12185" s="1" t="n">
        <v>45559</v>
      </c>
      <c r="C12185" s="1" t="n">
        <v>45568</v>
      </c>
      <c r="D12185" t="inlineStr">
        <is>
          <t>GÄVLEBORGS LÄN</t>
        </is>
      </c>
      <c r="E12185" t="inlineStr">
        <is>
          <t>HUDIKSVALL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41117-2024</t>
        </is>
      </c>
      <c r="B12186" s="1" t="n">
        <v>45559</v>
      </c>
      <c r="C12186" s="1" t="n">
        <v>45568</v>
      </c>
      <c r="D12186" t="inlineStr">
        <is>
          <t>GÄVLEBORGS LÄN</t>
        </is>
      </c>
      <c r="E12186" t="inlineStr">
        <is>
          <t>GÄVLE</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41171-2024</t>
        </is>
      </c>
      <c r="B12187" s="1" t="n">
        <v>45559</v>
      </c>
      <c r="C12187" s="1" t="n">
        <v>45568</v>
      </c>
      <c r="D12187" t="inlineStr">
        <is>
          <t>GÄVLEBORGS LÄN</t>
        </is>
      </c>
      <c r="E12187" t="inlineStr">
        <is>
          <t>GÄVLE</t>
        </is>
      </c>
      <c r="F12187" t="inlineStr">
        <is>
          <t>Bergvik skog öst AB</t>
        </is>
      </c>
      <c r="G12187" t="n">
        <v>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41194-2024</t>
        </is>
      </c>
      <c r="B12188" s="1" t="n">
        <v>45559</v>
      </c>
      <c r="C12188" s="1" t="n">
        <v>45568</v>
      </c>
      <c r="D12188" t="inlineStr">
        <is>
          <t>GÄVLEBORGS LÄN</t>
        </is>
      </c>
      <c r="E12188" t="inlineStr">
        <is>
          <t>LJUSDAL</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41208-2024</t>
        </is>
      </c>
      <c r="B12189" s="1" t="n">
        <v>45559</v>
      </c>
      <c r="C12189" s="1" t="n">
        <v>45568</v>
      </c>
      <c r="D12189" t="inlineStr">
        <is>
          <t>GÄVLEBORGS LÄN</t>
        </is>
      </c>
      <c r="E12189" t="inlineStr">
        <is>
          <t>NORDANSTIG</t>
        </is>
      </c>
      <c r="G12189" t="n">
        <v>23.3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41254-2024</t>
        </is>
      </c>
      <c r="B12190" s="1" t="n">
        <v>45559</v>
      </c>
      <c r="C12190" s="1" t="n">
        <v>45568</v>
      </c>
      <c r="D12190" t="inlineStr">
        <is>
          <t>GÄVLEBORGS LÄN</t>
        </is>
      </c>
      <c r="E12190" t="inlineStr">
        <is>
          <t>HUDIKSVALL</t>
        </is>
      </c>
      <c r="F12190" t="inlineStr">
        <is>
          <t>Holmen skog AB</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41258-2024</t>
        </is>
      </c>
      <c r="B12191" s="1" t="n">
        <v>45559</v>
      </c>
      <c r="C12191" s="1" t="n">
        <v>45568</v>
      </c>
      <c r="D12191" t="inlineStr">
        <is>
          <t>GÄVLEBORGS LÄN</t>
        </is>
      </c>
      <c r="E12191" t="inlineStr">
        <is>
          <t>HUDIKSVALL</t>
        </is>
      </c>
      <c r="F12191" t="inlineStr">
        <is>
          <t>Holmen skog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41318-2024</t>
        </is>
      </c>
      <c r="B12192" s="1" t="n">
        <v>45559</v>
      </c>
      <c r="C12192" s="1" t="n">
        <v>45568</v>
      </c>
      <c r="D12192" t="inlineStr">
        <is>
          <t>GÄVLEBORGS LÄN</t>
        </is>
      </c>
      <c r="E12192" t="inlineStr">
        <is>
          <t>NORDANSTIG</t>
        </is>
      </c>
      <c r="F12192" t="inlineStr">
        <is>
          <t>Holmen skog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41357-2024</t>
        </is>
      </c>
      <c r="B12193" s="1" t="n">
        <v>45559</v>
      </c>
      <c r="C12193" s="1" t="n">
        <v>45568</v>
      </c>
      <c r="D12193" t="inlineStr">
        <is>
          <t>GÄVLEBORGS LÄN</t>
        </is>
      </c>
      <c r="E12193" t="inlineStr">
        <is>
          <t>SANDVIKEN</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41385-2024</t>
        </is>
      </c>
      <c r="B12194" s="1" t="n">
        <v>45560</v>
      </c>
      <c r="C12194" s="1" t="n">
        <v>45568</v>
      </c>
      <c r="D12194" t="inlineStr">
        <is>
          <t>GÄVLEBORGS LÄN</t>
        </is>
      </c>
      <c r="E12194" t="inlineStr">
        <is>
          <t>LJUSDAL</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41453-2024</t>
        </is>
      </c>
      <c r="B12195" s="1" t="n">
        <v>45560</v>
      </c>
      <c r="C12195" s="1" t="n">
        <v>45568</v>
      </c>
      <c r="D12195" t="inlineStr">
        <is>
          <t>GÄVLEBORGS LÄN</t>
        </is>
      </c>
      <c r="E12195" t="inlineStr">
        <is>
          <t>GÄVLE</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41521-2024</t>
        </is>
      </c>
      <c r="B12196" s="1" t="n">
        <v>45560</v>
      </c>
      <c r="C12196" s="1" t="n">
        <v>45568</v>
      </c>
      <c r="D12196" t="inlineStr">
        <is>
          <t>GÄVLEBORGS LÄN</t>
        </is>
      </c>
      <c r="E12196" t="inlineStr">
        <is>
          <t>HUDIKSVALL</t>
        </is>
      </c>
      <c r="F12196" t="inlineStr">
        <is>
          <t>Holmen skog AB</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41525-2024</t>
        </is>
      </c>
      <c r="B12197" s="1" t="n">
        <v>45560</v>
      </c>
      <c r="C12197" s="1" t="n">
        <v>45568</v>
      </c>
      <c r="D12197" t="inlineStr">
        <is>
          <t>GÄVLEBORGS LÄN</t>
        </is>
      </c>
      <c r="E12197" t="inlineStr">
        <is>
          <t>GÄVLE</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41547-2024</t>
        </is>
      </c>
      <c r="B12198" s="1" t="n">
        <v>45560</v>
      </c>
      <c r="C12198" s="1" t="n">
        <v>45568</v>
      </c>
      <c r="D12198" t="inlineStr">
        <is>
          <t>GÄVLEBORGS LÄN</t>
        </is>
      </c>
      <c r="E12198" t="inlineStr">
        <is>
          <t>OVANÅKER</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41608-2024</t>
        </is>
      </c>
      <c r="B12199" s="1" t="n">
        <v>45560</v>
      </c>
      <c r="C12199" s="1" t="n">
        <v>45568</v>
      </c>
      <c r="D12199" t="inlineStr">
        <is>
          <t>GÄVLEBORGS LÄN</t>
        </is>
      </c>
      <c r="E12199" t="inlineStr">
        <is>
          <t>NORDANSTIG</t>
        </is>
      </c>
      <c r="F12199" t="inlineStr">
        <is>
          <t>Holmen skog AB</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41648-2024</t>
        </is>
      </c>
      <c r="B12200" s="1" t="n">
        <v>45560</v>
      </c>
      <c r="C12200" s="1" t="n">
        <v>45568</v>
      </c>
      <c r="D12200" t="inlineStr">
        <is>
          <t>GÄVLEBORGS LÄN</t>
        </is>
      </c>
      <c r="E12200" t="inlineStr">
        <is>
          <t>SÖDERHAMN</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41546-2024</t>
        </is>
      </c>
      <c r="B12201" s="1" t="n">
        <v>45560</v>
      </c>
      <c r="C12201" s="1" t="n">
        <v>45568</v>
      </c>
      <c r="D12201" t="inlineStr">
        <is>
          <t>GÄVLEBORGS LÄN</t>
        </is>
      </c>
      <c r="E12201" t="inlineStr">
        <is>
          <t>OVANÅKER</t>
        </is>
      </c>
      <c r="G12201" t="n">
        <v>2.5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41555-2024</t>
        </is>
      </c>
      <c r="B12202" s="1" t="n">
        <v>45560</v>
      </c>
      <c r="C12202" s="1" t="n">
        <v>45568</v>
      </c>
      <c r="D12202" t="inlineStr">
        <is>
          <t>GÄVLEBORGS LÄN</t>
        </is>
      </c>
      <c r="E12202" t="inlineStr">
        <is>
          <t>HUDIKSVALL</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41559-2024</t>
        </is>
      </c>
      <c r="B12203" s="1" t="n">
        <v>45560</v>
      </c>
      <c r="C12203" s="1" t="n">
        <v>45568</v>
      </c>
      <c r="D12203" t="inlineStr">
        <is>
          <t>GÄVLEBORGS LÄN</t>
        </is>
      </c>
      <c r="E12203" t="inlineStr">
        <is>
          <t>LJUSDAL</t>
        </is>
      </c>
      <c r="F12203" t="inlineStr">
        <is>
          <t>Bergvik skog väst AB</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41591-2024</t>
        </is>
      </c>
      <c r="B12204" s="1" t="n">
        <v>45560</v>
      </c>
      <c r="C12204" s="1" t="n">
        <v>45568</v>
      </c>
      <c r="D12204" t="inlineStr">
        <is>
          <t>GÄVLEBORGS LÄN</t>
        </is>
      </c>
      <c r="E12204" t="inlineStr">
        <is>
          <t>BOLLNÄS</t>
        </is>
      </c>
      <c r="G12204" t="n">
        <v>21.8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41384-2024</t>
        </is>
      </c>
      <c r="B12205" s="1" t="n">
        <v>45560</v>
      </c>
      <c r="C12205" s="1" t="n">
        <v>45568</v>
      </c>
      <c r="D12205" t="inlineStr">
        <is>
          <t>GÄVLEBORGS LÄN</t>
        </is>
      </c>
      <c r="E12205" t="inlineStr">
        <is>
          <t>SANDVIKEN</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41545-2024</t>
        </is>
      </c>
      <c r="B12206" s="1" t="n">
        <v>45560</v>
      </c>
      <c r="C12206" s="1" t="n">
        <v>45568</v>
      </c>
      <c r="D12206" t="inlineStr">
        <is>
          <t>GÄVLEBORGS LÄN</t>
        </is>
      </c>
      <c r="E12206" t="inlineStr">
        <is>
          <t>OVANÅKER</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41650-2024</t>
        </is>
      </c>
      <c r="B12207" s="1" t="n">
        <v>45560</v>
      </c>
      <c r="C12207" s="1" t="n">
        <v>45568</v>
      </c>
      <c r="D12207" t="inlineStr">
        <is>
          <t>GÄVLEBORGS LÄN</t>
        </is>
      </c>
      <c r="E12207" t="inlineStr">
        <is>
          <t>SÖDERHAMN</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41383-2024</t>
        </is>
      </c>
      <c r="B12208" s="1" t="n">
        <v>45560</v>
      </c>
      <c r="C12208" s="1" t="n">
        <v>45568</v>
      </c>
      <c r="D12208" t="inlineStr">
        <is>
          <t>GÄVLEBORGS LÄN</t>
        </is>
      </c>
      <c r="E12208" t="inlineStr">
        <is>
          <t>SANDVIKEN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41535-2024</t>
        </is>
      </c>
      <c r="B12209" s="1" t="n">
        <v>45560</v>
      </c>
      <c r="C12209" s="1" t="n">
        <v>45568</v>
      </c>
      <c r="D12209" t="inlineStr">
        <is>
          <t>GÄVLEBORGS LÄN</t>
        </is>
      </c>
      <c r="E12209" t="inlineStr">
        <is>
          <t>HUDIKSVALL</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41597-2024</t>
        </is>
      </c>
      <c r="B12210" s="1" t="n">
        <v>45560</v>
      </c>
      <c r="C12210" s="1" t="n">
        <v>45568</v>
      </c>
      <c r="D12210" t="inlineStr">
        <is>
          <t>GÄVLEBORGS LÄN</t>
        </is>
      </c>
      <c r="E12210" t="inlineStr">
        <is>
          <t>BOLLNÄS</t>
        </is>
      </c>
      <c r="G12210" t="n">
        <v>21.8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41649-2024</t>
        </is>
      </c>
      <c r="B12211" s="1" t="n">
        <v>45560</v>
      </c>
      <c r="C12211" s="1" t="n">
        <v>45568</v>
      </c>
      <c r="D12211" t="inlineStr">
        <is>
          <t>GÄVLEBORGS LÄN</t>
        </is>
      </c>
      <c r="E12211" t="inlineStr">
        <is>
          <t>SÖDERHAMN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41670-2024</t>
        </is>
      </c>
      <c r="B12212" s="1" t="n">
        <v>45560</v>
      </c>
      <c r="C12212" s="1" t="n">
        <v>45568</v>
      </c>
      <c r="D12212" t="inlineStr">
        <is>
          <t>GÄVLEBORGS LÄN</t>
        </is>
      </c>
      <c r="E12212" t="inlineStr">
        <is>
          <t>BOLLNÄS</t>
        </is>
      </c>
      <c r="G12212" t="n">
        <v>11.5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41736-2024</t>
        </is>
      </c>
      <c r="B12213" s="1" t="n">
        <v>45561</v>
      </c>
      <c r="C12213" s="1" t="n">
        <v>45568</v>
      </c>
      <c r="D12213" t="inlineStr">
        <is>
          <t>GÄVLEBORGS LÄN</t>
        </is>
      </c>
      <c r="E12213" t="inlineStr">
        <is>
          <t>BOLLNÄS</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41712-2024</t>
        </is>
      </c>
      <c r="B12214" s="1" t="n">
        <v>45560</v>
      </c>
      <c r="C12214" s="1" t="n">
        <v>45568</v>
      </c>
      <c r="D12214" t="inlineStr">
        <is>
          <t>GÄVLEBORGS LÄN</t>
        </is>
      </c>
      <c r="E12214" t="inlineStr">
        <is>
          <t>BOLLNÄS</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41730-2024</t>
        </is>
      </c>
      <c r="B12215" s="1" t="n">
        <v>45560</v>
      </c>
      <c r="C12215" s="1" t="n">
        <v>45568</v>
      </c>
      <c r="D12215" t="inlineStr">
        <is>
          <t>GÄVLEBORGS LÄN</t>
        </is>
      </c>
      <c r="E12215" t="inlineStr">
        <is>
          <t>LJUSDAL</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41734-2024</t>
        </is>
      </c>
      <c r="B12216" s="1" t="n">
        <v>45561</v>
      </c>
      <c r="C12216" s="1" t="n">
        <v>45568</v>
      </c>
      <c r="D12216" t="inlineStr">
        <is>
          <t>GÄVLEBORGS LÄN</t>
        </is>
      </c>
      <c r="E12216" t="inlineStr">
        <is>
          <t>BOLLNÄS</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41731-2024</t>
        </is>
      </c>
      <c r="B12217" s="1" t="n">
        <v>45560</v>
      </c>
      <c r="C12217" s="1" t="n">
        <v>45568</v>
      </c>
      <c r="D12217" t="inlineStr">
        <is>
          <t>GÄVLEBORGS LÄN</t>
        </is>
      </c>
      <c r="E12217" t="inlineStr">
        <is>
          <t>LJUSDAL</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41735-2024</t>
        </is>
      </c>
      <c r="B12218" s="1" t="n">
        <v>45561</v>
      </c>
      <c r="C12218" s="1" t="n">
        <v>45568</v>
      </c>
      <c r="D12218" t="inlineStr">
        <is>
          <t>GÄVLEBORGS LÄN</t>
        </is>
      </c>
      <c r="E12218" t="inlineStr">
        <is>
          <t>BOLLNÄS</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41790-2024</t>
        </is>
      </c>
      <c r="B12219" s="1" t="n">
        <v>45561</v>
      </c>
      <c r="C12219" s="1" t="n">
        <v>45568</v>
      </c>
      <c r="D12219" t="inlineStr">
        <is>
          <t>GÄVLEBORGS LÄN</t>
        </is>
      </c>
      <c r="E12219" t="inlineStr">
        <is>
          <t>SANDVIKEN</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41839-2024</t>
        </is>
      </c>
      <c r="B12220" s="1" t="n">
        <v>45561</v>
      </c>
      <c r="C12220" s="1" t="n">
        <v>45568</v>
      </c>
      <c r="D12220" t="inlineStr">
        <is>
          <t>GÄVLEBORGS LÄN</t>
        </is>
      </c>
      <c r="E12220" t="inlineStr">
        <is>
          <t>HUDIKSVALL</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41863-2024</t>
        </is>
      </c>
      <c r="B12221" s="1" t="n">
        <v>45561</v>
      </c>
      <c r="C12221" s="1" t="n">
        <v>45568</v>
      </c>
      <c r="D12221" t="inlineStr">
        <is>
          <t>GÄVLEBORGS LÄN</t>
        </is>
      </c>
      <c r="E12221" t="inlineStr">
        <is>
          <t>BOLLNÄS</t>
        </is>
      </c>
      <c r="G12221" t="n">
        <v>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41879-2024</t>
        </is>
      </c>
      <c r="B12222" s="1" t="n">
        <v>45561</v>
      </c>
      <c r="C12222" s="1" t="n">
        <v>45568</v>
      </c>
      <c r="D12222" t="inlineStr">
        <is>
          <t>GÄVLEBORGS LÄN</t>
        </is>
      </c>
      <c r="E12222" t="inlineStr">
        <is>
          <t>LJUSDAL</t>
        </is>
      </c>
      <c r="G12222" t="n">
        <v>13.1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41750-2024</t>
        </is>
      </c>
      <c r="B12223" s="1" t="n">
        <v>45561</v>
      </c>
      <c r="C12223" s="1" t="n">
        <v>45568</v>
      </c>
      <c r="D12223" t="inlineStr">
        <is>
          <t>GÄVLEBORGS LÄN</t>
        </is>
      </c>
      <c r="E12223" t="inlineStr">
        <is>
          <t>HUDIKSVALL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41774-2024</t>
        </is>
      </c>
      <c r="B12224" s="1" t="n">
        <v>45561</v>
      </c>
      <c r="C12224" s="1" t="n">
        <v>45568</v>
      </c>
      <c r="D12224" t="inlineStr">
        <is>
          <t>GÄVLEBORGS LÄN</t>
        </is>
      </c>
      <c r="E12224" t="inlineStr">
        <is>
          <t>SÖDERHAMN</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41803-2024</t>
        </is>
      </c>
      <c r="B12225" s="1" t="n">
        <v>45561</v>
      </c>
      <c r="C12225" s="1" t="n">
        <v>45568</v>
      </c>
      <c r="D12225" t="inlineStr">
        <is>
          <t>GÄVLEBORGS LÄN</t>
        </is>
      </c>
      <c r="E12225" t="inlineStr">
        <is>
          <t>LJUSDAL</t>
        </is>
      </c>
      <c r="F12225" t="inlineStr">
        <is>
          <t>Bergvik skog väst AB</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41922-2024</t>
        </is>
      </c>
      <c r="B12226" s="1" t="n">
        <v>45561</v>
      </c>
      <c r="C12226" s="1" t="n">
        <v>45568</v>
      </c>
      <c r="D12226" t="inlineStr">
        <is>
          <t>GÄVLEBORGS LÄN</t>
        </is>
      </c>
      <c r="E12226" t="inlineStr">
        <is>
          <t>LJUSDAL</t>
        </is>
      </c>
      <c r="F12226" t="inlineStr">
        <is>
          <t>Sveaskog</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41985-2024</t>
        </is>
      </c>
      <c r="B12227" s="1" t="n">
        <v>45561</v>
      </c>
      <c r="C12227" s="1" t="n">
        <v>45568</v>
      </c>
      <c r="D12227" t="inlineStr">
        <is>
          <t>GÄVLEBORGS LÄN</t>
        </is>
      </c>
      <c r="E12227" t="inlineStr">
        <is>
          <t>LJUSDAL</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41800-2024</t>
        </is>
      </c>
      <c r="B12228" s="1" t="n">
        <v>45561</v>
      </c>
      <c r="C12228" s="1" t="n">
        <v>45568</v>
      </c>
      <c r="D12228" t="inlineStr">
        <is>
          <t>GÄVLEBORGS LÄN</t>
        </is>
      </c>
      <c r="E12228" t="inlineStr">
        <is>
          <t>SANDVIKEN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41857-2024</t>
        </is>
      </c>
      <c r="B12229" s="1" t="n">
        <v>45561</v>
      </c>
      <c r="C12229" s="1" t="n">
        <v>45568</v>
      </c>
      <c r="D12229" t="inlineStr">
        <is>
          <t>GÄVLEBORGS LÄN</t>
        </is>
      </c>
      <c r="E12229" t="inlineStr">
        <is>
          <t>HUDIKSVALL</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41865-2024</t>
        </is>
      </c>
      <c r="B12230" s="1" t="n">
        <v>45561</v>
      </c>
      <c r="C12230" s="1" t="n">
        <v>45568</v>
      </c>
      <c r="D12230" t="inlineStr">
        <is>
          <t>GÄVLEBORGS LÄN</t>
        </is>
      </c>
      <c r="E12230" t="inlineStr">
        <is>
          <t>BOLLNÄS</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41801-2024</t>
        </is>
      </c>
      <c r="B12231" s="1" t="n">
        <v>45561</v>
      </c>
      <c r="C12231" s="1" t="n">
        <v>45568</v>
      </c>
      <c r="D12231" t="inlineStr">
        <is>
          <t>GÄVLEBORGS LÄN</t>
        </is>
      </c>
      <c r="E12231" t="inlineStr">
        <is>
          <t>LJUSDAL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41994-2024</t>
        </is>
      </c>
      <c r="B12232" s="1" t="n">
        <v>45561</v>
      </c>
      <c r="C12232" s="1" t="n">
        <v>45568</v>
      </c>
      <c r="D12232" t="inlineStr">
        <is>
          <t>GÄVLEBORGS LÄN</t>
        </is>
      </c>
      <c r="E12232" t="inlineStr">
        <is>
          <t>LJUSDAL</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41882-2024</t>
        </is>
      </c>
      <c r="B12233" s="1" t="n">
        <v>45561</v>
      </c>
      <c r="C12233" s="1" t="n">
        <v>45568</v>
      </c>
      <c r="D12233" t="inlineStr">
        <is>
          <t>GÄVLEBORGS LÄN</t>
        </is>
      </c>
      <c r="E12233" t="inlineStr">
        <is>
          <t>LJUSDAL</t>
        </is>
      </c>
      <c r="G12233" t="n">
        <v>11.9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42035-2024</t>
        </is>
      </c>
      <c r="B12234" s="1" t="n">
        <v>45561</v>
      </c>
      <c r="C12234" s="1" t="n">
        <v>45568</v>
      </c>
      <c r="D12234" t="inlineStr">
        <is>
          <t>GÄVLEBORGS LÄN</t>
        </is>
      </c>
      <c r="E12234" t="inlineStr">
        <is>
          <t>SÖDERHAMN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42069-2024</t>
        </is>
      </c>
      <c r="B12235" s="1" t="n">
        <v>45562</v>
      </c>
      <c r="C12235" s="1" t="n">
        <v>45568</v>
      </c>
      <c r="D12235" t="inlineStr">
        <is>
          <t>GÄVLEBORGS LÄN</t>
        </is>
      </c>
      <c r="E12235" t="inlineStr">
        <is>
          <t>SANDVIKEN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42095-2024</t>
        </is>
      </c>
      <c r="B12236" s="1" t="n">
        <v>45562</v>
      </c>
      <c r="C12236" s="1" t="n">
        <v>45568</v>
      </c>
      <c r="D12236" t="inlineStr">
        <is>
          <t>GÄVLEBORGS LÄN</t>
        </is>
      </c>
      <c r="E12236" t="inlineStr">
        <is>
          <t>LJUSDAL</t>
        </is>
      </c>
      <c r="F12236" t="inlineStr">
        <is>
          <t>SCA</t>
        </is>
      </c>
      <c r="G12236" t="n">
        <v>9.300000000000001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42107-2024</t>
        </is>
      </c>
      <c r="B12237" s="1" t="n">
        <v>45562</v>
      </c>
      <c r="C12237" s="1" t="n">
        <v>45568</v>
      </c>
      <c r="D12237" t="inlineStr">
        <is>
          <t>GÄVLEBORGS LÄN</t>
        </is>
      </c>
      <c r="E12237" t="inlineStr">
        <is>
          <t>SANDVIKEN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42144-2024</t>
        </is>
      </c>
      <c r="B12238" s="1" t="n">
        <v>45562</v>
      </c>
      <c r="C12238" s="1" t="n">
        <v>45568</v>
      </c>
      <c r="D12238" t="inlineStr">
        <is>
          <t>GÄVLEBORGS LÄN</t>
        </is>
      </c>
      <c r="E12238" t="inlineStr">
        <is>
          <t>HUDIKSVALL</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42152-2024</t>
        </is>
      </c>
      <c r="B12239" s="1" t="n">
        <v>45562</v>
      </c>
      <c r="C12239" s="1" t="n">
        <v>45568</v>
      </c>
      <c r="D12239" t="inlineStr">
        <is>
          <t>GÄVLEBORGS LÄN</t>
        </is>
      </c>
      <c r="E12239" t="inlineStr">
        <is>
          <t>LJUSDAL</t>
        </is>
      </c>
      <c r="F12239" t="inlineStr">
        <is>
          <t>SCA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42071-2024</t>
        </is>
      </c>
      <c r="B12240" s="1" t="n">
        <v>45562</v>
      </c>
      <c r="C12240" s="1" t="n">
        <v>45568</v>
      </c>
      <c r="D12240" t="inlineStr">
        <is>
          <t>GÄVLEBORGS LÄN</t>
        </is>
      </c>
      <c r="E12240" t="inlineStr">
        <is>
          <t>SANDVIKEN</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42101-2024</t>
        </is>
      </c>
      <c r="B12241" s="1" t="n">
        <v>45562</v>
      </c>
      <c r="C12241" s="1" t="n">
        <v>45568</v>
      </c>
      <c r="D12241" t="inlineStr">
        <is>
          <t>GÄVLEBORGS LÄN</t>
        </is>
      </c>
      <c r="E12241" t="inlineStr">
        <is>
          <t>HUDIKSVALL</t>
        </is>
      </c>
      <c r="F12241" t="inlineStr">
        <is>
          <t>Holmen skog AB</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42129-2024</t>
        </is>
      </c>
      <c r="B12242" s="1" t="n">
        <v>45562</v>
      </c>
      <c r="C12242" s="1" t="n">
        <v>45568</v>
      </c>
      <c r="D12242" t="inlineStr">
        <is>
          <t>GÄVLEBORGS LÄN</t>
        </is>
      </c>
      <c r="E12242" t="inlineStr">
        <is>
          <t>BOLLNÄS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42158-2024</t>
        </is>
      </c>
      <c r="B12243" s="1" t="n">
        <v>45562</v>
      </c>
      <c r="C12243" s="1" t="n">
        <v>45568</v>
      </c>
      <c r="D12243" t="inlineStr">
        <is>
          <t>GÄVLEBORGS LÄN</t>
        </is>
      </c>
      <c r="E12243" t="inlineStr">
        <is>
          <t>LJUSDAL</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42210-2024</t>
        </is>
      </c>
      <c r="B12244" s="1" t="n">
        <v>45562</v>
      </c>
      <c r="C12244" s="1" t="n">
        <v>45568</v>
      </c>
      <c r="D12244" t="inlineStr">
        <is>
          <t>GÄVLEBORGS LÄN</t>
        </is>
      </c>
      <c r="E12244" t="inlineStr">
        <is>
          <t>GÄVLE</t>
        </is>
      </c>
      <c r="F12244" t="inlineStr">
        <is>
          <t>Bergvik skog väst AB</t>
        </is>
      </c>
      <c r="G12244" t="n">
        <v>10.7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42068-2024</t>
        </is>
      </c>
      <c r="B12245" s="1" t="n">
        <v>45562</v>
      </c>
      <c r="C12245" s="1" t="n">
        <v>45568</v>
      </c>
      <c r="D12245" t="inlineStr">
        <is>
          <t>GÄVLEBORGS LÄN</t>
        </is>
      </c>
      <c r="E12245" t="inlineStr">
        <is>
          <t>OVANÅKER</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42082-2024</t>
        </is>
      </c>
      <c r="B12246" s="1" t="n">
        <v>45562</v>
      </c>
      <c r="C12246" s="1" t="n">
        <v>45568</v>
      </c>
      <c r="D12246" t="inlineStr">
        <is>
          <t>GÄVLEBORGS LÄN</t>
        </is>
      </c>
      <c r="E12246" t="inlineStr">
        <is>
          <t>LJUSDAL</t>
        </is>
      </c>
      <c r="F12246" t="inlineStr">
        <is>
          <t>Bergvik skog väst AB</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42164-2024</t>
        </is>
      </c>
      <c r="B12247" s="1" t="n">
        <v>45562</v>
      </c>
      <c r="C12247" s="1" t="n">
        <v>45568</v>
      </c>
      <c r="D12247" t="inlineStr">
        <is>
          <t>GÄVLEBORGS LÄN</t>
        </is>
      </c>
      <c r="E12247" t="inlineStr">
        <is>
          <t>LJUSDAL</t>
        </is>
      </c>
      <c r="F12247" t="inlineStr">
        <is>
          <t>Bergvik skog väst AB</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42088-2024</t>
        </is>
      </c>
      <c r="B12248" s="1" t="n">
        <v>45562</v>
      </c>
      <c r="C12248" s="1" t="n">
        <v>45568</v>
      </c>
      <c r="D12248" t="inlineStr">
        <is>
          <t>GÄVLEBORGS LÄN</t>
        </is>
      </c>
      <c r="E12248" t="inlineStr">
        <is>
          <t>SANDVIKEN</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42136-2024</t>
        </is>
      </c>
      <c r="B12249" s="1" t="n">
        <v>45562</v>
      </c>
      <c r="C12249" s="1" t="n">
        <v>45568</v>
      </c>
      <c r="D12249" t="inlineStr">
        <is>
          <t>GÄVLEBORGS LÄN</t>
        </is>
      </c>
      <c r="E12249" t="inlineStr">
        <is>
          <t>HUDIKSVALL</t>
        </is>
      </c>
      <c r="F12249" t="inlineStr">
        <is>
          <t>Holmen skog AB</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42153-2024</t>
        </is>
      </c>
      <c r="B12250" s="1" t="n">
        <v>45562</v>
      </c>
      <c r="C12250" s="1" t="n">
        <v>45568</v>
      </c>
      <c r="D12250" t="inlineStr">
        <is>
          <t>GÄVLEBORGS LÄN</t>
        </is>
      </c>
      <c r="E12250" t="inlineStr">
        <is>
          <t>LJUSDAL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42217-2024</t>
        </is>
      </c>
      <c r="B12251" s="1" t="n">
        <v>45562</v>
      </c>
      <c r="C12251" s="1" t="n">
        <v>45568</v>
      </c>
      <c r="D12251" t="inlineStr">
        <is>
          <t>GÄVLEBORGS LÄN</t>
        </is>
      </c>
      <c r="E12251" t="inlineStr">
        <is>
          <t>HUDIKSVALL</t>
        </is>
      </c>
      <c r="F12251" t="inlineStr">
        <is>
          <t>Holmen skog AB</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42263-2024</t>
        </is>
      </c>
      <c r="B12252" s="1" t="n">
        <v>45562</v>
      </c>
      <c r="C12252" s="1" t="n">
        <v>45568</v>
      </c>
      <c r="D12252" t="inlineStr">
        <is>
          <t>GÄVLEBORGS LÄN</t>
        </is>
      </c>
      <c r="E12252" t="inlineStr">
        <is>
          <t>LJUSDAL</t>
        </is>
      </c>
      <c r="G12252" t="n">
        <v>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42273-2024</t>
        </is>
      </c>
      <c r="B12253" s="1" t="n">
        <v>45562</v>
      </c>
      <c r="C12253" s="1" t="n">
        <v>45568</v>
      </c>
      <c r="D12253" t="inlineStr">
        <is>
          <t>GÄVLEBORGS LÄN</t>
        </is>
      </c>
      <c r="E12253" t="inlineStr">
        <is>
          <t>SÖDERHAMN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42314-2024</t>
        </is>
      </c>
      <c r="B12254" s="1" t="n">
        <v>45562</v>
      </c>
      <c r="C12254" s="1" t="n">
        <v>45568</v>
      </c>
      <c r="D12254" t="inlineStr">
        <is>
          <t>GÄVLEBORGS LÄN</t>
        </is>
      </c>
      <c r="E12254" t="inlineStr">
        <is>
          <t>HUDIKSVALL</t>
        </is>
      </c>
      <c r="F12254" t="inlineStr">
        <is>
          <t>Holmen skog AB</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42322-2024</t>
        </is>
      </c>
      <c r="B12255" s="1" t="n">
        <v>45562</v>
      </c>
      <c r="C12255" s="1" t="n">
        <v>45568</v>
      </c>
      <c r="D12255" t="inlineStr">
        <is>
          <t>GÄVLEBORGS LÄN</t>
        </is>
      </c>
      <c r="E12255" t="inlineStr">
        <is>
          <t>OVANÅKER</t>
        </is>
      </c>
      <c r="G12255" t="n">
        <v>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42331-2024</t>
        </is>
      </c>
      <c r="B12256" s="1" t="n">
        <v>45562</v>
      </c>
      <c r="C12256" s="1" t="n">
        <v>45568</v>
      </c>
      <c r="D12256" t="inlineStr">
        <is>
          <t>GÄVLEBORGS LÄN</t>
        </is>
      </c>
      <c r="E12256" t="inlineStr">
        <is>
          <t>OVANÅKER</t>
        </is>
      </c>
      <c r="G12256" t="n">
        <v>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42360-2024</t>
        </is>
      </c>
      <c r="B12257" s="1" t="n">
        <v>45562</v>
      </c>
      <c r="C12257" s="1" t="n">
        <v>45568</v>
      </c>
      <c r="D12257" t="inlineStr">
        <is>
          <t>GÄVLEBORGS LÄN</t>
        </is>
      </c>
      <c r="E12257" t="inlineStr">
        <is>
          <t>GÄVLE</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42265-2024</t>
        </is>
      </c>
      <c r="B12258" s="1" t="n">
        <v>45562</v>
      </c>
      <c r="C12258" s="1" t="n">
        <v>45568</v>
      </c>
      <c r="D12258" t="inlineStr">
        <is>
          <t>GÄVLEBORGS LÄN</t>
        </is>
      </c>
      <c r="E12258" t="inlineStr">
        <is>
          <t>SÖDERHAMN</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42253-2024</t>
        </is>
      </c>
      <c r="B12259" s="1" t="n">
        <v>45562</v>
      </c>
      <c r="C12259" s="1" t="n">
        <v>45568</v>
      </c>
      <c r="D12259" t="inlineStr">
        <is>
          <t>GÄVLEBORGS LÄN</t>
        </is>
      </c>
      <c r="E12259" t="inlineStr">
        <is>
          <t>NORDANSTIG</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42316-2024</t>
        </is>
      </c>
      <c r="B12260" s="1" t="n">
        <v>45562</v>
      </c>
      <c r="C12260" s="1" t="n">
        <v>45568</v>
      </c>
      <c r="D12260" t="inlineStr">
        <is>
          <t>GÄVLEBORGS LÄN</t>
        </is>
      </c>
      <c r="E12260" t="inlineStr">
        <is>
          <t>OVANÅKER</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42324-2024</t>
        </is>
      </c>
      <c r="B12261" s="1" t="n">
        <v>45562</v>
      </c>
      <c r="C12261" s="1" t="n">
        <v>45568</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42334-2024</t>
        </is>
      </c>
      <c r="B12262" s="1" t="n">
        <v>45562</v>
      </c>
      <c r="C12262" s="1" t="n">
        <v>45568</v>
      </c>
      <c r="D12262" t="inlineStr">
        <is>
          <t>GÄVLEBORGS LÄN</t>
        </is>
      </c>
      <c r="E12262" t="inlineStr">
        <is>
          <t>OVANÅKER</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42417-2024</t>
        </is>
      </c>
      <c r="B12263" s="1" t="n">
        <v>45565</v>
      </c>
      <c r="C12263" s="1" t="n">
        <v>45568</v>
      </c>
      <c r="D12263" t="inlineStr">
        <is>
          <t>GÄVLEBORGS LÄN</t>
        </is>
      </c>
      <c r="E12263" t="inlineStr">
        <is>
          <t>LJUSDAL</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42521-2024</t>
        </is>
      </c>
      <c r="B12264" s="1" t="n">
        <v>45565</v>
      </c>
      <c r="C12264" s="1" t="n">
        <v>45568</v>
      </c>
      <c r="D12264" t="inlineStr">
        <is>
          <t>GÄVLEBORGS LÄN</t>
        </is>
      </c>
      <c r="E12264" t="inlineStr">
        <is>
          <t>HUDIKSVALL</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42537-2024</t>
        </is>
      </c>
      <c r="B12265" s="1" t="n">
        <v>45565</v>
      </c>
      <c r="C12265" s="1" t="n">
        <v>45568</v>
      </c>
      <c r="D12265" t="inlineStr">
        <is>
          <t>GÄVLEBORGS LÄN</t>
        </is>
      </c>
      <c r="E12265" t="inlineStr">
        <is>
          <t>LJUSDAL</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42541-2024</t>
        </is>
      </c>
      <c r="B12266" s="1" t="n">
        <v>45565</v>
      </c>
      <c r="C12266" s="1" t="n">
        <v>45568</v>
      </c>
      <c r="D12266" t="inlineStr">
        <is>
          <t>GÄVLEBORGS LÄN</t>
        </is>
      </c>
      <c r="E12266" t="inlineStr">
        <is>
          <t>BOLLNÄS</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42549-2024</t>
        </is>
      </c>
      <c r="B12267" s="1" t="n">
        <v>45565</v>
      </c>
      <c r="C12267" s="1" t="n">
        <v>45568</v>
      </c>
      <c r="D12267" t="inlineStr">
        <is>
          <t>GÄVLEBORGS LÄN</t>
        </is>
      </c>
      <c r="E12267" t="inlineStr">
        <is>
          <t>SÖDERHAMN</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42575-2024</t>
        </is>
      </c>
      <c r="B12268" s="1" t="n">
        <v>45565</v>
      </c>
      <c r="C12268" s="1" t="n">
        <v>45568</v>
      </c>
      <c r="D12268" t="inlineStr">
        <is>
          <t>GÄVLEBORGS LÄN</t>
        </is>
      </c>
      <c r="E12268" t="inlineStr">
        <is>
          <t>BOLLNÄS</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42579-2024</t>
        </is>
      </c>
      <c r="B12269" s="1" t="n">
        <v>45565</v>
      </c>
      <c r="C12269" s="1" t="n">
        <v>45568</v>
      </c>
      <c r="D12269" t="inlineStr">
        <is>
          <t>GÄVLEBORGS LÄN</t>
        </is>
      </c>
      <c r="E12269" t="inlineStr">
        <is>
          <t>BOLLNÄS</t>
        </is>
      </c>
      <c r="G12269" t="n">
        <v>7.9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42392-2024</t>
        </is>
      </c>
      <c r="B12270" s="1" t="n">
        <v>45565</v>
      </c>
      <c r="C12270" s="1" t="n">
        <v>45568</v>
      </c>
      <c r="D12270" t="inlineStr">
        <is>
          <t>GÄVLEBORGS LÄN</t>
        </is>
      </c>
      <c r="E12270" t="inlineStr">
        <is>
          <t>LJUSDAL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42400-2024</t>
        </is>
      </c>
      <c r="B12271" s="1" t="n">
        <v>45565</v>
      </c>
      <c r="C12271" s="1" t="n">
        <v>45568</v>
      </c>
      <c r="D12271" t="inlineStr">
        <is>
          <t>GÄVLEBORGS LÄN</t>
        </is>
      </c>
      <c r="E12271" t="inlineStr">
        <is>
          <t>GÄVLE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42527-2024</t>
        </is>
      </c>
      <c r="B12272" s="1" t="n">
        <v>45565</v>
      </c>
      <c r="C12272" s="1" t="n">
        <v>45568</v>
      </c>
      <c r="D12272" t="inlineStr">
        <is>
          <t>GÄVLEBORGS LÄN</t>
        </is>
      </c>
      <c r="E12272" t="inlineStr">
        <is>
          <t>OCKELBO</t>
        </is>
      </c>
      <c r="F12272" t="inlineStr">
        <is>
          <t>Bergvik skog väst AB</t>
        </is>
      </c>
      <c r="G12272" t="n">
        <v>11.4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42543-2024</t>
        </is>
      </c>
      <c r="B12273" s="1" t="n">
        <v>45565</v>
      </c>
      <c r="C12273" s="1" t="n">
        <v>45568</v>
      </c>
      <c r="D12273" t="inlineStr">
        <is>
          <t>GÄVLEBORGS LÄN</t>
        </is>
      </c>
      <c r="E12273" t="inlineStr">
        <is>
          <t>BOLLNÄS</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42509-2024</t>
        </is>
      </c>
      <c r="B12274" s="1" t="n">
        <v>45565</v>
      </c>
      <c r="C12274" s="1" t="n">
        <v>45568</v>
      </c>
      <c r="D12274" t="inlineStr">
        <is>
          <t>GÄVLEBORGS LÄN</t>
        </is>
      </c>
      <c r="E12274" t="inlineStr">
        <is>
          <t>HUDIKSVALL</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42518-2024</t>
        </is>
      </c>
      <c r="B12275" s="1" t="n">
        <v>45565</v>
      </c>
      <c r="C12275" s="1" t="n">
        <v>45568</v>
      </c>
      <c r="D12275" t="inlineStr">
        <is>
          <t>GÄVLEBORGS LÄN</t>
        </is>
      </c>
      <c r="E12275" t="inlineStr">
        <is>
          <t>HUDIKSVALL</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42580-2024</t>
        </is>
      </c>
      <c r="B12276" s="1" t="n">
        <v>45565</v>
      </c>
      <c r="C12276" s="1" t="n">
        <v>45568</v>
      </c>
      <c r="D12276" t="inlineStr">
        <is>
          <t>GÄVLEBORGS LÄN</t>
        </is>
      </c>
      <c r="E12276" t="inlineStr">
        <is>
          <t>BOLLNÄS</t>
        </is>
      </c>
      <c r="G12276" t="n">
        <v>7.9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42629-2024</t>
        </is>
      </c>
      <c r="B12277" s="1" t="n">
        <v>45565</v>
      </c>
      <c r="C12277" s="1" t="n">
        <v>45568</v>
      </c>
      <c r="D12277" t="inlineStr">
        <is>
          <t>GÄVLEBORGS LÄN</t>
        </is>
      </c>
      <c r="E12277" t="inlineStr">
        <is>
          <t>HUDIKSVALL</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42540-2024</t>
        </is>
      </c>
      <c r="B12278" s="1" t="n">
        <v>45565</v>
      </c>
      <c r="C12278" s="1" t="n">
        <v>45568</v>
      </c>
      <c r="D12278" t="inlineStr">
        <is>
          <t>GÄVLEBORGS LÄN</t>
        </is>
      </c>
      <c r="E12278" t="inlineStr">
        <is>
          <t>LJUSDAL</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42570-2024</t>
        </is>
      </c>
      <c r="B12279" s="1" t="n">
        <v>45565</v>
      </c>
      <c r="C12279" s="1" t="n">
        <v>45568</v>
      </c>
      <c r="D12279" t="inlineStr">
        <is>
          <t>GÄVLEBORGS LÄN</t>
        </is>
      </c>
      <c r="E12279" t="inlineStr">
        <is>
          <t>BOLLNÄS</t>
        </is>
      </c>
      <c r="G12279" t="n">
        <v>4.6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42692-2024</t>
        </is>
      </c>
      <c r="B12280" s="1" t="n">
        <v>45566</v>
      </c>
      <c r="C12280" s="1" t="n">
        <v>45568</v>
      </c>
      <c r="D12280" t="inlineStr">
        <is>
          <t>GÄVLEBORGS LÄN</t>
        </is>
      </c>
      <c r="E12280" t="inlineStr">
        <is>
          <t>HUDIKSVALL</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42708-2024</t>
        </is>
      </c>
      <c r="B12281" s="1" t="n">
        <v>45566</v>
      </c>
      <c r="C12281" s="1" t="n">
        <v>45568</v>
      </c>
      <c r="D12281" t="inlineStr">
        <is>
          <t>GÄVLEBORGS LÄN</t>
        </is>
      </c>
      <c r="E12281" t="inlineStr">
        <is>
          <t>HUDIKSVALL</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42722-2024</t>
        </is>
      </c>
      <c r="B12282" s="1" t="n">
        <v>45566</v>
      </c>
      <c r="C12282" s="1" t="n">
        <v>45568</v>
      </c>
      <c r="D12282" t="inlineStr">
        <is>
          <t>GÄVLEBORGS LÄN</t>
        </is>
      </c>
      <c r="E12282" t="inlineStr">
        <is>
          <t>OVANÅKER</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42726-2024</t>
        </is>
      </c>
      <c r="B12283" s="1" t="n">
        <v>45566</v>
      </c>
      <c r="C12283" s="1" t="n">
        <v>45568</v>
      </c>
      <c r="D12283" t="inlineStr">
        <is>
          <t>GÄVLEBORGS LÄN</t>
        </is>
      </c>
      <c r="E12283" t="inlineStr">
        <is>
          <t>LJUSDAL</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42643-2024</t>
        </is>
      </c>
      <c r="B12284" s="1" t="n">
        <v>45566</v>
      </c>
      <c r="C12284" s="1" t="n">
        <v>45568</v>
      </c>
      <c r="D12284" t="inlineStr">
        <is>
          <t>GÄVLEBORGS LÄN</t>
        </is>
      </c>
      <c r="E12284" t="inlineStr">
        <is>
          <t>BOLLNÄS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42659-2024</t>
        </is>
      </c>
      <c r="B12285" s="1" t="n">
        <v>45566</v>
      </c>
      <c r="C12285" s="1" t="n">
        <v>45568</v>
      </c>
      <c r="D12285" t="inlineStr">
        <is>
          <t>GÄVLEBORGS LÄN</t>
        </is>
      </c>
      <c r="E12285" t="inlineStr">
        <is>
          <t>HUDIKSVALL</t>
        </is>
      </c>
      <c r="F12285" t="inlineStr">
        <is>
          <t>Holmen skog AB</t>
        </is>
      </c>
      <c r="G12285" t="n">
        <v>10</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42687-2024</t>
        </is>
      </c>
      <c r="B12286" s="1" t="n">
        <v>45566</v>
      </c>
      <c r="C12286" s="1" t="n">
        <v>45568</v>
      </c>
      <c r="D12286" t="inlineStr">
        <is>
          <t>GÄVLEBORGS LÄN</t>
        </is>
      </c>
      <c r="E12286" t="inlineStr">
        <is>
          <t>HUDIKSVALL</t>
        </is>
      </c>
      <c r="F12286" t="inlineStr">
        <is>
          <t>Holmen skog AB</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42701-2024</t>
        </is>
      </c>
      <c r="B12287" s="1" t="n">
        <v>45566</v>
      </c>
      <c r="C12287" s="1" t="n">
        <v>45568</v>
      </c>
      <c r="D12287" t="inlineStr">
        <is>
          <t>GÄVLEBORGS LÄN</t>
        </is>
      </c>
      <c r="E12287" t="inlineStr">
        <is>
          <t>NORDANSTIG</t>
        </is>
      </c>
      <c r="F12287" t="inlineStr">
        <is>
          <t>Holmen skog AB</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42657-2024</t>
        </is>
      </c>
      <c r="B12288" s="1" t="n">
        <v>45566</v>
      </c>
      <c r="C12288" s="1" t="n">
        <v>45568</v>
      </c>
      <c r="D12288" t="inlineStr">
        <is>
          <t>GÄVLEBORGS LÄN</t>
        </is>
      </c>
      <c r="E12288" t="inlineStr">
        <is>
          <t>HUDIKSVALL</t>
        </is>
      </c>
      <c r="F12288" t="inlineStr">
        <is>
          <t>Holmen skog AB</t>
        </is>
      </c>
      <c r="G12288" t="n">
        <v>10</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42796-2024</t>
        </is>
      </c>
      <c r="B12289" s="1" t="n">
        <v>45566</v>
      </c>
      <c r="C12289" s="1" t="n">
        <v>45568</v>
      </c>
      <c r="D12289" t="inlineStr">
        <is>
          <t>GÄVLEBORGS LÄN</t>
        </is>
      </c>
      <c r="E12289" t="inlineStr">
        <is>
          <t>NORDANSTIG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42703-2024</t>
        </is>
      </c>
      <c r="B12290" s="1" t="n">
        <v>45566</v>
      </c>
      <c r="C12290" s="1" t="n">
        <v>45568</v>
      </c>
      <c r="D12290" t="inlineStr">
        <is>
          <t>GÄVLEBORGS LÄN</t>
        </is>
      </c>
      <c r="E12290" t="inlineStr">
        <is>
          <t>LJUSDAL</t>
        </is>
      </c>
      <c r="F12290" t="inlineStr">
        <is>
          <t>Kommuner</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42712-2024</t>
        </is>
      </c>
      <c r="B12291" s="1" t="n">
        <v>45566</v>
      </c>
      <c r="C12291" s="1" t="n">
        <v>45568</v>
      </c>
      <c r="D12291" t="inlineStr">
        <is>
          <t>GÄVLEBORGS LÄN</t>
        </is>
      </c>
      <c r="E12291" t="inlineStr">
        <is>
          <t>LJUSDAL</t>
        </is>
      </c>
      <c r="F12291" t="inlineStr">
        <is>
          <t>Kommuner</t>
        </is>
      </c>
      <c r="G12291" t="n">
        <v>6.9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42717-2024</t>
        </is>
      </c>
      <c r="B12292" s="1" t="n">
        <v>45566</v>
      </c>
      <c r="C12292" s="1" t="n">
        <v>45568</v>
      </c>
      <c r="D12292" t="inlineStr">
        <is>
          <t>GÄVLEBORGS LÄN</t>
        </is>
      </c>
      <c r="E12292" t="inlineStr">
        <is>
          <t>NORDANSTIG</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42858-2024</t>
        </is>
      </c>
      <c r="B12293" s="1" t="n">
        <v>45566</v>
      </c>
      <c r="C12293" s="1" t="n">
        <v>45568</v>
      </c>
      <c r="D12293" t="inlineStr">
        <is>
          <t>GÄVLEBORGS LÄN</t>
        </is>
      </c>
      <c r="E12293" t="inlineStr">
        <is>
          <t>NORDANSTIG</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42644-2024</t>
        </is>
      </c>
      <c r="B12294" s="1" t="n">
        <v>45566</v>
      </c>
      <c r="C12294" s="1" t="n">
        <v>45568</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42720-2024</t>
        </is>
      </c>
      <c r="B12295" s="1" t="n">
        <v>45566</v>
      </c>
      <c r="C12295" s="1" t="n">
        <v>45568</v>
      </c>
      <c r="D12295" t="inlineStr">
        <is>
          <t>GÄVLEBORGS LÄN</t>
        </is>
      </c>
      <c r="E12295" t="inlineStr">
        <is>
          <t>LJUSDAL</t>
        </is>
      </c>
      <c r="F12295" t="inlineStr">
        <is>
          <t>Kommuner</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42865-2024</t>
        </is>
      </c>
      <c r="B12296" s="1" t="n">
        <v>45566</v>
      </c>
      <c r="C12296" s="1" t="n">
        <v>45568</v>
      </c>
      <c r="D12296" t="inlineStr">
        <is>
          <t>GÄVLEBORGS LÄN</t>
        </is>
      </c>
      <c r="E12296" t="inlineStr">
        <is>
          <t>SANDVIKEN</t>
        </is>
      </c>
      <c r="F12296" t="inlineStr">
        <is>
          <t>Sveaskog</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42869-2024</t>
        </is>
      </c>
      <c r="B12297" s="1" t="n">
        <v>45566</v>
      </c>
      <c r="C12297" s="1" t="n">
        <v>45568</v>
      </c>
      <c r="D12297" t="inlineStr">
        <is>
          <t>GÄVLEBORGS LÄN</t>
        </is>
      </c>
      <c r="E12297" t="inlineStr">
        <is>
          <t>SANDVIKEN</t>
        </is>
      </c>
      <c r="F12297" t="inlineStr">
        <is>
          <t>Sveaskog</t>
        </is>
      </c>
      <c r="G12297" t="n">
        <v>6.9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42873-2024</t>
        </is>
      </c>
      <c r="B12298" s="1" t="n">
        <v>45566</v>
      </c>
      <c r="C12298" s="1" t="n">
        <v>45568</v>
      </c>
      <c r="D12298" t="inlineStr">
        <is>
          <t>GÄVLEBORGS LÄN</t>
        </is>
      </c>
      <c r="E12298" t="inlineStr">
        <is>
          <t>OCKELBO</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42810-2024</t>
        </is>
      </c>
      <c r="B12299" s="1" t="n">
        <v>45566</v>
      </c>
      <c r="C12299" s="1" t="n">
        <v>45568</v>
      </c>
      <c r="D12299" t="inlineStr">
        <is>
          <t>GÄVLEBORGS LÄN</t>
        </is>
      </c>
      <c r="E12299" t="inlineStr">
        <is>
          <t>OCKELBO</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42902-2024</t>
        </is>
      </c>
      <c r="B12300" s="1" t="n">
        <v>45566</v>
      </c>
      <c r="C12300" s="1" t="n">
        <v>45568</v>
      </c>
      <c r="D12300" t="inlineStr">
        <is>
          <t>GÄVLEBORGS LÄN</t>
        </is>
      </c>
      <c r="E12300" t="inlineStr">
        <is>
          <t>SÖDERHAMN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42864-2024</t>
        </is>
      </c>
      <c r="B12301" s="1" t="n">
        <v>45566</v>
      </c>
      <c r="C12301" s="1" t="n">
        <v>45568</v>
      </c>
      <c r="D12301" t="inlineStr">
        <is>
          <t>GÄVLEBORGS LÄN</t>
        </is>
      </c>
      <c r="E12301" t="inlineStr">
        <is>
          <t>SANDVIKEN</t>
        </is>
      </c>
      <c r="F12301" t="inlineStr">
        <is>
          <t>Sveaskog</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42868-2024</t>
        </is>
      </c>
      <c r="B12302" s="1" t="n">
        <v>45566</v>
      </c>
      <c r="C12302" s="1" t="n">
        <v>45568</v>
      </c>
      <c r="D12302" t="inlineStr">
        <is>
          <t>GÄVLEBORGS LÄN</t>
        </is>
      </c>
      <c r="E12302" t="inlineStr">
        <is>
          <t>SANDVIKEN</t>
        </is>
      </c>
      <c r="F12302" t="inlineStr">
        <is>
          <t>Sveaskog</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42997-2024</t>
        </is>
      </c>
      <c r="B12303" s="1" t="n">
        <v>45567</v>
      </c>
      <c r="C12303" s="1" t="n">
        <v>45568</v>
      </c>
      <c r="D12303" t="inlineStr">
        <is>
          <t>GÄVLEBORGS LÄN</t>
        </is>
      </c>
      <c r="E12303" t="inlineStr">
        <is>
          <t>LJUSDAL</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43005-2024</t>
        </is>
      </c>
      <c r="B12304" s="1" t="n">
        <v>45567</v>
      </c>
      <c r="C12304" s="1" t="n">
        <v>45568</v>
      </c>
      <c r="D12304" t="inlineStr">
        <is>
          <t>GÄVLEBORGS LÄN</t>
        </is>
      </c>
      <c r="E12304" t="inlineStr">
        <is>
          <t>GÄVLE</t>
        </is>
      </c>
      <c r="F12304" t="inlineStr">
        <is>
          <t>Bergvik skog öst AB</t>
        </is>
      </c>
      <c r="G12304" t="n">
        <v>14.8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43042-2024</t>
        </is>
      </c>
      <c r="B12305" s="1" t="n">
        <v>45567</v>
      </c>
      <c r="C12305" s="1" t="n">
        <v>45568</v>
      </c>
      <c r="D12305" t="inlineStr">
        <is>
          <t>GÄVLEBORGS LÄN</t>
        </is>
      </c>
      <c r="E12305" t="inlineStr">
        <is>
          <t>BOLLNÄS</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42991-2024</t>
        </is>
      </c>
      <c r="B12306" s="1" t="n">
        <v>45567</v>
      </c>
      <c r="C12306" s="1" t="n">
        <v>45568</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42942-2024</t>
        </is>
      </c>
      <c r="B12307" s="1" t="n">
        <v>45567</v>
      </c>
      <c r="C12307" s="1" t="n">
        <v>45568</v>
      </c>
      <c r="D12307" t="inlineStr">
        <is>
          <t>GÄVLEBORGS LÄN</t>
        </is>
      </c>
      <c r="E12307" t="inlineStr">
        <is>
          <t>HUDIKSVALL</t>
        </is>
      </c>
      <c r="F12307" t="inlineStr">
        <is>
          <t>Holmen skog AB</t>
        </is>
      </c>
      <c r="G12307" t="n">
        <v>5.4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43007-2024</t>
        </is>
      </c>
      <c r="B12308" s="1" t="n">
        <v>45567</v>
      </c>
      <c r="C12308" s="1" t="n">
        <v>45568</v>
      </c>
      <c r="D12308" t="inlineStr">
        <is>
          <t>GÄVLEBORGS LÄN</t>
        </is>
      </c>
      <c r="E12308" t="inlineStr">
        <is>
          <t>GÄVLE</t>
        </is>
      </c>
      <c r="F12308" t="inlineStr">
        <is>
          <t>Bergvik skog öst AB</t>
        </is>
      </c>
      <c r="G12308" t="n">
        <v>14.8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43028-2024</t>
        </is>
      </c>
      <c r="B12309" s="1" t="n">
        <v>45567</v>
      </c>
      <c r="C12309" s="1" t="n">
        <v>45568</v>
      </c>
      <c r="D12309" t="inlineStr">
        <is>
          <t>GÄVLEBORGS LÄN</t>
        </is>
      </c>
      <c r="E12309" t="inlineStr">
        <is>
          <t>BOLLNÄS</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43070-2024</t>
        </is>
      </c>
      <c r="B12310" s="1" t="n">
        <v>45567</v>
      </c>
      <c r="C12310" s="1" t="n">
        <v>45568</v>
      </c>
      <c r="D12310" t="inlineStr">
        <is>
          <t>GÄVLEBORGS LÄN</t>
        </is>
      </c>
      <c r="E12310" t="inlineStr">
        <is>
          <t>HUDIKSVALL</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43075-2024</t>
        </is>
      </c>
      <c r="B12311" s="1" t="n">
        <v>45567</v>
      </c>
      <c r="C12311" s="1" t="n">
        <v>45568</v>
      </c>
      <c r="D12311" t="inlineStr">
        <is>
          <t>GÄVLEBORGS LÄN</t>
        </is>
      </c>
      <c r="E12311" t="inlineStr">
        <is>
          <t>NORDANSTIG</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43121-2024</t>
        </is>
      </c>
      <c r="B12312" s="1" t="n">
        <v>45567</v>
      </c>
      <c r="C12312" s="1" t="n">
        <v>45568</v>
      </c>
      <c r="D12312" t="inlineStr">
        <is>
          <t>GÄVLEBORGS LÄN</t>
        </is>
      </c>
      <c r="E12312" t="inlineStr">
        <is>
          <t>SANDVIKEN</t>
        </is>
      </c>
      <c r="G12312" t="n">
        <v>4.3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43129-2024</t>
        </is>
      </c>
      <c r="B12313" s="1" t="n">
        <v>45567</v>
      </c>
      <c r="C12313" s="1" t="n">
        <v>45568</v>
      </c>
      <c r="D12313" t="inlineStr">
        <is>
          <t>GÄVLEBORGS LÄN</t>
        </is>
      </c>
      <c r="E12313" t="inlineStr">
        <is>
          <t>BOLLNÄS</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43131-2024</t>
        </is>
      </c>
      <c r="B12314" s="1" t="n">
        <v>45567</v>
      </c>
      <c r="C12314" s="1" t="n">
        <v>45568</v>
      </c>
      <c r="D12314" t="inlineStr">
        <is>
          <t>GÄVLEBORGS LÄN</t>
        </is>
      </c>
      <c r="E12314" t="inlineStr">
        <is>
          <t>BOLLNÄS</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43143-2024</t>
        </is>
      </c>
      <c r="B12315" s="1" t="n">
        <v>45567</v>
      </c>
      <c r="C12315" s="1" t="n">
        <v>45568</v>
      </c>
      <c r="D12315" t="inlineStr">
        <is>
          <t>GÄVLEBORGS LÄN</t>
        </is>
      </c>
      <c r="E12315" t="inlineStr">
        <is>
          <t>HOFORS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43151-2024</t>
        </is>
      </c>
      <c r="B12316" s="1" t="n">
        <v>45567</v>
      </c>
      <c r="C12316" s="1" t="n">
        <v>45568</v>
      </c>
      <c r="D12316" t="inlineStr">
        <is>
          <t>GÄVLEBORGS LÄN</t>
        </is>
      </c>
      <c r="E12316" t="inlineStr">
        <is>
          <t>LJUSDAL</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43175-2024</t>
        </is>
      </c>
      <c r="B12317" s="1" t="n">
        <v>45567</v>
      </c>
      <c r="C12317" s="1" t="n">
        <v>45568</v>
      </c>
      <c r="D12317" t="inlineStr">
        <is>
          <t>GÄVLEBORGS LÄN</t>
        </is>
      </c>
      <c r="E12317" t="inlineStr">
        <is>
          <t>OVANÅKER</t>
        </is>
      </c>
      <c r="G12317" t="n">
        <v>6.6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43180-2024</t>
        </is>
      </c>
      <c r="B12318" s="1" t="n">
        <v>45567</v>
      </c>
      <c r="C12318" s="1" t="n">
        <v>45568</v>
      </c>
      <c r="D12318" t="inlineStr">
        <is>
          <t>GÄVLEBORGS LÄN</t>
        </is>
      </c>
      <c r="E12318" t="inlineStr">
        <is>
          <t>LJUSDAL</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43189-2024</t>
        </is>
      </c>
      <c r="B12319" s="1" t="n">
        <v>45567</v>
      </c>
      <c r="C12319" s="1" t="n">
        <v>45568</v>
      </c>
      <c r="D12319" t="inlineStr">
        <is>
          <t>GÄVLEBORGS LÄN</t>
        </is>
      </c>
      <c r="E12319" t="inlineStr">
        <is>
          <t>LJUSDAL</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43216-2024</t>
        </is>
      </c>
      <c r="B12320" s="1" t="n">
        <v>45567</v>
      </c>
      <c r="C12320" s="1" t="n">
        <v>45568</v>
      </c>
      <c r="D12320" t="inlineStr">
        <is>
          <t>GÄVLEBORGS LÄN</t>
        </is>
      </c>
      <c r="E12320" t="inlineStr">
        <is>
          <t>HUDIKSVALL</t>
        </is>
      </c>
      <c r="F12320" t="inlineStr">
        <is>
          <t>Holmen skog AB</t>
        </is>
      </c>
      <c r="G12320" t="n">
        <v>22.4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43177-2024</t>
        </is>
      </c>
      <c r="B12321" s="1" t="n">
        <v>45567</v>
      </c>
      <c r="C12321" s="1" t="n">
        <v>45568</v>
      </c>
      <c r="D12321" t="inlineStr">
        <is>
          <t>GÄVLEBORGS LÄN</t>
        </is>
      </c>
      <c r="E12321" t="inlineStr">
        <is>
          <t>BOLLNÄS</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43191-2024</t>
        </is>
      </c>
      <c r="B12322" s="1" t="n">
        <v>45567</v>
      </c>
      <c r="C12322" s="1" t="n">
        <v>45568</v>
      </c>
      <c r="D12322" t="inlineStr">
        <is>
          <t>GÄVLEBORGS LÄN</t>
        </is>
      </c>
      <c r="E12322" t="inlineStr">
        <is>
          <t>SÖDERHAMN</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43207-2024</t>
        </is>
      </c>
      <c r="B12323" s="1" t="n">
        <v>45567</v>
      </c>
      <c r="C12323" s="1" t="n">
        <v>45568</v>
      </c>
      <c r="D12323" t="inlineStr">
        <is>
          <t>GÄVLEBORGS LÄN</t>
        </is>
      </c>
      <c r="E12323" t="inlineStr">
        <is>
          <t>SANDVIKEN</t>
        </is>
      </c>
      <c r="G12323" t="n">
        <v>3</v>
      </c>
      <c r="H12323" t="n">
        <v>0</v>
      </c>
      <c r="I12323" t="n">
        <v>0</v>
      </c>
      <c r="J12323" t="n">
        <v>0</v>
      </c>
      <c r="K12323" t="n">
        <v>0</v>
      </c>
      <c r="L12323" t="n">
        <v>0</v>
      </c>
      <c r="M12323" t="n">
        <v>0</v>
      </c>
      <c r="N12323" t="n">
        <v>0</v>
      </c>
      <c r="O12323" t="n">
        <v>0</v>
      </c>
      <c r="P12323" t="n">
        <v>0</v>
      </c>
      <c r="Q12323" t="n">
        <v>0</v>
      </c>
      <c r="R12323" s="2" t="inlineStr"/>
    </row>
    <row r="12324">
      <c r="A12324" t="inlineStr">
        <is>
          <t>A 43230-2024</t>
        </is>
      </c>
      <c r="B12324" s="1" t="n">
        <v>45567</v>
      </c>
      <c r="C12324" s="1" t="n">
        <v>45568</v>
      </c>
      <c r="D12324" t="inlineStr">
        <is>
          <t>GÄVLEBORGS LÄN</t>
        </is>
      </c>
      <c r="E12324" t="inlineStr">
        <is>
          <t>GÄVLE</t>
        </is>
      </c>
      <c r="G12324" t="n">
        <v>9.5</v>
      </c>
      <c r="H12324" t="n">
        <v>0</v>
      </c>
      <c r="I12324" t="n">
        <v>0</v>
      </c>
      <c r="J12324" t="n">
        <v>0</v>
      </c>
      <c r="K12324" t="n">
        <v>0</v>
      </c>
      <c r="L12324" t="n">
        <v>0</v>
      </c>
      <c r="M12324" t="n">
        <v>0</v>
      </c>
      <c r="N12324" t="n">
        <v>0</v>
      </c>
      <c r="O12324" t="n">
        <v>0</v>
      </c>
      <c r="P12324" t="n">
        <v>0</v>
      </c>
      <c r="Q12324" t="n">
        <v>0</v>
      </c>
      <c r="R12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2024-10-03T12:32:49Z</dcterms:created>
  <dcterms:modified xmlns:dcterms="http://purl.org/dc/terms/" xmlns:xsi="http://www.w3.org/2001/XMLSchema-instance" xsi:type="dcterms:W3CDTF">2024-10-03T12:33:00Z</dcterms:modified>
</cp:coreProperties>
</file>